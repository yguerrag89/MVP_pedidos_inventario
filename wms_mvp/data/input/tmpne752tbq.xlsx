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PXS BARO 23-01-26\"/>
    </mc:Choice>
  </mc:AlternateContent>
  <xr:revisionPtr revIDLastSave="0" documentId="13_ncr:1_{7ABADA6F-B11A-4F1A-8975-19DD633DB399}" xr6:coauthVersionLast="47" xr6:coauthVersionMax="47" xr10:uidLastSave="{00000000-0000-0000-0000-000000000000}"/>
  <bookViews>
    <workbookView xWindow="-120" yWindow="-120" windowWidth="20730" windowHeight="11160" tabRatio="740" firstSheet="2" activeTab="2" xr2:uid="{00000000-000D-0000-FFFF-FFFF00000000}"/>
  </bookViews>
  <sheets>
    <sheet name="Codigo " sheetId="1" state="hidden" r:id="rId1"/>
    <sheet name="Tabla de codigos" sheetId="3" state="hidden" r:id="rId2"/>
    <sheet name="Hoja 1" sheetId="2" r:id="rId3"/>
    <sheet name="2026" sheetId="14" r:id="rId4"/>
    <sheet name="PENDIENTES" sheetId="13" r:id="rId5"/>
    <sheet name="Estatus 2025" sheetId="10" r:id="rId6"/>
    <sheet name="codigos" sheetId="11" r:id="rId7"/>
    <sheet name="CLIENTES " sheetId="15" r:id="rId8"/>
  </sheets>
  <externalReferences>
    <externalReference r:id="rId9"/>
    <externalReference r:id="rId10"/>
    <externalReference r:id="rId11"/>
  </externalReferences>
  <definedNames>
    <definedName name="_xlnm._FilterDatabase" localSheetId="3" hidden="1">'2026'!$A$1:$N$1552</definedName>
    <definedName name="_xlnm._FilterDatabase" localSheetId="7" hidden="1">'CLIENTES '!$A$1:$B$301</definedName>
    <definedName name="_xlnm._FilterDatabase" localSheetId="0" hidden="1">'Codigo '!$A$1:$O$1146</definedName>
    <definedName name="_xlnm._FilterDatabase" localSheetId="2" hidden="1">'Hoja 1'!$A$1:$V$411</definedName>
    <definedName name="_xlnm._FilterDatabase" localSheetId="4" hidden="1">PENDIENTES!$A$1:$O$278</definedName>
    <definedName name="_xlnm.Print_Area" localSheetId="0">'Codigo '!$A$1:$J$4</definedName>
    <definedName name="_xlnm.Print_Area" localSheetId="2">'Hoja 1'!$C$1:$L$1</definedName>
    <definedName name="SegmentaciónDeDatos_CLIENTE">#N/A</definedName>
    <definedName name="SegmentaciónDeDatos_COLOR">#N/A</definedName>
    <definedName name="SegmentaciónDeDatos_Fecha">#N/A</definedName>
  </definedNames>
  <calcPr calcId="191029"/>
  <extLst>
    <ext xmlns:x14="http://schemas.microsoft.com/office/spreadsheetml/2009/9/main" uri="{876F7934-8845-4945-9796-88D515C7AA90}">
      <x14:pivotCaches>
        <pivotCache cacheId="0" r:id="rId12"/>
      </x14:pivotCaches>
    </ex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7" i="2" l="1"/>
  <c r="K57" i="2"/>
  <c r="K19" i="2"/>
  <c r="K186" i="2"/>
  <c r="K222" i="2"/>
  <c r="K408" i="2"/>
  <c r="K41" i="2"/>
  <c r="K74" i="2"/>
  <c r="K8" i="2"/>
  <c r="K357" i="2"/>
  <c r="K164" i="2"/>
  <c r="K255" i="2"/>
  <c r="K404" i="2"/>
  <c r="K213" i="2"/>
  <c r="K260" i="2"/>
  <c r="K125" i="2"/>
  <c r="K16" i="2"/>
  <c r="K171" i="2"/>
  <c r="L1718" i="14"/>
  <c r="K1718" i="14"/>
  <c r="E1718" i="14"/>
  <c r="D1718" i="14"/>
  <c r="K1717" i="14"/>
  <c r="M1717" i="14" s="1"/>
  <c r="E1717" i="14"/>
  <c r="D1717" i="14"/>
  <c r="L1716" i="14"/>
  <c r="K1716" i="14"/>
  <c r="E1716" i="14"/>
  <c r="D1716" i="14"/>
  <c r="L1715" i="14"/>
  <c r="K1715" i="14"/>
  <c r="E1715" i="14"/>
  <c r="D1715" i="14"/>
  <c r="L1714" i="14"/>
  <c r="K1714" i="14"/>
  <c r="E1714" i="14"/>
  <c r="D1714" i="14"/>
  <c r="L1713" i="14"/>
  <c r="K1713" i="14"/>
  <c r="E1713" i="14"/>
  <c r="D1713" i="14"/>
  <c r="L1696" i="14"/>
  <c r="E1696" i="14"/>
  <c r="D1696" i="14"/>
  <c r="L1695" i="14"/>
  <c r="K1695" i="14"/>
  <c r="E1695" i="14"/>
  <c r="D1695" i="14"/>
  <c r="L1694" i="14"/>
  <c r="K1694" i="14"/>
  <c r="E1694" i="14"/>
  <c r="D1694" i="14"/>
  <c r="L1693" i="14"/>
  <c r="K1693" i="14"/>
  <c r="E1693" i="14"/>
  <c r="D1693" i="14"/>
  <c r="L1692" i="14"/>
  <c r="K1692" i="14"/>
  <c r="E1692" i="14"/>
  <c r="D1692" i="14"/>
  <c r="L1691" i="14"/>
  <c r="K1691" i="14"/>
  <c r="E1691" i="14"/>
  <c r="D1691" i="14"/>
  <c r="L1690" i="14"/>
  <c r="K1690" i="14"/>
  <c r="E1690" i="14"/>
  <c r="D1690" i="14"/>
  <c r="L1689" i="14"/>
  <c r="K1689" i="14"/>
  <c r="E1689" i="14"/>
  <c r="D1689" i="14"/>
  <c r="L1688" i="14"/>
  <c r="K1688" i="14"/>
  <c r="E1688" i="14"/>
  <c r="D1688" i="14"/>
  <c r="L1687" i="14"/>
  <c r="E1687" i="14"/>
  <c r="D1687" i="14"/>
  <c r="K1686" i="14"/>
  <c r="L1686" i="14" s="1"/>
  <c r="E1686" i="14"/>
  <c r="D1686" i="14"/>
  <c r="K1685" i="14"/>
  <c r="L1685" i="14" s="1"/>
  <c r="E1685" i="14"/>
  <c r="D1685" i="14"/>
  <c r="K1684" i="14"/>
  <c r="L1684" i="14" s="1"/>
  <c r="E1684" i="14"/>
  <c r="D1684" i="14"/>
  <c r="L1683" i="14"/>
  <c r="E1683" i="14"/>
  <c r="D1683" i="14"/>
  <c r="L1682" i="14"/>
  <c r="K1682" i="14"/>
  <c r="E1682" i="14"/>
  <c r="D1682" i="14"/>
  <c r="L1681" i="14"/>
  <c r="E1681" i="14"/>
  <c r="D1681" i="14"/>
  <c r="L1680" i="14"/>
  <c r="E1680" i="14"/>
  <c r="D1680" i="14"/>
  <c r="L1679" i="14"/>
  <c r="E1679" i="14"/>
  <c r="D1679" i="14"/>
  <c r="L1678" i="14"/>
  <c r="E1678" i="14"/>
  <c r="D1678" i="14"/>
  <c r="M1677" i="14"/>
  <c r="L1677" i="14"/>
  <c r="E1677" i="14"/>
  <c r="D1677" i="14"/>
  <c r="A301" i="15"/>
  <c r="A300" i="15"/>
  <c r="A299" i="15"/>
  <c r="A298" i="15"/>
  <c r="A297" i="15"/>
  <c r="A296" i="15"/>
  <c r="A295" i="15"/>
  <c r="A294" i="15"/>
  <c r="A293" i="15"/>
  <c r="A292" i="15"/>
  <c r="A291" i="15"/>
  <c r="A290" i="15"/>
  <c r="A289" i="15"/>
  <c r="A288" i="15"/>
  <c r="A287" i="15"/>
  <c r="A286" i="15"/>
  <c r="A285" i="15"/>
  <c r="A284" i="15"/>
  <c r="A283" i="15"/>
  <c r="A282" i="15"/>
  <c r="A281" i="15"/>
  <c r="A280" i="15"/>
  <c r="A279" i="15"/>
  <c r="A278" i="15"/>
  <c r="A277" i="15"/>
  <c r="A276" i="15"/>
  <c r="A275" i="15"/>
  <c r="A274" i="15"/>
  <c r="A273" i="15"/>
  <c r="A272" i="15"/>
  <c r="A271" i="15"/>
  <c r="A270" i="15"/>
  <c r="A269" i="15"/>
  <c r="A268" i="15"/>
  <c r="A267" i="15"/>
  <c r="A266" i="15"/>
  <c r="A265" i="15"/>
  <c r="A264" i="15"/>
  <c r="A263" i="15"/>
  <c r="A262" i="15"/>
  <c r="A261" i="15"/>
  <c r="A260" i="15"/>
  <c r="A259" i="15"/>
  <c r="A258" i="15"/>
  <c r="A257" i="15"/>
  <c r="A256" i="15"/>
  <c r="A255" i="15"/>
  <c r="A254" i="15"/>
  <c r="A253" i="15"/>
  <c r="A252" i="15"/>
  <c r="A251" i="15"/>
  <c r="A250" i="15"/>
  <c r="A249" i="15"/>
  <c r="A248" i="15"/>
  <c r="A247" i="15"/>
  <c r="A246" i="15"/>
  <c r="A245" i="15"/>
  <c r="A244" i="15"/>
  <c r="A243" i="15"/>
  <c r="A242" i="15"/>
  <c r="A241" i="15"/>
  <c r="A240" i="15"/>
  <c r="A239" i="15"/>
  <c r="A238" i="15"/>
  <c r="A237" i="15"/>
  <c r="A236" i="15"/>
  <c r="A235" i="15"/>
  <c r="A234" i="15"/>
  <c r="A233" i="15"/>
  <c r="A232" i="15"/>
  <c r="A231" i="15"/>
  <c r="A230" i="15"/>
  <c r="A229" i="15"/>
  <c r="A228" i="15"/>
  <c r="A227" i="15"/>
  <c r="A226" i="15"/>
  <c r="A225" i="15"/>
  <c r="A224" i="15"/>
  <c r="A223" i="15"/>
  <c r="A222" i="15"/>
  <c r="A221" i="15"/>
  <c r="A220" i="15"/>
  <c r="A219" i="15"/>
  <c r="A218" i="15"/>
  <c r="A217" i="15"/>
  <c r="A216" i="15"/>
  <c r="A215" i="15"/>
  <c r="A214" i="15"/>
  <c r="A213" i="15"/>
  <c r="A212" i="15"/>
  <c r="A211" i="15"/>
  <c r="A210" i="15"/>
  <c r="A209" i="15"/>
  <c r="A208" i="15"/>
  <c r="A207" i="15"/>
  <c r="A206" i="15"/>
  <c r="A205" i="15"/>
  <c r="A204" i="15"/>
  <c r="A203" i="15"/>
  <c r="A202" i="15"/>
  <c r="A201" i="15"/>
  <c r="A200" i="15"/>
  <c r="A199" i="15"/>
  <c r="A198" i="15"/>
  <c r="A197" i="15"/>
  <c r="A196" i="15"/>
  <c r="A195" i="15"/>
  <c r="A194" i="15"/>
  <c r="A193" i="15"/>
  <c r="A192" i="15"/>
  <c r="A191" i="15"/>
  <c r="A190" i="15"/>
  <c r="A189" i="15"/>
  <c r="A188" i="15"/>
  <c r="A187" i="15"/>
  <c r="A186" i="15"/>
  <c r="A185" i="15"/>
  <c r="A184" i="15"/>
  <c r="A183" i="15"/>
  <c r="A182" i="15"/>
  <c r="A181" i="15"/>
  <c r="A180" i="15"/>
  <c r="A179" i="15"/>
  <c r="A178" i="15"/>
  <c r="A177" i="15"/>
  <c r="A176" i="15"/>
  <c r="A175" i="15"/>
  <c r="A174" i="15"/>
  <c r="A173" i="15"/>
  <c r="A172" i="15"/>
  <c r="A171" i="15"/>
  <c r="A170" i="15"/>
  <c r="A169" i="15"/>
  <c r="A168" i="15"/>
  <c r="A167" i="15"/>
  <c r="A166" i="15"/>
  <c r="A165" i="15"/>
  <c r="A164" i="15"/>
  <c r="A163" i="15"/>
  <c r="A162" i="15"/>
  <c r="A161" i="15"/>
  <c r="A160" i="15"/>
  <c r="A159" i="15"/>
  <c r="A158" i="15"/>
  <c r="A157" i="15"/>
  <c r="A156" i="15"/>
  <c r="A155" i="15"/>
  <c r="A154" i="15"/>
  <c r="A153" i="15"/>
  <c r="A152" i="15"/>
  <c r="A151" i="15"/>
  <c r="A150" i="15"/>
  <c r="A149" i="15"/>
  <c r="A148" i="15"/>
  <c r="A147" i="15"/>
  <c r="A146" i="15"/>
  <c r="A145" i="15"/>
  <c r="A144" i="15"/>
  <c r="A143" i="15"/>
  <c r="A142" i="15"/>
  <c r="A141" i="15"/>
  <c r="A140" i="15"/>
  <c r="A139" i="15"/>
  <c r="A138" i="15"/>
  <c r="A137" i="15"/>
  <c r="A136" i="15"/>
  <c r="A135" i="15"/>
  <c r="A134" i="15"/>
  <c r="A133" i="15"/>
  <c r="A132" i="15"/>
  <c r="A131" i="15"/>
  <c r="A130" i="15"/>
  <c r="A129" i="15"/>
  <c r="A128" i="15"/>
  <c r="A127" i="15"/>
  <c r="A126" i="15"/>
  <c r="A125" i="15"/>
  <c r="A124" i="15"/>
  <c r="A123" i="15"/>
  <c r="A122" i="15"/>
  <c r="A121" i="15"/>
  <c r="A120" i="15"/>
  <c r="A119" i="15"/>
  <c r="A118" i="15"/>
  <c r="A117" i="15"/>
  <c r="A116" i="15"/>
  <c r="A115" i="15"/>
  <c r="A114" i="15"/>
  <c r="A113" i="15"/>
  <c r="A112" i="15"/>
  <c r="A111" i="15"/>
  <c r="A110" i="15"/>
  <c r="A109" i="15"/>
  <c r="A108" i="15"/>
  <c r="A107" i="15"/>
  <c r="A106" i="15"/>
  <c r="A105" i="15"/>
  <c r="A104" i="15"/>
  <c r="A103" i="15"/>
  <c r="A102" i="15"/>
  <c r="A101" i="15"/>
  <c r="A100" i="15"/>
  <c r="A99" i="15"/>
  <c r="A98" i="15"/>
  <c r="A97" i="15"/>
  <c r="A96" i="15"/>
  <c r="A95" i="15"/>
  <c r="A94" i="15"/>
  <c r="A93" i="15"/>
  <c r="A92" i="15"/>
  <c r="A91" i="15"/>
  <c r="A90" i="15"/>
  <c r="A89" i="15"/>
  <c r="A88" i="15"/>
  <c r="A87" i="15"/>
  <c r="A86" i="15"/>
  <c r="A85" i="15"/>
  <c r="A84" i="15"/>
  <c r="A83" i="15"/>
  <c r="A82" i="15"/>
  <c r="A81" i="15"/>
  <c r="A80" i="15"/>
  <c r="A79" i="15"/>
  <c r="A78" i="15"/>
  <c r="A77" i="15"/>
  <c r="A76" i="15"/>
  <c r="A75" i="15"/>
  <c r="A74" i="15"/>
  <c r="A73" i="15"/>
  <c r="A72" i="15"/>
  <c r="A71" i="15"/>
  <c r="A70" i="15"/>
  <c r="A69" i="15"/>
  <c r="A68" i="15"/>
  <c r="A67" i="15"/>
  <c r="A66" i="15"/>
  <c r="A65" i="15"/>
  <c r="A64" i="15"/>
  <c r="A63" i="15"/>
  <c r="A62" i="15"/>
  <c r="A61" i="15"/>
  <c r="A60" i="15"/>
  <c r="A59" i="15"/>
  <c r="A58" i="15"/>
  <c r="A57" i="15"/>
  <c r="A56" i="15"/>
  <c r="A55" i="15"/>
  <c r="A54" i="15"/>
  <c r="A53" i="15"/>
  <c r="A52" i="15"/>
  <c r="A51" i="15"/>
  <c r="A50" i="15"/>
  <c r="A49" i="15"/>
  <c r="A48" i="15"/>
  <c r="A47" i="15"/>
  <c r="A46" i="15"/>
  <c r="A45" i="15"/>
  <c r="A44" i="15"/>
  <c r="A43" i="15"/>
  <c r="A42" i="15"/>
  <c r="A41" i="15"/>
  <c r="A40" i="15"/>
  <c r="A39" i="15"/>
  <c r="A38" i="15"/>
  <c r="A37" i="15"/>
  <c r="A36" i="15"/>
  <c r="A35" i="15"/>
  <c r="A34" i="15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J278" i="13"/>
  <c r="C278" i="13"/>
  <c r="B278" i="13"/>
  <c r="J277" i="13"/>
  <c r="C277" i="13"/>
  <c r="B277" i="13"/>
  <c r="J276" i="13"/>
  <c r="C276" i="13"/>
  <c r="B276" i="13"/>
  <c r="J275" i="13"/>
  <c r="C275" i="13"/>
  <c r="B275" i="13"/>
  <c r="J274" i="13"/>
  <c r="I274" i="13"/>
  <c r="C274" i="13"/>
  <c r="B274" i="13"/>
  <c r="J273" i="13"/>
  <c r="I273" i="13"/>
  <c r="C273" i="13"/>
  <c r="B273" i="13"/>
  <c r="J272" i="13"/>
  <c r="I272" i="13"/>
  <c r="C272" i="13"/>
  <c r="B272" i="13"/>
  <c r="J271" i="13"/>
  <c r="I271" i="13"/>
  <c r="C271" i="13"/>
  <c r="B271" i="13"/>
  <c r="J270" i="13"/>
  <c r="C270" i="13"/>
  <c r="B270" i="13"/>
  <c r="J269" i="13"/>
  <c r="C269" i="13"/>
  <c r="B269" i="13"/>
  <c r="J268" i="13"/>
  <c r="C268" i="13"/>
  <c r="B268" i="13"/>
  <c r="J267" i="13"/>
  <c r="C267" i="13"/>
  <c r="B267" i="13"/>
  <c r="J266" i="13"/>
  <c r="I266" i="13"/>
  <c r="C266" i="13"/>
  <c r="B266" i="13"/>
  <c r="J265" i="13"/>
  <c r="C265" i="13"/>
  <c r="B265" i="13"/>
  <c r="K264" i="13"/>
  <c r="J264" i="13"/>
  <c r="I264" i="13"/>
  <c r="C264" i="13"/>
  <c r="B264" i="13"/>
  <c r="J263" i="13"/>
  <c r="J262" i="13"/>
  <c r="J261" i="13"/>
  <c r="J260" i="13"/>
  <c r="J259" i="13"/>
  <c r="J258" i="13"/>
  <c r="J257" i="13"/>
  <c r="J256" i="13"/>
  <c r="J255" i="13"/>
  <c r="J254" i="13"/>
  <c r="J253" i="13"/>
  <c r="J252" i="13"/>
  <c r="J251" i="13"/>
  <c r="J250" i="13"/>
  <c r="J249" i="13"/>
  <c r="J248" i="13"/>
  <c r="J247" i="13"/>
  <c r="J246" i="13"/>
  <c r="J245" i="13"/>
  <c r="J244" i="13"/>
  <c r="J243" i="13"/>
  <c r="J242" i="13"/>
  <c r="J241" i="13"/>
  <c r="J240" i="13"/>
  <c r="J239" i="13"/>
  <c r="J238" i="13"/>
  <c r="J237" i="13"/>
  <c r="J236" i="13"/>
  <c r="J235" i="13"/>
  <c r="J234" i="13"/>
  <c r="J233" i="13"/>
  <c r="J232" i="13"/>
  <c r="J231" i="13"/>
  <c r="J230" i="13"/>
  <c r="J229" i="13"/>
  <c r="J228" i="13"/>
  <c r="J227" i="13"/>
  <c r="J226" i="13"/>
  <c r="J225" i="13"/>
  <c r="J224" i="13"/>
  <c r="J223" i="13"/>
  <c r="J222" i="13"/>
  <c r="J221" i="13"/>
  <c r="J220" i="13"/>
  <c r="J219" i="13"/>
  <c r="J218" i="13"/>
  <c r="J217" i="13"/>
  <c r="J216" i="13"/>
  <c r="J215" i="13"/>
  <c r="J214" i="13"/>
  <c r="J213" i="13"/>
  <c r="J212" i="13"/>
  <c r="J211" i="13"/>
  <c r="J210" i="13"/>
  <c r="J209" i="13"/>
  <c r="J208" i="13"/>
  <c r="J207" i="13"/>
  <c r="J206" i="13"/>
  <c r="J205" i="13"/>
  <c r="J204" i="13"/>
  <c r="K203" i="13"/>
  <c r="J203" i="13"/>
  <c r="K202" i="13"/>
  <c r="J202" i="13"/>
  <c r="K201" i="13"/>
  <c r="J201" i="13"/>
  <c r="J200" i="13"/>
  <c r="J199" i="13"/>
  <c r="J198" i="13"/>
  <c r="J197" i="13"/>
  <c r="J196" i="13"/>
  <c r="J195" i="13"/>
  <c r="J194" i="13"/>
  <c r="J193" i="13"/>
  <c r="J192" i="13"/>
  <c r="J191" i="13"/>
  <c r="K190" i="13"/>
  <c r="J190" i="13"/>
  <c r="J189" i="13"/>
  <c r="J188" i="13"/>
  <c r="J187" i="13"/>
  <c r="J186" i="13"/>
  <c r="J185" i="13"/>
  <c r="J184" i="13"/>
  <c r="J183" i="13"/>
  <c r="J182" i="13"/>
  <c r="J181" i="13"/>
  <c r="J180" i="13"/>
  <c r="J179" i="13"/>
  <c r="J178" i="13"/>
  <c r="J177" i="13"/>
  <c r="J176" i="13"/>
  <c r="J175" i="13"/>
  <c r="J174" i="13"/>
  <c r="J173" i="13"/>
  <c r="K172" i="13"/>
  <c r="J172" i="13"/>
  <c r="J171" i="13"/>
  <c r="J170" i="13"/>
  <c r="J169" i="13"/>
  <c r="J168" i="13"/>
  <c r="J167" i="13"/>
  <c r="J166" i="13"/>
  <c r="J165" i="13"/>
  <c r="H165" i="13"/>
  <c r="J164" i="13"/>
  <c r="J163" i="13"/>
  <c r="K162" i="13"/>
  <c r="J162" i="13"/>
  <c r="J161" i="13"/>
  <c r="J160" i="13"/>
  <c r="J159" i="13"/>
  <c r="J158" i="13"/>
  <c r="J157" i="13"/>
  <c r="J156" i="13"/>
  <c r="J155" i="13"/>
  <c r="K154" i="13"/>
  <c r="J154" i="13"/>
  <c r="J153" i="13"/>
  <c r="I153" i="13"/>
  <c r="K152" i="13"/>
  <c r="J152" i="13"/>
  <c r="I152" i="13"/>
  <c r="J151" i="13"/>
  <c r="J150" i="13"/>
  <c r="J149" i="13"/>
  <c r="J148" i="13"/>
  <c r="I148" i="13"/>
  <c r="K147" i="13"/>
  <c r="J147" i="13"/>
  <c r="J146" i="13"/>
  <c r="K145" i="13"/>
  <c r="J145" i="13"/>
  <c r="K144" i="13"/>
  <c r="J144" i="13"/>
  <c r="J143" i="13"/>
  <c r="I143" i="13"/>
  <c r="J142" i="13"/>
  <c r="J141" i="13"/>
  <c r="I141" i="13"/>
  <c r="J140" i="13"/>
  <c r="J139" i="13"/>
  <c r="J138" i="13"/>
  <c r="J137" i="13"/>
  <c r="I137" i="13"/>
  <c r="J136" i="13"/>
  <c r="I136" i="13"/>
  <c r="K135" i="13"/>
  <c r="J135" i="13"/>
  <c r="J134" i="13"/>
  <c r="J133" i="13"/>
  <c r="J132" i="13"/>
  <c r="J131" i="13"/>
  <c r="J130" i="13"/>
  <c r="J129" i="13"/>
  <c r="K128" i="13"/>
  <c r="J128" i="13"/>
  <c r="J127" i="13"/>
  <c r="J126" i="13"/>
  <c r="J125" i="13"/>
  <c r="J124" i="13"/>
  <c r="J123" i="13"/>
  <c r="J122" i="13"/>
  <c r="J121" i="13"/>
  <c r="J120" i="13"/>
  <c r="J119" i="13"/>
  <c r="J118" i="13"/>
  <c r="J117" i="13"/>
  <c r="J116" i="13"/>
  <c r="J115" i="13"/>
  <c r="J114" i="13"/>
  <c r="J113" i="13"/>
  <c r="J112" i="13"/>
  <c r="J111" i="13"/>
  <c r="J110" i="13"/>
  <c r="J109" i="13"/>
  <c r="J108" i="13"/>
  <c r="J107" i="13"/>
  <c r="J106" i="13"/>
  <c r="J105" i="13"/>
  <c r="J104" i="13"/>
  <c r="K103" i="13"/>
  <c r="J103" i="13"/>
  <c r="J102" i="13"/>
  <c r="C102" i="13"/>
  <c r="B102" i="13"/>
  <c r="J101" i="13"/>
  <c r="C101" i="13"/>
  <c r="B101" i="13"/>
  <c r="J100" i="13"/>
  <c r="C100" i="13"/>
  <c r="B100" i="13"/>
  <c r="K99" i="13"/>
  <c r="J99" i="13"/>
  <c r="C99" i="13"/>
  <c r="B99" i="13"/>
  <c r="J98" i="13"/>
  <c r="C98" i="13"/>
  <c r="B98" i="13"/>
  <c r="K97" i="13"/>
  <c r="J97" i="13"/>
  <c r="C97" i="13"/>
  <c r="B97" i="13"/>
  <c r="J96" i="13"/>
  <c r="C96" i="13"/>
  <c r="B96" i="13"/>
  <c r="K95" i="13"/>
  <c r="J95" i="13"/>
  <c r="C95" i="13"/>
  <c r="B95" i="13"/>
  <c r="K93" i="13"/>
  <c r="J93" i="13"/>
  <c r="C93" i="13"/>
  <c r="B93" i="13"/>
  <c r="J92" i="13"/>
  <c r="C92" i="13"/>
  <c r="B92" i="13"/>
  <c r="J91" i="13"/>
  <c r="C91" i="13"/>
  <c r="B91" i="13"/>
  <c r="J90" i="13"/>
  <c r="C90" i="13"/>
  <c r="B90" i="13"/>
  <c r="J89" i="13"/>
  <c r="C89" i="13"/>
  <c r="B89" i="13"/>
  <c r="J88" i="13"/>
  <c r="C88" i="13"/>
  <c r="B88" i="13"/>
  <c r="J87" i="13"/>
  <c r="C87" i="13"/>
  <c r="B87" i="13"/>
  <c r="J86" i="13"/>
  <c r="C86" i="13"/>
  <c r="B86" i="13"/>
  <c r="J85" i="13"/>
  <c r="C85" i="13"/>
  <c r="B85" i="13"/>
  <c r="J84" i="13"/>
  <c r="C84" i="13"/>
  <c r="B84" i="13"/>
  <c r="J83" i="13"/>
  <c r="C83" i="13"/>
  <c r="B83" i="13"/>
  <c r="J82" i="13"/>
  <c r="C82" i="13"/>
  <c r="B82" i="13"/>
  <c r="J81" i="13"/>
  <c r="C81" i="13"/>
  <c r="B81" i="13"/>
  <c r="J80" i="13"/>
  <c r="C80" i="13"/>
  <c r="B80" i="13"/>
  <c r="J79" i="13"/>
  <c r="C79" i="13"/>
  <c r="B79" i="13"/>
  <c r="J78" i="13"/>
  <c r="C78" i="13"/>
  <c r="B78" i="13"/>
  <c r="J77" i="13"/>
  <c r="C77" i="13"/>
  <c r="B77" i="13"/>
  <c r="J76" i="13"/>
  <c r="C76" i="13"/>
  <c r="B76" i="13"/>
  <c r="J75" i="13"/>
  <c r="C75" i="13"/>
  <c r="B75" i="13"/>
  <c r="J74" i="13"/>
  <c r="C74" i="13"/>
  <c r="B74" i="13"/>
  <c r="J73" i="13"/>
  <c r="C73" i="13"/>
  <c r="B73" i="13"/>
  <c r="J72" i="13"/>
  <c r="C72" i="13"/>
  <c r="B72" i="13"/>
  <c r="J71" i="13"/>
  <c r="C71" i="13"/>
  <c r="B71" i="13"/>
  <c r="J70" i="13"/>
  <c r="C70" i="13"/>
  <c r="B70" i="13"/>
  <c r="J69" i="13"/>
  <c r="C69" i="13"/>
  <c r="B69" i="13"/>
  <c r="J68" i="13"/>
  <c r="C68" i="13"/>
  <c r="B68" i="13"/>
  <c r="J67" i="13"/>
  <c r="C67" i="13"/>
  <c r="B67" i="13"/>
  <c r="J66" i="13"/>
  <c r="C66" i="13"/>
  <c r="B66" i="13"/>
  <c r="J65" i="13"/>
  <c r="C65" i="13"/>
  <c r="B65" i="13"/>
  <c r="J64" i="13"/>
  <c r="C64" i="13"/>
  <c r="B64" i="13"/>
  <c r="K63" i="13"/>
  <c r="J63" i="13"/>
  <c r="C63" i="13"/>
  <c r="B63" i="13"/>
  <c r="J62" i="13"/>
  <c r="C62" i="13"/>
  <c r="B62" i="13"/>
  <c r="J61" i="13"/>
  <c r="C61" i="13"/>
  <c r="B61" i="13"/>
  <c r="J60" i="13"/>
  <c r="C60" i="13"/>
  <c r="B60" i="13"/>
  <c r="J59" i="13"/>
  <c r="C59" i="13"/>
  <c r="B59" i="13"/>
  <c r="J58" i="13"/>
  <c r="C58" i="13"/>
  <c r="B58" i="13"/>
  <c r="J57" i="13"/>
  <c r="C57" i="13"/>
  <c r="B57" i="13"/>
  <c r="J56" i="13"/>
  <c r="C56" i="13"/>
  <c r="B56" i="13"/>
  <c r="J55" i="13"/>
  <c r="C55" i="13"/>
  <c r="B55" i="13"/>
  <c r="J54" i="13"/>
  <c r="C54" i="13"/>
  <c r="B54" i="13"/>
  <c r="J53" i="13"/>
  <c r="C53" i="13"/>
  <c r="B53" i="13"/>
  <c r="J52" i="13"/>
  <c r="C52" i="13"/>
  <c r="B52" i="13"/>
  <c r="J51" i="13"/>
  <c r="C51" i="13"/>
  <c r="B51" i="13"/>
  <c r="J50" i="13"/>
  <c r="C50" i="13"/>
  <c r="B50" i="13"/>
  <c r="J49" i="13"/>
  <c r="C49" i="13"/>
  <c r="B49" i="13"/>
  <c r="J48" i="13"/>
  <c r="C48" i="13"/>
  <c r="B48" i="13"/>
  <c r="K47" i="13"/>
  <c r="J47" i="13"/>
  <c r="I47" i="13"/>
  <c r="C47" i="13"/>
  <c r="B47" i="13"/>
  <c r="J46" i="13"/>
  <c r="C46" i="13"/>
  <c r="B46" i="13"/>
  <c r="J45" i="13"/>
  <c r="C45" i="13"/>
  <c r="B45" i="13"/>
  <c r="J44" i="13"/>
  <c r="C44" i="13"/>
  <c r="B44" i="13"/>
  <c r="J43" i="13"/>
  <c r="C43" i="13"/>
  <c r="B43" i="13"/>
  <c r="J42" i="13"/>
  <c r="C42" i="13"/>
  <c r="B42" i="13"/>
  <c r="J41" i="13"/>
  <c r="C41" i="13"/>
  <c r="B41" i="13"/>
  <c r="J40" i="13"/>
  <c r="C40" i="13"/>
  <c r="B40" i="13"/>
  <c r="J39" i="13"/>
  <c r="C39" i="13"/>
  <c r="B39" i="13"/>
  <c r="J38" i="13"/>
  <c r="C38" i="13"/>
  <c r="B38" i="13"/>
  <c r="K37" i="13"/>
  <c r="J37" i="13"/>
  <c r="C37" i="13"/>
  <c r="B37" i="13"/>
  <c r="J36" i="13"/>
  <c r="C36" i="13"/>
  <c r="B36" i="13"/>
  <c r="J35" i="13"/>
  <c r="C35" i="13"/>
  <c r="B35" i="13"/>
  <c r="J34" i="13"/>
  <c r="C34" i="13"/>
  <c r="B34" i="13"/>
  <c r="J33" i="13"/>
  <c r="C33" i="13"/>
  <c r="B33" i="13"/>
  <c r="J32" i="13"/>
  <c r="C32" i="13"/>
  <c r="B32" i="13"/>
  <c r="J31" i="13"/>
  <c r="C31" i="13"/>
  <c r="B31" i="13"/>
  <c r="J30" i="13"/>
  <c r="C30" i="13"/>
  <c r="B30" i="13"/>
  <c r="J29" i="13"/>
  <c r="C29" i="13"/>
  <c r="B29" i="13"/>
  <c r="J28" i="13"/>
  <c r="C28" i="13"/>
  <c r="B28" i="13"/>
  <c r="J27" i="13"/>
  <c r="C27" i="13"/>
  <c r="B27" i="13"/>
  <c r="J26" i="13"/>
  <c r="C26" i="13"/>
  <c r="B26" i="13"/>
  <c r="J25" i="13"/>
  <c r="C25" i="13"/>
  <c r="B25" i="13"/>
  <c r="J24" i="13"/>
  <c r="C24" i="13"/>
  <c r="B24" i="13"/>
  <c r="J23" i="13"/>
  <c r="C23" i="13"/>
  <c r="B23" i="13"/>
  <c r="J22" i="13"/>
  <c r="C22" i="13"/>
  <c r="B22" i="13"/>
  <c r="J21" i="13"/>
  <c r="C21" i="13"/>
  <c r="B21" i="13"/>
  <c r="J20" i="13"/>
  <c r="C20" i="13"/>
  <c r="B20" i="13"/>
  <c r="L1656" i="14"/>
  <c r="M1655" i="14"/>
  <c r="L1655" i="14"/>
  <c r="E1654" i="14"/>
  <c r="D1654" i="14"/>
  <c r="L1653" i="14"/>
  <c r="K1653" i="14"/>
  <c r="E1653" i="14"/>
  <c r="D1653" i="14"/>
  <c r="L1652" i="14"/>
  <c r="K1652" i="14"/>
  <c r="E1652" i="14"/>
  <c r="D1652" i="14"/>
  <c r="L1651" i="14"/>
  <c r="K1651" i="14"/>
  <c r="E1651" i="14"/>
  <c r="D1651" i="14"/>
  <c r="M1650" i="14"/>
  <c r="L1650" i="14"/>
  <c r="K1650" i="14"/>
  <c r="E1650" i="14"/>
  <c r="D1650" i="14"/>
  <c r="L1649" i="14"/>
  <c r="K1649" i="14"/>
  <c r="E1649" i="14"/>
  <c r="D1649" i="14"/>
  <c r="L1648" i="14"/>
  <c r="K1648" i="14"/>
  <c r="E1648" i="14"/>
  <c r="D1648" i="14"/>
  <c r="L1647" i="14"/>
  <c r="K1647" i="14"/>
  <c r="E1647" i="14"/>
  <c r="D1647" i="14"/>
  <c r="M1646" i="14"/>
  <c r="L1646" i="14"/>
  <c r="K1646" i="14"/>
  <c r="E1646" i="14"/>
  <c r="D1646" i="14"/>
  <c r="L1615" i="14"/>
  <c r="E1615" i="14"/>
  <c r="D1615" i="14"/>
  <c r="L1614" i="14"/>
  <c r="K1614" i="14"/>
  <c r="E1614" i="14"/>
  <c r="D1614" i="14"/>
  <c r="L1613" i="14"/>
  <c r="K1613" i="14"/>
  <c r="E1613" i="14"/>
  <c r="D1613" i="14"/>
  <c r="L1612" i="14"/>
  <c r="E1612" i="14"/>
  <c r="D1612" i="14"/>
  <c r="L1611" i="14"/>
  <c r="K1611" i="14"/>
  <c r="E1611" i="14"/>
  <c r="D1611" i="14"/>
  <c r="L1610" i="14"/>
  <c r="K1610" i="14"/>
  <c r="E1610" i="14"/>
  <c r="D1610" i="14"/>
  <c r="L1609" i="14"/>
  <c r="K1609" i="14"/>
  <c r="E1609" i="14"/>
  <c r="D1609" i="14"/>
  <c r="L1608" i="14"/>
  <c r="K1608" i="14"/>
  <c r="E1608" i="14"/>
  <c r="D1608" i="14"/>
  <c r="L1607" i="14"/>
  <c r="K1607" i="14"/>
  <c r="E1607" i="14"/>
  <c r="D1607" i="14"/>
  <c r="L1606" i="14"/>
  <c r="E1606" i="14"/>
  <c r="D1606" i="14"/>
  <c r="L1605" i="14"/>
  <c r="K1605" i="14"/>
  <c r="E1605" i="14"/>
  <c r="D1605" i="14"/>
  <c r="L1604" i="14"/>
  <c r="K1604" i="14"/>
  <c r="E1604" i="14"/>
  <c r="D1604" i="14"/>
  <c r="L1603" i="14"/>
  <c r="K1603" i="14"/>
  <c r="E1603" i="14"/>
  <c r="D1603" i="14"/>
  <c r="L1602" i="14"/>
  <c r="K1602" i="14"/>
  <c r="E1602" i="14"/>
  <c r="D1602" i="14"/>
  <c r="M1601" i="14"/>
  <c r="L1601" i="14"/>
  <c r="K1601" i="14"/>
  <c r="E1601" i="14"/>
  <c r="D1601" i="14"/>
  <c r="L1600" i="14"/>
  <c r="E1600" i="14"/>
  <c r="D1600" i="14"/>
  <c r="M1599" i="14"/>
  <c r="L1599" i="14"/>
  <c r="E1599" i="14"/>
  <c r="D1599" i="14"/>
  <c r="L1598" i="14"/>
  <c r="K1598" i="14"/>
  <c r="E1598" i="14"/>
  <c r="D1598" i="14"/>
  <c r="L1597" i="14"/>
  <c r="E1597" i="14"/>
  <c r="D1597" i="14"/>
  <c r="M1596" i="14"/>
  <c r="L1596" i="14"/>
  <c r="E1596" i="14"/>
  <c r="D1596" i="14"/>
  <c r="L1595" i="14"/>
  <c r="K1595" i="14"/>
  <c r="E1595" i="14"/>
  <c r="D1595" i="14"/>
  <c r="L1594" i="14"/>
  <c r="E1594" i="14"/>
  <c r="D1594" i="14"/>
  <c r="L1593" i="14"/>
  <c r="E1593" i="14"/>
  <c r="D1593" i="14"/>
  <c r="L1592" i="14"/>
  <c r="E1592" i="14"/>
  <c r="D1592" i="14"/>
  <c r="M1591" i="14"/>
  <c r="L1591" i="14"/>
  <c r="E1591" i="14"/>
  <c r="D1591" i="14"/>
  <c r="L1590" i="14"/>
  <c r="E1590" i="14"/>
  <c r="D1590" i="14"/>
  <c r="L1589" i="14"/>
  <c r="E1589" i="14"/>
  <c r="D1589" i="14"/>
  <c r="L1588" i="14"/>
  <c r="E1588" i="14"/>
  <c r="D1588" i="14"/>
  <c r="L1587" i="14"/>
  <c r="E1587" i="14"/>
  <c r="D1587" i="14"/>
  <c r="M1586" i="14"/>
  <c r="L1586" i="14"/>
  <c r="E1586" i="14"/>
  <c r="D1586" i="14"/>
  <c r="L1585" i="14"/>
  <c r="K1585" i="14"/>
  <c r="E1585" i="14"/>
  <c r="D1585" i="14"/>
  <c r="L1584" i="14"/>
  <c r="K1584" i="14"/>
  <c r="E1584" i="14"/>
  <c r="D1584" i="14"/>
  <c r="L1583" i="14"/>
  <c r="K1583" i="14"/>
  <c r="E1583" i="14"/>
  <c r="D1583" i="14"/>
  <c r="L1582" i="14"/>
  <c r="K1582" i="14"/>
  <c r="E1582" i="14"/>
  <c r="D1582" i="14"/>
  <c r="L1581" i="14"/>
  <c r="K1581" i="14"/>
  <c r="E1581" i="14"/>
  <c r="D1581" i="14"/>
  <c r="L1580" i="14"/>
  <c r="K1580" i="14"/>
  <c r="E1580" i="14"/>
  <c r="D1580" i="14"/>
  <c r="L1579" i="14"/>
  <c r="K1579" i="14"/>
  <c r="E1579" i="14"/>
  <c r="D1579" i="14"/>
  <c r="L1578" i="14"/>
  <c r="K1578" i="14"/>
  <c r="E1578" i="14"/>
  <c r="D1578" i="14"/>
  <c r="L1577" i="14"/>
  <c r="K1577" i="14"/>
  <c r="E1577" i="14"/>
  <c r="D1577" i="14"/>
  <c r="L1576" i="14"/>
  <c r="E1576" i="14"/>
  <c r="D1576" i="14"/>
  <c r="L1575" i="14"/>
  <c r="E1575" i="14"/>
  <c r="D1575" i="14"/>
  <c r="L1574" i="14"/>
  <c r="E1574" i="14"/>
  <c r="D1574" i="14"/>
  <c r="L1573" i="14"/>
  <c r="E1573" i="14"/>
  <c r="D1573" i="14"/>
  <c r="L1572" i="14"/>
  <c r="E1572" i="14"/>
  <c r="D1572" i="14"/>
  <c r="L1571" i="14"/>
  <c r="E1571" i="14"/>
  <c r="D1571" i="14"/>
  <c r="L1570" i="14"/>
  <c r="K1570" i="14"/>
  <c r="E1570" i="14"/>
  <c r="D1570" i="14"/>
  <c r="L1569" i="14"/>
  <c r="K1569" i="14"/>
  <c r="E1569" i="14"/>
  <c r="D1569" i="14"/>
  <c r="L1568" i="14"/>
  <c r="K1568" i="14"/>
  <c r="E1568" i="14"/>
  <c r="D1568" i="14"/>
  <c r="L1567" i="14"/>
  <c r="K1567" i="14"/>
  <c r="E1567" i="14"/>
  <c r="D1567" i="14"/>
  <c r="L1566" i="14"/>
  <c r="E1566" i="14"/>
  <c r="D1566" i="14"/>
  <c r="L1565" i="14"/>
  <c r="E1565" i="14"/>
  <c r="D1565" i="14"/>
  <c r="L1564" i="14"/>
  <c r="K1564" i="14"/>
  <c r="E1564" i="14"/>
  <c r="D1564" i="14"/>
  <c r="L1563" i="14"/>
  <c r="E1563" i="14"/>
  <c r="D1563" i="14"/>
  <c r="L1562" i="14"/>
  <c r="K1562" i="14"/>
  <c r="E1562" i="14"/>
  <c r="D1562" i="14"/>
  <c r="L1561" i="14"/>
  <c r="E1561" i="14"/>
  <c r="D1561" i="14"/>
  <c r="L1560" i="14"/>
  <c r="E1560" i="14"/>
  <c r="D1560" i="14"/>
  <c r="L1559" i="14"/>
  <c r="K1559" i="14"/>
  <c r="E1559" i="14"/>
  <c r="D1559" i="14"/>
  <c r="L1558" i="14"/>
  <c r="E1558" i="14"/>
  <c r="D1558" i="14"/>
  <c r="L1557" i="14"/>
  <c r="K1557" i="14"/>
  <c r="E1557" i="14"/>
  <c r="D1557" i="14"/>
  <c r="L1556" i="14"/>
  <c r="E1556" i="14"/>
  <c r="D1556" i="14"/>
  <c r="L1555" i="14"/>
  <c r="E1555" i="14"/>
  <c r="D1555" i="14"/>
  <c r="L1554" i="14"/>
  <c r="K1554" i="14"/>
  <c r="E1554" i="14"/>
  <c r="D1554" i="14"/>
  <c r="M1553" i="14"/>
  <c r="L1553" i="14"/>
  <c r="K1553" i="14"/>
  <c r="E1553" i="14"/>
  <c r="D1553" i="14"/>
  <c r="L1552" i="14"/>
  <c r="K1552" i="14"/>
  <c r="E1552" i="14"/>
  <c r="D1552" i="14"/>
  <c r="L1551" i="14"/>
  <c r="K1551" i="14"/>
  <c r="E1551" i="14"/>
  <c r="D1551" i="14"/>
  <c r="L1550" i="14"/>
  <c r="K1550" i="14"/>
  <c r="E1550" i="14"/>
  <c r="D1550" i="14"/>
  <c r="L1549" i="14"/>
  <c r="K1549" i="14"/>
  <c r="E1549" i="14"/>
  <c r="D1549" i="14"/>
  <c r="L1548" i="14"/>
  <c r="K1548" i="14"/>
  <c r="E1548" i="14"/>
  <c r="D1548" i="14"/>
  <c r="L1547" i="14"/>
  <c r="K1547" i="14"/>
  <c r="E1547" i="14"/>
  <c r="D1547" i="14"/>
  <c r="L1546" i="14"/>
  <c r="K1546" i="14"/>
  <c r="E1546" i="14"/>
  <c r="D1546" i="14"/>
  <c r="L1545" i="14"/>
  <c r="K1545" i="14"/>
  <c r="E1545" i="14"/>
  <c r="D1545" i="14"/>
  <c r="L1544" i="14"/>
  <c r="E1544" i="14"/>
  <c r="D1544" i="14"/>
  <c r="L1543" i="14"/>
  <c r="K1543" i="14"/>
  <c r="E1543" i="14"/>
  <c r="D1543" i="14"/>
  <c r="L1542" i="14"/>
  <c r="K1542" i="14"/>
  <c r="E1542" i="14"/>
  <c r="D1542" i="14"/>
  <c r="L1541" i="14"/>
  <c r="K1541" i="14"/>
  <c r="E1541" i="14"/>
  <c r="D1541" i="14"/>
  <c r="L1540" i="14"/>
  <c r="K1540" i="14"/>
  <c r="E1540" i="14"/>
  <c r="D1540" i="14"/>
  <c r="M1539" i="14"/>
  <c r="L1539" i="14"/>
  <c r="K1539" i="14"/>
  <c r="E1539" i="14"/>
  <c r="D1539" i="14"/>
  <c r="L1538" i="14"/>
  <c r="K1538" i="14"/>
  <c r="E1538" i="14"/>
  <c r="D1538" i="14"/>
  <c r="L1537" i="14"/>
  <c r="K1537" i="14"/>
  <c r="E1537" i="14"/>
  <c r="D1537" i="14"/>
  <c r="L1536" i="14"/>
  <c r="K1536" i="14"/>
  <c r="E1536" i="14"/>
  <c r="D1536" i="14"/>
  <c r="L1535" i="14"/>
  <c r="K1535" i="14"/>
  <c r="E1535" i="14"/>
  <c r="D1535" i="14"/>
  <c r="L1534" i="14"/>
  <c r="K1534" i="14"/>
  <c r="E1534" i="14"/>
  <c r="D1534" i="14"/>
  <c r="L1533" i="14"/>
  <c r="K1533" i="14"/>
  <c r="E1533" i="14"/>
  <c r="D1533" i="14"/>
  <c r="L1532" i="14"/>
  <c r="K1532" i="14"/>
  <c r="E1532" i="14"/>
  <c r="D1532" i="14"/>
  <c r="L1531" i="14"/>
  <c r="K1531" i="14"/>
  <c r="E1531" i="14"/>
  <c r="D1531" i="14"/>
  <c r="L1530" i="14"/>
  <c r="K1530" i="14"/>
  <c r="E1530" i="14"/>
  <c r="D1530" i="14"/>
  <c r="L1529" i="14"/>
  <c r="K1529" i="14"/>
  <c r="E1529" i="14"/>
  <c r="D1529" i="14"/>
  <c r="L1528" i="14"/>
  <c r="K1528" i="14"/>
  <c r="E1528" i="14"/>
  <c r="D1528" i="14"/>
  <c r="L1527" i="14"/>
  <c r="K1527" i="14"/>
  <c r="E1527" i="14"/>
  <c r="D1527" i="14"/>
  <c r="L1526" i="14"/>
  <c r="K1526" i="14"/>
  <c r="E1526" i="14"/>
  <c r="D1526" i="14"/>
  <c r="M1525" i="14"/>
  <c r="L1525" i="14"/>
  <c r="K1525" i="14"/>
  <c r="E1525" i="14"/>
  <c r="D1525" i="14"/>
  <c r="L1524" i="14"/>
  <c r="E1524" i="14"/>
  <c r="D1524" i="14"/>
  <c r="L1523" i="14"/>
  <c r="E1523" i="14"/>
  <c r="D1523" i="14"/>
  <c r="M1522" i="14"/>
  <c r="L1522" i="14"/>
  <c r="E1522" i="14"/>
  <c r="D1522" i="14"/>
  <c r="M1521" i="14"/>
  <c r="L1521" i="14"/>
  <c r="E1521" i="14"/>
  <c r="D1521" i="14"/>
  <c r="L1520" i="14"/>
  <c r="E1520" i="14"/>
  <c r="D1520" i="14"/>
  <c r="M1519" i="14"/>
  <c r="L1519" i="14"/>
  <c r="E1519" i="14"/>
  <c r="D1519" i="14"/>
  <c r="L1518" i="14"/>
  <c r="E1518" i="14"/>
  <c r="D1518" i="14"/>
  <c r="L1517" i="14"/>
  <c r="K1517" i="14"/>
  <c r="E1517" i="14"/>
  <c r="D1517" i="14"/>
  <c r="L1516" i="14"/>
  <c r="E1516" i="14"/>
  <c r="D1516" i="14"/>
  <c r="L1515" i="14"/>
  <c r="E1515" i="14"/>
  <c r="D1515" i="14"/>
  <c r="L1514" i="14"/>
  <c r="E1514" i="14"/>
  <c r="D1514" i="14"/>
  <c r="L1513" i="14"/>
  <c r="E1513" i="14"/>
  <c r="D1513" i="14"/>
  <c r="L1512" i="14"/>
  <c r="E1512" i="14"/>
  <c r="D1512" i="14"/>
  <c r="L1511" i="14"/>
  <c r="E1511" i="14"/>
  <c r="D1511" i="14"/>
  <c r="L1510" i="14"/>
  <c r="E1510" i="14"/>
  <c r="D1510" i="14"/>
  <c r="L1509" i="14"/>
  <c r="E1509" i="14"/>
  <c r="D1509" i="14"/>
  <c r="L1508" i="14"/>
  <c r="K1508" i="14"/>
  <c r="E1508" i="14"/>
  <c r="D1508" i="14"/>
  <c r="L1507" i="14"/>
  <c r="K1507" i="14"/>
  <c r="E1507" i="14"/>
  <c r="D1507" i="14"/>
  <c r="L1506" i="14"/>
  <c r="E1506" i="14"/>
  <c r="D1506" i="14"/>
  <c r="L1505" i="14"/>
  <c r="K1505" i="14"/>
  <c r="E1505" i="14"/>
  <c r="D1505" i="14"/>
  <c r="L1504" i="14"/>
  <c r="K1504" i="14"/>
  <c r="E1504" i="14"/>
  <c r="D1504" i="14"/>
  <c r="L1503" i="14"/>
  <c r="E1503" i="14"/>
  <c r="D1503" i="14"/>
  <c r="L1502" i="14"/>
  <c r="E1502" i="14"/>
  <c r="D1502" i="14"/>
  <c r="L1501" i="14"/>
  <c r="E1501" i="14"/>
  <c r="D1501" i="14"/>
  <c r="M1500" i="14"/>
  <c r="L1500" i="14"/>
  <c r="K1500" i="14"/>
  <c r="E1500" i="14"/>
  <c r="D1500" i="14"/>
  <c r="L1499" i="14"/>
  <c r="E1499" i="14"/>
  <c r="D1499" i="14"/>
  <c r="M1498" i="14"/>
  <c r="L1498" i="14"/>
  <c r="E1498" i="14"/>
  <c r="D1498" i="14"/>
  <c r="L1497" i="14"/>
  <c r="E1497" i="14"/>
  <c r="D1497" i="14"/>
  <c r="L1496" i="14"/>
  <c r="K1496" i="14"/>
  <c r="E1496" i="14"/>
  <c r="D1496" i="14"/>
  <c r="L1495" i="14"/>
  <c r="E1495" i="14"/>
  <c r="D1495" i="14"/>
  <c r="L1494" i="14"/>
  <c r="E1494" i="14"/>
  <c r="D1494" i="14"/>
  <c r="L1493" i="14"/>
  <c r="E1493" i="14"/>
  <c r="D1493" i="14"/>
  <c r="L1492" i="14"/>
  <c r="K1492" i="14"/>
  <c r="E1492" i="14"/>
  <c r="D1492" i="14"/>
  <c r="L1491" i="14"/>
  <c r="E1491" i="14"/>
  <c r="D1491" i="14"/>
  <c r="L1490" i="14"/>
  <c r="K1490" i="14"/>
  <c r="E1490" i="14"/>
  <c r="D1490" i="14"/>
  <c r="L1489" i="14"/>
  <c r="E1489" i="14"/>
  <c r="D1489" i="14"/>
  <c r="L1488" i="14"/>
  <c r="E1488" i="14"/>
  <c r="D1488" i="14"/>
  <c r="L1487" i="14"/>
  <c r="E1487" i="14"/>
  <c r="D1487" i="14"/>
  <c r="M1486" i="14"/>
  <c r="L1486" i="14"/>
  <c r="K1486" i="14"/>
  <c r="E1486" i="14"/>
  <c r="D1486" i="14"/>
  <c r="L1485" i="14"/>
  <c r="E1485" i="14"/>
  <c r="D1485" i="14"/>
  <c r="L1484" i="14"/>
  <c r="E1484" i="14"/>
  <c r="D1484" i="14"/>
  <c r="L1483" i="14"/>
  <c r="K1483" i="14"/>
  <c r="E1483" i="14"/>
  <c r="D1483" i="14"/>
  <c r="L1482" i="14"/>
  <c r="E1482" i="14"/>
  <c r="D1482" i="14"/>
  <c r="L1481" i="14"/>
  <c r="E1481" i="14"/>
  <c r="D1481" i="14"/>
  <c r="L1480" i="14"/>
  <c r="E1480" i="14"/>
  <c r="D1480" i="14"/>
  <c r="L1479" i="14"/>
  <c r="E1479" i="14"/>
  <c r="D1479" i="14"/>
  <c r="L1478" i="14"/>
  <c r="K1478" i="14"/>
  <c r="E1478" i="14"/>
  <c r="D1478" i="14"/>
  <c r="L1477" i="14"/>
  <c r="K1477" i="14"/>
  <c r="E1477" i="14"/>
  <c r="D1477" i="14"/>
  <c r="L1476" i="14"/>
  <c r="K1476" i="14"/>
  <c r="E1476" i="14"/>
  <c r="D1476" i="14"/>
  <c r="L1475" i="14"/>
  <c r="E1475" i="14"/>
  <c r="D1475" i="14"/>
  <c r="M1474" i="14"/>
  <c r="L1474" i="14"/>
  <c r="K1474" i="14"/>
  <c r="E1474" i="14"/>
  <c r="D1474" i="14"/>
  <c r="L1473" i="14"/>
  <c r="K1473" i="14"/>
  <c r="E1473" i="14"/>
  <c r="D1473" i="14"/>
  <c r="L1472" i="14"/>
  <c r="E1472" i="14"/>
  <c r="D1472" i="14"/>
  <c r="L1471" i="14"/>
  <c r="K1471" i="14"/>
  <c r="E1471" i="14"/>
  <c r="D1471" i="14"/>
  <c r="L1470" i="14"/>
  <c r="E1470" i="14"/>
  <c r="D1470" i="14"/>
  <c r="L1469" i="14"/>
  <c r="E1469" i="14"/>
  <c r="D1469" i="14"/>
  <c r="L1468" i="14"/>
  <c r="K1468" i="14"/>
  <c r="E1468" i="14"/>
  <c r="D1468" i="14"/>
  <c r="M1467" i="14"/>
  <c r="L1467" i="14"/>
  <c r="E1467" i="14"/>
  <c r="D1467" i="14"/>
  <c r="L1466" i="14"/>
  <c r="L1465" i="14"/>
  <c r="L1464" i="14"/>
  <c r="M1463" i="14"/>
  <c r="L1463" i="14"/>
  <c r="K1463" i="14"/>
  <c r="L1462" i="14"/>
  <c r="K1462" i="14"/>
  <c r="E1462" i="14"/>
  <c r="D1462" i="14"/>
  <c r="L1461" i="14"/>
  <c r="E1461" i="14"/>
  <c r="D1461" i="14"/>
  <c r="L1460" i="14"/>
  <c r="E1460" i="14"/>
  <c r="D1460" i="14"/>
  <c r="L1459" i="14"/>
  <c r="E1459" i="14"/>
  <c r="D1459" i="14"/>
  <c r="L1458" i="14"/>
  <c r="K1458" i="14"/>
  <c r="E1458" i="14"/>
  <c r="D1458" i="14"/>
  <c r="L1457" i="14"/>
  <c r="K1457" i="14"/>
  <c r="E1457" i="14"/>
  <c r="D1457" i="14"/>
  <c r="L1456" i="14"/>
  <c r="E1456" i="14"/>
  <c r="D1456" i="14"/>
  <c r="L1455" i="14"/>
  <c r="K1455" i="14"/>
  <c r="E1455" i="14"/>
  <c r="D1455" i="14"/>
  <c r="L1454" i="14"/>
  <c r="K1454" i="14"/>
  <c r="E1454" i="14"/>
  <c r="D1454" i="14"/>
  <c r="L1453" i="14"/>
  <c r="E1453" i="14"/>
  <c r="D1453" i="14"/>
  <c r="L1452" i="14"/>
  <c r="E1452" i="14"/>
  <c r="D1452" i="14"/>
  <c r="L1451" i="14"/>
  <c r="E1451" i="14"/>
  <c r="D1451" i="14"/>
  <c r="L1450" i="14"/>
  <c r="E1450" i="14"/>
  <c r="D1450" i="14"/>
  <c r="L1449" i="14"/>
  <c r="E1449" i="14"/>
  <c r="D1449" i="14"/>
  <c r="L1448" i="14"/>
  <c r="K1448" i="14"/>
  <c r="E1448" i="14"/>
  <c r="D1448" i="14"/>
  <c r="L1447" i="14"/>
  <c r="E1447" i="14"/>
  <c r="D1447" i="14"/>
  <c r="L1446" i="14"/>
  <c r="K1446" i="14"/>
  <c r="E1446" i="14"/>
  <c r="D1446" i="14"/>
  <c r="L1445" i="14"/>
  <c r="E1445" i="14"/>
  <c r="D1445" i="14"/>
  <c r="L1444" i="14"/>
  <c r="E1444" i="14"/>
  <c r="D1444" i="14"/>
  <c r="L1443" i="14"/>
  <c r="K1443" i="14"/>
  <c r="E1443" i="14"/>
  <c r="D1443" i="14"/>
  <c r="L1442" i="14"/>
  <c r="K1442" i="14"/>
  <c r="E1442" i="14"/>
  <c r="D1442" i="14"/>
  <c r="L1441" i="14"/>
  <c r="K1441" i="14"/>
  <c r="E1441" i="14"/>
  <c r="D1441" i="14"/>
  <c r="L1440" i="14"/>
  <c r="E1440" i="14"/>
  <c r="D1440" i="14"/>
  <c r="L1439" i="14"/>
  <c r="E1439" i="14"/>
  <c r="D1439" i="14"/>
  <c r="L1438" i="14"/>
  <c r="K1438" i="14"/>
  <c r="E1438" i="14"/>
  <c r="D1438" i="14"/>
  <c r="L1437" i="14"/>
  <c r="E1437" i="14"/>
  <c r="D1437" i="14"/>
  <c r="L1436" i="14"/>
  <c r="E1436" i="14"/>
  <c r="D1436" i="14"/>
  <c r="L1435" i="14"/>
  <c r="K1435" i="14"/>
  <c r="E1435" i="14"/>
  <c r="D1435" i="14"/>
  <c r="L1434" i="14"/>
  <c r="K1434" i="14"/>
  <c r="E1434" i="14"/>
  <c r="D1434" i="14"/>
  <c r="L1433" i="14"/>
  <c r="K1433" i="14"/>
  <c r="E1433" i="14"/>
  <c r="D1433" i="14"/>
  <c r="L1432" i="14"/>
  <c r="K1432" i="14"/>
  <c r="E1432" i="14"/>
  <c r="D1432" i="14"/>
  <c r="L1431" i="14"/>
  <c r="K1431" i="14"/>
  <c r="E1431" i="14"/>
  <c r="D1431" i="14"/>
  <c r="L1430" i="14"/>
  <c r="K1430" i="14"/>
  <c r="E1430" i="14"/>
  <c r="D1430" i="14"/>
  <c r="L1429" i="14"/>
  <c r="K1429" i="14"/>
  <c r="E1429" i="14"/>
  <c r="D1429" i="14"/>
  <c r="L1428" i="14"/>
  <c r="K1428" i="14"/>
  <c r="E1428" i="14"/>
  <c r="D1428" i="14"/>
  <c r="M1427" i="14"/>
  <c r="L1427" i="14"/>
  <c r="K1427" i="14"/>
  <c r="E1427" i="14"/>
  <c r="D1427" i="14"/>
  <c r="L1426" i="14"/>
  <c r="E1426" i="14"/>
  <c r="D1426" i="14"/>
  <c r="M1425" i="14"/>
  <c r="L1425" i="14"/>
  <c r="E1425" i="14"/>
  <c r="D1425" i="14"/>
  <c r="L1424" i="14"/>
  <c r="E1424" i="14"/>
  <c r="D1424" i="14"/>
  <c r="L1423" i="14"/>
  <c r="E1423" i="14"/>
  <c r="D1423" i="14"/>
  <c r="L1422" i="14"/>
  <c r="E1422" i="14"/>
  <c r="D1422" i="14"/>
  <c r="L1421" i="14"/>
  <c r="E1421" i="14"/>
  <c r="D1421" i="14"/>
  <c r="L1420" i="14"/>
  <c r="E1420" i="14"/>
  <c r="D1420" i="14"/>
  <c r="L1419" i="14"/>
  <c r="E1419" i="14"/>
  <c r="D1419" i="14"/>
  <c r="L1418" i="14"/>
  <c r="E1418" i="14"/>
  <c r="D1418" i="14"/>
  <c r="L1417" i="14"/>
  <c r="E1417" i="14"/>
  <c r="D1417" i="14"/>
  <c r="L1416" i="14"/>
  <c r="E1416" i="14"/>
  <c r="D1416" i="14"/>
  <c r="L1415" i="14"/>
  <c r="K1415" i="14"/>
  <c r="E1415" i="14"/>
  <c r="D1415" i="14"/>
  <c r="L1414" i="14"/>
  <c r="E1414" i="14"/>
  <c r="D1414" i="14"/>
  <c r="L1413" i="14"/>
  <c r="K1413" i="14"/>
  <c r="E1413" i="14"/>
  <c r="D1413" i="14"/>
  <c r="L1412" i="14"/>
  <c r="E1412" i="14"/>
  <c r="D1412" i="14"/>
  <c r="L1411" i="14"/>
  <c r="E1411" i="14"/>
  <c r="D1411" i="14"/>
  <c r="L1410" i="14"/>
  <c r="K1410" i="14"/>
  <c r="E1410" i="14"/>
  <c r="D1410" i="14"/>
  <c r="L1409" i="14"/>
  <c r="K1409" i="14"/>
  <c r="E1409" i="14"/>
  <c r="D1409" i="14"/>
  <c r="L1408" i="14"/>
  <c r="E1408" i="14"/>
  <c r="D1408" i="14"/>
  <c r="L1407" i="14"/>
  <c r="K1407" i="14"/>
  <c r="E1407" i="14"/>
  <c r="D1407" i="14"/>
  <c r="L1406" i="14"/>
  <c r="K1406" i="14"/>
  <c r="E1406" i="14"/>
  <c r="D1406" i="14"/>
  <c r="L1405" i="14"/>
  <c r="E1405" i="14"/>
  <c r="D1405" i="14"/>
  <c r="L1404" i="14"/>
  <c r="E1404" i="14"/>
  <c r="D1404" i="14"/>
  <c r="L1403" i="14"/>
  <c r="K1403" i="14"/>
  <c r="E1403" i="14"/>
  <c r="D1403" i="14"/>
  <c r="L1402" i="14"/>
  <c r="E1402" i="14"/>
  <c r="D1402" i="14"/>
  <c r="L1401" i="14"/>
  <c r="E1401" i="14"/>
  <c r="D1401" i="14"/>
  <c r="L1400" i="14"/>
  <c r="E1400" i="14"/>
  <c r="D1400" i="14"/>
  <c r="L1399" i="14"/>
  <c r="E1399" i="14"/>
  <c r="D1399" i="14"/>
  <c r="L1398" i="14"/>
  <c r="E1398" i="14"/>
  <c r="D1398" i="14"/>
  <c r="L1397" i="14"/>
  <c r="E1397" i="14"/>
  <c r="D1397" i="14"/>
  <c r="L1396" i="14"/>
  <c r="E1396" i="14"/>
  <c r="D1396" i="14"/>
  <c r="L1395" i="14"/>
  <c r="E1395" i="14"/>
  <c r="D1395" i="14"/>
  <c r="L1394" i="14"/>
  <c r="E1394" i="14"/>
  <c r="D1394" i="14"/>
  <c r="L1393" i="14"/>
  <c r="E1393" i="14"/>
  <c r="D1393" i="14"/>
  <c r="L1392" i="14"/>
  <c r="E1392" i="14"/>
  <c r="D1392" i="14"/>
  <c r="L1391" i="14"/>
  <c r="K1391" i="14"/>
  <c r="E1391" i="14"/>
  <c r="D1391" i="14"/>
  <c r="M1390" i="14"/>
  <c r="L1390" i="14"/>
  <c r="E1390" i="14"/>
  <c r="D1390" i="14"/>
  <c r="M1389" i="14"/>
  <c r="L1389" i="14"/>
  <c r="L1388" i="14"/>
  <c r="K1388" i="14"/>
  <c r="E1388" i="14"/>
  <c r="D1388" i="14"/>
  <c r="L1387" i="14"/>
  <c r="E1387" i="14"/>
  <c r="D1387" i="14"/>
  <c r="M1386" i="14"/>
  <c r="L1386" i="14"/>
  <c r="E1386" i="14"/>
  <c r="D1386" i="14"/>
  <c r="M1385" i="14"/>
  <c r="L1385" i="14"/>
  <c r="K1385" i="14"/>
  <c r="E1385" i="14"/>
  <c r="D1385" i="14"/>
  <c r="L1384" i="14"/>
  <c r="E1384" i="14"/>
  <c r="D1384" i="14"/>
  <c r="M1383" i="14"/>
  <c r="L1383" i="14"/>
  <c r="K1383" i="14"/>
  <c r="E1383" i="14"/>
  <c r="D1383" i="14"/>
  <c r="M1382" i="14"/>
  <c r="L1382" i="14"/>
  <c r="E1382" i="14"/>
  <c r="D1382" i="14"/>
  <c r="M1381" i="14"/>
  <c r="L1381" i="14"/>
  <c r="E1381" i="14"/>
  <c r="D1381" i="14"/>
  <c r="L1380" i="14"/>
  <c r="E1380" i="14"/>
  <c r="D1380" i="14"/>
  <c r="L1379" i="14"/>
  <c r="E1379" i="14"/>
  <c r="D1379" i="14"/>
  <c r="L1378" i="14"/>
  <c r="E1378" i="14"/>
  <c r="D1378" i="14"/>
  <c r="L1377" i="14"/>
  <c r="E1377" i="14"/>
  <c r="D1377" i="14"/>
  <c r="L1376" i="14"/>
  <c r="E1376" i="14"/>
  <c r="D1376" i="14"/>
  <c r="L1375" i="14"/>
  <c r="E1375" i="14"/>
  <c r="D1375" i="14"/>
  <c r="L1374" i="14"/>
  <c r="E1374" i="14"/>
  <c r="D1374" i="14"/>
  <c r="L1373" i="14"/>
  <c r="E1373" i="14"/>
  <c r="D1373" i="14"/>
  <c r="L1372" i="14"/>
  <c r="E1372" i="14"/>
  <c r="D1372" i="14"/>
  <c r="M1371" i="14"/>
  <c r="L1371" i="14"/>
  <c r="E1371" i="14"/>
  <c r="D1371" i="14"/>
  <c r="L1370" i="14"/>
  <c r="E1370" i="14"/>
  <c r="D1370" i="14"/>
  <c r="L1369" i="14"/>
  <c r="K1369" i="14"/>
  <c r="E1369" i="14"/>
  <c r="D1369" i="14"/>
  <c r="L1368" i="14"/>
  <c r="K1368" i="14"/>
  <c r="E1368" i="14"/>
  <c r="D1368" i="14"/>
  <c r="L1367" i="14"/>
  <c r="E1367" i="14"/>
  <c r="D1367" i="14"/>
  <c r="L1366" i="14"/>
  <c r="E1366" i="14"/>
  <c r="D1366" i="14"/>
  <c r="L1365" i="14"/>
  <c r="K1365" i="14"/>
  <c r="E1365" i="14"/>
  <c r="D1365" i="14"/>
  <c r="L1364" i="14"/>
  <c r="E1364" i="14"/>
  <c r="D1364" i="14"/>
  <c r="L1363" i="14"/>
  <c r="K1363" i="14"/>
  <c r="E1363" i="14"/>
  <c r="D1363" i="14"/>
  <c r="L1362" i="14"/>
  <c r="K1362" i="14"/>
  <c r="E1362" i="14"/>
  <c r="D1362" i="14"/>
  <c r="L1361" i="14"/>
  <c r="E1361" i="14"/>
  <c r="D1361" i="14"/>
  <c r="L1360" i="14"/>
  <c r="E1360" i="14"/>
  <c r="D1360" i="14"/>
  <c r="L1359" i="14"/>
  <c r="E1359" i="14"/>
  <c r="D1359" i="14"/>
  <c r="L1358" i="14"/>
  <c r="K1358" i="14"/>
  <c r="E1358" i="14"/>
  <c r="D1358" i="14"/>
  <c r="L1357" i="14"/>
  <c r="E1357" i="14"/>
  <c r="D1357" i="14"/>
  <c r="L1356" i="14"/>
  <c r="K1356" i="14"/>
  <c r="E1356" i="14"/>
  <c r="D1356" i="14"/>
  <c r="L1355" i="14"/>
  <c r="E1355" i="14"/>
  <c r="D1355" i="14"/>
  <c r="L1354" i="14"/>
  <c r="E1354" i="14"/>
  <c r="D1354" i="14"/>
  <c r="L1353" i="14"/>
  <c r="E1353" i="14"/>
  <c r="D1353" i="14"/>
  <c r="M1352" i="14"/>
  <c r="L1352" i="14"/>
  <c r="E1352" i="14"/>
  <c r="D1352" i="14"/>
  <c r="L1351" i="14"/>
  <c r="K1351" i="14"/>
  <c r="E1351" i="14"/>
  <c r="D1351" i="14"/>
  <c r="L1350" i="14"/>
  <c r="E1350" i="14"/>
  <c r="D1350" i="14"/>
  <c r="L1349" i="14"/>
  <c r="E1349" i="14"/>
  <c r="D1349" i="14"/>
  <c r="M1348" i="14"/>
  <c r="L1348" i="14"/>
  <c r="K1348" i="14"/>
  <c r="E1348" i="14"/>
  <c r="D1348" i="14"/>
  <c r="L1347" i="14"/>
  <c r="E1347" i="14"/>
  <c r="D1347" i="14"/>
  <c r="L1346" i="14"/>
  <c r="E1346" i="14"/>
  <c r="D1346" i="14"/>
  <c r="L1345" i="14"/>
  <c r="K1345" i="14"/>
  <c r="E1345" i="14"/>
  <c r="D1345" i="14"/>
  <c r="L1344" i="14"/>
  <c r="E1344" i="14"/>
  <c r="D1344" i="14"/>
  <c r="L1343" i="14"/>
  <c r="K1343" i="14"/>
  <c r="E1343" i="14"/>
  <c r="D1343" i="14"/>
  <c r="L1342" i="14"/>
  <c r="K1342" i="14"/>
  <c r="E1342" i="14"/>
  <c r="D1342" i="14"/>
  <c r="L1341" i="14"/>
  <c r="E1341" i="14"/>
  <c r="D1341" i="14"/>
  <c r="L1340" i="14"/>
  <c r="E1340" i="14"/>
  <c r="D1340" i="14"/>
  <c r="L1339" i="14"/>
  <c r="E1339" i="14"/>
  <c r="D1339" i="14"/>
  <c r="L1338" i="14"/>
  <c r="E1338" i="14"/>
  <c r="D1338" i="14"/>
  <c r="L1337" i="14"/>
  <c r="E1337" i="14"/>
  <c r="D1337" i="14"/>
  <c r="L1336" i="14"/>
  <c r="E1336" i="14"/>
  <c r="D1336" i="14"/>
  <c r="L1335" i="14"/>
  <c r="E1335" i="14"/>
  <c r="D1335" i="14"/>
  <c r="L1334" i="14"/>
  <c r="E1334" i="14"/>
  <c r="D1334" i="14"/>
  <c r="L1333" i="14"/>
  <c r="K1333" i="14"/>
  <c r="E1333" i="14"/>
  <c r="D1333" i="14"/>
  <c r="L1332" i="14"/>
  <c r="E1332" i="14"/>
  <c r="D1332" i="14"/>
  <c r="L1331" i="14"/>
  <c r="E1331" i="14"/>
  <c r="D1331" i="14"/>
  <c r="L1330" i="14"/>
  <c r="K1330" i="14"/>
  <c r="E1330" i="14"/>
  <c r="D1330" i="14"/>
  <c r="L1329" i="14"/>
  <c r="E1329" i="14"/>
  <c r="D1329" i="14"/>
  <c r="L1328" i="14"/>
  <c r="E1328" i="14"/>
  <c r="D1328" i="14"/>
  <c r="L1327" i="14"/>
  <c r="E1327" i="14"/>
  <c r="D1327" i="14"/>
  <c r="L1326" i="14"/>
  <c r="E1326" i="14"/>
  <c r="D1326" i="14"/>
  <c r="L1325" i="14"/>
  <c r="K1325" i="14"/>
  <c r="E1325" i="14"/>
  <c r="D1325" i="14"/>
  <c r="L1324" i="14"/>
  <c r="E1324" i="14"/>
  <c r="D1324" i="14"/>
  <c r="L1323" i="14"/>
  <c r="E1323" i="14"/>
  <c r="D1323" i="14"/>
  <c r="L1322" i="14"/>
  <c r="E1322" i="14"/>
  <c r="D1322" i="14"/>
  <c r="L1321" i="14"/>
  <c r="E1321" i="14"/>
  <c r="D1321" i="14"/>
  <c r="L1320" i="14"/>
  <c r="E1320" i="14"/>
  <c r="D1320" i="14"/>
  <c r="L1319" i="14"/>
  <c r="E1319" i="14"/>
  <c r="D1319" i="14"/>
  <c r="L1318" i="14"/>
  <c r="K1318" i="14"/>
  <c r="E1318" i="14"/>
  <c r="D1318" i="14"/>
  <c r="M1317" i="14"/>
  <c r="L1317" i="14"/>
  <c r="K1317" i="14"/>
  <c r="E1317" i="14"/>
  <c r="D1317" i="14"/>
  <c r="L1316" i="14"/>
  <c r="E1316" i="14"/>
  <c r="D1316" i="14"/>
  <c r="L1315" i="14"/>
  <c r="E1315" i="14"/>
  <c r="D1315" i="14"/>
  <c r="L1314" i="14"/>
  <c r="E1314" i="14"/>
  <c r="D1314" i="14"/>
  <c r="L1313" i="14"/>
  <c r="K1313" i="14"/>
  <c r="E1313" i="14"/>
  <c r="D1313" i="14"/>
  <c r="L1312" i="14"/>
  <c r="E1312" i="14"/>
  <c r="D1312" i="14"/>
  <c r="L1311" i="14"/>
  <c r="E1311" i="14"/>
  <c r="D1311" i="14"/>
  <c r="L1310" i="14"/>
  <c r="K1310" i="14"/>
  <c r="E1310" i="14"/>
  <c r="D1310" i="14"/>
  <c r="L1309" i="14"/>
  <c r="E1309" i="14"/>
  <c r="D1309" i="14"/>
  <c r="M1308" i="14"/>
  <c r="L1308" i="14"/>
  <c r="E1308" i="14"/>
  <c r="D1308" i="14"/>
  <c r="L1300" i="14"/>
  <c r="K1300" i="14"/>
  <c r="E1300" i="14"/>
  <c r="D1300" i="14"/>
  <c r="L1299" i="14"/>
  <c r="K1299" i="14"/>
  <c r="E1299" i="14"/>
  <c r="D1299" i="14"/>
  <c r="L1298" i="14"/>
  <c r="E1298" i="14"/>
  <c r="D1298" i="14"/>
  <c r="L1297" i="14"/>
  <c r="E1297" i="14"/>
  <c r="D1297" i="14"/>
  <c r="L1296" i="14"/>
  <c r="E1296" i="14"/>
  <c r="D1296" i="14"/>
  <c r="L1295" i="14"/>
  <c r="K1295" i="14"/>
  <c r="E1295" i="14"/>
  <c r="D1295" i="14"/>
  <c r="L1294" i="14"/>
  <c r="K1294" i="14"/>
  <c r="E1294" i="14"/>
  <c r="D1294" i="14"/>
  <c r="L1293" i="14"/>
  <c r="E1293" i="14"/>
  <c r="D1293" i="14"/>
  <c r="L1292" i="14"/>
  <c r="K1292" i="14"/>
  <c r="E1292" i="14"/>
  <c r="D1292" i="14"/>
  <c r="L1291" i="14"/>
  <c r="E1291" i="14"/>
  <c r="D1291" i="14"/>
  <c r="L1290" i="14"/>
  <c r="K1290" i="14"/>
  <c r="E1290" i="14"/>
  <c r="D1290" i="14"/>
  <c r="L1289" i="14"/>
  <c r="E1289" i="14"/>
  <c r="D1289" i="14"/>
  <c r="L1288" i="14"/>
  <c r="E1288" i="14"/>
  <c r="D1288" i="14"/>
  <c r="L1287" i="14"/>
  <c r="E1287" i="14"/>
  <c r="D1287" i="14"/>
  <c r="L1286" i="14"/>
  <c r="K1286" i="14"/>
  <c r="E1286" i="14"/>
  <c r="D1286" i="14"/>
  <c r="L1285" i="14"/>
  <c r="K1285" i="14"/>
  <c r="E1285" i="14"/>
  <c r="D1285" i="14"/>
  <c r="L1284" i="14"/>
  <c r="E1284" i="14"/>
  <c r="D1284" i="14"/>
  <c r="M1283" i="14"/>
  <c r="L1283" i="14"/>
  <c r="K1283" i="14"/>
  <c r="E1283" i="14"/>
  <c r="D1283" i="14"/>
  <c r="L1248" i="14"/>
  <c r="E1248" i="14"/>
  <c r="D1248" i="14"/>
  <c r="L1247" i="14"/>
  <c r="E1247" i="14"/>
  <c r="D1247" i="14"/>
  <c r="L1246" i="14"/>
  <c r="K1246" i="14"/>
  <c r="E1246" i="14"/>
  <c r="D1246" i="14"/>
  <c r="L1245" i="14"/>
  <c r="K1245" i="14"/>
  <c r="E1245" i="14"/>
  <c r="D1245" i="14"/>
  <c r="L1244" i="14"/>
  <c r="E1244" i="14"/>
  <c r="D1244" i="14"/>
  <c r="L1243" i="14"/>
  <c r="E1243" i="14"/>
  <c r="D1243" i="14"/>
  <c r="L1242" i="14"/>
  <c r="E1242" i="14"/>
  <c r="D1242" i="14"/>
  <c r="L1241" i="14"/>
  <c r="E1241" i="14"/>
  <c r="D1241" i="14"/>
  <c r="L1240" i="14"/>
  <c r="E1240" i="14"/>
  <c r="D1240" i="14"/>
  <c r="L1239" i="14"/>
  <c r="E1239" i="14"/>
  <c r="D1239" i="14"/>
  <c r="L1238" i="14"/>
  <c r="E1238" i="14"/>
  <c r="D1238" i="14"/>
  <c r="L1237" i="14"/>
  <c r="E1237" i="14"/>
  <c r="D1237" i="14"/>
  <c r="L1236" i="14"/>
  <c r="K1236" i="14"/>
  <c r="E1236" i="14"/>
  <c r="D1236" i="14"/>
  <c r="L1235" i="14"/>
  <c r="E1235" i="14"/>
  <c r="D1235" i="14"/>
  <c r="L1234" i="14"/>
  <c r="E1234" i="14"/>
  <c r="D1234" i="14"/>
  <c r="L1233" i="14"/>
  <c r="E1233" i="14"/>
  <c r="D1233" i="14"/>
  <c r="L1232" i="14"/>
  <c r="E1232" i="14"/>
  <c r="D1232" i="14"/>
  <c r="L1231" i="14"/>
  <c r="E1231" i="14"/>
  <c r="D1231" i="14"/>
  <c r="L1230" i="14"/>
  <c r="E1230" i="14"/>
  <c r="D1230" i="14"/>
  <c r="M1229" i="14"/>
  <c r="L1229" i="14"/>
  <c r="E1229" i="14"/>
  <c r="D1229" i="14"/>
  <c r="M1202" i="14"/>
  <c r="L1202" i="14"/>
  <c r="K1202" i="14"/>
  <c r="E1202" i="14"/>
  <c r="D1202" i="14"/>
  <c r="L1201" i="14"/>
  <c r="E1201" i="14"/>
  <c r="D1201" i="14"/>
  <c r="L1200" i="14"/>
  <c r="E1200" i="14"/>
  <c r="D1200" i="14"/>
  <c r="L1199" i="14"/>
  <c r="E1199" i="14"/>
  <c r="D1199" i="14"/>
  <c r="L1198" i="14"/>
  <c r="K1198" i="14"/>
  <c r="E1198" i="14"/>
  <c r="D1198" i="14"/>
  <c r="L1197" i="14"/>
  <c r="E1197" i="14"/>
  <c r="D1197" i="14"/>
  <c r="L1196" i="14"/>
  <c r="K1196" i="14"/>
  <c r="E1196" i="14"/>
  <c r="D1196" i="14"/>
  <c r="L1195" i="14"/>
  <c r="E1195" i="14"/>
  <c r="D1195" i="14"/>
  <c r="L1194" i="14"/>
  <c r="K1194" i="14"/>
  <c r="E1194" i="14"/>
  <c r="D1194" i="14"/>
  <c r="L1193" i="14"/>
  <c r="E1193" i="14"/>
  <c r="D1193" i="14"/>
  <c r="L1192" i="14"/>
  <c r="E1192" i="14"/>
  <c r="D1192" i="14"/>
  <c r="L1191" i="14"/>
  <c r="K1191" i="14"/>
  <c r="E1191" i="14"/>
  <c r="D1191" i="14"/>
  <c r="M1190" i="14"/>
  <c r="L1190" i="14"/>
  <c r="K1190" i="14"/>
  <c r="E1190" i="14"/>
  <c r="D1190" i="14"/>
  <c r="L1189" i="14"/>
  <c r="K1189" i="14"/>
  <c r="E1189" i="14"/>
  <c r="D1189" i="14"/>
  <c r="L1188" i="14"/>
  <c r="K1188" i="14"/>
  <c r="E1188" i="14"/>
  <c r="D1188" i="14"/>
  <c r="L1187" i="14"/>
  <c r="K1187" i="14"/>
  <c r="E1187" i="14"/>
  <c r="D1187" i="14"/>
  <c r="L1186" i="14"/>
  <c r="K1186" i="14"/>
  <c r="E1186" i="14"/>
  <c r="D1186" i="14"/>
  <c r="L1185" i="14"/>
  <c r="K1185" i="14"/>
  <c r="E1185" i="14"/>
  <c r="D1185" i="14"/>
  <c r="L1184" i="14"/>
  <c r="E1184" i="14"/>
  <c r="D1184" i="14"/>
  <c r="L1183" i="14"/>
  <c r="K1183" i="14"/>
  <c r="E1183" i="14"/>
  <c r="D1183" i="14"/>
  <c r="L1182" i="14"/>
  <c r="K1182" i="14"/>
  <c r="E1182" i="14"/>
  <c r="D1182" i="14"/>
  <c r="L1181" i="14"/>
  <c r="K1181" i="14"/>
  <c r="E1181" i="14"/>
  <c r="D1181" i="14"/>
  <c r="L1180" i="14"/>
  <c r="E1180" i="14"/>
  <c r="D1180" i="14"/>
  <c r="M1179" i="14"/>
  <c r="L1179" i="14"/>
  <c r="K1179" i="14"/>
  <c r="E1179" i="14"/>
  <c r="D1179" i="14"/>
  <c r="L1178" i="14"/>
  <c r="K1178" i="14"/>
  <c r="E1178" i="14"/>
  <c r="D1178" i="14"/>
  <c r="L1177" i="14"/>
  <c r="K1177" i="14"/>
  <c r="E1177" i="14"/>
  <c r="D1177" i="14"/>
  <c r="L1176" i="14"/>
  <c r="K1176" i="14"/>
  <c r="E1176" i="14"/>
  <c r="D1176" i="14"/>
  <c r="L1175" i="14"/>
  <c r="E1175" i="14"/>
  <c r="D1175" i="14"/>
  <c r="L1174" i="14"/>
  <c r="E1174" i="14"/>
  <c r="D1174" i="14"/>
  <c r="L1173" i="14"/>
  <c r="K1173" i="14"/>
  <c r="E1173" i="14"/>
  <c r="D1173" i="14"/>
  <c r="L1172" i="14"/>
  <c r="E1172" i="14"/>
  <c r="D1172" i="14"/>
  <c r="L1171" i="14"/>
  <c r="E1171" i="14"/>
  <c r="D1171" i="14"/>
  <c r="L1170" i="14"/>
  <c r="E1170" i="14"/>
  <c r="D1170" i="14"/>
  <c r="L1169" i="14"/>
  <c r="K1169" i="14"/>
  <c r="E1169" i="14"/>
  <c r="D1169" i="14"/>
  <c r="L1168" i="14"/>
  <c r="E1168" i="14"/>
  <c r="D1168" i="14"/>
  <c r="L1167" i="14"/>
  <c r="E1167" i="14"/>
  <c r="D1167" i="14"/>
  <c r="L1166" i="14"/>
  <c r="E1166" i="14"/>
  <c r="D1166" i="14"/>
  <c r="M1165" i="14"/>
  <c r="L1165" i="14"/>
  <c r="E1165" i="14"/>
  <c r="D1165" i="14"/>
  <c r="L1164" i="14"/>
  <c r="K1164" i="14"/>
  <c r="E1164" i="14"/>
  <c r="D1164" i="14"/>
  <c r="B1164" i="14"/>
  <c r="M1163" i="14"/>
  <c r="L1163" i="14"/>
  <c r="E1163" i="14"/>
  <c r="D1163" i="14"/>
  <c r="B1163" i="14"/>
  <c r="L1162" i="14"/>
  <c r="E1162" i="14"/>
  <c r="D1162" i="14"/>
  <c r="B1162" i="14"/>
  <c r="L1161" i="14"/>
  <c r="K1161" i="14"/>
  <c r="E1161" i="14"/>
  <c r="D1161" i="14"/>
  <c r="B1161" i="14"/>
  <c r="L1160" i="14"/>
  <c r="E1160" i="14"/>
  <c r="D1160" i="14"/>
  <c r="B1160" i="14"/>
  <c r="L1159" i="14"/>
  <c r="E1159" i="14"/>
  <c r="D1159" i="14"/>
  <c r="B1159" i="14"/>
  <c r="L1158" i="14"/>
  <c r="E1158" i="14"/>
  <c r="D1158" i="14"/>
  <c r="B1158" i="14"/>
  <c r="L1157" i="14"/>
  <c r="E1157" i="14"/>
  <c r="D1157" i="14"/>
  <c r="B1157" i="14"/>
  <c r="L1156" i="14"/>
  <c r="E1156" i="14"/>
  <c r="D1156" i="14"/>
  <c r="B1156" i="14"/>
  <c r="L1155" i="14"/>
  <c r="E1155" i="14"/>
  <c r="D1155" i="14"/>
  <c r="B1155" i="14"/>
  <c r="L1154" i="14"/>
  <c r="E1154" i="14"/>
  <c r="D1154" i="14"/>
  <c r="B1154" i="14"/>
  <c r="L1153" i="14"/>
  <c r="E1153" i="14"/>
  <c r="D1153" i="14"/>
  <c r="B1153" i="14"/>
  <c r="L1152" i="14"/>
  <c r="E1152" i="14"/>
  <c r="D1152" i="14"/>
  <c r="B1152" i="14"/>
  <c r="L1151" i="14"/>
  <c r="E1151" i="14"/>
  <c r="D1151" i="14"/>
  <c r="B1151" i="14"/>
  <c r="L1150" i="14"/>
  <c r="E1150" i="14"/>
  <c r="D1150" i="14"/>
  <c r="B1150" i="14"/>
  <c r="L1149" i="14"/>
  <c r="E1149" i="14"/>
  <c r="D1149" i="14"/>
  <c r="B1149" i="14"/>
  <c r="L1148" i="14"/>
  <c r="E1148" i="14"/>
  <c r="D1148" i="14"/>
  <c r="B1148" i="14"/>
  <c r="L1147" i="14"/>
  <c r="E1147" i="14"/>
  <c r="D1147" i="14"/>
  <c r="B1147" i="14"/>
  <c r="L1146" i="14"/>
  <c r="E1146" i="14"/>
  <c r="D1146" i="14"/>
  <c r="B1146" i="14"/>
  <c r="L1145" i="14"/>
  <c r="E1145" i="14"/>
  <c r="D1145" i="14"/>
  <c r="B1145" i="14"/>
  <c r="M1144" i="14"/>
  <c r="L1144" i="14"/>
  <c r="E1144" i="14"/>
  <c r="D1144" i="14"/>
  <c r="B1144" i="14"/>
  <c r="L1143" i="14"/>
  <c r="B1143" i="14"/>
  <c r="L1142" i="14"/>
  <c r="B1142" i="14"/>
  <c r="L1141" i="14"/>
  <c r="B1141" i="14"/>
  <c r="L1140" i="14"/>
  <c r="B1140" i="14"/>
  <c r="L1139" i="14"/>
  <c r="B1139" i="14"/>
  <c r="L1138" i="14"/>
  <c r="E1138" i="14"/>
  <c r="D1138" i="14"/>
  <c r="B1138" i="14"/>
  <c r="L1137" i="14"/>
  <c r="E1137" i="14"/>
  <c r="D1137" i="14"/>
  <c r="B1137" i="14"/>
  <c r="L1136" i="14"/>
  <c r="E1136" i="14"/>
  <c r="D1136" i="14"/>
  <c r="B1136" i="14"/>
  <c r="L1135" i="14"/>
  <c r="E1135" i="14"/>
  <c r="D1135" i="14"/>
  <c r="B1135" i="14"/>
  <c r="L1134" i="14"/>
  <c r="E1134" i="14"/>
  <c r="D1134" i="14"/>
  <c r="B1134" i="14"/>
  <c r="L1133" i="14"/>
  <c r="E1133" i="14"/>
  <c r="D1133" i="14"/>
  <c r="B1133" i="14"/>
  <c r="L1132" i="14"/>
  <c r="E1132" i="14"/>
  <c r="D1132" i="14"/>
  <c r="B1132" i="14"/>
  <c r="L1131" i="14"/>
  <c r="E1131" i="14"/>
  <c r="D1131" i="14"/>
  <c r="B1131" i="14"/>
  <c r="L1130" i="14"/>
  <c r="E1130" i="14"/>
  <c r="D1130" i="14"/>
  <c r="B1130" i="14"/>
  <c r="L1129" i="14"/>
  <c r="E1129" i="14"/>
  <c r="D1129" i="14"/>
  <c r="B1129" i="14"/>
  <c r="L1128" i="14"/>
  <c r="E1128" i="14"/>
  <c r="D1128" i="14"/>
  <c r="B1128" i="14"/>
  <c r="L1127" i="14"/>
  <c r="E1127" i="14"/>
  <c r="D1127" i="14"/>
  <c r="B1127" i="14"/>
  <c r="L1126" i="14"/>
  <c r="E1126" i="14"/>
  <c r="D1126" i="14"/>
  <c r="B1126" i="14"/>
  <c r="L1125" i="14"/>
  <c r="E1125" i="14"/>
  <c r="D1125" i="14"/>
  <c r="B1125" i="14"/>
  <c r="L1124" i="14"/>
  <c r="E1124" i="14"/>
  <c r="D1124" i="14"/>
  <c r="B1124" i="14"/>
  <c r="L1123" i="14"/>
  <c r="E1123" i="14"/>
  <c r="D1123" i="14"/>
  <c r="B1123" i="14"/>
  <c r="L1122" i="14"/>
  <c r="E1122" i="14"/>
  <c r="D1122" i="14"/>
  <c r="B1122" i="14"/>
  <c r="L1121" i="14"/>
  <c r="E1121" i="14"/>
  <c r="D1121" i="14"/>
  <c r="B1121" i="14"/>
  <c r="L1120" i="14"/>
  <c r="E1120" i="14"/>
  <c r="D1120" i="14"/>
  <c r="B1120" i="14"/>
  <c r="L1119" i="14"/>
  <c r="E1119" i="14"/>
  <c r="D1119" i="14"/>
  <c r="B1119" i="14"/>
  <c r="L1118" i="14"/>
  <c r="E1118" i="14"/>
  <c r="D1118" i="14"/>
  <c r="B1118" i="14"/>
  <c r="L1117" i="14"/>
  <c r="E1117" i="14"/>
  <c r="D1117" i="14"/>
  <c r="B1117" i="14"/>
  <c r="L1116" i="14"/>
  <c r="E1116" i="14"/>
  <c r="D1116" i="14"/>
  <c r="B1116" i="14"/>
  <c r="L1115" i="14"/>
  <c r="E1115" i="14"/>
  <c r="D1115" i="14"/>
  <c r="B1115" i="14"/>
  <c r="L1114" i="14"/>
  <c r="E1114" i="14"/>
  <c r="D1114" i="14"/>
  <c r="B1114" i="14"/>
  <c r="L1113" i="14"/>
  <c r="E1113" i="14"/>
  <c r="D1113" i="14"/>
  <c r="B1113" i="14"/>
  <c r="L1112" i="14"/>
  <c r="E1112" i="14"/>
  <c r="D1112" i="14"/>
  <c r="B1112" i="14"/>
  <c r="L1111" i="14"/>
  <c r="E1111" i="14"/>
  <c r="D1111" i="14"/>
  <c r="B1111" i="14"/>
  <c r="L1110" i="14"/>
  <c r="E1110" i="14"/>
  <c r="D1110" i="14"/>
  <c r="B1110" i="14"/>
  <c r="L1109" i="14"/>
  <c r="E1109" i="14"/>
  <c r="D1109" i="14"/>
  <c r="B1109" i="14"/>
  <c r="L1108" i="14"/>
  <c r="E1108" i="14"/>
  <c r="D1108" i="14"/>
  <c r="B1108" i="14"/>
  <c r="L1107" i="14"/>
  <c r="E1107" i="14"/>
  <c r="D1107" i="14"/>
  <c r="B1107" i="14"/>
  <c r="L1106" i="14"/>
  <c r="E1106" i="14"/>
  <c r="D1106" i="14"/>
  <c r="B1106" i="14"/>
  <c r="L1105" i="14"/>
  <c r="E1105" i="14"/>
  <c r="D1105" i="14"/>
  <c r="B1105" i="14"/>
  <c r="L1104" i="14"/>
  <c r="E1104" i="14"/>
  <c r="D1104" i="14"/>
  <c r="B1104" i="14"/>
  <c r="L1103" i="14"/>
  <c r="E1103" i="14"/>
  <c r="D1103" i="14"/>
  <c r="B1103" i="14"/>
  <c r="L1102" i="14"/>
  <c r="E1102" i="14"/>
  <c r="D1102" i="14"/>
  <c r="B1102" i="14"/>
  <c r="L1101" i="14"/>
  <c r="E1101" i="14"/>
  <c r="D1101" i="14"/>
  <c r="B1101" i="14"/>
  <c r="L1100" i="14"/>
  <c r="E1100" i="14"/>
  <c r="D1100" i="14"/>
  <c r="B1100" i="14"/>
  <c r="L1099" i="14"/>
  <c r="E1099" i="14"/>
  <c r="D1099" i="14"/>
  <c r="B1099" i="14"/>
  <c r="L1098" i="14"/>
  <c r="E1098" i="14"/>
  <c r="D1098" i="14"/>
  <c r="B1098" i="14"/>
  <c r="L1097" i="14"/>
  <c r="E1097" i="14"/>
  <c r="D1097" i="14"/>
  <c r="B1097" i="14"/>
  <c r="L1096" i="14"/>
  <c r="E1096" i="14"/>
  <c r="D1096" i="14"/>
  <c r="B1096" i="14"/>
  <c r="L1095" i="14"/>
  <c r="E1095" i="14"/>
  <c r="D1095" i="14"/>
  <c r="B1095" i="14"/>
  <c r="L1094" i="14"/>
  <c r="E1094" i="14"/>
  <c r="D1094" i="14"/>
  <c r="B1094" i="14"/>
  <c r="L1093" i="14"/>
  <c r="E1093" i="14"/>
  <c r="D1093" i="14"/>
  <c r="B1093" i="14"/>
  <c r="L1092" i="14"/>
  <c r="E1092" i="14"/>
  <c r="D1092" i="14"/>
  <c r="B1092" i="14"/>
  <c r="L1091" i="14"/>
  <c r="E1091" i="14"/>
  <c r="D1091" i="14"/>
  <c r="B1091" i="14"/>
  <c r="L1090" i="14"/>
  <c r="E1090" i="14"/>
  <c r="D1090" i="14"/>
  <c r="B1090" i="14"/>
  <c r="L1089" i="14"/>
  <c r="E1089" i="14"/>
  <c r="D1089" i="14"/>
  <c r="B1089" i="14"/>
  <c r="L1088" i="14"/>
  <c r="E1088" i="14"/>
  <c r="D1088" i="14"/>
  <c r="B1088" i="14"/>
  <c r="L1087" i="14"/>
  <c r="E1087" i="14"/>
  <c r="D1087" i="14"/>
  <c r="B1087" i="14"/>
  <c r="L1086" i="14"/>
  <c r="E1086" i="14"/>
  <c r="D1086" i="14"/>
  <c r="B1086" i="14"/>
  <c r="L1085" i="14"/>
  <c r="E1085" i="14"/>
  <c r="D1085" i="14"/>
  <c r="B1085" i="14"/>
  <c r="L1084" i="14"/>
  <c r="E1084" i="14"/>
  <c r="D1084" i="14"/>
  <c r="B1084" i="14"/>
  <c r="L1083" i="14"/>
  <c r="E1083" i="14"/>
  <c r="D1083" i="14"/>
  <c r="B1083" i="14"/>
  <c r="L1082" i="14"/>
  <c r="E1082" i="14"/>
  <c r="D1082" i="14"/>
  <c r="B1082" i="14"/>
  <c r="L1081" i="14"/>
  <c r="E1081" i="14"/>
  <c r="D1081" i="14"/>
  <c r="B1081" i="14"/>
  <c r="L1080" i="14"/>
  <c r="E1080" i="14"/>
  <c r="D1080" i="14"/>
  <c r="B1080" i="14"/>
  <c r="M1079" i="14"/>
  <c r="L1079" i="14"/>
  <c r="E1079" i="14"/>
  <c r="D1079" i="14"/>
  <c r="B1079" i="14"/>
  <c r="L1078" i="14"/>
  <c r="K1078" i="14"/>
  <c r="E1078" i="14"/>
  <c r="D1078" i="14"/>
  <c r="B1078" i="14"/>
  <c r="L1077" i="14"/>
  <c r="K1077" i="14"/>
  <c r="E1077" i="14"/>
  <c r="D1077" i="14"/>
  <c r="B1077" i="14"/>
  <c r="L1076" i="14"/>
  <c r="K1076" i="14"/>
  <c r="E1076" i="14"/>
  <c r="D1076" i="14"/>
  <c r="B1076" i="14"/>
  <c r="L1075" i="14"/>
  <c r="E1075" i="14"/>
  <c r="D1075" i="14"/>
  <c r="B1075" i="14"/>
  <c r="L1074" i="14"/>
  <c r="E1074" i="14"/>
  <c r="D1074" i="14"/>
  <c r="B1074" i="14"/>
  <c r="L1073" i="14"/>
  <c r="E1073" i="14"/>
  <c r="D1073" i="14"/>
  <c r="B1073" i="14"/>
  <c r="L1072" i="14"/>
  <c r="E1072" i="14"/>
  <c r="D1072" i="14"/>
  <c r="B1072" i="14"/>
  <c r="L1071" i="14"/>
  <c r="K1071" i="14"/>
  <c r="E1071" i="14"/>
  <c r="D1071" i="14"/>
  <c r="B1071" i="14"/>
  <c r="L1070" i="14"/>
  <c r="K1070" i="14"/>
  <c r="E1070" i="14"/>
  <c r="D1070" i="14"/>
  <c r="B1070" i="14"/>
  <c r="L1069" i="14"/>
  <c r="K1069" i="14"/>
  <c r="E1069" i="14"/>
  <c r="D1069" i="14"/>
  <c r="B1069" i="14"/>
  <c r="L1068" i="14"/>
  <c r="E1068" i="14"/>
  <c r="D1068" i="14"/>
  <c r="B1068" i="14"/>
  <c r="L1067" i="14"/>
  <c r="K1067" i="14"/>
  <c r="E1067" i="14"/>
  <c r="D1067" i="14"/>
  <c r="B1067" i="14"/>
  <c r="L1066" i="14"/>
  <c r="E1066" i="14"/>
  <c r="D1066" i="14"/>
  <c r="B1066" i="14"/>
  <c r="L1065" i="14"/>
  <c r="E1065" i="14"/>
  <c r="D1065" i="14"/>
  <c r="B1065" i="14"/>
  <c r="L1064" i="14"/>
  <c r="K1064" i="14"/>
  <c r="E1064" i="14"/>
  <c r="D1064" i="14"/>
  <c r="B1064" i="14"/>
  <c r="L1063" i="14"/>
  <c r="E1063" i="14"/>
  <c r="D1063" i="14"/>
  <c r="B1063" i="14"/>
  <c r="L1062" i="14"/>
  <c r="E1062" i="14"/>
  <c r="D1062" i="14"/>
  <c r="B1062" i="14"/>
  <c r="M1061" i="14"/>
  <c r="L1061" i="14"/>
  <c r="K1061" i="14"/>
  <c r="E1061" i="14"/>
  <c r="D1061" i="14"/>
  <c r="B1061" i="14"/>
  <c r="L1060" i="14"/>
  <c r="K1060" i="14"/>
  <c r="E1060" i="14"/>
  <c r="D1060" i="14"/>
  <c r="B1060" i="14"/>
  <c r="L1059" i="14"/>
  <c r="E1059" i="14"/>
  <c r="D1059" i="14"/>
  <c r="B1059" i="14"/>
  <c r="L1058" i="14"/>
  <c r="E1058" i="14"/>
  <c r="D1058" i="14"/>
  <c r="B1058" i="14"/>
  <c r="L1057" i="14"/>
  <c r="E1057" i="14"/>
  <c r="D1057" i="14"/>
  <c r="B1057" i="14"/>
  <c r="L1056" i="14"/>
  <c r="K1056" i="14"/>
  <c r="E1056" i="14"/>
  <c r="D1056" i="14"/>
  <c r="B1056" i="14"/>
  <c r="L1055" i="14"/>
  <c r="E1055" i="14"/>
  <c r="D1055" i="14"/>
  <c r="B1055" i="14"/>
  <c r="L1054" i="14"/>
  <c r="K1054" i="14"/>
  <c r="J1054" i="14"/>
  <c r="E1054" i="14"/>
  <c r="D1054" i="14"/>
  <c r="B1054" i="14"/>
  <c r="L1053" i="14"/>
  <c r="K1053" i="14"/>
  <c r="J1053" i="14"/>
  <c r="E1053" i="14"/>
  <c r="D1053" i="14"/>
  <c r="B1053" i="14"/>
  <c r="L1052" i="14"/>
  <c r="E1052" i="14"/>
  <c r="D1052" i="14"/>
  <c r="B1052" i="14"/>
  <c r="L1051" i="14"/>
  <c r="K1051" i="14"/>
  <c r="E1051" i="14"/>
  <c r="D1051" i="14"/>
  <c r="B1051" i="14"/>
  <c r="L1050" i="14"/>
  <c r="E1050" i="14"/>
  <c r="D1050" i="14"/>
  <c r="B1050" i="14"/>
  <c r="L1049" i="14"/>
  <c r="E1049" i="14"/>
  <c r="D1049" i="14"/>
  <c r="B1049" i="14"/>
  <c r="L1048" i="14"/>
  <c r="K1048" i="14"/>
  <c r="E1048" i="14"/>
  <c r="D1048" i="14"/>
  <c r="B1048" i="14"/>
  <c r="L1047" i="14"/>
  <c r="K1047" i="14"/>
  <c r="E1047" i="14"/>
  <c r="D1047" i="14"/>
  <c r="B1047" i="14"/>
  <c r="L1046" i="14"/>
  <c r="K1046" i="14"/>
  <c r="E1046" i="14"/>
  <c r="D1046" i="14"/>
  <c r="B1046" i="14"/>
  <c r="L1045" i="14"/>
  <c r="E1045" i="14"/>
  <c r="D1045" i="14"/>
  <c r="B1045" i="14"/>
  <c r="L1044" i="14"/>
  <c r="K1044" i="14"/>
  <c r="E1044" i="14"/>
  <c r="D1044" i="14"/>
  <c r="B1044" i="14"/>
  <c r="L1043" i="14"/>
  <c r="K1043" i="14"/>
  <c r="E1043" i="14"/>
  <c r="D1043" i="14"/>
  <c r="B1043" i="14"/>
  <c r="L1042" i="14"/>
  <c r="K1042" i="14"/>
  <c r="E1042" i="14"/>
  <c r="D1042" i="14"/>
  <c r="B1042" i="14"/>
  <c r="L1041" i="14"/>
  <c r="K1041" i="14"/>
  <c r="E1041" i="14"/>
  <c r="D1041" i="14"/>
  <c r="B1041" i="14"/>
  <c r="L1040" i="14"/>
  <c r="E1040" i="14"/>
  <c r="D1040" i="14"/>
  <c r="B1040" i="14"/>
  <c r="L1039" i="14"/>
  <c r="E1039" i="14"/>
  <c r="D1039" i="14"/>
  <c r="B1039" i="14"/>
  <c r="M1038" i="14"/>
  <c r="L1038" i="14"/>
  <c r="E1038" i="14"/>
  <c r="D1038" i="14"/>
  <c r="B1038" i="14"/>
  <c r="L1037" i="14"/>
  <c r="E1037" i="14"/>
  <c r="D1037" i="14"/>
  <c r="B1037" i="14"/>
  <c r="L1036" i="14"/>
  <c r="K1036" i="14"/>
  <c r="E1036" i="14"/>
  <c r="D1036" i="14"/>
  <c r="B1036" i="14"/>
  <c r="L1035" i="14"/>
  <c r="E1035" i="14"/>
  <c r="D1035" i="14"/>
  <c r="B1035" i="14"/>
  <c r="L1034" i="14"/>
  <c r="K1034" i="14"/>
  <c r="E1034" i="14"/>
  <c r="D1034" i="14"/>
  <c r="B1034" i="14"/>
  <c r="L1033" i="14"/>
  <c r="K1033" i="14"/>
  <c r="E1033" i="14"/>
  <c r="D1033" i="14"/>
  <c r="B1033" i="14"/>
  <c r="L1032" i="14"/>
  <c r="E1032" i="14"/>
  <c r="D1032" i="14"/>
  <c r="B1032" i="14"/>
  <c r="L1031" i="14"/>
  <c r="K1031" i="14"/>
  <c r="E1031" i="14"/>
  <c r="D1031" i="14"/>
  <c r="B1031" i="14"/>
  <c r="L1030" i="14"/>
  <c r="E1030" i="14"/>
  <c r="D1030" i="14"/>
  <c r="B1030" i="14"/>
  <c r="M1029" i="14"/>
  <c r="L1029" i="14"/>
  <c r="K1029" i="14"/>
  <c r="E1029" i="14"/>
  <c r="D1029" i="14"/>
  <c r="B1029" i="14"/>
  <c r="L1028" i="14"/>
  <c r="B1028" i="14"/>
  <c r="L1027" i="14"/>
  <c r="B1027" i="14"/>
  <c r="L1026" i="14"/>
  <c r="B1026" i="14"/>
  <c r="L1025" i="14"/>
  <c r="B1025" i="14"/>
  <c r="L1024" i="14"/>
  <c r="B1024" i="14"/>
  <c r="L1023" i="14"/>
  <c r="B1023" i="14"/>
  <c r="L1022" i="14"/>
  <c r="B1022" i="14"/>
  <c r="L1021" i="14"/>
  <c r="B1021" i="14"/>
  <c r="L1020" i="14"/>
  <c r="B1020" i="14"/>
  <c r="L1019" i="14"/>
  <c r="B1019" i="14"/>
  <c r="L1018" i="14"/>
  <c r="B1018" i="14"/>
  <c r="L1017" i="14"/>
  <c r="B1017" i="14"/>
  <c r="L1016" i="14"/>
  <c r="B1016" i="14"/>
  <c r="L1015" i="14"/>
  <c r="B1015" i="14"/>
  <c r="L1014" i="14"/>
  <c r="B1014" i="14"/>
  <c r="L1013" i="14"/>
  <c r="B1013" i="14"/>
  <c r="L1012" i="14"/>
  <c r="B1012" i="14"/>
  <c r="L1011" i="14"/>
  <c r="B1011" i="14"/>
  <c r="L1010" i="14"/>
  <c r="B1010" i="14"/>
  <c r="L1009" i="14"/>
  <c r="B1009" i="14"/>
  <c r="L1008" i="14"/>
  <c r="B1008" i="14"/>
  <c r="L1007" i="14"/>
  <c r="B1007" i="14"/>
  <c r="L1006" i="14"/>
  <c r="B1006" i="14"/>
  <c r="L1005" i="14"/>
  <c r="B1005" i="14"/>
  <c r="L1004" i="14"/>
  <c r="B1004" i="14"/>
  <c r="L1003" i="14"/>
  <c r="B1003" i="14"/>
  <c r="L1002" i="14"/>
  <c r="B1002" i="14"/>
  <c r="L1001" i="14"/>
  <c r="B1001" i="14"/>
  <c r="L1000" i="14"/>
  <c r="B1000" i="14"/>
  <c r="L999" i="14"/>
  <c r="B999" i="14"/>
  <c r="L998" i="14"/>
  <c r="B998" i="14"/>
  <c r="L997" i="14"/>
  <c r="B997" i="14"/>
  <c r="L996" i="14"/>
  <c r="B996" i="14"/>
  <c r="L995" i="14"/>
  <c r="B995" i="14"/>
  <c r="L994" i="14"/>
  <c r="B994" i="14"/>
  <c r="L993" i="14"/>
  <c r="B993" i="14"/>
  <c r="L992" i="14"/>
  <c r="B992" i="14"/>
  <c r="L991" i="14"/>
  <c r="B991" i="14"/>
  <c r="L990" i="14"/>
  <c r="B990" i="14"/>
  <c r="L989" i="14"/>
  <c r="B989" i="14"/>
  <c r="L988" i="14"/>
  <c r="B988" i="14"/>
  <c r="L987" i="14"/>
  <c r="B987" i="14"/>
  <c r="L986" i="14"/>
  <c r="B986" i="14"/>
  <c r="L985" i="14"/>
  <c r="B985" i="14"/>
  <c r="L984" i="14"/>
  <c r="B984" i="14"/>
  <c r="L983" i="14"/>
  <c r="B983" i="14"/>
  <c r="L982" i="14"/>
  <c r="B982" i="14"/>
  <c r="L981" i="14"/>
  <c r="B981" i="14"/>
  <c r="L980" i="14"/>
  <c r="B980" i="14"/>
  <c r="L979" i="14"/>
  <c r="B979" i="14"/>
  <c r="L978" i="14"/>
  <c r="B978" i="14"/>
  <c r="L977" i="14"/>
  <c r="B977" i="14"/>
  <c r="L976" i="14"/>
  <c r="B976" i="14"/>
  <c r="L975" i="14"/>
  <c r="E975" i="14"/>
  <c r="D975" i="14"/>
  <c r="B975" i="14"/>
  <c r="L974" i="14"/>
  <c r="K974" i="14"/>
  <c r="E974" i="14"/>
  <c r="D974" i="14"/>
  <c r="B974" i="14"/>
  <c r="L973" i="14"/>
  <c r="K973" i="14"/>
  <c r="E973" i="14"/>
  <c r="D973" i="14"/>
  <c r="B973" i="14"/>
  <c r="L972" i="14"/>
  <c r="E972" i="14"/>
  <c r="D972" i="14"/>
  <c r="B972" i="14"/>
  <c r="L971" i="14"/>
  <c r="K971" i="14"/>
  <c r="E971" i="14"/>
  <c r="D971" i="14"/>
  <c r="B971" i="14"/>
  <c r="L970" i="14"/>
  <c r="K970" i="14"/>
  <c r="E970" i="14"/>
  <c r="D970" i="14"/>
  <c r="B970" i="14"/>
  <c r="L969" i="14"/>
  <c r="E969" i="14"/>
  <c r="D969" i="14"/>
  <c r="B969" i="14"/>
  <c r="L968" i="14"/>
  <c r="K968" i="14"/>
  <c r="E968" i="14"/>
  <c r="D968" i="14"/>
  <c r="B968" i="14"/>
  <c r="L967" i="14"/>
  <c r="K967" i="14"/>
  <c r="E967" i="14"/>
  <c r="D967" i="14"/>
  <c r="B967" i="14"/>
  <c r="L966" i="14"/>
  <c r="E966" i="14"/>
  <c r="D966" i="14"/>
  <c r="B966" i="14"/>
  <c r="L965" i="14"/>
  <c r="E965" i="14"/>
  <c r="D965" i="14"/>
  <c r="B965" i="14"/>
  <c r="L964" i="14"/>
  <c r="E964" i="14"/>
  <c r="D964" i="14"/>
  <c r="B964" i="14"/>
  <c r="L963" i="14"/>
  <c r="K963" i="14"/>
  <c r="E963" i="14"/>
  <c r="D963" i="14"/>
  <c r="B963" i="14"/>
  <c r="L962" i="14"/>
  <c r="E962" i="14"/>
  <c r="D962" i="14"/>
  <c r="B962" i="14"/>
  <c r="L961" i="14"/>
  <c r="K961" i="14"/>
  <c r="E961" i="14"/>
  <c r="D961" i="14"/>
  <c r="B961" i="14"/>
  <c r="L960" i="14"/>
  <c r="K960" i="14"/>
  <c r="E960" i="14"/>
  <c r="D960" i="14"/>
  <c r="B960" i="14"/>
  <c r="L959" i="14"/>
  <c r="E959" i="14"/>
  <c r="D959" i="14"/>
  <c r="B959" i="14"/>
  <c r="L958" i="14"/>
  <c r="E958" i="14"/>
  <c r="D958" i="14"/>
  <c r="B958" i="14"/>
  <c r="L957" i="14"/>
  <c r="E957" i="14"/>
  <c r="D957" i="14"/>
  <c r="B957" i="14"/>
  <c r="M956" i="14"/>
  <c r="L956" i="14"/>
  <c r="E956" i="14"/>
  <c r="D956" i="14"/>
  <c r="B956" i="14"/>
  <c r="L955" i="14"/>
  <c r="K955" i="14"/>
  <c r="E955" i="14"/>
  <c r="D955" i="14"/>
  <c r="B955" i="14"/>
  <c r="M954" i="14"/>
  <c r="L954" i="14"/>
  <c r="K954" i="14"/>
  <c r="E954" i="14"/>
  <c r="D954" i="14"/>
  <c r="B954" i="14"/>
  <c r="M953" i="14"/>
  <c r="L953" i="14"/>
  <c r="E953" i="14"/>
  <c r="D953" i="14"/>
  <c r="B953" i="14"/>
  <c r="L952" i="14"/>
  <c r="E952" i="14"/>
  <c r="D952" i="14"/>
  <c r="B952" i="14"/>
  <c r="L951" i="14"/>
  <c r="K951" i="14"/>
  <c r="E951" i="14"/>
  <c r="D951" i="14"/>
  <c r="B951" i="14"/>
  <c r="L950" i="14"/>
  <c r="E950" i="14"/>
  <c r="D950" i="14"/>
  <c r="B950" i="14"/>
  <c r="L949" i="14"/>
  <c r="E949" i="14"/>
  <c r="D949" i="14"/>
  <c r="B949" i="14"/>
  <c r="L948" i="14"/>
  <c r="K948" i="14"/>
  <c r="E948" i="14"/>
  <c r="D948" i="14"/>
  <c r="B948" i="14"/>
  <c r="L947" i="14"/>
  <c r="E947" i="14"/>
  <c r="D947" i="14"/>
  <c r="B947" i="14"/>
  <c r="L946" i="14"/>
  <c r="E946" i="14"/>
  <c r="D946" i="14"/>
  <c r="B946" i="14"/>
  <c r="L945" i="14"/>
  <c r="E945" i="14"/>
  <c r="D945" i="14"/>
  <c r="B945" i="14"/>
  <c r="L944" i="14"/>
  <c r="K944" i="14"/>
  <c r="E944" i="14"/>
  <c r="D944" i="14"/>
  <c r="B944" i="14"/>
  <c r="L943" i="14"/>
  <c r="K943" i="14"/>
  <c r="E943" i="14"/>
  <c r="D943" i="14"/>
  <c r="B943" i="14"/>
  <c r="L942" i="14"/>
  <c r="E942" i="14"/>
  <c r="D942" i="14"/>
  <c r="B942" i="14"/>
  <c r="L941" i="14"/>
  <c r="K941" i="14"/>
  <c r="E941" i="14"/>
  <c r="D941" i="14"/>
  <c r="B941" i="14"/>
  <c r="L940" i="14"/>
  <c r="E940" i="14"/>
  <c r="D940" i="14"/>
  <c r="B940" i="14"/>
  <c r="L939" i="14"/>
  <c r="E939" i="14"/>
  <c r="D939" i="14"/>
  <c r="B939" i="14"/>
  <c r="L938" i="14"/>
  <c r="K938" i="14"/>
  <c r="E938" i="14"/>
  <c r="D938" i="14"/>
  <c r="B938" i="14"/>
  <c r="L937" i="14"/>
  <c r="E937" i="14"/>
  <c r="D937" i="14"/>
  <c r="B937" i="14"/>
  <c r="L936" i="14"/>
  <c r="E936" i="14"/>
  <c r="D936" i="14"/>
  <c r="B936" i="14"/>
  <c r="L935" i="14"/>
  <c r="K935" i="14"/>
  <c r="E935" i="14"/>
  <c r="D935" i="14"/>
  <c r="B935" i="14"/>
  <c r="L934" i="14"/>
  <c r="E934" i="14"/>
  <c r="D934" i="14"/>
  <c r="B934" i="14"/>
  <c r="M933" i="14"/>
  <c r="L933" i="14"/>
  <c r="K933" i="14"/>
  <c r="E933" i="14"/>
  <c r="D933" i="14"/>
  <c r="B933" i="14"/>
  <c r="L932" i="14"/>
  <c r="E932" i="14"/>
  <c r="D932" i="14"/>
  <c r="B932" i="14"/>
  <c r="L931" i="14"/>
  <c r="E931" i="14"/>
  <c r="D931" i="14"/>
  <c r="B931" i="14"/>
  <c r="M930" i="14"/>
  <c r="L930" i="14"/>
  <c r="E930" i="14"/>
  <c r="D930" i="14"/>
  <c r="B930" i="14"/>
  <c r="L929" i="14"/>
  <c r="K929" i="14"/>
  <c r="E929" i="14"/>
  <c r="D929" i="14"/>
  <c r="B929" i="14"/>
  <c r="L928" i="14"/>
  <c r="E928" i="14"/>
  <c r="D928" i="14"/>
  <c r="B928" i="14"/>
  <c r="L927" i="14"/>
  <c r="E927" i="14"/>
  <c r="D927" i="14"/>
  <c r="B927" i="14"/>
  <c r="L926" i="14"/>
  <c r="E926" i="14"/>
  <c r="D926" i="14"/>
  <c r="B926" i="14"/>
  <c r="L925" i="14"/>
  <c r="E925" i="14"/>
  <c r="D925" i="14"/>
  <c r="B925" i="14"/>
  <c r="L924" i="14"/>
  <c r="E924" i="14"/>
  <c r="D924" i="14"/>
  <c r="B924" i="14"/>
  <c r="L923" i="14"/>
  <c r="E923" i="14"/>
  <c r="D923" i="14"/>
  <c r="B923" i="14"/>
  <c r="L922" i="14"/>
  <c r="E922" i="14"/>
  <c r="D922" i="14"/>
  <c r="B922" i="14"/>
  <c r="L921" i="14"/>
  <c r="E921" i="14"/>
  <c r="D921" i="14"/>
  <c r="B921" i="14"/>
  <c r="L920" i="14"/>
  <c r="K920" i="14"/>
  <c r="E920" i="14"/>
  <c r="D920" i="14"/>
  <c r="B920" i="14"/>
  <c r="L919" i="14"/>
  <c r="E919" i="14"/>
  <c r="D919" i="14"/>
  <c r="B919" i="14"/>
  <c r="L918" i="14"/>
  <c r="E918" i="14"/>
  <c r="D918" i="14"/>
  <c r="B918" i="14"/>
  <c r="L917" i="14"/>
  <c r="E917" i="14"/>
  <c r="D917" i="14"/>
  <c r="B917" i="14"/>
  <c r="M916" i="14"/>
  <c r="L916" i="14"/>
  <c r="E916" i="14"/>
  <c r="D916" i="14"/>
  <c r="B916" i="14"/>
  <c r="L915" i="14"/>
  <c r="E915" i="14"/>
  <c r="D915" i="14"/>
  <c r="B915" i="14"/>
  <c r="L914" i="14"/>
  <c r="E914" i="14"/>
  <c r="D914" i="14"/>
  <c r="B914" i="14"/>
  <c r="L913" i="14"/>
  <c r="E913" i="14"/>
  <c r="D913" i="14"/>
  <c r="B913" i="14"/>
  <c r="L912" i="14"/>
  <c r="E912" i="14"/>
  <c r="D912" i="14"/>
  <c r="B912" i="14"/>
  <c r="L911" i="14"/>
  <c r="K911" i="14"/>
  <c r="E911" i="14"/>
  <c r="D911" i="14"/>
  <c r="B911" i="14"/>
  <c r="L910" i="14"/>
  <c r="K910" i="14"/>
  <c r="E910" i="14"/>
  <c r="D910" i="14"/>
  <c r="B910" i="14"/>
  <c r="L909" i="14"/>
  <c r="E909" i="14"/>
  <c r="D909" i="14"/>
  <c r="B909" i="14"/>
  <c r="L908" i="14"/>
  <c r="E908" i="14"/>
  <c r="D908" i="14"/>
  <c r="B908" i="14"/>
  <c r="L907" i="14"/>
  <c r="E907" i="14"/>
  <c r="D907" i="14"/>
  <c r="B907" i="14"/>
  <c r="L906" i="14"/>
  <c r="E906" i="14"/>
  <c r="D906" i="14"/>
  <c r="B906" i="14"/>
  <c r="L905" i="14"/>
  <c r="E905" i="14"/>
  <c r="D905" i="14"/>
  <c r="B905" i="14"/>
  <c r="L904" i="14"/>
  <c r="E904" i="14"/>
  <c r="D904" i="14"/>
  <c r="B904" i="14"/>
  <c r="L903" i="14"/>
  <c r="E903" i="14"/>
  <c r="D903" i="14"/>
  <c r="B903" i="14"/>
  <c r="L902" i="14"/>
  <c r="E902" i="14"/>
  <c r="D902" i="14"/>
  <c r="B902" i="14"/>
  <c r="L901" i="14"/>
  <c r="E901" i="14"/>
  <c r="D901" i="14"/>
  <c r="B901" i="14"/>
  <c r="M900" i="14"/>
  <c r="L900" i="14"/>
  <c r="K900" i="14"/>
  <c r="E900" i="14"/>
  <c r="D900" i="14"/>
  <c r="B900" i="14"/>
  <c r="B899" i="14"/>
  <c r="B898" i="14"/>
  <c r="B897" i="14"/>
  <c r="B896" i="14"/>
  <c r="B895" i="14"/>
  <c r="B894" i="14"/>
  <c r="B893" i="14"/>
  <c r="B892" i="14"/>
  <c r="B891" i="14"/>
  <c r="B890" i="14"/>
  <c r="B889" i="14"/>
  <c r="B888" i="14"/>
  <c r="B887" i="14"/>
  <c r="B886" i="14"/>
  <c r="B885" i="14"/>
  <c r="B884" i="14"/>
  <c r="B883" i="14"/>
  <c r="B882" i="14"/>
  <c r="B881" i="14"/>
  <c r="B880" i="14"/>
  <c r="B879" i="14"/>
  <c r="B878" i="14"/>
  <c r="B877" i="14"/>
  <c r="B876" i="14"/>
  <c r="L875" i="14"/>
  <c r="B875" i="14"/>
  <c r="L874" i="14"/>
  <c r="B874" i="14"/>
  <c r="L873" i="14"/>
  <c r="B873" i="14"/>
  <c r="L872" i="14"/>
  <c r="B872" i="14"/>
  <c r="L871" i="14"/>
  <c r="B871" i="14"/>
  <c r="L870" i="14"/>
  <c r="B870" i="14"/>
  <c r="L869" i="14"/>
  <c r="B869" i="14"/>
  <c r="L868" i="14"/>
  <c r="B868" i="14"/>
  <c r="L867" i="14"/>
  <c r="B867" i="14"/>
  <c r="L866" i="14"/>
  <c r="B866" i="14"/>
  <c r="L865" i="14"/>
  <c r="B865" i="14"/>
  <c r="L864" i="14"/>
  <c r="B864" i="14"/>
  <c r="L863" i="14"/>
  <c r="B863" i="14"/>
  <c r="L862" i="14"/>
  <c r="B862" i="14"/>
  <c r="L861" i="14"/>
  <c r="B861" i="14"/>
  <c r="L860" i="14"/>
  <c r="B860" i="14"/>
  <c r="L859" i="14"/>
  <c r="B859" i="14"/>
  <c r="L858" i="14"/>
  <c r="B858" i="14"/>
  <c r="L857" i="14"/>
  <c r="B857" i="14"/>
  <c r="L856" i="14"/>
  <c r="B856" i="14"/>
  <c r="L855" i="14"/>
  <c r="B855" i="14"/>
  <c r="L854" i="14"/>
  <c r="B854" i="14"/>
  <c r="M853" i="14"/>
  <c r="L853" i="14"/>
  <c r="B853" i="14"/>
  <c r="L852" i="14"/>
  <c r="B852" i="14"/>
  <c r="L851" i="14"/>
  <c r="B851" i="14"/>
  <c r="L850" i="14"/>
  <c r="B850" i="14"/>
  <c r="L849" i="14"/>
  <c r="B849" i="14"/>
  <c r="L848" i="14"/>
  <c r="B848" i="14"/>
  <c r="L847" i="14"/>
  <c r="E847" i="14"/>
  <c r="D847" i="14"/>
  <c r="B847" i="14"/>
  <c r="L846" i="14"/>
  <c r="E846" i="14"/>
  <c r="D846" i="14"/>
  <c r="B846" i="14"/>
  <c r="L845" i="14"/>
  <c r="E845" i="14"/>
  <c r="D845" i="14"/>
  <c r="B845" i="14"/>
  <c r="L844" i="14"/>
  <c r="K844" i="14"/>
  <c r="E844" i="14"/>
  <c r="D844" i="14"/>
  <c r="B844" i="14"/>
  <c r="L843" i="14"/>
  <c r="E843" i="14"/>
  <c r="D843" i="14"/>
  <c r="B843" i="14"/>
  <c r="L842" i="14"/>
  <c r="E842" i="14"/>
  <c r="D842" i="14"/>
  <c r="B842" i="14"/>
  <c r="L841" i="14"/>
  <c r="E841" i="14"/>
  <c r="D841" i="14"/>
  <c r="B841" i="14"/>
  <c r="L840" i="14"/>
  <c r="E840" i="14"/>
  <c r="D840" i="14"/>
  <c r="B840" i="14"/>
  <c r="L839" i="14"/>
  <c r="K839" i="14"/>
  <c r="E839" i="14"/>
  <c r="D839" i="14"/>
  <c r="B839" i="14"/>
  <c r="L838" i="14"/>
  <c r="E838" i="14"/>
  <c r="D838" i="14"/>
  <c r="B838" i="14"/>
  <c r="L837" i="14"/>
  <c r="K837" i="14"/>
  <c r="E837" i="14"/>
  <c r="D837" i="14"/>
  <c r="B837" i="14"/>
  <c r="L836" i="14"/>
  <c r="E836" i="14"/>
  <c r="D836" i="14"/>
  <c r="B836" i="14"/>
  <c r="L835" i="14"/>
  <c r="K835" i="14"/>
  <c r="E835" i="14"/>
  <c r="D835" i="14"/>
  <c r="B835" i="14"/>
  <c r="L834" i="14"/>
  <c r="E834" i="14"/>
  <c r="D834" i="14"/>
  <c r="B834" i="14"/>
  <c r="L833" i="14"/>
  <c r="E833" i="14"/>
  <c r="D833" i="14"/>
  <c r="B833" i="14"/>
  <c r="M832" i="14"/>
  <c r="L832" i="14"/>
  <c r="K832" i="14"/>
  <c r="E832" i="14"/>
  <c r="D832" i="14"/>
  <c r="B832" i="14"/>
  <c r="L831" i="14"/>
  <c r="E831" i="14"/>
  <c r="D831" i="14"/>
  <c r="B831" i="14"/>
  <c r="L830" i="14"/>
  <c r="E830" i="14"/>
  <c r="D830" i="14"/>
  <c r="B830" i="14"/>
  <c r="L829" i="14"/>
  <c r="K829" i="14"/>
  <c r="E829" i="14"/>
  <c r="D829" i="14"/>
  <c r="B829" i="14"/>
  <c r="L828" i="14"/>
  <c r="E828" i="14"/>
  <c r="D828" i="14"/>
  <c r="B828" i="14"/>
  <c r="L827" i="14"/>
  <c r="E827" i="14"/>
  <c r="D827" i="14"/>
  <c r="B827" i="14"/>
  <c r="L826" i="14"/>
  <c r="E826" i="14"/>
  <c r="D826" i="14"/>
  <c r="B826" i="14"/>
  <c r="L825" i="14"/>
  <c r="E825" i="14"/>
  <c r="D825" i="14"/>
  <c r="B825" i="14"/>
  <c r="L824" i="14"/>
  <c r="K824" i="14"/>
  <c r="E824" i="14"/>
  <c r="D824" i="14"/>
  <c r="B824" i="14"/>
  <c r="L823" i="14"/>
  <c r="E823" i="14"/>
  <c r="D823" i="14"/>
  <c r="B823" i="14"/>
  <c r="L822" i="14"/>
  <c r="E822" i="14"/>
  <c r="D822" i="14"/>
  <c r="B822" i="14"/>
  <c r="L821" i="14"/>
  <c r="E821" i="14"/>
  <c r="D821" i="14"/>
  <c r="B821" i="14"/>
  <c r="L820" i="14"/>
  <c r="E820" i="14"/>
  <c r="D820" i="14"/>
  <c r="B820" i="14"/>
  <c r="L819" i="14"/>
  <c r="E819" i="14"/>
  <c r="D819" i="14"/>
  <c r="B819" i="14"/>
  <c r="L818" i="14"/>
  <c r="E818" i="14"/>
  <c r="D818" i="14"/>
  <c r="B818" i="14"/>
  <c r="L817" i="14"/>
  <c r="E817" i="14"/>
  <c r="D817" i="14"/>
  <c r="B817" i="14"/>
  <c r="L816" i="14"/>
  <c r="E816" i="14"/>
  <c r="D816" i="14"/>
  <c r="B816" i="14"/>
  <c r="M815" i="14"/>
  <c r="L815" i="14"/>
  <c r="K815" i="14"/>
  <c r="E815" i="14"/>
  <c r="D815" i="14"/>
  <c r="B815" i="14"/>
  <c r="L814" i="14"/>
  <c r="E814" i="14"/>
  <c r="D814" i="14"/>
  <c r="B814" i="14"/>
  <c r="L813" i="14"/>
  <c r="E813" i="14"/>
  <c r="D813" i="14"/>
  <c r="B813" i="14"/>
  <c r="L812" i="14"/>
  <c r="E812" i="14"/>
  <c r="D812" i="14"/>
  <c r="B812" i="14"/>
  <c r="L811" i="14"/>
  <c r="E811" i="14"/>
  <c r="D811" i="14"/>
  <c r="B811" i="14"/>
  <c r="L810" i="14"/>
  <c r="E810" i="14"/>
  <c r="D810" i="14"/>
  <c r="B810" i="14"/>
  <c r="M809" i="14"/>
  <c r="L809" i="14"/>
  <c r="E809" i="14"/>
  <c r="D809" i="14"/>
  <c r="B809" i="14"/>
  <c r="L808" i="14"/>
  <c r="E808" i="14"/>
  <c r="D808" i="14"/>
  <c r="B808" i="14"/>
  <c r="L807" i="14"/>
  <c r="E807" i="14"/>
  <c r="D807" i="14"/>
  <c r="B807" i="14"/>
  <c r="L806" i="14"/>
  <c r="E806" i="14"/>
  <c r="D806" i="14"/>
  <c r="B806" i="14"/>
  <c r="L805" i="14"/>
  <c r="E805" i="14"/>
  <c r="D805" i="14"/>
  <c r="B805" i="14"/>
  <c r="L804" i="14"/>
  <c r="E804" i="14"/>
  <c r="D804" i="14"/>
  <c r="B804" i="14"/>
  <c r="L803" i="14"/>
  <c r="E803" i="14"/>
  <c r="D803" i="14"/>
  <c r="B803" i="14"/>
  <c r="L802" i="14"/>
  <c r="E802" i="14"/>
  <c r="D802" i="14"/>
  <c r="B802" i="14"/>
  <c r="L801" i="14"/>
  <c r="E801" i="14"/>
  <c r="D801" i="14"/>
  <c r="B801" i="14"/>
  <c r="L800" i="14"/>
  <c r="E800" i="14"/>
  <c r="D800" i="14"/>
  <c r="B800" i="14"/>
  <c r="L799" i="14"/>
  <c r="E799" i="14"/>
  <c r="D799" i="14"/>
  <c r="B799" i="14"/>
  <c r="L798" i="14"/>
  <c r="K798" i="14"/>
  <c r="E798" i="14"/>
  <c r="D798" i="14"/>
  <c r="B798" i="14"/>
  <c r="L797" i="14"/>
  <c r="K797" i="14"/>
  <c r="E797" i="14"/>
  <c r="D797" i="14"/>
  <c r="B797" i="14"/>
  <c r="L796" i="14"/>
  <c r="E796" i="14"/>
  <c r="D796" i="14"/>
  <c r="B796" i="14"/>
  <c r="L795" i="14"/>
  <c r="E795" i="14"/>
  <c r="D795" i="14"/>
  <c r="B795" i="14"/>
  <c r="L794" i="14"/>
  <c r="E794" i="14"/>
  <c r="D794" i="14"/>
  <c r="B794" i="14"/>
  <c r="L793" i="14"/>
  <c r="E793" i="14"/>
  <c r="D793" i="14"/>
  <c r="B793" i="14"/>
  <c r="L792" i="14"/>
  <c r="E792" i="14"/>
  <c r="D792" i="14"/>
  <c r="B792" i="14"/>
  <c r="L791" i="14"/>
  <c r="E791" i="14"/>
  <c r="D791" i="14"/>
  <c r="B791" i="14"/>
  <c r="L790" i="14"/>
  <c r="K790" i="14"/>
  <c r="E790" i="14"/>
  <c r="D790" i="14"/>
  <c r="B790" i="14"/>
  <c r="L789" i="14"/>
  <c r="E789" i="14"/>
  <c r="D789" i="14"/>
  <c r="B789" i="14"/>
  <c r="M788" i="14"/>
  <c r="L788" i="14"/>
  <c r="E788" i="14"/>
  <c r="D788" i="14"/>
  <c r="B788" i="14"/>
  <c r="L787" i="14"/>
  <c r="E787" i="14"/>
  <c r="D787" i="14"/>
  <c r="B787" i="14"/>
  <c r="L786" i="14"/>
  <c r="K786" i="14"/>
  <c r="E786" i="14"/>
  <c r="D786" i="14"/>
  <c r="B786" i="14"/>
  <c r="L785" i="14"/>
  <c r="K785" i="14"/>
  <c r="E785" i="14"/>
  <c r="D785" i="14"/>
  <c r="B785" i="14"/>
  <c r="L784" i="14"/>
  <c r="K784" i="14"/>
  <c r="E784" i="14"/>
  <c r="D784" i="14"/>
  <c r="B784" i="14"/>
  <c r="L783" i="14"/>
  <c r="E783" i="14"/>
  <c r="D783" i="14"/>
  <c r="B783" i="14"/>
  <c r="L782" i="14"/>
  <c r="E782" i="14"/>
  <c r="D782" i="14"/>
  <c r="B782" i="14"/>
  <c r="L781" i="14"/>
  <c r="E781" i="14"/>
  <c r="D781" i="14"/>
  <c r="B781" i="14"/>
  <c r="L780" i="14"/>
  <c r="K780" i="14"/>
  <c r="E780" i="14"/>
  <c r="D780" i="14"/>
  <c r="B780" i="14"/>
  <c r="L779" i="14"/>
  <c r="E779" i="14"/>
  <c r="D779" i="14"/>
  <c r="B779" i="14"/>
  <c r="L778" i="14"/>
  <c r="E778" i="14"/>
  <c r="D778" i="14"/>
  <c r="B778" i="14"/>
  <c r="L777" i="14"/>
  <c r="E777" i="14"/>
  <c r="D777" i="14"/>
  <c r="B777" i="14"/>
  <c r="L776" i="14"/>
  <c r="E776" i="14"/>
  <c r="D776" i="14"/>
  <c r="B776" i="14"/>
  <c r="L775" i="14"/>
  <c r="E775" i="14"/>
  <c r="D775" i="14"/>
  <c r="B775" i="14"/>
  <c r="L774" i="14"/>
  <c r="K774" i="14"/>
  <c r="E774" i="14"/>
  <c r="D774" i="14"/>
  <c r="B774" i="14"/>
  <c r="L773" i="14"/>
  <c r="K773" i="14"/>
  <c r="E773" i="14"/>
  <c r="D773" i="14"/>
  <c r="B773" i="14"/>
  <c r="L772" i="14"/>
  <c r="K772" i="14"/>
  <c r="E772" i="14"/>
  <c r="D772" i="14"/>
  <c r="B772" i="14"/>
  <c r="L771" i="14"/>
  <c r="E771" i="14"/>
  <c r="D771" i="14"/>
  <c r="B771" i="14"/>
  <c r="L770" i="14"/>
  <c r="E770" i="14"/>
  <c r="D770" i="14"/>
  <c r="B770" i="14"/>
  <c r="L769" i="14"/>
  <c r="E769" i="14"/>
  <c r="D769" i="14"/>
  <c r="B769" i="14"/>
  <c r="L768" i="14"/>
  <c r="E768" i="14"/>
  <c r="D768" i="14"/>
  <c r="B768" i="14"/>
  <c r="L767" i="14"/>
  <c r="K767" i="14"/>
  <c r="E767" i="14"/>
  <c r="D767" i="14"/>
  <c r="B767" i="14"/>
  <c r="L766" i="14"/>
  <c r="E766" i="14"/>
  <c r="D766" i="14"/>
  <c r="B766" i="14"/>
  <c r="M765" i="14"/>
  <c r="L765" i="14"/>
  <c r="E765" i="14"/>
  <c r="D765" i="14"/>
  <c r="B765" i="14"/>
  <c r="L764" i="14"/>
  <c r="E764" i="14"/>
  <c r="D764" i="14"/>
  <c r="B764" i="14"/>
  <c r="L763" i="14"/>
  <c r="E763" i="14"/>
  <c r="D763" i="14"/>
  <c r="B763" i="14"/>
  <c r="L762" i="14"/>
  <c r="E762" i="14"/>
  <c r="D762" i="14"/>
  <c r="B762" i="14"/>
  <c r="L761" i="14"/>
  <c r="E761" i="14"/>
  <c r="D761" i="14"/>
  <c r="B761" i="14"/>
  <c r="L760" i="14"/>
  <c r="K760" i="14"/>
  <c r="E760" i="14"/>
  <c r="D760" i="14"/>
  <c r="B760" i="14"/>
  <c r="L759" i="14"/>
  <c r="E759" i="14"/>
  <c r="D759" i="14"/>
  <c r="B759" i="14"/>
  <c r="L758" i="14"/>
  <c r="E758" i="14"/>
  <c r="D758" i="14"/>
  <c r="B758" i="14"/>
  <c r="L757" i="14"/>
  <c r="K757" i="14"/>
  <c r="E757" i="14"/>
  <c r="D757" i="14"/>
  <c r="B757" i="14"/>
  <c r="L756" i="14"/>
  <c r="E756" i="14"/>
  <c r="D756" i="14"/>
  <c r="B756" i="14"/>
  <c r="L755" i="14"/>
  <c r="E755" i="14"/>
  <c r="D755" i="14"/>
  <c r="B755" i="14"/>
  <c r="L754" i="14"/>
  <c r="E754" i="14"/>
  <c r="D754" i="14"/>
  <c r="B754" i="14"/>
  <c r="L753" i="14"/>
  <c r="E753" i="14"/>
  <c r="D753" i="14"/>
  <c r="B753" i="14"/>
  <c r="L752" i="14"/>
  <c r="K752" i="14"/>
  <c r="E752" i="14"/>
  <c r="D752" i="14"/>
  <c r="B752" i="14"/>
  <c r="L751" i="14"/>
  <c r="E751" i="14"/>
  <c r="D751" i="14"/>
  <c r="B751" i="14"/>
  <c r="L750" i="14"/>
  <c r="E750" i="14"/>
  <c r="D750" i="14"/>
  <c r="B750" i="14"/>
  <c r="L749" i="14"/>
  <c r="E749" i="14"/>
  <c r="D749" i="14"/>
  <c r="B749" i="14"/>
  <c r="L748" i="14"/>
  <c r="E748" i="14"/>
  <c r="D748" i="14"/>
  <c r="B748" i="14"/>
  <c r="L747" i="14"/>
  <c r="E747" i="14"/>
  <c r="D747" i="14"/>
  <c r="B747" i="14"/>
  <c r="L746" i="14"/>
  <c r="E746" i="14"/>
  <c r="D746" i="14"/>
  <c r="B746" i="14"/>
  <c r="L745" i="14"/>
  <c r="E745" i="14"/>
  <c r="D745" i="14"/>
  <c r="B745" i="14"/>
  <c r="L744" i="14"/>
  <c r="E744" i="14"/>
  <c r="D744" i="14"/>
  <c r="B744" i="14"/>
  <c r="L743" i="14"/>
  <c r="E743" i="14"/>
  <c r="D743" i="14"/>
  <c r="B743" i="14"/>
  <c r="L742" i="14"/>
  <c r="E742" i="14"/>
  <c r="D742" i="14"/>
  <c r="B742" i="14"/>
  <c r="L741" i="14"/>
  <c r="E741" i="14"/>
  <c r="D741" i="14"/>
  <c r="B741" i="14"/>
  <c r="L740" i="14"/>
  <c r="E740" i="14"/>
  <c r="D740" i="14"/>
  <c r="B740" i="14"/>
  <c r="L739" i="14"/>
  <c r="E739" i="14"/>
  <c r="D739" i="14"/>
  <c r="B739" i="14"/>
  <c r="L738" i="14"/>
  <c r="E738" i="14"/>
  <c r="D738" i="14"/>
  <c r="B738" i="14"/>
  <c r="L737" i="14"/>
  <c r="E737" i="14"/>
  <c r="D737" i="14"/>
  <c r="B737" i="14"/>
  <c r="L736" i="14"/>
  <c r="E736" i="14"/>
  <c r="D736" i="14"/>
  <c r="B736" i="14"/>
  <c r="M735" i="14"/>
  <c r="L735" i="14"/>
  <c r="E735" i="14"/>
  <c r="D735" i="14"/>
  <c r="B735" i="14"/>
  <c r="L734" i="14"/>
  <c r="E734" i="14"/>
  <c r="D734" i="14"/>
  <c r="B734" i="14"/>
  <c r="L733" i="14"/>
  <c r="E733" i="14"/>
  <c r="D733" i="14"/>
  <c r="B733" i="14"/>
  <c r="L732" i="14"/>
  <c r="E732" i="14"/>
  <c r="D732" i="14"/>
  <c r="B732" i="14"/>
  <c r="L731" i="14"/>
  <c r="E731" i="14"/>
  <c r="D731" i="14"/>
  <c r="B731" i="14"/>
  <c r="L730" i="14"/>
  <c r="E730" i="14"/>
  <c r="D730" i="14"/>
  <c r="B730" i="14"/>
  <c r="M729" i="14"/>
  <c r="L729" i="14"/>
  <c r="E729" i="14"/>
  <c r="D729" i="14"/>
  <c r="B729" i="14"/>
  <c r="L728" i="14"/>
  <c r="E728" i="14"/>
  <c r="D728" i="14"/>
  <c r="B728" i="14"/>
  <c r="L727" i="14"/>
  <c r="E727" i="14"/>
  <c r="D727" i="14"/>
  <c r="B727" i="14"/>
  <c r="L726" i="14"/>
  <c r="E726" i="14"/>
  <c r="D726" i="14"/>
  <c r="B726" i="14"/>
  <c r="L725" i="14"/>
  <c r="E725" i="14"/>
  <c r="D725" i="14"/>
  <c r="B725" i="14"/>
  <c r="L724" i="14"/>
  <c r="K724" i="14"/>
  <c r="E724" i="14"/>
  <c r="D724" i="14"/>
  <c r="B724" i="14"/>
  <c r="L723" i="14"/>
  <c r="E723" i="14"/>
  <c r="D723" i="14"/>
  <c r="B723" i="14"/>
  <c r="L722" i="14"/>
  <c r="E722" i="14"/>
  <c r="D722" i="14"/>
  <c r="B722" i="14"/>
  <c r="L721" i="14"/>
  <c r="E721" i="14"/>
  <c r="D721" i="14"/>
  <c r="B721" i="14"/>
  <c r="M720" i="14"/>
  <c r="L720" i="14"/>
  <c r="E720" i="14"/>
  <c r="D720" i="14"/>
  <c r="B720" i="14"/>
  <c r="L719" i="14"/>
  <c r="E719" i="14"/>
  <c r="D719" i="14"/>
  <c r="B719" i="14"/>
  <c r="L718" i="14"/>
  <c r="E718" i="14"/>
  <c r="D718" i="14"/>
  <c r="B718" i="14"/>
  <c r="L717" i="14"/>
  <c r="E717" i="14"/>
  <c r="D717" i="14"/>
  <c r="B717" i="14"/>
  <c r="L716" i="14"/>
  <c r="E716" i="14"/>
  <c r="D716" i="14"/>
  <c r="B716" i="14"/>
  <c r="L715" i="14"/>
  <c r="E715" i="14"/>
  <c r="D715" i="14"/>
  <c r="B715" i="14"/>
  <c r="L714" i="14"/>
  <c r="E714" i="14"/>
  <c r="D714" i="14"/>
  <c r="B714" i="14"/>
  <c r="L713" i="14"/>
  <c r="E713" i="14"/>
  <c r="D713" i="14"/>
  <c r="B713" i="14"/>
  <c r="L712" i="14"/>
  <c r="E712" i="14"/>
  <c r="D712" i="14"/>
  <c r="B712" i="14"/>
  <c r="L711" i="14"/>
  <c r="E711" i="14"/>
  <c r="D711" i="14"/>
  <c r="B711" i="14"/>
  <c r="L710" i="14"/>
  <c r="K710" i="14"/>
  <c r="E710" i="14"/>
  <c r="D710" i="14"/>
  <c r="B710" i="14"/>
  <c r="L709" i="14"/>
  <c r="K709" i="14"/>
  <c r="E709" i="14"/>
  <c r="D709" i="14"/>
  <c r="B709" i="14"/>
  <c r="L708" i="14"/>
  <c r="E708" i="14"/>
  <c r="D708" i="14"/>
  <c r="B708" i="14"/>
  <c r="L707" i="14"/>
  <c r="E707" i="14"/>
  <c r="D707" i="14"/>
  <c r="B707" i="14"/>
  <c r="L706" i="14"/>
  <c r="E706" i="14"/>
  <c r="D706" i="14"/>
  <c r="B706" i="14"/>
  <c r="L705" i="14"/>
  <c r="E705" i="14"/>
  <c r="D705" i="14"/>
  <c r="B705" i="14"/>
  <c r="L704" i="14"/>
  <c r="E704" i="14"/>
  <c r="D704" i="14"/>
  <c r="B704" i="14"/>
  <c r="L703" i="14"/>
  <c r="E703" i="14"/>
  <c r="D703" i="14"/>
  <c r="B703" i="14"/>
  <c r="L702" i="14"/>
  <c r="E702" i="14"/>
  <c r="D702" i="14"/>
  <c r="B702" i="14"/>
  <c r="L701" i="14"/>
  <c r="E701" i="14"/>
  <c r="D701" i="14"/>
  <c r="B701" i="14"/>
  <c r="L700" i="14"/>
  <c r="E700" i="14"/>
  <c r="D700" i="14"/>
  <c r="B700" i="14"/>
  <c r="L699" i="14"/>
  <c r="K699" i="14"/>
  <c r="E699" i="14"/>
  <c r="D699" i="14"/>
  <c r="B699" i="14"/>
  <c r="M698" i="14"/>
  <c r="L698" i="14"/>
  <c r="E698" i="14"/>
  <c r="D698" i="14"/>
  <c r="B698" i="14"/>
  <c r="L697" i="14"/>
  <c r="E697" i="14"/>
  <c r="D697" i="14"/>
  <c r="B697" i="14"/>
  <c r="L696" i="14"/>
  <c r="E696" i="14"/>
  <c r="D696" i="14"/>
  <c r="B696" i="14"/>
  <c r="L695" i="14"/>
  <c r="K695" i="14"/>
  <c r="E695" i="14"/>
  <c r="D695" i="14"/>
  <c r="B695" i="14"/>
  <c r="L694" i="14"/>
  <c r="E694" i="14"/>
  <c r="D694" i="14"/>
  <c r="B694" i="14"/>
  <c r="L693" i="14"/>
  <c r="E693" i="14"/>
  <c r="D693" i="14"/>
  <c r="B693" i="14"/>
  <c r="L692" i="14"/>
  <c r="E692" i="14"/>
  <c r="D692" i="14"/>
  <c r="B692" i="14"/>
  <c r="L691" i="14"/>
  <c r="E691" i="14"/>
  <c r="D691" i="14"/>
  <c r="B691" i="14"/>
  <c r="L690" i="14"/>
  <c r="E690" i="14"/>
  <c r="D690" i="14"/>
  <c r="B690" i="14"/>
  <c r="L689" i="14"/>
  <c r="K689" i="14"/>
  <c r="E689" i="14"/>
  <c r="D689" i="14"/>
  <c r="B689" i="14"/>
  <c r="L688" i="14"/>
  <c r="E688" i="14"/>
  <c r="D688" i="14"/>
  <c r="B688" i="14"/>
  <c r="L687" i="14"/>
  <c r="K687" i="14"/>
  <c r="E687" i="14"/>
  <c r="D687" i="14"/>
  <c r="B687" i="14"/>
  <c r="L686" i="14"/>
  <c r="E686" i="14"/>
  <c r="D686" i="14"/>
  <c r="B686" i="14"/>
  <c r="L685" i="14"/>
  <c r="K685" i="14"/>
  <c r="E685" i="14"/>
  <c r="D685" i="14"/>
  <c r="B685" i="14"/>
  <c r="L684" i="14"/>
  <c r="E684" i="14"/>
  <c r="D684" i="14"/>
  <c r="B684" i="14"/>
  <c r="L683" i="14"/>
  <c r="E683" i="14"/>
  <c r="D683" i="14"/>
  <c r="B683" i="14"/>
  <c r="L682" i="14"/>
  <c r="E682" i="14"/>
  <c r="D682" i="14"/>
  <c r="B682" i="14"/>
  <c r="L681" i="14"/>
  <c r="E681" i="14"/>
  <c r="D681" i="14"/>
  <c r="B681" i="14"/>
  <c r="L680" i="14"/>
  <c r="E680" i="14"/>
  <c r="D680" i="14"/>
  <c r="B680" i="14"/>
  <c r="L679" i="14"/>
  <c r="E679" i="14"/>
  <c r="D679" i="14"/>
  <c r="B679" i="14"/>
  <c r="L678" i="14"/>
  <c r="K678" i="14"/>
  <c r="E678" i="14"/>
  <c r="D678" i="14"/>
  <c r="B678" i="14"/>
  <c r="M677" i="14"/>
  <c r="L677" i="14"/>
  <c r="K677" i="14"/>
  <c r="E677" i="14"/>
  <c r="D677" i="14"/>
  <c r="B677" i="14"/>
  <c r="M676" i="14"/>
  <c r="L676" i="14"/>
  <c r="K676" i="14"/>
  <c r="B676" i="14"/>
  <c r="L675" i="14"/>
  <c r="B675" i="14"/>
  <c r="L674" i="14"/>
  <c r="B674" i="14"/>
  <c r="L673" i="14"/>
  <c r="B673" i="14"/>
  <c r="L672" i="14"/>
  <c r="K672" i="14"/>
  <c r="B672" i="14"/>
  <c r="L671" i="14"/>
  <c r="B671" i="14"/>
  <c r="L670" i="14"/>
  <c r="B670" i="14"/>
  <c r="L669" i="14"/>
  <c r="K669" i="14"/>
  <c r="B669" i="14"/>
  <c r="M668" i="14"/>
  <c r="L668" i="14"/>
  <c r="K668" i="14"/>
  <c r="B668" i="14"/>
  <c r="L667" i="14"/>
  <c r="K667" i="14"/>
  <c r="B667" i="14"/>
  <c r="L666" i="14"/>
  <c r="K666" i="14"/>
  <c r="B666" i="14"/>
  <c r="L665" i="14"/>
  <c r="K665" i="14"/>
  <c r="B665" i="14"/>
  <c r="L664" i="14"/>
  <c r="B664" i="14"/>
  <c r="L663" i="14"/>
  <c r="B663" i="14"/>
  <c r="L662" i="14"/>
  <c r="B662" i="14"/>
  <c r="L661" i="14"/>
  <c r="K661" i="14"/>
  <c r="B661" i="14"/>
  <c r="M660" i="14"/>
  <c r="L660" i="14"/>
  <c r="B660" i="14"/>
  <c r="L659" i="14"/>
  <c r="B659" i="14"/>
  <c r="L658" i="14"/>
  <c r="B658" i="14"/>
  <c r="L657" i="14"/>
  <c r="B657" i="14"/>
  <c r="L656" i="14"/>
  <c r="B656" i="14"/>
  <c r="L655" i="14"/>
  <c r="B655" i="14"/>
  <c r="L654" i="14"/>
  <c r="B654" i="14"/>
  <c r="L653" i="14"/>
  <c r="B653" i="14"/>
  <c r="L652" i="14"/>
  <c r="K652" i="14"/>
  <c r="B652" i="14"/>
  <c r="L651" i="14"/>
  <c r="B651" i="14"/>
  <c r="L650" i="14"/>
  <c r="K650" i="14"/>
  <c r="B650" i="14"/>
  <c r="L649" i="14"/>
  <c r="K649" i="14"/>
  <c r="J649" i="14"/>
  <c r="B649" i="14"/>
  <c r="M648" i="14"/>
  <c r="L648" i="14"/>
  <c r="K648" i="14"/>
  <c r="J648" i="14"/>
  <c r="B648" i="14"/>
  <c r="L647" i="14"/>
  <c r="E647" i="14"/>
  <c r="D647" i="14"/>
  <c r="B647" i="14"/>
  <c r="L646" i="14"/>
  <c r="K646" i="14"/>
  <c r="E646" i="14"/>
  <c r="D646" i="14"/>
  <c r="B646" i="14"/>
  <c r="L645" i="14"/>
  <c r="K645" i="14"/>
  <c r="E645" i="14"/>
  <c r="D645" i="14"/>
  <c r="B645" i="14"/>
  <c r="L644" i="14"/>
  <c r="K644" i="14"/>
  <c r="E644" i="14"/>
  <c r="D644" i="14"/>
  <c r="B644" i="14"/>
  <c r="L643" i="14"/>
  <c r="K643" i="14"/>
  <c r="E643" i="14"/>
  <c r="D643" i="14"/>
  <c r="B643" i="14"/>
  <c r="M642" i="14"/>
  <c r="L642" i="14"/>
  <c r="E642" i="14"/>
  <c r="D642" i="14"/>
  <c r="B642" i="14"/>
  <c r="L641" i="14"/>
  <c r="E641" i="14"/>
  <c r="D641" i="14"/>
  <c r="B641" i="14"/>
  <c r="L640" i="14"/>
  <c r="E640" i="14"/>
  <c r="D640" i="14"/>
  <c r="B640" i="14"/>
  <c r="L639" i="14"/>
  <c r="K639" i="14"/>
  <c r="E639" i="14"/>
  <c r="D639" i="14"/>
  <c r="B639" i="14"/>
  <c r="L638" i="14"/>
  <c r="E638" i="14"/>
  <c r="D638" i="14"/>
  <c r="B638" i="14"/>
  <c r="L637" i="14"/>
  <c r="K637" i="14"/>
  <c r="E637" i="14"/>
  <c r="D637" i="14"/>
  <c r="B637" i="14"/>
  <c r="L636" i="14"/>
  <c r="K636" i="14"/>
  <c r="E636" i="14"/>
  <c r="D636" i="14"/>
  <c r="B636" i="14"/>
  <c r="L635" i="14"/>
  <c r="E635" i="14"/>
  <c r="D635" i="14"/>
  <c r="B635" i="14"/>
  <c r="L634" i="14"/>
  <c r="E634" i="14"/>
  <c r="D634" i="14"/>
  <c r="B634" i="14"/>
  <c r="L633" i="14"/>
  <c r="K633" i="14"/>
  <c r="E633" i="14"/>
  <c r="D633" i="14"/>
  <c r="B633" i="14"/>
  <c r="L632" i="14"/>
  <c r="K632" i="14"/>
  <c r="E632" i="14"/>
  <c r="D632" i="14"/>
  <c r="B632" i="14"/>
  <c r="L631" i="14"/>
  <c r="E631" i="14"/>
  <c r="D631" i="14"/>
  <c r="B631" i="14"/>
  <c r="L630" i="14"/>
  <c r="E630" i="14"/>
  <c r="D630" i="14"/>
  <c r="B630" i="14"/>
  <c r="L629" i="14"/>
  <c r="E629" i="14"/>
  <c r="D629" i="14"/>
  <c r="B629" i="14"/>
  <c r="L628" i="14"/>
  <c r="E628" i="14"/>
  <c r="D628" i="14"/>
  <c r="B628" i="14"/>
  <c r="L627" i="14"/>
  <c r="E627" i="14"/>
  <c r="D627" i="14"/>
  <c r="B627" i="14"/>
  <c r="L626" i="14"/>
  <c r="K626" i="14"/>
  <c r="E626" i="14"/>
  <c r="D626" i="14"/>
  <c r="B626" i="14"/>
  <c r="L625" i="14"/>
  <c r="E625" i="14"/>
  <c r="D625" i="14"/>
  <c r="B625" i="14"/>
  <c r="L624" i="14"/>
  <c r="K624" i="14"/>
  <c r="E624" i="14"/>
  <c r="D624" i="14"/>
  <c r="B624" i="14"/>
  <c r="L623" i="14"/>
  <c r="K623" i="14"/>
  <c r="E623" i="14"/>
  <c r="D623" i="14"/>
  <c r="B623" i="14"/>
  <c r="M622" i="14"/>
  <c r="L622" i="14"/>
  <c r="E622" i="14"/>
  <c r="D622" i="14"/>
  <c r="B622" i="14"/>
  <c r="L621" i="14"/>
  <c r="E621" i="14"/>
  <c r="D621" i="14"/>
  <c r="B621" i="14"/>
  <c r="L620" i="14"/>
  <c r="E620" i="14"/>
  <c r="D620" i="14"/>
  <c r="B620" i="14"/>
  <c r="L619" i="14"/>
  <c r="E619" i="14"/>
  <c r="D619" i="14"/>
  <c r="B619" i="14"/>
  <c r="L618" i="14"/>
  <c r="E618" i="14"/>
  <c r="D618" i="14"/>
  <c r="B618" i="14"/>
  <c r="L617" i="14"/>
  <c r="E617" i="14"/>
  <c r="D617" i="14"/>
  <c r="B617" i="14"/>
  <c r="L616" i="14"/>
  <c r="E616" i="14"/>
  <c r="D616" i="14"/>
  <c r="B616" i="14"/>
  <c r="L615" i="14"/>
  <c r="E615" i="14"/>
  <c r="D615" i="14"/>
  <c r="B615" i="14"/>
  <c r="L614" i="14"/>
  <c r="E614" i="14"/>
  <c r="D614" i="14"/>
  <c r="B614" i="14"/>
  <c r="M613" i="14"/>
  <c r="L613" i="14"/>
  <c r="E613" i="14"/>
  <c r="D613" i="14"/>
  <c r="B613" i="14"/>
  <c r="L612" i="14"/>
  <c r="E612" i="14"/>
  <c r="D612" i="14"/>
  <c r="B612" i="14"/>
  <c r="L611" i="14"/>
  <c r="E611" i="14"/>
  <c r="D611" i="14"/>
  <c r="B611" i="14"/>
  <c r="L610" i="14"/>
  <c r="E610" i="14"/>
  <c r="D610" i="14"/>
  <c r="B610" i="14"/>
  <c r="L609" i="14"/>
  <c r="E609" i="14"/>
  <c r="D609" i="14"/>
  <c r="B609" i="14"/>
  <c r="L608" i="14"/>
  <c r="E608" i="14"/>
  <c r="D608" i="14"/>
  <c r="B608" i="14"/>
  <c r="L607" i="14"/>
  <c r="E607" i="14"/>
  <c r="D607" i="14"/>
  <c r="B607" i="14"/>
  <c r="L606" i="14"/>
  <c r="E606" i="14"/>
  <c r="D606" i="14"/>
  <c r="B606" i="14"/>
  <c r="L605" i="14"/>
  <c r="E605" i="14"/>
  <c r="D605" i="14"/>
  <c r="B605" i="14"/>
  <c r="L604" i="14"/>
  <c r="E604" i="14"/>
  <c r="D604" i="14"/>
  <c r="B604" i="14"/>
  <c r="L603" i="14"/>
  <c r="E603" i="14"/>
  <c r="D603" i="14"/>
  <c r="B603" i="14"/>
  <c r="L602" i="14"/>
  <c r="E602" i="14"/>
  <c r="D602" i="14"/>
  <c r="B602" i="14"/>
  <c r="L601" i="14"/>
  <c r="E601" i="14"/>
  <c r="D601" i="14"/>
  <c r="B601" i="14"/>
  <c r="L600" i="14"/>
  <c r="E600" i="14"/>
  <c r="D600" i="14"/>
  <c r="B600" i="14"/>
  <c r="L599" i="14"/>
  <c r="E599" i="14"/>
  <c r="D599" i="14"/>
  <c r="B599" i="14"/>
  <c r="L598" i="14"/>
  <c r="E598" i="14"/>
  <c r="D598" i="14"/>
  <c r="B598" i="14"/>
  <c r="L597" i="14"/>
  <c r="E597" i="14"/>
  <c r="D597" i="14"/>
  <c r="B597" i="14"/>
  <c r="L596" i="14"/>
  <c r="E596" i="14"/>
  <c r="D596" i="14"/>
  <c r="B596" i="14"/>
  <c r="L595" i="14"/>
  <c r="E595" i="14"/>
  <c r="D595" i="14"/>
  <c r="B595" i="14"/>
  <c r="L594" i="14"/>
  <c r="E594" i="14"/>
  <c r="D594" i="14"/>
  <c r="B594" i="14"/>
  <c r="M593" i="14"/>
  <c r="L593" i="14"/>
  <c r="E593" i="14"/>
  <c r="D593" i="14"/>
  <c r="B593" i="14"/>
  <c r="L592" i="14"/>
  <c r="E592" i="14"/>
  <c r="D592" i="14"/>
  <c r="B592" i="14"/>
  <c r="L591" i="14"/>
  <c r="E591" i="14"/>
  <c r="D591" i="14"/>
  <c r="B591" i="14"/>
  <c r="L590" i="14"/>
  <c r="K590" i="14"/>
  <c r="E590" i="14"/>
  <c r="D590" i="14"/>
  <c r="B590" i="14"/>
  <c r="L589" i="14"/>
  <c r="E589" i="14"/>
  <c r="D589" i="14"/>
  <c r="B589" i="14"/>
  <c r="L588" i="14"/>
  <c r="E588" i="14"/>
  <c r="D588" i="14"/>
  <c r="B588" i="14"/>
  <c r="L587" i="14"/>
  <c r="K587" i="14"/>
  <c r="E587" i="14"/>
  <c r="D587" i="14"/>
  <c r="B587" i="14"/>
  <c r="L586" i="14"/>
  <c r="E586" i="14"/>
  <c r="D586" i="14"/>
  <c r="B586" i="14"/>
  <c r="L585" i="14"/>
  <c r="E585" i="14"/>
  <c r="D585" i="14"/>
  <c r="B585" i="14"/>
  <c r="L584" i="14"/>
  <c r="E584" i="14"/>
  <c r="D584" i="14"/>
  <c r="B584" i="14"/>
  <c r="L583" i="14"/>
  <c r="E583" i="14"/>
  <c r="D583" i="14"/>
  <c r="B583" i="14"/>
  <c r="L582" i="14"/>
  <c r="E582" i="14"/>
  <c r="D582" i="14"/>
  <c r="B582" i="14"/>
  <c r="L581" i="14"/>
  <c r="E581" i="14"/>
  <c r="D581" i="14"/>
  <c r="B581" i="14"/>
  <c r="L580" i="14"/>
  <c r="E580" i="14"/>
  <c r="D580" i="14"/>
  <c r="B580" i="14"/>
  <c r="L579" i="14"/>
  <c r="E579" i="14"/>
  <c r="D579" i="14"/>
  <c r="B579" i="14"/>
  <c r="L578" i="14"/>
  <c r="E578" i="14"/>
  <c r="D578" i="14"/>
  <c r="B578" i="14"/>
  <c r="L577" i="14"/>
  <c r="E577" i="14"/>
  <c r="D577" i="14"/>
  <c r="B577" i="14"/>
  <c r="L576" i="14"/>
  <c r="E576" i="14"/>
  <c r="D576" i="14"/>
  <c r="B576" i="14"/>
  <c r="L575" i="14"/>
  <c r="E575" i="14"/>
  <c r="D575" i="14"/>
  <c r="B575" i="14"/>
  <c r="L574" i="14"/>
  <c r="E574" i="14"/>
  <c r="D574" i="14"/>
  <c r="B574" i="14"/>
  <c r="L573" i="14"/>
  <c r="E573" i="14"/>
  <c r="D573" i="14"/>
  <c r="B573" i="14"/>
  <c r="L572" i="14"/>
  <c r="E572" i="14"/>
  <c r="D572" i="14"/>
  <c r="B572" i="14"/>
  <c r="L571" i="14"/>
  <c r="E571" i="14"/>
  <c r="D571" i="14"/>
  <c r="B571" i="14"/>
  <c r="L570" i="14"/>
  <c r="E570" i="14"/>
  <c r="D570" i="14"/>
  <c r="B570" i="14"/>
  <c r="L569" i="14"/>
  <c r="E569" i="14"/>
  <c r="D569" i="14"/>
  <c r="B569" i="14"/>
  <c r="L568" i="14"/>
  <c r="E568" i="14"/>
  <c r="D568" i="14"/>
  <c r="B568" i="14"/>
  <c r="L567" i="14"/>
  <c r="E567" i="14"/>
  <c r="D567" i="14"/>
  <c r="B567" i="14"/>
  <c r="M566" i="14"/>
  <c r="L566" i="14"/>
  <c r="E566" i="14"/>
  <c r="D566" i="14"/>
  <c r="B566" i="14"/>
  <c r="L565" i="14"/>
  <c r="E565" i="14"/>
  <c r="D565" i="14"/>
  <c r="B565" i="14"/>
  <c r="L564" i="14"/>
  <c r="E564" i="14"/>
  <c r="D564" i="14"/>
  <c r="B564" i="14"/>
  <c r="M563" i="14"/>
  <c r="L563" i="14"/>
  <c r="E563" i="14"/>
  <c r="D563" i="14"/>
  <c r="B563" i="14"/>
  <c r="L562" i="14"/>
  <c r="E562" i="14"/>
  <c r="D562" i="14"/>
  <c r="B562" i="14"/>
  <c r="L561" i="14"/>
  <c r="E561" i="14"/>
  <c r="D561" i="14"/>
  <c r="B561" i="14"/>
  <c r="L560" i="14"/>
  <c r="E560" i="14"/>
  <c r="D560" i="14"/>
  <c r="B560" i="14"/>
  <c r="L559" i="14"/>
  <c r="E559" i="14"/>
  <c r="D559" i="14"/>
  <c r="B559" i="14"/>
  <c r="L558" i="14"/>
  <c r="K558" i="14"/>
  <c r="E558" i="14"/>
  <c r="D558" i="14"/>
  <c r="B558" i="14"/>
  <c r="L557" i="14"/>
  <c r="E557" i="14"/>
  <c r="D557" i="14"/>
  <c r="B557" i="14"/>
  <c r="L556" i="14"/>
  <c r="E556" i="14"/>
  <c r="D556" i="14"/>
  <c r="B556" i="14"/>
  <c r="L555" i="14"/>
  <c r="E555" i="14"/>
  <c r="D555" i="14"/>
  <c r="B555" i="14"/>
  <c r="L554" i="14"/>
  <c r="E554" i="14"/>
  <c r="D554" i="14"/>
  <c r="B554" i="14"/>
  <c r="M553" i="14"/>
  <c r="L553" i="14"/>
  <c r="E553" i="14"/>
  <c r="D553" i="14"/>
  <c r="B553" i="14"/>
  <c r="L552" i="14"/>
  <c r="E552" i="14"/>
  <c r="D552" i="14"/>
  <c r="B552" i="14"/>
  <c r="L551" i="14"/>
  <c r="E551" i="14"/>
  <c r="D551" i="14"/>
  <c r="B551" i="14"/>
  <c r="L550" i="14"/>
  <c r="E550" i="14"/>
  <c r="D550" i="14"/>
  <c r="B550" i="14"/>
  <c r="L549" i="14"/>
  <c r="E549" i="14"/>
  <c r="D549" i="14"/>
  <c r="B549" i="14"/>
  <c r="L548" i="14"/>
  <c r="E548" i="14"/>
  <c r="D548" i="14"/>
  <c r="B548" i="14"/>
  <c r="L547" i="14"/>
  <c r="E547" i="14"/>
  <c r="D547" i="14"/>
  <c r="B547" i="14"/>
  <c r="M546" i="14"/>
  <c r="L546" i="14"/>
  <c r="E546" i="14"/>
  <c r="D546" i="14"/>
  <c r="B546" i="14"/>
  <c r="L545" i="14"/>
  <c r="K545" i="14"/>
  <c r="E545" i="14"/>
  <c r="D545" i="14"/>
  <c r="B545" i="14"/>
  <c r="L544" i="14"/>
  <c r="E544" i="14"/>
  <c r="D544" i="14"/>
  <c r="B544" i="14"/>
  <c r="L543" i="14"/>
  <c r="K543" i="14"/>
  <c r="E543" i="14"/>
  <c r="D543" i="14"/>
  <c r="B543" i="14"/>
  <c r="L542" i="14"/>
  <c r="K542" i="14"/>
  <c r="E542" i="14"/>
  <c r="D542" i="14"/>
  <c r="B542" i="14"/>
  <c r="L541" i="14"/>
  <c r="E541" i="14"/>
  <c r="D541" i="14"/>
  <c r="B541" i="14"/>
  <c r="L540" i="14"/>
  <c r="E540" i="14"/>
  <c r="D540" i="14"/>
  <c r="B540" i="14"/>
  <c r="L539" i="14"/>
  <c r="K539" i="14"/>
  <c r="E539" i="14"/>
  <c r="D539" i="14"/>
  <c r="B539" i="14"/>
  <c r="L538" i="14"/>
  <c r="K538" i="14"/>
  <c r="E538" i="14"/>
  <c r="D538" i="14"/>
  <c r="B538" i="14"/>
  <c r="L537" i="14"/>
  <c r="K537" i="14"/>
  <c r="E537" i="14"/>
  <c r="D537" i="14"/>
  <c r="B537" i="14"/>
  <c r="L536" i="14"/>
  <c r="K536" i="14"/>
  <c r="E536" i="14"/>
  <c r="D536" i="14"/>
  <c r="B536" i="14"/>
  <c r="L535" i="14"/>
  <c r="E535" i="14"/>
  <c r="D535" i="14"/>
  <c r="B535" i="14"/>
  <c r="L534" i="14"/>
  <c r="E534" i="14"/>
  <c r="D534" i="14"/>
  <c r="B534" i="14"/>
  <c r="L533" i="14"/>
  <c r="K533" i="14"/>
  <c r="E533" i="14"/>
  <c r="D533" i="14"/>
  <c r="B533" i="14"/>
  <c r="L532" i="14"/>
  <c r="E532" i="14"/>
  <c r="D532" i="14"/>
  <c r="B532" i="14"/>
  <c r="L531" i="14"/>
  <c r="K531" i="14"/>
  <c r="E531" i="14"/>
  <c r="D531" i="14"/>
  <c r="B531" i="14"/>
  <c r="L530" i="14"/>
  <c r="K530" i="14"/>
  <c r="E530" i="14"/>
  <c r="D530" i="14"/>
  <c r="B530" i="14"/>
  <c r="L529" i="14"/>
  <c r="E529" i="14"/>
  <c r="D529" i="14"/>
  <c r="B529" i="14"/>
  <c r="L528" i="14"/>
  <c r="E528" i="14"/>
  <c r="D528" i="14"/>
  <c r="B528" i="14"/>
  <c r="L527" i="14"/>
  <c r="E527" i="14"/>
  <c r="D527" i="14"/>
  <c r="B527" i="14"/>
  <c r="M526" i="14"/>
  <c r="L526" i="14"/>
  <c r="K526" i="14"/>
  <c r="E526" i="14"/>
  <c r="D526" i="14"/>
  <c r="B526" i="14"/>
  <c r="L525" i="14"/>
  <c r="E525" i="14"/>
  <c r="D525" i="14"/>
  <c r="B525" i="14"/>
  <c r="L524" i="14"/>
  <c r="E524" i="14"/>
  <c r="D524" i="14"/>
  <c r="B524" i="14"/>
  <c r="M523" i="14"/>
  <c r="L523" i="14"/>
  <c r="E523" i="14"/>
  <c r="D523" i="14"/>
  <c r="B523" i="14"/>
  <c r="L522" i="14"/>
  <c r="E522" i="14"/>
  <c r="D522" i="14"/>
  <c r="B522" i="14"/>
  <c r="L521" i="14"/>
  <c r="E521" i="14"/>
  <c r="D521" i="14"/>
  <c r="B521" i="14"/>
  <c r="L520" i="14"/>
  <c r="E520" i="14"/>
  <c r="D520" i="14"/>
  <c r="B520" i="14"/>
  <c r="L519" i="14"/>
  <c r="E519" i="14"/>
  <c r="D519" i="14"/>
  <c r="B519" i="14"/>
  <c r="L518" i="14"/>
  <c r="E518" i="14"/>
  <c r="D518" i="14"/>
  <c r="B518" i="14"/>
  <c r="L517" i="14"/>
  <c r="E517" i="14"/>
  <c r="D517" i="14"/>
  <c r="B517" i="14"/>
  <c r="L516" i="14"/>
  <c r="E516" i="14"/>
  <c r="D516" i="14"/>
  <c r="B516" i="14"/>
  <c r="L515" i="14"/>
  <c r="K515" i="14"/>
  <c r="E515" i="14"/>
  <c r="D515" i="14"/>
  <c r="B515" i="14"/>
  <c r="L514" i="14"/>
  <c r="E514" i="14"/>
  <c r="D514" i="14"/>
  <c r="B514" i="14"/>
  <c r="L513" i="14"/>
  <c r="E513" i="14"/>
  <c r="D513" i="14"/>
  <c r="B513" i="14"/>
  <c r="L512" i="14"/>
  <c r="E512" i="14"/>
  <c r="D512" i="14"/>
  <c r="B512" i="14"/>
  <c r="L511" i="14"/>
  <c r="E511" i="14"/>
  <c r="D511" i="14"/>
  <c r="B511" i="14"/>
  <c r="L510" i="14"/>
  <c r="E510" i="14"/>
  <c r="D510" i="14"/>
  <c r="B510" i="14"/>
  <c r="L509" i="14"/>
  <c r="E509" i="14"/>
  <c r="D509" i="14"/>
  <c r="B509" i="14"/>
  <c r="L508" i="14"/>
  <c r="E508" i="14"/>
  <c r="D508" i="14"/>
  <c r="B508" i="14"/>
  <c r="L507" i="14"/>
  <c r="E507" i="14"/>
  <c r="D507" i="14"/>
  <c r="B507" i="14"/>
  <c r="L506" i="14"/>
  <c r="E506" i="14"/>
  <c r="D506" i="14"/>
  <c r="B506" i="14"/>
  <c r="L505" i="14"/>
  <c r="E505" i="14"/>
  <c r="D505" i="14"/>
  <c r="B505" i="14"/>
  <c r="L504" i="14"/>
  <c r="E504" i="14"/>
  <c r="D504" i="14"/>
  <c r="B504" i="14"/>
  <c r="L503" i="14"/>
  <c r="E503" i="14"/>
  <c r="D503" i="14"/>
  <c r="B503" i="14"/>
  <c r="L502" i="14"/>
  <c r="E502" i="14"/>
  <c r="D502" i="14"/>
  <c r="B502" i="14"/>
  <c r="L501" i="14"/>
  <c r="E501" i="14"/>
  <c r="D501" i="14"/>
  <c r="B501" i="14"/>
  <c r="L500" i="14"/>
  <c r="E500" i="14"/>
  <c r="D500" i="14"/>
  <c r="B500" i="14"/>
  <c r="L499" i="14"/>
  <c r="E499" i="14"/>
  <c r="D499" i="14"/>
  <c r="B499" i="14"/>
  <c r="L498" i="14"/>
  <c r="E498" i="14"/>
  <c r="D498" i="14"/>
  <c r="B498" i="14"/>
  <c r="L497" i="14"/>
  <c r="E497" i="14"/>
  <c r="D497" i="14"/>
  <c r="B497" i="14"/>
  <c r="L496" i="14"/>
  <c r="E496" i="14"/>
  <c r="D496" i="14"/>
  <c r="B496" i="14"/>
  <c r="L495" i="14"/>
  <c r="E495" i="14"/>
  <c r="D495" i="14"/>
  <c r="B495" i="14"/>
  <c r="L494" i="14"/>
  <c r="K494" i="14"/>
  <c r="E494" i="14"/>
  <c r="D494" i="14"/>
  <c r="B494" i="14"/>
  <c r="L493" i="14"/>
  <c r="E493" i="14"/>
  <c r="D493" i="14"/>
  <c r="B493" i="14"/>
  <c r="L492" i="14"/>
  <c r="E492" i="14"/>
  <c r="D492" i="14"/>
  <c r="B492" i="14"/>
  <c r="L491" i="14"/>
  <c r="E491" i="14"/>
  <c r="D491" i="14"/>
  <c r="B491" i="14"/>
  <c r="L490" i="14"/>
  <c r="E490" i="14"/>
  <c r="D490" i="14"/>
  <c r="B490" i="14"/>
  <c r="L489" i="14"/>
  <c r="E489" i="14"/>
  <c r="D489" i="14"/>
  <c r="B489" i="14"/>
  <c r="M488" i="14"/>
  <c r="L488" i="14"/>
  <c r="E488" i="14"/>
  <c r="D488" i="14"/>
  <c r="B488" i="14"/>
  <c r="L487" i="14"/>
  <c r="E487" i="14"/>
  <c r="D487" i="14"/>
  <c r="B487" i="14"/>
  <c r="L486" i="14"/>
  <c r="E486" i="14"/>
  <c r="D486" i="14"/>
  <c r="B486" i="14"/>
  <c r="L485" i="14"/>
  <c r="K485" i="14"/>
  <c r="E485" i="14"/>
  <c r="D485" i="14"/>
  <c r="B485" i="14"/>
  <c r="L484" i="14"/>
  <c r="E484" i="14"/>
  <c r="D484" i="14"/>
  <c r="B484" i="14"/>
  <c r="L483" i="14"/>
  <c r="E483" i="14"/>
  <c r="D483" i="14"/>
  <c r="B483" i="14"/>
  <c r="L482" i="14"/>
  <c r="E482" i="14"/>
  <c r="D482" i="14"/>
  <c r="B482" i="14"/>
  <c r="L481" i="14"/>
  <c r="K481" i="14"/>
  <c r="E481" i="14"/>
  <c r="D481" i="14"/>
  <c r="B481" i="14"/>
  <c r="M480" i="14"/>
  <c r="L480" i="14"/>
  <c r="E480" i="14"/>
  <c r="D480" i="14"/>
  <c r="B480" i="14"/>
  <c r="L479" i="14"/>
  <c r="K479" i="14"/>
  <c r="B479" i="14"/>
  <c r="M478" i="14"/>
  <c r="L478" i="14"/>
  <c r="B478" i="14"/>
  <c r="L477" i="14"/>
  <c r="K477" i="14"/>
  <c r="E477" i="14"/>
  <c r="D477" i="14"/>
  <c r="B477" i="14"/>
  <c r="L476" i="14"/>
  <c r="E476" i="14"/>
  <c r="D476" i="14"/>
  <c r="B476" i="14"/>
  <c r="L475" i="14"/>
  <c r="E475" i="14"/>
  <c r="D475" i="14"/>
  <c r="B475" i="14"/>
  <c r="L474" i="14"/>
  <c r="K474" i="14"/>
  <c r="E474" i="14"/>
  <c r="D474" i="14"/>
  <c r="B474" i="14"/>
  <c r="L473" i="14"/>
  <c r="E473" i="14"/>
  <c r="D473" i="14"/>
  <c r="B473" i="14"/>
  <c r="L472" i="14"/>
  <c r="E472" i="14"/>
  <c r="D472" i="14"/>
  <c r="B472" i="14"/>
  <c r="L471" i="14"/>
  <c r="E471" i="14"/>
  <c r="D471" i="14"/>
  <c r="B471" i="14"/>
  <c r="L470" i="14"/>
  <c r="E470" i="14"/>
  <c r="D470" i="14"/>
  <c r="B470" i="14"/>
  <c r="L469" i="14"/>
  <c r="E469" i="14"/>
  <c r="D469" i="14"/>
  <c r="B469" i="14"/>
  <c r="L468" i="14"/>
  <c r="E468" i="14"/>
  <c r="D468" i="14"/>
  <c r="B468" i="14"/>
  <c r="L467" i="14"/>
  <c r="K467" i="14"/>
  <c r="E467" i="14"/>
  <c r="D467" i="14"/>
  <c r="B467" i="14"/>
  <c r="L466" i="14"/>
  <c r="K466" i="14"/>
  <c r="E466" i="14"/>
  <c r="D466" i="14"/>
  <c r="B466" i="14"/>
  <c r="L465" i="14"/>
  <c r="K465" i="14"/>
  <c r="E465" i="14"/>
  <c r="D465" i="14"/>
  <c r="B465" i="14"/>
  <c r="L464" i="14"/>
  <c r="K464" i="14"/>
  <c r="E464" i="14"/>
  <c r="D464" i="14"/>
  <c r="B464" i="14"/>
  <c r="L463" i="14"/>
  <c r="K463" i="14"/>
  <c r="E463" i="14"/>
  <c r="D463" i="14"/>
  <c r="B463" i="14"/>
  <c r="L462" i="14"/>
  <c r="E462" i="14"/>
  <c r="D462" i="14"/>
  <c r="B462" i="14"/>
  <c r="L461" i="14"/>
  <c r="E461" i="14"/>
  <c r="D461" i="14"/>
  <c r="B461" i="14"/>
  <c r="L460" i="14"/>
  <c r="E460" i="14"/>
  <c r="D460" i="14"/>
  <c r="B460" i="14"/>
  <c r="L459" i="14"/>
  <c r="E459" i="14"/>
  <c r="D459" i="14"/>
  <c r="B459" i="14"/>
  <c r="L458" i="14"/>
  <c r="E458" i="14"/>
  <c r="D458" i="14"/>
  <c r="B458" i="14"/>
  <c r="L457" i="14"/>
  <c r="E457" i="14"/>
  <c r="D457" i="14"/>
  <c r="B457" i="14"/>
  <c r="M456" i="14"/>
  <c r="L456" i="14"/>
  <c r="E456" i="14"/>
  <c r="D456" i="14"/>
  <c r="B456" i="14"/>
  <c r="B455" i="14"/>
  <c r="B454" i="14"/>
  <c r="B453" i="14"/>
  <c r="B452" i="14"/>
  <c r="B451" i="14"/>
  <c r="M450" i="14"/>
  <c r="L450" i="14"/>
  <c r="K450" i="14"/>
  <c r="E450" i="14"/>
  <c r="D450" i="14"/>
  <c r="B450" i="14"/>
  <c r="L449" i="14"/>
  <c r="K449" i="14"/>
  <c r="E449" i="14"/>
  <c r="D449" i="14"/>
  <c r="B449" i="14"/>
  <c r="L448" i="14"/>
  <c r="K448" i="14"/>
  <c r="E448" i="14"/>
  <c r="D448" i="14"/>
  <c r="B448" i="14"/>
  <c r="L447" i="14"/>
  <c r="E447" i="14"/>
  <c r="D447" i="14"/>
  <c r="B447" i="14"/>
  <c r="M446" i="14"/>
  <c r="L446" i="14"/>
  <c r="E446" i="14"/>
  <c r="D446" i="14"/>
  <c r="B446" i="14"/>
  <c r="L445" i="14"/>
  <c r="E445" i="14"/>
  <c r="D445" i="14"/>
  <c r="B445" i="14"/>
  <c r="M444" i="14"/>
  <c r="L444" i="14"/>
  <c r="E444" i="14"/>
  <c r="D444" i="14"/>
  <c r="B444" i="14"/>
  <c r="L443" i="14"/>
  <c r="E443" i="14"/>
  <c r="D443" i="14"/>
  <c r="B443" i="14"/>
  <c r="L442" i="14"/>
  <c r="E442" i="14"/>
  <c r="D442" i="14"/>
  <c r="B442" i="14"/>
  <c r="L441" i="14"/>
  <c r="E441" i="14"/>
  <c r="D441" i="14"/>
  <c r="B441" i="14"/>
  <c r="L440" i="14"/>
  <c r="E440" i="14"/>
  <c r="D440" i="14"/>
  <c r="B440" i="14"/>
  <c r="L439" i="14"/>
  <c r="K439" i="14"/>
  <c r="E439" i="14"/>
  <c r="D439" i="14"/>
  <c r="B439" i="14"/>
  <c r="L438" i="14"/>
  <c r="E438" i="14"/>
  <c r="D438" i="14"/>
  <c r="B438" i="14"/>
  <c r="M437" i="14"/>
  <c r="L437" i="14"/>
  <c r="E437" i="14"/>
  <c r="D437" i="14"/>
  <c r="B437" i="14"/>
  <c r="B436" i="14"/>
  <c r="B435" i="14"/>
  <c r="B434" i="14"/>
  <c r="B433" i="14"/>
  <c r="B432" i="14"/>
  <c r="B431" i="14"/>
  <c r="L430" i="14"/>
  <c r="K430" i="14"/>
  <c r="E430" i="14"/>
  <c r="D430" i="14"/>
  <c r="B430" i="14"/>
  <c r="L429" i="14"/>
  <c r="E429" i="14"/>
  <c r="D429" i="14"/>
  <c r="B429" i="14"/>
  <c r="L428" i="14"/>
  <c r="E428" i="14"/>
  <c r="D428" i="14"/>
  <c r="B428" i="14"/>
  <c r="L427" i="14"/>
  <c r="K427" i="14"/>
  <c r="E427" i="14"/>
  <c r="D427" i="14"/>
  <c r="B427" i="14"/>
  <c r="L426" i="14"/>
  <c r="K426" i="14"/>
  <c r="E426" i="14"/>
  <c r="D426" i="14"/>
  <c r="B426" i="14"/>
  <c r="L425" i="14"/>
  <c r="E425" i="14"/>
  <c r="D425" i="14"/>
  <c r="B425" i="14"/>
  <c r="L424" i="14"/>
  <c r="E424" i="14"/>
  <c r="D424" i="14"/>
  <c r="B424" i="14"/>
  <c r="L423" i="14"/>
  <c r="E423" i="14"/>
  <c r="D423" i="14"/>
  <c r="B423" i="14"/>
  <c r="L422" i="14"/>
  <c r="E422" i="14"/>
  <c r="D422" i="14"/>
  <c r="B422" i="14"/>
  <c r="M421" i="14"/>
  <c r="L421" i="14"/>
  <c r="K421" i="14"/>
  <c r="E421" i="14"/>
  <c r="D421" i="14"/>
  <c r="B421" i="14"/>
  <c r="M420" i="14"/>
  <c r="L420" i="14"/>
  <c r="K420" i="14"/>
  <c r="E420" i="14"/>
  <c r="D420" i="14"/>
  <c r="B420" i="14"/>
  <c r="L419" i="14"/>
  <c r="E419" i="14"/>
  <c r="D419" i="14"/>
  <c r="B419" i="14"/>
  <c r="L418" i="14"/>
  <c r="E418" i="14"/>
  <c r="D418" i="14"/>
  <c r="B418" i="14"/>
  <c r="L417" i="14"/>
  <c r="K417" i="14"/>
  <c r="E417" i="14"/>
  <c r="D417" i="14"/>
  <c r="B417" i="14"/>
  <c r="L416" i="14"/>
  <c r="K416" i="14"/>
  <c r="E416" i="14"/>
  <c r="D416" i="14"/>
  <c r="B416" i="14"/>
  <c r="L415" i="14"/>
  <c r="E415" i="14"/>
  <c r="D415" i="14"/>
  <c r="B415" i="14"/>
  <c r="L414" i="14"/>
  <c r="E414" i="14"/>
  <c r="D414" i="14"/>
  <c r="B414" i="14"/>
  <c r="L413" i="14"/>
  <c r="E413" i="14"/>
  <c r="D413" i="14"/>
  <c r="B413" i="14"/>
  <c r="L412" i="14"/>
  <c r="E412" i="14"/>
  <c r="D412" i="14"/>
  <c r="B412" i="14"/>
  <c r="L411" i="14"/>
  <c r="E411" i="14"/>
  <c r="D411" i="14"/>
  <c r="B411" i="14"/>
  <c r="L410" i="14"/>
  <c r="E410" i="14"/>
  <c r="D410" i="14"/>
  <c r="B410" i="14"/>
  <c r="L409" i="14"/>
  <c r="K409" i="14"/>
  <c r="E409" i="14"/>
  <c r="D409" i="14"/>
  <c r="B409" i="14"/>
  <c r="L408" i="14"/>
  <c r="E408" i="14"/>
  <c r="D408" i="14"/>
  <c r="B408" i="14"/>
  <c r="L407" i="14"/>
  <c r="E407" i="14"/>
  <c r="D407" i="14"/>
  <c r="B407" i="14"/>
  <c r="L406" i="14"/>
  <c r="E406" i="14"/>
  <c r="D406" i="14"/>
  <c r="B406" i="14"/>
  <c r="L405" i="14"/>
  <c r="K405" i="14"/>
  <c r="E405" i="14"/>
  <c r="D405" i="14"/>
  <c r="B405" i="14"/>
  <c r="L404" i="14"/>
  <c r="E404" i="14"/>
  <c r="D404" i="14"/>
  <c r="B404" i="14"/>
  <c r="L403" i="14"/>
  <c r="E403" i="14"/>
  <c r="D403" i="14"/>
  <c r="B403" i="14"/>
  <c r="L402" i="14"/>
  <c r="E402" i="14"/>
  <c r="D402" i="14"/>
  <c r="B402" i="14"/>
  <c r="L401" i="14"/>
  <c r="E401" i="14"/>
  <c r="D401" i="14"/>
  <c r="B401" i="14"/>
  <c r="L400" i="14"/>
  <c r="E400" i="14"/>
  <c r="D400" i="14"/>
  <c r="B400" i="14"/>
  <c r="L399" i="14"/>
  <c r="E399" i="14"/>
  <c r="D399" i="14"/>
  <c r="B399" i="14"/>
  <c r="L398" i="14"/>
  <c r="E398" i="14"/>
  <c r="D398" i="14"/>
  <c r="B398" i="14"/>
  <c r="L397" i="14"/>
  <c r="E397" i="14"/>
  <c r="D397" i="14"/>
  <c r="B397" i="14"/>
  <c r="L396" i="14"/>
  <c r="E396" i="14"/>
  <c r="D396" i="14"/>
  <c r="B396" i="14"/>
  <c r="L395" i="14"/>
  <c r="K395" i="14"/>
  <c r="E395" i="14"/>
  <c r="D395" i="14"/>
  <c r="B395" i="14"/>
  <c r="L394" i="14"/>
  <c r="E394" i="14"/>
  <c r="D394" i="14"/>
  <c r="B394" i="14"/>
  <c r="L393" i="14"/>
  <c r="E393" i="14"/>
  <c r="D393" i="14"/>
  <c r="B393" i="14"/>
  <c r="M392" i="14"/>
  <c r="L392" i="14"/>
  <c r="E392" i="14"/>
  <c r="D392" i="14"/>
  <c r="B392" i="14"/>
  <c r="L391" i="14"/>
  <c r="K391" i="14"/>
  <c r="E391" i="14"/>
  <c r="D391" i="14"/>
  <c r="B391" i="14"/>
  <c r="L390" i="14"/>
  <c r="K390" i="14"/>
  <c r="E390" i="14"/>
  <c r="D390" i="14"/>
  <c r="B390" i="14"/>
  <c r="L389" i="14"/>
  <c r="K389" i="14"/>
  <c r="E389" i="14"/>
  <c r="D389" i="14"/>
  <c r="B389" i="14"/>
  <c r="L388" i="14"/>
  <c r="E388" i="14"/>
  <c r="D388" i="14"/>
  <c r="B388" i="14"/>
  <c r="L387" i="14"/>
  <c r="K387" i="14"/>
  <c r="E387" i="14"/>
  <c r="D387" i="14"/>
  <c r="B387" i="14"/>
  <c r="L386" i="14"/>
  <c r="E386" i="14"/>
  <c r="D386" i="14"/>
  <c r="B386" i="14"/>
  <c r="L385" i="14"/>
  <c r="K385" i="14"/>
  <c r="E385" i="14"/>
  <c r="D385" i="14"/>
  <c r="B385" i="14"/>
  <c r="M384" i="14"/>
  <c r="L384" i="14"/>
  <c r="K384" i="14"/>
  <c r="E384" i="14"/>
  <c r="D384" i="14"/>
  <c r="B384" i="14"/>
  <c r="L383" i="14"/>
  <c r="K383" i="14"/>
  <c r="E383" i="14"/>
  <c r="D383" i="14"/>
  <c r="B383" i="14"/>
  <c r="L382" i="14"/>
  <c r="E382" i="14"/>
  <c r="D382" i="14"/>
  <c r="B382" i="14"/>
  <c r="L381" i="14"/>
  <c r="E381" i="14"/>
  <c r="D381" i="14"/>
  <c r="B381" i="14"/>
  <c r="L380" i="14"/>
  <c r="E380" i="14"/>
  <c r="D380" i="14"/>
  <c r="B380" i="14"/>
  <c r="L379" i="14"/>
  <c r="E379" i="14"/>
  <c r="D379" i="14"/>
  <c r="B379" i="14"/>
  <c r="L378" i="14"/>
  <c r="E378" i="14"/>
  <c r="D378" i="14"/>
  <c r="B378" i="14"/>
  <c r="L377" i="14"/>
  <c r="E377" i="14"/>
  <c r="D377" i="14"/>
  <c r="B377" i="14"/>
  <c r="L376" i="14"/>
  <c r="E376" i="14"/>
  <c r="D376" i="14"/>
  <c r="B376" i="14"/>
  <c r="L375" i="14"/>
  <c r="E375" i="14"/>
  <c r="D375" i="14"/>
  <c r="B375" i="14"/>
  <c r="L374" i="14"/>
  <c r="E374" i="14"/>
  <c r="D374" i="14"/>
  <c r="B374" i="14"/>
  <c r="L373" i="14"/>
  <c r="E373" i="14"/>
  <c r="D373" i="14"/>
  <c r="B373" i="14"/>
  <c r="L372" i="14"/>
  <c r="E372" i="14"/>
  <c r="D372" i="14"/>
  <c r="B372" i="14"/>
  <c r="L371" i="14"/>
  <c r="K371" i="14"/>
  <c r="E371" i="14"/>
  <c r="D371" i="14"/>
  <c r="B371" i="14"/>
  <c r="L370" i="14"/>
  <c r="E370" i="14"/>
  <c r="D370" i="14"/>
  <c r="B370" i="14"/>
  <c r="L369" i="14"/>
  <c r="E369" i="14"/>
  <c r="D369" i="14"/>
  <c r="B369" i="14"/>
  <c r="L368" i="14"/>
  <c r="E368" i="14"/>
  <c r="D368" i="14"/>
  <c r="B368" i="14"/>
  <c r="L367" i="14"/>
  <c r="E367" i="14"/>
  <c r="D367" i="14"/>
  <c r="B367" i="14"/>
  <c r="L366" i="14"/>
  <c r="E366" i="14"/>
  <c r="D366" i="14"/>
  <c r="B366" i="14"/>
  <c r="L365" i="14"/>
  <c r="E365" i="14"/>
  <c r="D365" i="14"/>
  <c r="B365" i="14"/>
  <c r="L364" i="14"/>
  <c r="E364" i="14"/>
  <c r="D364" i="14"/>
  <c r="B364" i="14"/>
  <c r="L363" i="14"/>
  <c r="E363" i="14"/>
  <c r="D363" i="14"/>
  <c r="B363" i="14"/>
  <c r="L362" i="14"/>
  <c r="E362" i="14"/>
  <c r="D362" i="14"/>
  <c r="B362" i="14"/>
  <c r="L361" i="14"/>
  <c r="E361" i="14"/>
  <c r="D361" i="14"/>
  <c r="B361" i="14"/>
  <c r="L360" i="14"/>
  <c r="E360" i="14"/>
  <c r="D360" i="14"/>
  <c r="B360" i="14"/>
  <c r="L359" i="14"/>
  <c r="K359" i="14"/>
  <c r="E359" i="14"/>
  <c r="D359" i="14"/>
  <c r="B359" i="14"/>
  <c r="L358" i="14"/>
  <c r="E358" i="14"/>
  <c r="D358" i="14"/>
  <c r="B358" i="14"/>
  <c r="M357" i="14"/>
  <c r="L357" i="14"/>
  <c r="E357" i="14"/>
  <c r="D357" i="14"/>
  <c r="B357" i="14"/>
  <c r="L356" i="14"/>
  <c r="K356" i="14"/>
  <c r="E356" i="14"/>
  <c r="D356" i="14"/>
  <c r="B356" i="14"/>
  <c r="L355" i="14"/>
  <c r="K355" i="14"/>
  <c r="E355" i="14"/>
  <c r="D355" i="14"/>
  <c r="B355" i="14"/>
  <c r="L354" i="14"/>
  <c r="E354" i="14"/>
  <c r="D354" i="14"/>
  <c r="B354" i="14"/>
  <c r="M353" i="14"/>
  <c r="L353" i="14"/>
  <c r="E353" i="14"/>
  <c r="D353" i="14"/>
  <c r="B353" i="14"/>
  <c r="B352" i="14"/>
  <c r="B351" i="14"/>
  <c r="B350" i="14"/>
  <c r="B349" i="14"/>
  <c r="B348" i="14"/>
  <c r="L347" i="14"/>
  <c r="E347" i="14"/>
  <c r="D347" i="14"/>
  <c r="B347" i="14"/>
  <c r="L346" i="14"/>
  <c r="K346" i="14"/>
  <c r="E346" i="14"/>
  <c r="D346" i="14"/>
  <c r="B346" i="14"/>
  <c r="L345" i="14"/>
  <c r="E345" i="14"/>
  <c r="D345" i="14"/>
  <c r="B345" i="14"/>
  <c r="L344" i="14"/>
  <c r="E344" i="14"/>
  <c r="D344" i="14"/>
  <c r="B344" i="14"/>
  <c r="L343" i="14"/>
  <c r="E343" i="14"/>
  <c r="D343" i="14"/>
  <c r="B343" i="14"/>
  <c r="L342" i="14"/>
  <c r="E342" i="14"/>
  <c r="D342" i="14"/>
  <c r="B342" i="14"/>
  <c r="L341" i="14"/>
  <c r="E341" i="14"/>
  <c r="D341" i="14"/>
  <c r="B341" i="14"/>
  <c r="L340" i="14"/>
  <c r="E340" i="14"/>
  <c r="D340" i="14"/>
  <c r="B340" i="14"/>
  <c r="L339" i="14"/>
  <c r="E339" i="14"/>
  <c r="D339" i="14"/>
  <c r="B339" i="14"/>
  <c r="L338" i="14"/>
  <c r="E338" i="14"/>
  <c r="D338" i="14"/>
  <c r="B338" i="14"/>
  <c r="L337" i="14"/>
  <c r="E337" i="14"/>
  <c r="D337" i="14"/>
  <c r="B337" i="14"/>
  <c r="L336" i="14"/>
  <c r="E336" i="14"/>
  <c r="D336" i="14"/>
  <c r="B336" i="14"/>
  <c r="L335" i="14"/>
  <c r="E335" i="14"/>
  <c r="D335" i="14"/>
  <c r="B335" i="14"/>
  <c r="M334" i="14"/>
  <c r="L334" i="14"/>
  <c r="E334" i="14"/>
  <c r="D334" i="14"/>
  <c r="B334" i="14"/>
  <c r="L333" i="14"/>
  <c r="E333" i="14"/>
  <c r="D333" i="14"/>
  <c r="B333" i="14"/>
  <c r="L332" i="14"/>
  <c r="E332" i="14"/>
  <c r="D332" i="14"/>
  <c r="B332" i="14"/>
  <c r="L331" i="14"/>
  <c r="E331" i="14"/>
  <c r="D331" i="14"/>
  <c r="B331" i="14"/>
  <c r="L330" i="14"/>
  <c r="E330" i="14"/>
  <c r="D330" i="14"/>
  <c r="B330" i="14"/>
  <c r="L329" i="14"/>
  <c r="E329" i="14"/>
  <c r="D329" i="14"/>
  <c r="B329" i="14"/>
  <c r="L328" i="14"/>
  <c r="E328" i="14"/>
  <c r="D328" i="14"/>
  <c r="B328" i="14"/>
  <c r="L327" i="14"/>
  <c r="E327" i="14"/>
  <c r="D327" i="14"/>
  <c r="B327" i="14"/>
  <c r="L326" i="14"/>
  <c r="E326" i="14"/>
  <c r="D326" i="14"/>
  <c r="B326" i="14"/>
  <c r="L325" i="14"/>
  <c r="E325" i="14"/>
  <c r="D325" i="14"/>
  <c r="B325" i="14"/>
  <c r="M324" i="14"/>
  <c r="L324" i="14"/>
  <c r="E324" i="14"/>
  <c r="D324" i="14"/>
  <c r="B324" i="14"/>
  <c r="M323" i="14"/>
  <c r="L323" i="14"/>
  <c r="E323" i="14"/>
  <c r="D323" i="14"/>
  <c r="B323" i="14"/>
  <c r="L322" i="14"/>
  <c r="E322" i="14"/>
  <c r="D322" i="14"/>
  <c r="B322" i="14"/>
  <c r="L321" i="14"/>
  <c r="E321" i="14"/>
  <c r="D321" i="14"/>
  <c r="B321" i="14"/>
  <c r="L320" i="14"/>
  <c r="E320" i="14"/>
  <c r="D320" i="14"/>
  <c r="B320" i="14"/>
  <c r="L319" i="14"/>
  <c r="E319" i="14"/>
  <c r="D319" i="14"/>
  <c r="B319" i="14"/>
  <c r="L318" i="14"/>
  <c r="E318" i="14"/>
  <c r="D318" i="14"/>
  <c r="B318" i="14"/>
  <c r="L317" i="14"/>
  <c r="E317" i="14"/>
  <c r="D317" i="14"/>
  <c r="B317" i="14"/>
  <c r="L316" i="14"/>
  <c r="E316" i="14"/>
  <c r="D316" i="14"/>
  <c r="B316" i="14"/>
  <c r="L315" i="14"/>
  <c r="E315" i="14"/>
  <c r="D315" i="14"/>
  <c r="B315" i="14"/>
  <c r="L314" i="14"/>
  <c r="E314" i="14"/>
  <c r="D314" i="14"/>
  <c r="B314" i="14"/>
  <c r="L313" i="14"/>
  <c r="E313" i="14"/>
  <c r="D313" i="14"/>
  <c r="B313" i="14"/>
  <c r="M312" i="14"/>
  <c r="L312" i="14"/>
  <c r="E312" i="14"/>
  <c r="D312" i="14"/>
  <c r="B312" i="14"/>
  <c r="B311" i="14"/>
  <c r="B310" i="14"/>
  <c r="B309" i="14"/>
  <c r="B308" i="14"/>
  <c r="B307" i="14"/>
  <c r="L306" i="14"/>
  <c r="K306" i="14"/>
  <c r="B306" i="14"/>
  <c r="L305" i="14"/>
  <c r="B305" i="14"/>
  <c r="L304" i="14"/>
  <c r="B304" i="14"/>
  <c r="L303" i="14"/>
  <c r="B303" i="14"/>
  <c r="L302" i="14"/>
  <c r="B302" i="14"/>
  <c r="M301" i="14"/>
  <c r="L301" i="14"/>
  <c r="B301" i="14"/>
  <c r="L300" i="14"/>
  <c r="K300" i="14"/>
  <c r="B300" i="14"/>
  <c r="L299" i="14"/>
  <c r="K299" i="14"/>
  <c r="B299" i="14"/>
  <c r="L298" i="14"/>
  <c r="B298" i="14"/>
  <c r="L297" i="14"/>
  <c r="B297" i="14"/>
  <c r="L296" i="14"/>
  <c r="B296" i="14"/>
  <c r="L295" i="14"/>
  <c r="B295" i="14"/>
  <c r="L294" i="14"/>
  <c r="B294" i="14"/>
  <c r="L293" i="14"/>
  <c r="B293" i="14"/>
  <c r="L292" i="14"/>
  <c r="B292" i="14"/>
  <c r="L291" i="14"/>
  <c r="K291" i="14"/>
  <c r="B291" i="14"/>
  <c r="M290" i="14"/>
  <c r="L290" i="14"/>
  <c r="B290" i="14"/>
  <c r="L289" i="14"/>
  <c r="K289" i="14"/>
  <c r="E289" i="14"/>
  <c r="D289" i="14"/>
  <c r="B289" i="14"/>
  <c r="L288" i="14"/>
  <c r="E288" i="14"/>
  <c r="D288" i="14"/>
  <c r="B288" i="14"/>
  <c r="L287" i="14"/>
  <c r="E287" i="14"/>
  <c r="D287" i="14"/>
  <c r="B287" i="14"/>
  <c r="L286" i="14"/>
  <c r="E286" i="14"/>
  <c r="D286" i="14"/>
  <c r="B286" i="14"/>
  <c r="L285" i="14"/>
  <c r="E285" i="14"/>
  <c r="D285" i="14"/>
  <c r="B285" i="14"/>
  <c r="L284" i="14"/>
  <c r="E284" i="14"/>
  <c r="D284" i="14"/>
  <c r="B284" i="14"/>
  <c r="L283" i="14"/>
  <c r="E283" i="14"/>
  <c r="D283" i="14"/>
  <c r="B283" i="14"/>
  <c r="L282" i="14"/>
  <c r="E282" i="14"/>
  <c r="D282" i="14"/>
  <c r="B282" i="14"/>
  <c r="L281" i="14"/>
  <c r="E281" i="14"/>
  <c r="D281" i="14"/>
  <c r="B281" i="14"/>
  <c r="L280" i="14"/>
  <c r="K280" i="14"/>
  <c r="E280" i="14"/>
  <c r="D280" i="14"/>
  <c r="B280" i="14"/>
  <c r="L279" i="14"/>
  <c r="E279" i="14"/>
  <c r="D279" i="14"/>
  <c r="B279" i="14"/>
  <c r="L278" i="14"/>
  <c r="E278" i="14"/>
  <c r="D278" i="14"/>
  <c r="B278" i="14"/>
  <c r="L277" i="14"/>
  <c r="E277" i="14"/>
  <c r="D277" i="14"/>
  <c r="B277" i="14"/>
  <c r="L276" i="14"/>
  <c r="K276" i="14"/>
  <c r="E276" i="14"/>
  <c r="D276" i="14"/>
  <c r="B276" i="14"/>
  <c r="L275" i="14"/>
  <c r="E275" i="14"/>
  <c r="D275" i="14"/>
  <c r="B275" i="14"/>
  <c r="L274" i="14"/>
  <c r="E274" i="14"/>
  <c r="D274" i="14"/>
  <c r="B274" i="14"/>
  <c r="M273" i="14"/>
  <c r="L273" i="14"/>
  <c r="E273" i="14"/>
  <c r="D273" i="14"/>
  <c r="B273" i="14"/>
  <c r="L272" i="14"/>
  <c r="E272" i="14"/>
  <c r="D272" i="14"/>
  <c r="B272" i="14"/>
  <c r="L271" i="14"/>
  <c r="E271" i="14"/>
  <c r="D271" i="14"/>
  <c r="B271" i="14"/>
  <c r="L270" i="14"/>
  <c r="K270" i="14"/>
  <c r="E270" i="14"/>
  <c r="D270" i="14"/>
  <c r="B270" i="14"/>
  <c r="L269" i="14"/>
  <c r="K269" i="14"/>
  <c r="E269" i="14"/>
  <c r="D269" i="14"/>
  <c r="B269" i="14"/>
  <c r="L268" i="14"/>
  <c r="K268" i="14"/>
  <c r="E268" i="14"/>
  <c r="D268" i="14"/>
  <c r="B268" i="14"/>
  <c r="L267" i="14"/>
  <c r="E267" i="14"/>
  <c r="D267" i="14"/>
  <c r="B267" i="14"/>
  <c r="L266" i="14"/>
  <c r="E266" i="14"/>
  <c r="D266" i="14"/>
  <c r="B266" i="14"/>
  <c r="L265" i="14"/>
  <c r="E265" i="14"/>
  <c r="D265" i="14"/>
  <c r="B265" i="14"/>
  <c r="L264" i="14"/>
  <c r="E264" i="14"/>
  <c r="D264" i="14"/>
  <c r="B264" i="14"/>
  <c r="L263" i="14"/>
  <c r="E263" i="14"/>
  <c r="D263" i="14"/>
  <c r="B263" i="14"/>
  <c r="L262" i="14"/>
  <c r="K262" i="14"/>
  <c r="E262" i="14"/>
  <c r="D262" i="14"/>
  <c r="B262" i="14"/>
  <c r="L261" i="14"/>
  <c r="E261" i="14"/>
  <c r="D261" i="14"/>
  <c r="B261" i="14"/>
  <c r="L260" i="14"/>
  <c r="E260" i="14"/>
  <c r="D260" i="14"/>
  <c r="B260" i="14"/>
  <c r="L259" i="14"/>
  <c r="E259" i="14"/>
  <c r="D259" i="14"/>
  <c r="B259" i="14"/>
  <c r="L258" i="14"/>
  <c r="E258" i="14"/>
  <c r="D258" i="14"/>
  <c r="B258" i="14"/>
  <c r="L257" i="14"/>
  <c r="K257" i="14"/>
  <c r="E257" i="14"/>
  <c r="D257" i="14"/>
  <c r="B257" i="14"/>
  <c r="L256" i="14"/>
  <c r="E256" i="14"/>
  <c r="D256" i="14"/>
  <c r="B256" i="14"/>
  <c r="L255" i="14"/>
  <c r="K255" i="14"/>
  <c r="E255" i="14"/>
  <c r="D255" i="14"/>
  <c r="B255" i="14"/>
  <c r="M254" i="14"/>
  <c r="L254" i="14"/>
  <c r="K254" i="14"/>
  <c r="E254" i="14"/>
  <c r="D254" i="14"/>
  <c r="B254" i="14"/>
  <c r="M253" i="14"/>
  <c r="L253" i="14"/>
  <c r="E253" i="14"/>
  <c r="D253" i="14"/>
  <c r="B253" i="14"/>
  <c r="M252" i="14"/>
  <c r="L252" i="14"/>
  <c r="E252" i="14"/>
  <c r="D252" i="14"/>
  <c r="B252" i="14"/>
  <c r="M251" i="14"/>
  <c r="L251" i="14"/>
  <c r="E251" i="14"/>
  <c r="D251" i="14"/>
  <c r="B251" i="14"/>
  <c r="L250" i="14"/>
  <c r="E250" i="14"/>
  <c r="D250" i="14"/>
  <c r="B250" i="14"/>
  <c r="L249" i="14"/>
  <c r="E249" i="14"/>
  <c r="D249" i="14"/>
  <c r="B249" i="14"/>
  <c r="L248" i="14"/>
  <c r="E248" i="14"/>
  <c r="D248" i="14"/>
  <c r="B248" i="14"/>
  <c r="L247" i="14"/>
  <c r="E247" i="14"/>
  <c r="D247" i="14"/>
  <c r="B247" i="14"/>
  <c r="M246" i="14"/>
  <c r="L246" i="14"/>
  <c r="E246" i="14"/>
  <c r="D246" i="14"/>
  <c r="B246" i="14"/>
  <c r="L245" i="14"/>
  <c r="K245" i="14"/>
  <c r="E245" i="14"/>
  <c r="D245" i="14"/>
  <c r="B245" i="14"/>
  <c r="L244" i="14"/>
  <c r="K244" i="14"/>
  <c r="E244" i="14"/>
  <c r="D244" i="14"/>
  <c r="B244" i="14"/>
  <c r="L243" i="14"/>
  <c r="K243" i="14"/>
  <c r="E243" i="14"/>
  <c r="D243" i="14"/>
  <c r="B243" i="14"/>
  <c r="L242" i="14"/>
  <c r="E242" i="14"/>
  <c r="D242" i="14"/>
  <c r="B242" i="14"/>
  <c r="L241" i="14"/>
  <c r="E241" i="14"/>
  <c r="D241" i="14"/>
  <c r="B241" i="14"/>
  <c r="L240" i="14"/>
  <c r="K240" i="14"/>
  <c r="E240" i="14"/>
  <c r="D240" i="14"/>
  <c r="B240" i="14"/>
  <c r="L239" i="14"/>
  <c r="K239" i="14"/>
  <c r="E239" i="14"/>
  <c r="D239" i="14"/>
  <c r="B239" i="14"/>
  <c r="L238" i="14"/>
  <c r="K238" i="14"/>
  <c r="E238" i="14"/>
  <c r="D238" i="14"/>
  <c r="B238" i="14"/>
  <c r="L237" i="14"/>
  <c r="E237" i="14"/>
  <c r="D237" i="14"/>
  <c r="B237" i="14"/>
  <c r="L236" i="14"/>
  <c r="K236" i="14"/>
  <c r="E236" i="14"/>
  <c r="D236" i="14"/>
  <c r="B236" i="14"/>
  <c r="L235" i="14"/>
  <c r="E235" i="14"/>
  <c r="D235" i="14"/>
  <c r="B235" i="14"/>
  <c r="L234" i="14"/>
  <c r="E234" i="14"/>
  <c r="D234" i="14"/>
  <c r="B234" i="14"/>
  <c r="L233" i="14"/>
  <c r="K233" i="14"/>
  <c r="E233" i="14"/>
  <c r="D233" i="14"/>
  <c r="B233" i="14"/>
  <c r="L232" i="14"/>
  <c r="E232" i="14"/>
  <c r="D232" i="14"/>
  <c r="B232" i="14"/>
  <c r="L231" i="14"/>
  <c r="K231" i="14"/>
  <c r="E231" i="14"/>
  <c r="D231" i="14"/>
  <c r="B231" i="14"/>
  <c r="L230" i="14"/>
  <c r="K230" i="14"/>
  <c r="E230" i="14"/>
  <c r="D230" i="14"/>
  <c r="B230" i="14"/>
  <c r="L229" i="14"/>
  <c r="K229" i="14"/>
  <c r="E229" i="14"/>
  <c r="D229" i="14"/>
  <c r="B229" i="14"/>
  <c r="L228" i="14"/>
  <c r="E228" i="14"/>
  <c r="D228" i="14"/>
  <c r="B228" i="14"/>
  <c r="L227" i="14"/>
  <c r="E227" i="14"/>
  <c r="D227" i="14"/>
  <c r="B227" i="14"/>
  <c r="L226" i="14"/>
  <c r="E226" i="14"/>
  <c r="D226" i="14"/>
  <c r="B226" i="14"/>
  <c r="M225" i="14"/>
  <c r="L225" i="14"/>
  <c r="K225" i="14"/>
  <c r="E225" i="14"/>
  <c r="D225" i="14"/>
  <c r="B225" i="14"/>
  <c r="L224" i="14"/>
  <c r="K224" i="14"/>
  <c r="E224" i="14"/>
  <c r="D224" i="14"/>
  <c r="B224" i="14"/>
  <c r="M223" i="14"/>
  <c r="L223" i="14"/>
  <c r="K223" i="14"/>
  <c r="E223" i="14"/>
  <c r="D223" i="14"/>
  <c r="B223" i="14"/>
  <c r="L222" i="14"/>
  <c r="E222" i="14"/>
  <c r="D222" i="14"/>
  <c r="B222" i="14"/>
  <c r="L221" i="14"/>
  <c r="E221" i="14"/>
  <c r="D221" i="14"/>
  <c r="B221" i="14"/>
  <c r="L220" i="14"/>
  <c r="E220" i="14"/>
  <c r="D220" i="14"/>
  <c r="B220" i="14"/>
  <c r="L219" i="14"/>
  <c r="K219" i="14"/>
  <c r="E219" i="14"/>
  <c r="D219" i="14"/>
  <c r="B219" i="14"/>
  <c r="L218" i="14"/>
  <c r="E218" i="14"/>
  <c r="D218" i="14"/>
  <c r="B218" i="14"/>
  <c r="L217" i="14"/>
  <c r="E217" i="14"/>
  <c r="D217" i="14"/>
  <c r="B217" i="14"/>
  <c r="L216" i="14"/>
  <c r="E216" i="14"/>
  <c r="D216" i="14"/>
  <c r="B216" i="14"/>
  <c r="L215" i="14"/>
  <c r="E215" i="14"/>
  <c r="D215" i="14"/>
  <c r="B215" i="14"/>
  <c r="L214" i="14"/>
  <c r="E214" i="14"/>
  <c r="D214" i="14"/>
  <c r="B214" i="14"/>
  <c r="L213" i="14"/>
  <c r="E213" i="14"/>
  <c r="D213" i="14"/>
  <c r="B213" i="14"/>
  <c r="L212" i="14"/>
  <c r="E212" i="14"/>
  <c r="D212" i="14"/>
  <c r="B212" i="14"/>
  <c r="L211" i="14"/>
  <c r="E211" i="14"/>
  <c r="D211" i="14"/>
  <c r="B211" i="14"/>
  <c r="L210" i="14"/>
  <c r="E210" i="14"/>
  <c r="D210" i="14"/>
  <c r="B210" i="14"/>
  <c r="M209" i="14"/>
  <c r="L209" i="14"/>
  <c r="E209" i="14"/>
  <c r="D209" i="14"/>
  <c r="B209" i="14"/>
  <c r="B208" i="14"/>
  <c r="B207" i="14"/>
  <c r="B206" i="14"/>
  <c r="B205" i="14"/>
  <c r="B204" i="14"/>
  <c r="B203" i="14"/>
  <c r="B202" i="14"/>
  <c r="B201" i="14"/>
  <c r="B200" i="14"/>
  <c r="B199" i="14"/>
  <c r="B198" i="14"/>
  <c r="B197" i="14"/>
  <c r="B196" i="14"/>
  <c r="B195" i="14"/>
  <c r="B194" i="14"/>
  <c r="B193" i="14"/>
  <c r="B192" i="14"/>
  <c r="B191" i="14"/>
  <c r="B190" i="14"/>
  <c r="B189" i="14"/>
  <c r="B188" i="14"/>
  <c r="B187" i="14"/>
  <c r="B186" i="14"/>
  <c r="B185" i="14"/>
  <c r="B184" i="14"/>
  <c r="B183" i="14"/>
  <c r="B182" i="14"/>
  <c r="L181" i="14"/>
  <c r="E181" i="14"/>
  <c r="D181" i="14"/>
  <c r="B181" i="14"/>
  <c r="L180" i="14"/>
  <c r="E180" i="14"/>
  <c r="D180" i="14"/>
  <c r="B180" i="14"/>
  <c r="L179" i="14"/>
  <c r="E179" i="14"/>
  <c r="D179" i="14"/>
  <c r="B179" i="14"/>
  <c r="L178" i="14"/>
  <c r="E178" i="14"/>
  <c r="D178" i="14"/>
  <c r="B178" i="14"/>
  <c r="L177" i="14"/>
  <c r="E177" i="14"/>
  <c r="D177" i="14"/>
  <c r="B177" i="14"/>
  <c r="L176" i="14"/>
  <c r="E176" i="14"/>
  <c r="D176" i="14"/>
  <c r="B176" i="14"/>
  <c r="L175" i="14"/>
  <c r="E175" i="14"/>
  <c r="D175" i="14"/>
  <c r="B175" i="14"/>
  <c r="L174" i="14"/>
  <c r="K174" i="14"/>
  <c r="E174" i="14"/>
  <c r="D174" i="14"/>
  <c r="B174" i="14"/>
  <c r="L173" i="14"/>
  <c r="E173" i="14"/>
  <c r="D173" i="14"/>
  <c r="B173" i="14"/>
  <c r="L172" i="14"/>
  <c r="E172" i="14"/>
  <c r="D172" i="14"/>
  <c r="B172" i="14"/>
  <c r="L171" i="14"/>
  <c r="E171" i="14"/>
  <c r="D171" i="14"/>
  <c r="B171" i="14"/>
  <c r="L170" i="14"/>
  <c r="E170" i="14"/>
  <c r="D170" i="14"/>
  <c r="B170" i="14"/>
  <c r="L169" i="14"/>
  <c r="E169" i="14"/>
  <c r="D169" i="14"/>
  <c r="B169" i="14"/>
  <c r="L168" i="14"/>
  <c r="E168" i="14"/>
  <c r="D168" i="14"/>
  <c r="B168" i="14"/>
  <c r="L167" i="14"/>
  <c r="E167" i="14"/>
  <c r="D167" i="14"/>
  <c r="B167" i="14"/>
  <c r="L166" i="14"/>
  <c r="E166" i="14"/>
  <c r="D166" i="14"/>
  <c r="B166" i="14"/>
  <c r="L165" i="14"/>
  <c r="E165" i="14"/>
  <c r="D165" i="14"/>
  <c r="B165" i="14"/>
  <c r="L164" i="14"/>
  <c r="E164" i="14"/>
  <c r="D164" i="14"/>
  <c r="B164" i="14"/>
  <c r="L163" i="14"/>
  <c r="K163" i="14"/>
  <c r="E163" i="14"/>
  <c r="D163" i="14"/>
  <c r="B163" i="14"/>
  <c r="M162" i="14"/>
  <c r="L162" i="14"/>
  <c r="E162" i="14"/>
  <c r="D162" i="14"/>
  <c r="B162" i="14"/>
  <c r="L161" i="14"/>
  <c r="E161" i="14"/>
  <c r="D161" i="14"/>
  <c r="B161" i="14"/>
  <c r="L160" i="14"/>
  <c r="E160" i="14"/>
  <c r="D160" i="14"/>
  <c r="B160" i="14"/>
  <c r="M159" i="14"/>
  <c r="L159" i="14"/>
  <c r="E159" i="14"/>
  <c r="D159" i="14"/>
  <c r="B159" i="14"/>
  <c r="M158" i="14"/>
  <c r="L158" i="14"/>
  <c r="E158" i="14"/>
  <c r="D158" i="14"/>
  <c r="B158" i="14"/>
  <c r="L157" i="14"/>
  <c r="E157" i="14"/>
  <c r="D157" i="14"/>
  <c r="B157" i="14"/>
  <c r="M156" i="14"/>
  <c r="L156" i="14"/>
  <c r="E156" i="14"/>
  <c r="D156" i="14"/>
  <c r="B156" i="14"/>
  <c r="L155" i="14"/>
  <c r="K155" i="14"/>
  <c r="E155" i="14"/>
  <c r="D155" i="14"/>
  <c r="B155" i="14"/>
  <c r="L154" i="14"/>
  <c r="E154" i="14"/>
  <c r="D154" i="14"/>
  <c r="B154" i="14"/>
  <c r="M153" i="14"/>
  <c r="L153" i="14"/>
  <c r="E153" i="14"/>
  <c r="D153" i="14"/>
  <c r="B153" i="14"/>
  <c r="M152" i="14"/>
  <c r="L152" i="14"/>
  <c r="E152" i="14"/>
  <c r="D152" i="14"/>
  <c r="B152" i="14"/>
  <c r="L151" i="14"/>
  <c r="E151" i="14"/>
  <c r="D151" i="14"/>
  <c r="B151" i="14"/>
  <c r="L150" i="14"/>
  <c r="E150" i="14"/>
  <c r="D150" i="14"/>
  <c r="B150" i="14"/>
  <c r="L149" i="14"/>
  <c r="E149" i="14"/>
  <c r="D149" i="14"/>
  <c r="B149" i="14"/>
  <c r="L148" i="14"/>
  <c r="K148" i="14"/>
  <c r="E148" i="14"/>
  <c r="D148" i="14"/>
  <c r="B148" i="14"/>
  <c r="L147" i="14"/>
  <c r="K147" i="14"/>
  <c r="E147" i="14"/>
  <c r="D147" i="14"/>
  <c r="B147" i="14"/>
  <c r="L146" i="14"/>
  <c r="E146" i="14"/>
  <c r="D146" i="14"/>
  <c r="B146" i="14"/>
  <c r="L145" i="14"/>
  <c r="K145" i="14"/>
  <c r="E145" i="14"/>
  <c r="D145" i="14"/>
  <c r="B145" i="14"/>
  <c r="L144" i="14"/>
  <c r="E144" i="14"/>
  <c r="D144" i="14"/>
  <c r="B144" i="14"/>
  <c r="L143" i="14"/>
  <c r="K143" i="14"/>
  <c r="E143" i="14"/>
  <c r="D143" i="14"/>
  <c r="B143" i="14"/>
  <c r="M142" i="14"/>
  <c r="L142" i="14"/>
  <c r="E142" i="14"/>
  <c r="D142" i="14"/>
  <c r="B142" i="14"/>
  <c r="L141" i="14"/>
  <c r="E141" i="14"/>
  <c r="D141" i="14"/>
  <c r="B141" i="14"/>
  <c r="L140" i="14"/>
  <c r="E140" i="14"/>
  <c r="D140" i="14"/>
  <c r="B140" i="14"/>
  <c r="L139" i="14"/>
  <c r="E139" i="14"/>
  <c r="D139" i="14"/>
  <c r="B139" i="14"/>
  <c r="L138" i="14"/>
  <c r="E138" i="14"/>
  <c r="D138" i="14"/>
  <c r="B138" i="14"/>
  <c r="L137" i="14"/>
  <c r="E137" i="14"/>
  <c r="D137" i="14"/>
  <c r="B137" i="14"/>
  <c r="L136" i="14"/>
  <c r="E136" i="14"/>
  <c r="D136" i="14"/>
  <c r="B136" i="14"/>
  <c r="L135" i="14"/>
  <c r="E135" i="14"/>
  <c r="D135" i="14"/>
  <c r="B135" i="14"/>
  <c r="L134" i="14"/>
  <c r="E134" i="14"/>
  <c r="D134" i="14"/>
  <c r="B134" i="14"/>
  <c r="L133" i="14"/>
  <c r="E133" i="14"/>
  <c r="D133" i="14"/>
  <c r="B133" i="14"/>
  <c r="L132" i="14"/>
  <c r="E132" i="14"/>
  <c r="D132" i="14"/>
  <c r="B132" i="14"/>
  <c r="L131" i="14"/>
  <c r="E131" i="14"/>
  <c r="D131" i="14"/>
  <c r="B131" i="14"/>
  <c r="M130" i="14"/>
  <c r="L130" i="14"/>
  <c r="E130" i="14"/>
  <c r="D130" i="14"/>
  <c r="B130" i="14"/>
  <c r="L129" i="14"/>
  <c r="E129" i="14"/>
  <c r="D129" i="14"/>
  <c r="B129" i="14"/>
  <c r="L128" i="14"/>
  <c r="E128" i="14"/>
  <c r="D128" i="14"/>
  <c r="B128" i="14"/>
  <c r="M127" i="14"/>
  <c r="L127" i="14"/>
  <c r="E127" i="14"/>
  <c r="D127" i="14"/>
  <c r="B127" i="14"/>
  <c r="L126" i="14"/>
  <c r="E126" i="14"/>
  <c r="D126" i="14"/>
  <c r="B126" i="14"/>
  <c r="L125" i="14"/>
  <c r="E125" i="14"/>
  <c r="D125" i="14"/>
  <c r="B125" i="14"/>
  <c r="M124" i="14"/>
  <c r="L124" i="14"/>
  <c r="E124" i="14"/>
  <c r="D124" i="14"/>
  <c r="B124" i="14"/>
  <c r="M123" i="14"/>
  <c r="L123" i="14"/>
  <c r="E123" i="14"/>
  <c r="D123" i="14"/>
  <c r="B123" i="14"/>
  <c r="M122" i="14"/>
  <c r="L122" i="14"/>
  <c r="K122" i="14"/>
  <c r="E122" i="14"/>
  <c r="D122" i="14"/>
  <c r="B122" i="14"/>
  <c r="L121" i="14"/>
  <c r="E121" i="14"/>
  <c r="D121" i="14"/>
  <c r="B121" i="14"/>
  <c r="L120" i="14"/>
  <c r="E120" i="14"/>
  <c r="D120" i="14"/>
  <c r="B120" i="14"/>
  <c r="M119" i="14"/>
  <c r="L119" i="14"/>
  <c r="K119" i="14"/>
  <c r="E119" i="14"/>
  <c r="D119" i="14"/>
  <c r="B119" i="14"/>
  <c r="L118" i="14"/>
  <c r="B118" i="14"/>
  <c r="L117" i="14"/>
  <c r="K117" i="14"/>
  <c r="B117" i="14"/>
  <c r="L116" i="14"/>
  <c r="B116" i="14"/>
  <c r="L115" i="14"/>
  <c r="B115" i="14"/>
  <c r="L114" i="14"/>
  <c r="B114" i="14"/>
  <c r="L113" i="14"/>
  <c r="B113" i="14"/>
  <c r="L112" i="14"/>
  <c r="K112" i="14"/>
  <c r="B112" i="14"/>
  <c r="L111" i="14"/>
  <c r="B111" i="14"/>
  <c r="L110" i="14"/>
  <c r="B110" i="14"/>
  <c r="L109" i="14"/>
  <c r="B109" i="14"/>
  <c r="L108" i="14"/>
  <c r="K108" i="14"/>
  <c r="B108" i="14"/>
  <c r="L107" i="14"/>
  <c r="B107" i="14"/>
  <c r="L106" i="14"/>
  <c r="K106" i="14"/>
  <c r="B106" i="14"/>
  <c r="L105" i="14"/>
  <c r="B105" i="14"/>
  <c r="L104" i="14"/>
  <c r="B104" i="14"/>
  <c r="L103" i="14"/>
  <c r="B103" i="14"/>
  <c r="L102" i="14"/>
  <c r="B102" i="14"/>
  <c r="L101" i="14"/>
  <c r="B101" i="14"/>
  <c r="M100" i="14"/>
  <c r="L100" i="14"/>
  <c r="K100" i="14"/>
  <c r="B100" i="14"/>
  <c r="L99" i="14"/>
  <c r="E99" i="14"/>
  <c r="D99" i="14"/>
  <c r="B99" i="14"/>
  <c r="L98" i="14"/>
  <c r="K98" i="14"/>
  <c r="E98" i="14"/>
  <c r="D98" i="14"/>
  <c r="B98" i="14"/>
  <c r="L97" i="14"/>
  <c r="E97" i="14"/>
  <c r="D97" i="14"/>
  <c r="B97" i="14"/>
  <c r="L96" i="14"/>
  <c r="E96" i="14"/>
  <c r="D96" i="14"/>
  <c r="B96" i="14"/>
  <c r="L95" i="14"/>
  <c r="E95" i="14"/>
  <c r="D95" i="14"/>
  <c r="B95" i="14"/>
  <c r="L94" i="14"/>
  <c r="E94" i="14"/>
  <c r="D94" i="14"/>
  <c r="B94" i="14"/>
  <c r="L93" i="14"/>
  <c r="E93" i="14"/>
  <c r="D93" i="14"/>
  <c r="B93" i="14"/>
  <c r="L92" i="14"/>
  <c r="E92" i="14"/>
  <c r="D92" i="14"/>
  <c r="B92" i="14"/>
  <c r="L91" i="14"/>
  <c r="E91" i="14"/>
  <c r="D91" i="14"/>
  <c r="B91" i="14"/>
  <c r="L90" i="14"/>
  <c r="E90" i="14"/>
  <c r="D90" i="14"/>
  <c r="B90" i="14"/>
  <c r="M89" i="14"/>
  <c r="L89" i="14"/>
  <c r="E89" i="14"/>
  <c r="D89" i="14"/>
  <c r="B89" i="14"/>
  <c r="L88" i="14"/>
  <c r="E88" i="14"/>
  <c r="D88" i="14"/>
  <c r="B88" i="14"/>
  <c r="L87" i="14"/>
  <c r="E87" i="14"/>
  <c r="D87" i="14"/>
  <c r="B87" i="14"/>
  <c r="L86" i="14"/>
  <c r="E86" i="14"/>
  <c r="D86" i="14"/>
  <c r="B86" i="14"/>
  <c r="L85" i="14"/>
  <c r="E85" i="14"/>
  <c r="D85" i="14"/>
  <c r="B85" i="14"/>
  <c r="L84" i="14"/>
  <c r="E84" i="14"/>
  <c r="D84" i="14"/>
  <c r="B84" i="14"/>
  <c r="M83" i="14"/>
  <c r="L83" i="14"/>
  <c r="E83" i="14"/>
  <c r="D83" i="14"/>
  <c r="B83" i="14"/>
  <c r="L82" i="14"/>
  <c r="K82" i="14"/>
  <c r="E82" i="14"/>
  <c r="D82" i="14"/>
  <c r="B82" i="14"/>
  <c r="L81" i="14"/>
  <c r="K81" i="14"/>
  <c r="E81" i="14"/>
  <c r="D81" i="14"/>
  <c r="B81" i="14"/>
  <c r="L80" i="14"/>
  <c r="E80" i="14"/>
  <c r="D80" i="14"/>
  <c r="B80" i="14"/>
  <c r="L79" i="14"/>
  <c r="E79" i="14"/>
  <c r="D79" i="14"/>
  <c r="B79" i="14"/>
  <c r="L78" i="14"/>
  <c r="K78" i="14"/>
  <c r="E78" i="14"/>
  <c r="D78" i="14"/>
  <c r="B78" i="14"/>
  <c r="L77" i="14"/>
  <c r="K77" i="14"/>
  <c r="E77" i="14"/>
  <c r="D77" i="14"/>
  <c r="B77" i="14"/>
  <c r="M76" i="14"/>
  <c r="L76" i="14"/>
  <c r="K76" i="14"/>
  <c r="E76" i="14"/>
  <c r="D76" i="14"/>
  <c r="B76" i="14"/>
  <c r="M75" i="14"/>
  <c r="L75" i="14"/>
  <c r="E75" i="14"/>
  <c r="D75" i="14"/>
  <c r="B75" i="14"/>
  <c r="L74" i="14"/>
  <c r="K74" i="14"/>
  <c r="E74" i="14"/>
  <c r="D74" i="14"/>
  <c r="B74" i="14"/>
  <c r="L73" i="14"/>
  <c r="K73" i="14"/>
  <c r="E73" i="14"/>
  <c r="D73" i="14"/>
  <c r="B73" i="14"/>
  <c r="L72" i="14"/>
  <c r="K72" i="14"/>
  <c r="E72" i="14"/>
  <c r="D72" i="14"/>
  <c r="B72" i="14"/>
  <c r="L71" i="14"/>
  <c r="K71" i="14"/>
  <c r="E71" i="14"/>
  <c r="D71" i="14"/>
  <c r="B71" i="14"/>
  <c r="L70" i="14"/>
  <c r="E70" i="14"/>
  <c r="D70" i="14"/>
  <c r="B70" i="14"/>
  <c r="L69" i="14"/>
  <c r="E69" i="14"/>
  <c r="D69" i="14"/>
  <c r="B69" i="14"/>
  <c r="L68" i="14"/>
  <c r="E68" i="14"/>
  <c r="D68" i="14"/>
  <c r="B68" i="14"/>
  <c r="L67" i="14"/>
  <c r="E67" i="14"/>
  <c r="D67" i="14"/>
  <c r="B67" i="14"/>
  <c r="L66" i="14"/>
  <c r="K66" i="14"/>
  <c r="E66" i="14"/>
  <c r="D66" i="14"/>
  <c r="B66" i="14"/>
  <c r="L65" i="14"/>
  <c r="K65" i="14"/>
  <c r="E65" i="14"/>
  <c r="D65" i="14"/>
  <c r="B65" i="14"/>
  <c r="L64" i="14"/>
  <c r="E64" i="14"/>
  <c r="D64" i="14"/>
  <c r="B64" i="14"/>
  <c r="L63" i="14"/>
  <c r="K63" i="14"/>
  <c r="E63" i="14"/>
  <c r="D63" i="14"/>
  <c r="B63" i="14"/>
  <c r="L62" i="14"/>
  <c r="E62" i="14"/>
  <c r="D62" i="14"/>
  <c r="B62" i="14"/>
  <c r="L61" i="14"/>
  <c r="K61" i="14"/>
  <c r="E61" i="14"/>
  <c r="D61" i="14"/>
  <c r="B61" i="14"/>
  <c r="L60" i="14"/>
  <c r="E60" i="14"/>
  <c r="D60" i="14"/>
  <c r="B60" i="14"/>
  <c r="M59" i="14"/>
  <c r="L59" i="14"/>
  <c r="E59" i="14"/>
  <c r="D59" i="14"/>
  <c r="B59" i="14"/>
  <c r="L58" i="14"/>
  <c r="E58" i="14"/>
  <c r="D58" i="14"/>
  <c r="B58" i="14"/>
  <c r="L57" i="14"/>
  <c r="E57" i="14"/>
  <c r="D57" i="14"/>
  <c r="B57" i="14"/>
  <c r="L56" i="14"/>
  <c r="K56" i="14"/>
  <c r="E56" i="14"/>
  <c r="D56" i="14"/>
  <c r="B56" i="14"/>
  <c r="L55" i="14"/>
  <c r="K55" i="14"/>
  <c r="E55" i="14"/>
  <c r="D55" i="14"/>
  <c r="B55" i="14"/>
  <c r="L54" i="14"/>
  <c r="E54" i="14"/>
  <c r="D54" i="14"/>
  <c r="B54" i="14"/>
  <c r="L53" i="14"/>
  <c r="E53" i="14"/>
  <c r="D53" i="14"/>
  <c r="B53" i="14"/>
  <c r="L52" i="14"/>
  <c r="K52" i="14"/>
  <c r="E52" i="14"/>
  <c r="D52" i="14"/>
  <c r="B52" i="14"/>
  <c r="L51" i="14"/>
  <c r="K51" i="14"/>
  <c r="E51" i="14"/>
  <c r="D51" i="14"/>
  <c r="B51" i="14"/>
  <c r="L50" i="14"/>
  <c r="K50" i="14"/>
  <c r="E50" i="14"/>
  <c r="D50" i="14"/>
  <c r="B50" i="14"/>
  <c r="L49" i="14"/>
  <c r="K49" i="14"/>
  <c r="E49" i="14"/>
  <c r="D49" i="14"/>
  <c r="B49" i="14"/>
  <c r="L48" i="14"/>
  <c r="E48" i="14"/>
  <c r="D48" i="14"/>
  <c r="B48" i="14"/>
  <c r="L47" i="14"/>
  <c r="K47" i="14"/>
  <c r="E47" i="14"/>
  <c r="D47" i="14"/>
  <c r="B47" i="14"/>
  <c r="L46" i="14"/>
  <c r="E46" i="14"/>
  <c r="D46" i="14"/>
  <c r="B46" i="14"/>
  <c r="L45" i="14"/>
  <c r="E45" i="14"/>
  <c r="D45" i="14"/>
  <c r="B45" i="14"/>
  <c r="L44" i="14"/>
  <c r="E44" i="14"/>
  <c r="D44" i="14"/>
  <c r="B44" i="14"/>
  <c r="M43" i="14"/>
  <c r="L43" i="14"/>
  <c r="E43" i="14"/>
  <c r="D43" i="14"/>
  <c r="B43" i="14"/>
  <c r="L42" i="14"/>
  <c r="E42" i="14"/>
  <c r="D42" i="14"/>
  <c r="B42" i="14"/>
  <c r="L41" i="14"/>
  <c r="E41" i="14"/>
  <c r="D41" i="14"/>
  <c r="B41" i="14"/>
  <c r="L40" i="14"/>
  <c r="K40" i="14"/>
  <c r="E40" i="14"/>
  <c r="D40" i="14"/>
  <c r="B40" i="14"/>
  <c r="L39" i="14"/>
  <c r="E39" i="14"/>
  <c r="D39" i="14"/>
  <c r="B39" i="14"/>
  <c r="L38" i="14"/>
  <c r="E38" i="14"/>
  <c r="D38" i="14"/>
  <c r="B38" i="14"/>
  <c r="L37" i="14"/>
  <c r="E37" i="14"/>
  <c r="D37" i="14"/>
  <c r="B37" i="14"/>
  <c r="L36" i="14"/>
  <c r="K36" i="14"/>
  <c r="E36" i="14"/>
  <c r="D36" i="14"/>
  <c r="B36" i="14"/>
  <c r="L35" i="14"/>
  <c r="K35" i="14"/>
  <c r="E35" i="14"/>
  <c r="D35" i="14"/>
  <c r="B35" i="14"/>
  <c r="L34" i="14"/>
  <c r="E34" i="14"/>
  <c r="D34" i="14"/>
  <c r="B34" i="14"/>
  <c r="L33" i="14"/>
  <c r="K33" i="14"/>
  <c r="E33" i="14"/>
  <c r="D33" i="14"/>
  <c r="B33" i="14"/>
  <c r="L32" i="14"/>
  <c r="E32" i="14"/>
  <c r="D32" i="14"/>
  <c r="B32" i="14"/>
  <c r="L31" i="14"/>
  <c r="K31" i="14"/>
  <c r="E31" i="14"/>
  <c r="D31" i="14"/>
  <c r="B31" i="14"/>
  <c r="L30" i="14"/>
  <c r="E30" i="14"/>
  <c r="D30" i="14"/>
  <c r="B30" i="14"/>
  <c r="L29" i="14"/>
  <c r="E29" i="14"/>
  <c r="D29" i="14"/>
  <c r="B29" i="14"/>
  <c r="L28" i="14"/>
  <c r="E28" i="14"/>
  <c r="D28" i="14"/>
  <c r="B28" i="14"/>
  <c r="L27" i="14"/>
  <c r="E27" i="14"/>
  <c r="D27" i="14"/>
  <c r="B27" i="14"/>
  <c r="M26" i="14"/>
  <c r="L26" i="14"/>
  <c r="E26" i="14"/>
  <c r="D26" i="14"/>
  <c r="B26" i="14"/>
  <c r="L25" i="14"/>
  <c r="E25" i="14"/>
  <c r="D25" i="14"/>
  <c r="B25" i="14"/>
  <c r="L24" i="14"/>
  <c r="E24" i="14"/>
  <c r="D24" i="14"/>
  <c r="B24" i="14"/>
  <c r="L23" i="14"/>
  <c r="K23" i="14"/>
  <c r="E23" i="14"/>
  <c r="D23" i="14"/>
  <c r="B23" i="14"/>
  <c r="L22" i="14"/>
  <c r="K22" i="14"/>
  <c r="E22" i="14"/>
  <c r="D22" i="14"/>
  <c r="B22" i="14"/>
  <c r="L21" i="14"/>
  <c r="E21" i="14"/>
  <c r="D21" i="14"/>
  <c r="B21" i="14"/>
  <c r="L20" i="14"/>
  <c r="E20" i="14"/>
  <c r="D20" i="14"/>
  <c r="B20" i="14"/>
  <c r="L19" i="14"/>
  <c r="E19" i="14"/>
  <c r="D19" i="14"/>
  <c r="B19" i="14"/>
  <c r="L18" i="14"/>
  <c r="E18" i="14"/>
  <c r="D18" i="14"/>
  <c r="B18" i="14"/>
  <c r="L17" i="14"/>
  <c r="K17" i="14"/>
  <c r="E17" i="14"/>
  <c r="D17" i="14"/>
  <c r="B17" i="14"/>
  <c r="L16" i="14"/>
  <c r="K16" i="14"/>
  <c r="E16" i="14"/>
  <c r="D16" i="14"/>
  <c r="B16" i="14"/>
  <c r="L15" i="14"/>
  <c r="K15" i="14"/>
  <c r="E15" i="14"/>
  <c r="D15" i="14"/>
  <c r="B15" i="14"/>
  <c r="L14" i="14"/>
  <c r="K14" i="14"/>
  <c r="E14" i="14"/>
  <c r="D14" i="14"/>
  <c r="B14" i="14"/>
  <c r="L13" i="14"/>
  <c r="E13" i="14"/>
  <c r="D13" i="14"/>
  <c r="B13" i="14"/>
  <c r="L12" i="14"/>
  <c r="E12" i="14"/>
  <c r="D12" i="14"/>
  <c r="B12" i="14"/>
  <c r="L11" i="14"/>
  <c r="E11" i="14"/>
  <c r="D11" i="14"/>
  <c r="B11" i="14"/>
  <c r="L10" i="14"/>
  <c r="E10" i="14"/>
  <c r="D10" i="14"/>
  <c r="B10" i="14"/>
  <c r="L9" i="14"/>
  <c r="K9" i="14"/>
  <c r="E9" i="14"/>
  <c r="D9" i="14"/>
  <c r="B9" i="14"/>
  <c r="L8" i="14"/>
  <c r="E8" i="14"/>
  <c r="D8" i="14"/>
  <c r="B8" i="14"/>
  <c r="L7" i="14"/>
  <c r="E7" i="14"/>
  <c r="D7" i="14"/>
  <c r="B7" i="14"/>
  <c r="L6" i="14"/>
  <c r="E6" i="14"/>
  <c r="D6" i="14"/>
  <c r="B6" i="14"/>
  <c r="L5" i="14"/>
  <c r="E5" i="14"/>
  <c r="D5" i="14"/>
  <c r="B5" i="14"/>
  <c r="M4" i="14"/>
  <c r="L4" i="14"/>
  <c r="E4" i="14"/>
  <c r="D4" i="14"/>
  <c r="B4" i="14"/>
  <c r="M3" i="14"/>
  <c r="L3" i="14"/>
  <c r="E3" i="14"/>
  <c r="D3" i="14"/>
  <c r="B3" i="14"/>
  <c r="M2" i="14"/>
  <c r="L2" i="14"/>
  <c r="E2" i="14"/>
  <c r="D2" i="14"/>
  <c r="B2" i="14"/>
  <c r="B1" i="14"/>
  <c r="A75" i="14" s="1"/>
  <c r="L411" i="2"/>
  <c r="E411" i="2"/>
  <c r="D411" i="2"/>
  <c r="L410" i="2"/>
  <c r="E410" i="2"/>
  <c r="D410" i="2"/>
  <c r="L409" i="2"/>
  <c r="E409" i="2"/>
  <c r="D409" i="2"/>
  <c r="L408" i="2"/>
  <c r="E408" i="2"/>
  <c r="D408" i="2"/>
  <c r="L407" i="2"/>
  <c r="E407" i="2"/>
  <c r="D407" i="2"/>
  <c r="L406" i="2"/>
  <c r="E406" i="2"/>
  <c r="D406" i="2"/>
  <c r="L405" i="2"/>
  <c r="E405" i="2"/>
  <c r="D405" i="2"/>
  <c r="M404" i="2"/>
  <c r="L404" i="2"/>
  <c r="E404" i="2"/>
  <c r="D404" i="2"/>
  <c r="L403" i="2"/>
  <c r="E403" i="2"/>
  <c r="D403" i="2"/>
  <c r="L402" i="2"/>
  <c r="E402" i="2"/>
  <c r="D402" i="2"/>
  <c r="L401" i="2"/>
  <c r="E401" i="2"/>
  <c r="D401" i="2"/>
  <c r="L400" i="2"/>
  <c r="E400" i="2"/>
  <c r="D400" i="2"/>
  <c r="L399" i="2"/>
  <c r="E399" i="2"/>
  <c r="D399" i="2"/>
  <c r="L398" i="2"/>
  <c r="E398" i="2"/>
  <c r="D398" i="2"/>
  <c r="M397" i="2"/>
  <c r="L397" i="2"/>
  <c r="E397" i="2"/>
  <c r="D397" i="2"/>
  <c r="L396" i="2"/>
  <c r="E396" i="2"/>
  <c r="D396" i="2"/>
  <c r="M395" i="2"/>
  <c r="L395" i="2"/>
  <c r="E395" i="2"/>
  <c r="D395" i="2"/>
  <c r="L394" i="2"/>
  <c r="E394" i="2"/>
  <c r="D394" i="2"/>
  <c r="L393" i="2"/>
  <c r="E393" i="2"/>
  <c r="D393" i="2"/>
  <c r="L392" i="2"/>
  <c r="E392" i="2"/>
  <c r="D392" i="2"/>
  <c r="L391" i="2"/>
  <c r="E391" i="2"/>
  <c r="D391" i="2"/>
  <c r="L390" i="2"/>
  <c r="E390" i="2"/>
  <c r="D390" i="2"/>
  <c r="L389" i="2"/>
  <c r="E389" i="2"/>
  <c r="D389" i="2"/>
  <c r="L388" i="2"/>
  <c r="E388" i="2"/>
  <c r="D388" i="2"/>
  <c r="L387" i="2"/>
  <c r="E387" i="2"/>
  <c r="D387" i="2"/>
  <c r="L386" i="2"/>
  <c r="E386" i="2"/>
  <c r="D386" i="2"/>
  <c r="L385" i="2"/>
  <c r="E385" i="2"/>
  <c r="D385" i="2"/>
  <c r="L384" i="2"/>
  <c r="E384" i="2"/>
  <c r="D384" i="2"/>
  <c r="L383" i="2"/>
  <c r="E383" i="2"/>
  <c r="D383" i="2"/>
  <c r="L382" i="2"/>
  <c r="E382" i="2"/>
  <c r="D382" i="2"/>
  <c r="L381" i="2"/>
  <c r="E381" i="2"/>
  <c r="D381" i="2"/>
  <c r="L380" i="2"/>
  <c r="E380" i="2"/>
  <c r="D380" i="2"/>
  <c r="L379" i="2"/>
  <c r="E379" i="2"/>
  <c r="D379" i="2"/>
  <c r="L378" i="2"/>
  <c r="E378" i="2"/>
  <c r="D378" i="2"/>
  <c r="L377" i="2"/>
  <c r="E377" i="2"/>
  <c r="D377" i="2"/>
  <c r="M376" i="2"/>
  <c r="L376" i="2"/>
  <c r="E376" i="2"/>
  <c r="D376" i="2"/>
  <c r="L375" i="2"/>
  <c r="E375" i="2"/>
  <c r="D375" i="2"/>
  <c r="L374" i="2"/>
  <c r="E374" i="2"/>
  <c r="D374" i="2"/>
  <c r="L373" i="2"/>
  <c r="E373" i="2"/>
  <c r="D373" i="2"/>
  <c r="L372" i="2"/>
  <c r="E372" i="2"/>
  <c r="D372" i="2"/>
  <c r="L371" i="2"/>
  <c r="E371" i="2"/>
  <c r="D371" i="2"/>
  <c r="L370" i="2"/>
  <c r="E370" i="2"/>
  <c r="D370" i="2"/>
  <c r="L369" i="2"/>
  <c r="E369" i="2"/>
  <c r="D369" i="2"/>
  <c r="L368" i="2"/>
  <c r="E368" i="2"/>
  <c r="D368" i="2"/>
  <c r="L367" i="2"/>
  <c r="E367" i="2"/>
  <c r="D367" i="2"/>
  <c r="L366" i="2"/>
  <c r="E366" i="2"/>
  <c r="D366" i="2"/>
  <c r="L365" i="2"/>
  <c r="E365" i="2"/>
  <c r="D365" i="2"/>
  <c r="L364" i="2"/>
  <c r="E364" i="2"/>
  <c r="D364" i="2"/>
  <c r="L363" i="2"/>
  <c r="E363" i="2"/>
  <c r="D363" i="2"/>
  <c r="L362" i="2"/>
  <c r="E362" i="2"/>
  <c r="D362" i="2"/>
  <c r="M361" i="2"/>
  <c r="L361" i="2"/>
  <c r="E361" i="2"/>
  <c r="D361" i="2"/>
  <c r="L360" i="2"/>
  <c r="E360" i="2"/>
  <c r="D360" i="2"/>
  <c r="K359" i="2"/>
  <c r="L359" i="2" s="1"/>
  <c r="E359" i="2"/>
  <c r="D359" i="2"/>
  <c r="K358" i="2"/>
  <c r="L358" i="2" s="1"/>
  <c r="E358" i="2"/>
  <c r="D358" i="2"/>
  <c r="L357" i="2"/>
  <c r="E357" i="2"/>
  <c r="D357" i="2"/>
  <c r="L356" i="2"/>
  <c r="E356" i="2"/>
  <c r="D356" i="2"/>
  <c r="L355" i="2"/>
  <c r="E355" i="2"/>
  <c r="D355" i="2"/>
  <c r="L354" i="2"/>
  <c r="E354" i="2"/>
  <c r="D354" i="2"/>
  <c r="L353" i="2"/>
  <c r="E353" i="2"/>
  <c r="D353" i="2"/>
  <c r="L352" i="2"/>
  <c r="E352" i="2"/>
  <c r="D352" i="2"/>
  <c r="M351" i="2"/>
  <c r="L351" i="2"/>
  <c r="E351" i="2"/>
  <c r="D351" i="2"/>
  <c r="K350" i="2"/>
  <c r="L350" i="2" s="1"/>
  <c r="E350" i="2"/>
  <c r="D350" i="2"/>
  <c r="K349" i="2"/>
  <c r="L349" i="2" s="1"/>
  <c r="E349" i="2"/>
  <c r="D349" i="2"/>
  <c r="L348" i="2"/>
  <c r="E348" i="2"/>
  <c r="D348" i="2"/>
  <c r="K347" i="2"/>
  <c r="L347" i="2" s="1"/>
  <c r="E347" i="2"/>
  <c r="D347" i="2"/>
  <c r="L346" i="2"/>
  <c r="E346" i="2"/>
  <c r="D346" i="2"/>
  <c r="L345" i="2"/>
  <c r="E345" i="2"/>
  <c r="D345" i="2"/>
  <c r="L344" i="2"/>
  <c r="E344" i="2"/>
  <c r="D344" i="2"/>
  <c r="L343" i="2"/>
  <c r="E343" i="2"/>
  <c r="D343" i="2"/>
  <c r="L342" i="2"/>
  <c r="E342" i="2"/>
  <c r="D342" i="2"/>
  <c r="L341" i="2"/>
  <c r="E341" i="2"/>
  <c r="D341" i="2"/>
  <c r="L340" i="2"/>
  <c r="E340" i="2"/>
  <c r="D340" i="2"/>
  <c r="K339" i="2"/>
  <c r="L339" i="2" s="1"/>
  <c r="E339" i="2"/>
  <c r="D339" i="2"/>
  <c r="K338" i="2"/>
  <c r="J338" i="2"/>
  <c r="E338" i="2"/>
  <c r="D338" i="2"/>
  <c r="K337" i="2"/>
  <c r="L337" i="2" s="1"/>
  <c r="E337" i="2"/>
  <c r="D337" i="2"/>
  <c r="L336" i="2"/>
  <c r="E336" i="2"/>
  <c r="D336" i="2"/>
  <c r="L335" i="2"/>
  <c r="E335" i="2"/>
  <c r="D335" i="2"/>
  <c r="L334" i="2"/>
  <c r="E334" i="2"/>
  <c r="D334" i="2"/>
  <c r="K333" i="2"/>
  <c r="L333" i="2" s="1"/>
  <c r="E333" i="2"/>
  <c r="D333" i="2"/>
  <c r="K332" i="2"/>
  <c r="L332" i="2" s="1"/>
  <c r="E332" i="2"/>
  <c r="D332" i="2"/>
  <c r="L331" i="2"/>
  <c r="E331" i="2"/>
  <c r="D331" i="2"/>
  <c r="K330" i="2"/>
  <c r="L330" i="2" s="1"/>
  <c r="E330" i="2"/>
  <c r="D330" i="2"/>
  <c r="K329" i="2"/>
  <c r="L329" i="2" s="1"/>
  <c r="E329" i="2"/>
  <c r="D329" i="2"/>
  <c r="K328" i="2"/>
  <c r="L328" i="2" s="1"/>
  <c r="E328" i="2"/>
  <c r="D328" i="2"/>
  <c r="L327" i="2"/>
  <c r="E327" i="2"/>
  <c r="D327" i="2"/>
  <c r="L326" i="2"/>
  <c r="E326" i="2"/>
  <c r="D326" i="2"/>
  <c r="L325" i="2"/>
  <c r="E325" i="2"/>
  <c r="D325" i="2"/>
  <c r="K324" i="2"/>
  <c r="L324" i="2" s="1"/>
  <c r="E324" i="2"/>
  <c r="D324" i="2"/>
  <c r="L323" i="2"/>
  <c r="E323" i="2"/>
  <c r="D323" i="2"/>
  <c r="L322" i="2"/>
  <c r="E322" i="2"/>
  <c r="D322" i="2"/>
  <c r="L321" i="2"/>
  <c r="E321" i="2"/>
  <c r="D321" i="2"/>
  <c r="L320" i="2"/>
  <c r="E320" i="2"/>
  <c r="D320" i="2"/>
  <c r="L319" i="2"/>
  <c r="E319" i="2"/>
  <c r="D319" i="2"/>
  <c r="K318" i="2"/>
  <c r="L318" i="2" s="1"/>
  <c r="E318" i="2"/>
  <c r="D318" i="2"/>
  <c r="K317" i="2"/>
  <c r="L317" i="2" s="1"/>
  <c r="E317" i="2"/>
  <c r="D317" i="2"/>
  <c r="L316" i="2"/>
  <c r="E316" i="2"/>
  <c r="D316" i="2"/>
  <c r="L315" i="2"/>
  <c r="E315" i="2"/>
  <c r="D315" i="2"/>
  <c r="L314" i="2"/>
  <c r="E314" i="2"/>
  <c r="D314" i="2"/>
  <c r="L313" i="2"/>
  <c r="E313" i="2"/>
  <c r="D313" i="2"/>
  <c r="L312" i="2"/>
  <c r="E312" i="2"/>
  <c r="D312" i="2"/>
  <c r="L311" i="2"/>
  <c r="E311" i="2"/>
  <c r="D311" i="2"/>
  <c r="L310" i="2"/>
  <c r="E310" i="2"/>
  <c r="D310" i="2"/>
  <c r="L309" i="2"/>
  <c r="E309" i="2"/>
  <c r="D309" i="2"/>
  <c r="L308" i="2"/>
  <c r="E308" i="2"/>
  <c r="D308" i="2"/>
  <c r="L307" i="2"/>
  <c r="E307" i="2"/>
  <c r="D307" i="2"/>
  <c r="K306" i="2"/>
  <c r="L306" i="2" s="1"/>
  <c r="E306" i="2"/>
  <c r="D306" i="2"/>
  <c r="L305" i="2"/>
  <c r="E305" i="2"/>
  <c r="D305" i="2"/>
  <c r="K304" i="2"/>
  <c r="L304" i="2" s="1"/>
  <c r="E304" i="2"/>
  <c r="D304" i="2"/>
  <c r="K303" i="2"/>
  <c r="L303" i="2" s="1"/>
  <c r="E303" i="2"/>
  <c r="D303" i="2"/>
  <c r="L302" i="2"/>
  <c r="E302" i="2"/>
  <c r="D302" i="2"/>
  <c r="L301" i="2"/>
  <c r="E301" i="2"/>
  <c r="D301" i="2"/>
  <c r="K300" i="2"/>
  <c r="L300" i="2" s="1"/>
  <c r="E300" i="2"/>
  <c r="D300" i="2"/>
  <c r="K299" i="2"/>
  <c r="L299" i="2" s="1"/>
  <c r="E299" i="2"/>
  <c r="D299" i="2"/>
  <c r="L298" i="2"/>
  <c r="E298" i="2"/>
  <c r="D298" i="2"/>
  <c r="K297" i="2"/>
  <c r="L297" i="2" s="1"/>
  <c r="E297" i="2"/>
  <c r="D297" i="2"/>
  <c r="K296" i="2"/>
  <c r="L296" i="2" s="1"/>
  <c r="E296" i="2"/>
  <c r="D296" i="2"/>
  <c r="K295" i="2"/>
  <c r="L295" i="2" s="1"/>
  <c r="E295" i="2"/>
  <c r="D295" i="2"/>
  <c r="K294" i="2"/>
  <c r="L294" i="2" s="1"/>
  <c r="E294" i="2"/>
  <c r="D294" i="2"/>
  <c r="K293" i="2"/>
  <c r="L293" i="2" s="1"/>
  <c r="E293" i="2"/>
  <c r="D293" i="2"/>
  <c r="K292" i="2"/>
  <c r="L292" i="2" s="1"/>
  <c r="E292" i="2"/>
  <c r="D292" i="2"/>
  <c r="K291" i="2"/>
  <c r="L291" i="2" s="1"/>
  <c r="E291" i="2"/>
  <c r="D291" i="2"/>
  <c r="K290" i="2"/>
  <c r="L290" i="2" s="1"/>
  <c r="E290" i="2"/>
  <c r="D290" i="2"/>
  <c r="L289" i="2"/>
  <c r="E289" i="2"/>
  <c r="D289" i="2"/>
  <c r="K288" i="2"/>
  <c r="L288" i="2" s="1"/>
  <c r="E288" i="2"/>
  <c r="D288" i="2"/>
  <c r="K287" i="2"/>
  <c r="L287" i="2" s="1"/>
  <c r="E287" i="2"/>
  <c r="D287" i="2"/>
  <c r="K286" i="2"/>
  <c r="L286" i="2" s="1"/>
  <c r="E286" i="2"/>
  <c r="D286" i="2"/>
  <c r="K285" i="2"/>
  <c r="L285" i="2" s="1"/>
  <c r="E285" i="2"/>
  <c r="D285" i="2"/>
  <c r="K284" i="2"/>
  <c r="L284" i="2" s="1"/>
  <c r="E284" i="2"/>
  <c r="D284" i="2"/>
  <c r="K283" i="2"/>
  <c r="L283" i="2" s="1"/>
  <c r="E283" i="2"/>
  <c r="D283" i="2"/>
  <c r="K282" i="2"/>
  <c r="L282" i="2" s="1"/>
  <c r="E282" i="2"/>
  <c r="D282" i="2"/>
  <c r="K281" i="2"/>
  <c r="L281" i="2" s="1"/>
  <c r="E281" i="2"/>
  <c r="D281" i="2"/>
  <c r="K280" i="2"/>
  <c r="L280" i="2" s="1"/>
  <c r="E280" i="2"/>
  <c r="D280" i="2"/>
  <c r="L279" i="2"/>
  <c r="E279" i="2"/>
  <c r="D279" i="2"/>
  <c r="K278" i="2"/>
  <c r="L278" i="2" s="1"/>
  <c r="E278" i="2"/>
  <c r="D278" i="2"/>
  <c r="L277" i="2"/>
  <c r="E277" i="2"/>
  <c r="D277" i="2"/>
  <c r="L276" i="2"/>
  <c r="E276" i="2"/>
  <c r="D276" i="2"/>
  <c r="K275" i="2"/>
  <c r="L275" i="2" s="1"/>
  <c r="E275" i="2"/>
  <c r="D275" i="2"/>
  <c r="L274" i="2"/>
  <c r="E274" i="2"/>
  <c r="D274" i="2"/>
  <c r="K273" i="2"/>
  <c r="L273" i="2" s="1"/>
  <c r="E273" i="2"/>
  <c r="D273" i="2"/>
  <c r="K272" i="2"/>
  <c r="L272" i="2" s="1"/>
  <c r="E272" i="2"/>
  <c r="D272" i="2"/>
  <c r="K271" i="2"/>
  <c r="L271" i="2" s="1"/>
  <c r="E271" i="2"/>
  <c r="D271" i="2"/>
  <c r="K270" i="2"/>
  <c r="L270" i="2" s="1"/>
  <c r="E270" i="2"/>
  <c r="D270" i="2"/>
  <c r="K269" i="2"/>
  <c r="L269" i="2" s="1"/>
  <c r="E269" i="2"/>
  <c r="D269" i="2"/>
  <c r="K268" i="2"/>
  <c r="L268" i="2" s="1"/>
  <c r="E268" i="2"/>
  <c r="D268" i="2"/>
  <c r="K267" i="2"/>
  <c r="L267" i="2" s="1"/>
  <c r="E267" i="2"/>
  <c r="D267" i="2"/>
  <c r="L266" i="2"/>
  <c r="E266" i="2"/>
  <c r="D266" i="2"/>
  <c r="K265" i="2"/>
  <c r="L265" i="2" s="1"/>
  <c r="E265" i="2"/>
  <c r="D265" i="2"/>
  <c r="K264" i="2"/>
  <c r="L264" i="2" s="1"/>
  <c r="E264" i="2"/>
  <c r="D264" i="2"/>
  <c r="L263" i="2"/>
  <c r="E263" i="2"/>
  <c r="D263" i="2"/>
  <c r="K262" i="2"/>
  <c r="L262" i="2" s="1"/>
  <c r="E262" i="2"/>
  <c r="D262" i="2"/>
  <c r="K261" i="2"/>
  <c r="L261" i="2" s="1"/>
  <c r="E261" i="2"/>
  <c r="D261" i="2"/>
  <c r="L260" i="2"/>
  <c r="E260" i="2"/>
  <c r="D260" i="2"/>
  <c r="K259" i="2"/>
  <c r="L259" i="2" s="1"/>
  <c r="E259" i="2"/>
  <c r="D259" i="2"/>
  <c r="K258" i="2"/>
  <c r="L258" i="2" s="1"/>
  <c r="E258" i="2"/>
  <c r="D258" i="2"/>
  <c r="L257" i="2"/>
  <c r="E257" i="2"/>
  <c r="D257" i="2"/>
  <c r="K256" i="2"/>
  <c r="L256" i="2" s="1"/>
  <c r="E256" i="2"/>
  <c r="D256" i="2"/>
  <c r="L255" i="2"/>
  <c r="E255" i="2"/>
  <c r="D255" i="2"/>
  <c r="K254" i="2"/>
  <c r="L254" i="2" s="1"/>
  <c r="E254" i="2"/>
  <c r="D254" i="2"/>
  <c r="L253" i="2"/>
  <c r="E253" i="2"/>
  <c r="D253" i="2"/>
  <c r="K252" i="2"/>
  <c r="L252" i="2" s="1"/>
  <c r="E252" i="2"/>
  <c r="D252" i="2"/>
  <c r="K251" i="2"/>
  <c r="L251" i="2" s="1"/>
  <c r="E251" i="2"/>
  <c r="D251" i="2"/>
  <c r="L250" i="2"/>
  <c r="E250" i="2"/>
  <c r="D250" i="2"/>
  <c r="K249" i="2"/>
  <c r="L249" i="2" s="1"/>
  <c r="E249" i="2"/>
  <c r="D249" i="2"/>
  <c r="K248" i="2"/>
  <c r="L248" i="2" s="1"/>
  <c r="E248" i="2"/>
  <c r="D248" i="2"/>
  <c r="K247" i="2"/>
  <c r="L247" i="2" s="1"/>
  <c r="E247" i="2"/>
  <c r="D247" i="2"/>
  <c r="L246" i="2"/>
  <c r="E246" i="2"/>
  <c r="D246" i="2"/>
  <c r="K245" i="2"/>
  <c r="L245" i="2" s="1"/>
  <c r="E245" i="2"/>
  <c r="D245" i="2"/>
  <c r="K244" i="2"/>
  <c r="L244" i="2" s="1"/>
  <c r="E244" i="2"/>
  <c r="D244" i="2"/>
  <c r="K243" i="2"/>
  <c r="L243" i="2" s="1"/>
  <c r="E243" i="2"/>
  <c r="D243" i="2"/>
  <c r="K242" i="2"/>
  <c r="L242" i="2" s="1"/>
  <c r="E242" i="2"/>
  <c r="D242" i="2"/>
  <c r="K241" i="2"/>
  <c r="L241" i="2" s="1"/>
  <c r="E241" i="2"/>
  <c r="D241" i="2"/>
  <c r="K240" i="2"/>
  <c r="L240" i="2" s="1"/>
  <c r="E240" i="2"/>
  <c r="D240" i="2"/>
  <c r="L239" i="2"/>
  <c r="E239" i="2"/>
  <c r="D239" i="2"/>
  <c r="K238" i="2"/>
  <c r="L238" i="2" s="1"/>
  <c r="E238" i="2"/>
  <c r="D238" i="2"/>
  <c r="K237" i="2"/>
  <c r="L237" i="2" s="1"/>
  <c r="E237" i="2"/>
  <c r="D237" i="2"/>
  <c r="K236" i="2"/>
  <c r="L236" i="2" s="1"/>
  <c r="E236" i="2"/>
  <c r="D236" i="2"/>
  <c r="K235" i="2"/>
  <c r="L235" i="2" s="1"/>
  <c r="E235" i="2"/>
  <c r="D235" i="2"/>
  <c r="K234" i="2"/>
  <c r="L234" i="2" s="1"/>
  <c r="E234" i="2"/>
  <c r="D234" i="2"/>
  <c r="L233" i="2"/>
  <c r="E233" i="2"/>
  <c r="D233" i="2"/>
  <c r="E232" i="2"/>
  <c r="D232" i="2"/>
  <c r="E231" i="2"/>
  <c r="D231" i="2"/>
  <c r="M230" i="2"/>
  <c r="E230" i="2"/>
  <c r="D230" i="2"/>
  <c r="K229" i="2"/>
  <c r="L229" i="2" s="1"/>
  <c r="E229" i="2"/>
  <c r="D229" i="2"/>
  <c r="K228" i="2"/>
  <c r="L228" i="2" s="1"/>
  <c r="E228" i="2"/>
  <c r="D228" i="2"/>
  <c r="K227" i="2"/>
  <c r="L227" i="2" s="1"/>
  <c r="E227" i="2"/>
  <c r="D227" i="2"/>
  <c r="K226" i="2"/>
  <c r="L226" i="2" s="1"/>
  <c r="E226" i="2"/>
  <c r="D226" i="2"/>
  <c r="K225" i="2"/>
  <c r="L225" i="2" s="1"/>
  <c r="E225" i="2"/>
  <c r="D225" i="2"/>
  <c r="K224" i="2"/>
  <c r="L224" i="2" s="1"/>
  <c r="E224" i="2"/>
  <c r="D224" i="2"/>
  <c r="K223" i="2"/>
  <c r="L223" i="2" s="1"/>
  <c r="E223" i="2"/>
  <c r="D223" i="2"/>
  <c r="L222" i="2"/>
  <c r="E222" i="2"/>
  <c r="D222" i="2"/>
  <c r="K221" i="2"/>
  <c r="L221" i="2" s="1"/>
  <c r="E221" i="2"/>
  <c r="D221" i="2"/>
  <c r="K220" i="2"/>
  <c r="L220" i="2" s="1"/>
  <c r="E220" i="2"/>
  <c r="D220" i="2"/>
  <c r="K219" i="2"/>
  <c r="L219" i="2" s="1"/>
  <c r="E219" i="2"/>
  <c r="D219" i="2"/>
  <c r="L218" i="2"/>
  <c r="E218" i="2"/>
  <c r="D218" i="2"/>
  <c r="K217" i="2"/>
  <c r="L217" i="2" s="1"/>
  <c r="E217" i="2"/>
  <c r="D217" i="2"/>
  <c r="K216" i="2"/>
  <c r="L216" i="2" s="1"/>
  <c r="E216" i="2"/>
  <c r="D216" i="2"/>
  <c r="K215" i="2"/>
  <c r="L215" i="2" s="1"/>
  <c r="E215" i="2"/>
  <c r="D215" i="2"/>
  <c r="K214" i="2"/>
  <c r="L214" i="2" s="1"/>
  <c r="E214" i="2"/>
  <c r="D214" i="2"/>
  <c r="L213" i="2"/>
  <c r="E213" i="2"/>
  <c r="D213" i="2"/>
  <c r="K212" i="2"/>
  <c r="E212" i="2"/>
  <c r="D212" i="2"/>
  <c r="K211" i="2"/>
  <c r="L211" i="2" s="1"/>
  <c r="E211" i="2"/>
  <c r="D211" i="2"/>
  <c r="K210" i="2"/>
  <c r="L210" i="2" s="1"/>
  <c r="E210" i="2"/>
  <c r="D210" i="2"/>
  <c r="K209" i="2"/>
  <c r="L209" i="2" s="1"/>
  <c r="E209" i="2"/>
  <c r="D209" i="2"/>
  <c r="L208" i="2"/>
  <c r="E208" i="2"/>
  <c r="D208" i="2"/>
  <c r="L207" i="2"/>
  <c r="E207" i="2"/>
  <c r="D207" i="2"/>
  <c r="K206" i="2"/>
  <c r="L206" i="2" s="1"/>
  <c r="E206" i="2"/>
  <c r="D206" i="2"/>
  <c r="K205" i="2"/>
  <c r="L205" i="2" s="1"/>
  <c r="E205" i="2"/>
  <c r="D205" i="2"/>
  <c r="K204" i="2"/>
  <c r="L204" i="2" s="1"/>
  <c r="E204" i="2"/>
  <c r="D204" i="2"/>
  <c r="K203" i="2"/>
  <c r="L203" i="2" s="1"/>
  <c r="E203" i="2"/>
  <c r="D203" i="2"/>
  <c r="K202" i="2"/>
  <c r="L202" i="2" s="1"/>
  <c r="E202" i="2"/>
  <c r="D202" i="2"/>
  <c r="K201" i="2"/>
  <c r="L201" i="2" s="1"/>
  <c r="E201" i="2"/>
  <c r="D201" i="2"/>
  <c r="L200" i="2"/>
  <c r="E200" i="2"/>
  <c r="D200" i="2"/>
  <c r="L199" i="2"/>
  <c r="E199" i="2"/>
  <c r="D199" i="2"/>
  <c r="K198" i="2"/>
  <c r="L198" i="2" s="1"/>
  <c r="E198" i="2"/>
  <c r="D198" i="2"/>
  <c r="K197" i="2"/>
  <c r="L197" i="2" s="1"/>
  <c r="E197" i="2"/>
  <c r="D197" i="2"/>
  <c r="K196" i="2"/>
  <c r="L196" i="2" s="1"/>
  <c r="E196" i="2"/>
  <c r="D196" i="2"/>
  <c r="M195" i="2"/>
  <c r="L195" i="2"/>
  <c r="E195" i="2"/>
  <c r="D195" i="2"/>
  <c r="K194" i="2"/>
  <c r="L194" i="2" s="1"/>
  <c r="E194" i="2"/>
  <c r="D194" i="2"/>
  <c r="M193" i="2"/>
  <c r="L193" i="2"/>
  <c r="E193" i="2"/>
  <c r="D193" i="2"/>
  <c r="L192" i="2"/>
  <c r="E192" i="2"/>
  <c r="D192" i="2"/>
  <c r="K191" i="2"/>
  <c r="L191" i="2" s="1"/>
  <c r="E191" i="2"/>
  <c r="D191" i="2"/>
  <c r="K190" i="2"/>
  <c r="L190" i="2" s="1"/>
  <c r="E190" i="2"/>
  <c r="D190" i="2"/>
  <c r="K189" i="2"/>
  <c r="L189" i="2" s="1"/>
  <c r="E189" i="2"/>
  <c r="D189" i="2"/>
  <c r="K188" i="2"/>
  <c r="L188" i="2" s="1"/>
  <c r="E188" i="2"/>
  <c r="D188" i="2"/>
  <c r="L187" i="2"/>
  <c r="E187" i="2"/>
  <c r="D187" i="2"/>
  <c r="L186" i="2"/>
  <c r="E186" i="2"/>
  <c r="D186" i="2"/>
  <c r="M185" i="2"/>
  <c r="L185" i="2"/>
  <c r="E185" i="2"/>
  <c r="D185" i="2"/>
  <c r="K184" i="2"/>
  <c r="M184" i="2" s="1"/>
  <c r="E184" i="2"/>
  <c r="D184" i="2"/>
  <c r="L183" i="2"/>
  <c r="E183" i="2"/>
  <c r="D183" i="2"/>
  <c r="L182" i="2"/>
  <c r="E182" i="2"/>
  <c r="D182" i="2"/>
  <c r="M181" i="2"/>
  <c r="L181" i="2"/>
  <c r="E181" i="2"/>
  <c r="D181" i="2"/>
  <c r="L180" i="2"/>
  <c r="E180" i="2"/>
  <c r="D180" i="2"/>
  <c r="L179" i="2"/>
  <c r="E179" i="2"/>
  <c r="D179" i="2"/>
  <c r="L178" i="2"/>
  <c r="E178" i="2"/>
  <c r="D178" i="2"/>
  <c r="K177" i="2"/>
  <c r="L177" i="2" s="1"/>
  <c r="E177" i="2"/>
  <c r="D177" i="2"/>
  <c r="L176" i="2"/>
  <c r="E176" i="2"/>
  <c r="D176" i="2"/>
  <c r="L175" i="2"/>
  <c r="E175" i="2"/>
  <c r="D175" i="2"/>
  <c r="K174" i="2"/>
  <c r="L174" i="2" s="1"/>
  <c r="E174" i="2"/>
  <c r="D174" i="2"/>
  <c r="K173" i="2"/>
  <c r="L173" i="2" s="1"/>
  <c r="E173" i="2"/>
  <c r="D173" i="2"/>
  <c r="L172" i="2"/>
  <c r="E172" i="2"/>
  <c r="D172" i="2"/>
  <c r="L171" i="2"/>
  <c r="E171" i="2"/>
  <c r="D171" i="2"/>
  <c r="L170" i="2"/>
  <c r="E170" i="2"/>
  <c r="D170" i="2"/>
  <c r="K169" i="2"/>
  <c r="L169" i="2" s="1"/>
  <c r="E169" i="2"/>
  <c r="D169" i="2"/>
  <c r="K168" i="2"/>
  <c r="L168" i="2" s="1"/>
  <c r="E168" i="2"/>
  <c r="D168" i="2"/>
  <c r="K167" i="2"/>
  <c r="L167" i="2" s="1"/>
  <c r="E167" i="2"/>
  <c r="D167" i="2"/>
  <c r="L166" i="2"/>
  <c r="E166" i="2"/>
  <c r="D166" i="2"/>
  <c r="M165" i="2"/>
  <c r="K165" i="2"/>
  <c r="L165" i="2" s="1"/>
  <c r="E165" i="2"/>
  <c r="D165" i="2"/>
  <c r="L164" i="2"/>
  <c r="E164" i="2"/>
  <c r="D164" i="2"/>
  <c r="K163" i="2"/>
  <c r="L163" i="2" s="1"/>
  <c r="E163" i="2"/>
  <c r="D163" i="2"/>
  <c r="K162" i="2"/>
  <c r="L162" i="2" s="1"/>
  <c r="E162" i="2"/>
  <c r="D162" i="2"/>
  <c r="K161" i="2"/>
  <c r="L161" i="2" s="1"/>
  <c r="E161" i="2"/>
  <c r="D161" i="2"/>
  <c r="L160" i="2"/>
  <c r="E160" i="2"/>
  <c r="D160" i="2"/>
  <c r="L159" i="2"/>
  <c r="E159" i="2"/>
  <c r="D159" i="2"/>
  <c r="K158" i="2"/>
  <c r="L158" i="2" s="1"/>
  <c r="E158" i="2"/>
  <c r="D158" i="2"/>
  <c r="L157" i="2"/>
  <c r="E157" i="2"/>
  <c r="D157" i="2"/>
  <c r="K156" i="2"/>
  <c r="L156" i="2" s="1"/>
  <c r="E156" i="2"/>
  <c r="D156" i="2"/>
  <c r="K155" i="2"/>
  <c r="L155" i="2" s="1"/>
  <c r="E155" i="2"/>
  <c r="D155" i="2"/>
  <c r="K154" i="2"/>
  <c r="L154" i="2" s="1"/>
  <c r="E154" i="2"/>
  <c r="D154" i="2"/>
  <c r="K153" i="2"/>
  <c r="L153" i="2" s="1"/>
  <c r="E153" i="2"/>
  <c r="D153" i="2"/>
  <c r="K152" i="2"/>
  <c r="L152" i="2" s="1"/>
  <c r="E152" i="2"/>
  <c r="D152" i="2"/>
  <c r="K151" i="2"/>
  <c r="L151" i="2" s="1"/>
  <c r="E151" i="2"/>
  <c r="D151" i="2"/>
  <c r="L150" i="2"/>
  <c r="E150" i="2"/>
  <c r="D150" i="2"/>
  <c r="L149" i="2"/>
  <c r="E149" i="2"/>
  <c r="D149" i="2"/>
  <c r="L148" i="2"/>
  <c r="E148" i="2"/>
  <c r="D148" i="2"/>
  <c r="L147" i="2"/>
  <c r="E147" i="2"/>
  <c r="D147" i="2"/>
  <c r="L146" i="2"/>
  <c r="E146" i="2"/>
  <c r="D146" i="2"/>
  <c r="K145" i="2"/>
  <c r="L145" i="2" s="1"/>
  <c r="E145" i="2"/>
  <c r="D145" i="2"/>
  <c r="K144" i="2"/>
  <c r="L144" i="2" s="1"/>
  <c r="E144" i="2"/>
  <c r="D144" i="2"/>
  <c r="L143" i="2"/>
  <c r="E143" i="2"/>
  <c r="D143" i="2"/>
  <c r="L142" i="2"/>
  <c r="E142" i="2"/>
  <c r="D142" i="2"/>
  <c r="L141" i="2"/>
  <c r="E141" i="2"/>
  <c r="D141" i="2"/>
  <c r="K140" i="2"/>
  <c r="L140" i="2" s="1"/>
  <c r="E140" i="2"/>
  <c r="D140" i="2"/>
  <c r="K139" i="2"/>
  <c r="L139" i="2" s="1"/>
  <c r="E139" i="2"/>
  <c r="D139" i="2"/>
  <c r="K138" i="2"/>
  <c r="L138" i="2" s="1"/>
  <c r="E138" i="2"/>
  <c r="D138" i="2"/>
  <c r="L137" i="2"/>
  <c r="E137" i="2"/>
  <c r="D137" i="2"/>
  <c r="K136" i="2"/>
  <c r="L136" i="2" s="1"/>
  <c r="E136" i="2"/>
  <c r="D136" i="2"/>
  <c r="L135" i="2"/>
  <c r="E135" i="2"/>
  <c r="D135" i="2"/>
  <c r="L134" i="2"/>
  <c r="E134" i="2"/>
  <c r="D134" i="2"/>
  <c r="K133" i="2"/>
  <c r="L133" i="2" s="1"/>
  <c r="E133" i="2"/>
  <c r="D133" i="2"/>
  <c r="K132" i="2"/>
  <c r="L132" i="2" s="1"/>
  <c r="E132" i="2"/>
  <c r="D132" i="2"/>
  <c r="L131" i="2"/>
  <c r="E131" i="2"/>
  <c r="D131" i="2"/>
  <c r="L130" i="2"/>
  <c r="E130" i="2"/>
  <c r="D130" i="2"/>
  <c r="K129" i="2"/>
  <c r="L129" i="2" s="1"/>
  <c r="E129" i="2"/>
  <c r="D129" i="2"/>
  <c r="K128" i="2"/>
  <c r="L128" i="2" s="1"/>
  <c r="E128" i="2"/>
  <c r="D128" i="2"/>
  <c r="K127" i="2"/>
  <c r="L127" i="2" s="1"/>
  <c r="E127" i="2"/>
  <c r="D127" i="2"/>
  <c r="K126" i="2"/>
  <c r="L126" i="2" s="1"/>
  <c r="E126" i="2"/>
  <c r="D126" i="2"/>
  <c r="L125" i="2"/>
  <c r="E125" i="2"/>
  <c r="D125" i="2"/>
  <c r="K124" i="2"/>
  <c r="L124" i="2" s="1"/>
  <c r="E124" i="2"/>
  <c r="D124" i="2"/>
  <c r="L123" i="2"/>
  <c r="E123" i="2"/>
  <c r="D123" i="2"/>
  <c r="L122" i="2"/>
  <c r="E122" i="2"/>
  <c r="D122" i="2"/>
  <c r="K121" i="2"/>
  <c r="L121" i="2" s="1"/>
  <c r="E121" i="2"/>
  <c r="D121" i="2"/>
  <c r="L120" i="2"/>
  <c r="E120" i="2"/>
  <c r="D120" i="2"/>
  <c r="L119" i="2"/>
  <c r="E119" i="2"/>
  <c r="D119" i="2"/>
  <c r="K118" i="2"/>
  <c r="L118" i="2" s="1"/>
  <c r="E118" i="2"/>
  <c r="D118" i="2"/>
  <c r="K117" i="2"/>
  <c r="J117" i="2"/>
  <c r="E117" i="2"/>
  <c r="D117" i="2"/>
  <c r="K116" i="2"/>
  <c r="L116" i="2" s="1"/>
  <c r="E116" i="2"/>
  <c r="D116" i="2"/>
  <c r="K115" i="2"/>
  <c r="L115" i="2" s="1"/>
  <c r="E115" i="2"/>
  <c r="D115" i="2"/>
  <c r="M114" i="2"/>
  <c r="L114" i="2"/>
  <c r="E114" i="2"/>
  <c r="D114" i="2"/>
  <c r="M113" i="2"/>
  <c r="L113" i="2"/>
  <c r="E113" i="2"/>
  <c r="D113" i="2"/>
  <c r="K112" i="2"/>
  <c r="L112" i="2" s="1"/>
  <c r="E112" i="2"/>
  <c r="D112" i="2"/>
  <c r="K111" i="2"/>
  <c r="L111" i="2" s="1"/>
  <c r="E111" i="2"/>
  <c r="D111" i="2"/>
  <c r="K110" i="2"/>
  <c r="L110" i="2" s="1"/>
  <c r="E110" i="2"/>
  <c r="D110" i="2"/>
  <c r="L109" i="2"/>
  <c r="E109" i="2"/>
  <c r="D109" i="2"/>
  <c r="K108" i="2"/>
  <c r="L108" i="2" s="1"/>
  <c r="E108" i="2"/>
  <c r="D108" i="2"/>
  <c r="K107" i="2"/>
  <c r="L107" i="2" s="1"/>
  <c r="E107" i="2"/>
  <c r="D107" i="2"/>
  <c r="K106" i="2"/>
  <c r="L106" i="2" s="1"/>
  <c r="E106" i="2"/>
  <c r="D106" i="2"/>
  <c r="L105" i="2"/>
  <c r="E105" i="2"/>
  <c r="D105" i="2"/>
  <c r="K104" i="2"/>
  <c r="L104" i="2" s="1"/>
  <c r="E104" i="2"/>
  <c r="D104" i="2"/>
  <c r="L103" i="2"/>
  <c r="E103" i="2"/>
  <c r="D103" i="2"/>
  <c r="L102" i="2"/>
  <c r="E102" i="2"/>
  <c r="D102" i="2"/>
  <c r="L101" i="2"/>
  <c r="E101" i="2"/>
  <c r="D101" i="2"/>
  <c r="L100" i="2"/>
  <c r="E100" i="2"/>
  <c r="D100" i="2"/>
  <c r="K99" i="2"/>
  <c r="L99" i="2" s="1"/>
  <c r="E99" i="2"/>
  <c r="D99" i="2"/>
  <c r="L98" i="2"/>
  <c r="E98" i="2"/>
  <c r="D98" i="2"/>
  <c r="L97" i="2"/>
  <c r="E97" i="2"/>
  <c r="D97" i="2"/>
  <c r="L96" i="2"/>
  <c r="E96" i="2"/>
  <c r="D96" i="2"/>
  <c r="L95" i="2"/>
  <c r="E95" i="2"/>
  <c r="D95" i="2"/>
  <c r="K94" i="2"/>
  <c r="L94" i="2" s="1"/>
  <c r="E94" i="2"/>
  <c r="D94" i="2"/>
  <c r="K93" i="2"/>
  <c r="L93" i="2" s="1"/>
  <c r="E93" i="2"/>
  <c r="D93" i="2"/>
  <c r="L92" i="2"/>
  <c r="E92" i="2"/>
  <c r="D92" i="2"/>
  <c r="K91" i="2"/>
  <c r="L91" i="2" s="1"/>
  <c r="E91" i="2"/>
  <c r="D91" i="2"/>
  <c r="L90" i="2"/>
  <c r="E90" i="2"/>
  <c r="D90" i="2"/>
  <c r="L89" i="2"/>
  <c r="E89" i="2"/>
  <c r="D89" i="2"/>
  <c r="L88" i="2"/>
  <c r="E88" i="2"/>
  <c r="D88" i="2"/>
  <c r="L87" i="2"/>
  <c r="E87" i="2"/>
  <c r="D87" i="2"/>
  <c r="K86" i="2"/>
  <c r="L86" i="2" s="1"/>
  <c r="E86" i="2"/>
  <c r="D86" i="2"/>
  <c r="L85" i="2"/>
  <c r="E85" i="2"/>
  <c r="D85" i="2"/>
  <c r="K84" i="2"/>
  <c r="L84" i="2" s="1"/>
  <c r="E84" i="2"/>
  <c r="D84" i="2"/>
  <c r="K83" i="2"/>
  <c r="L83" i="2" s="1"/>
  <c r="E83" i="2"/>
  <c r="D83" i="2"/>
  <c r="K82" i="2"/>
  <c r="L82" i="2" s="1"/>
  <c r="E82" i="2"/>
  <c r="D82" i="2"/>
  <c r="K81" i="2"/>
  <c r="L81" i="2" s="1"/>
  <c r="E81" i="2"/>
  <c r="D81" i="2"/>
  <c r="L80" i="2"/>
  <c r="E80" i="2"/>
  <c r="D80" i="2"/>
  <c r="K79" i="2"/>
  <c r="L79" i="2" s="1"/>
  <c r="E79" i="2"/>
  <c r="D79" i="2"/>
  <c r="K78" i="2"/>
  <c r="L78" i="2" s="1"/>
  <c r="E78" i="2"/>
  <c r="D78" i="2"/>
  <c r="L77" i="2"/>
  <c r="E77" i="2"/>
  <c r="D77" i="2"/>
  <c r="L76" i="2"/>
  <c r="E76" i="2"/>
  <c r="D76" i="2"/>
  <c r="L75" i="2"/>
  <c r="E75" i="2"/>
  <c r="D75" i="2"/>
  <c r="M74" i="2"/>
  <c r="L74" i="2"/>
  <c r="E74" i="2"/>
  <c r="D74" i="2"/>
  <c r="L73" i="2"/>
  <c r="E73" i="2"/>
  <c r="D73" i="2"/>
  <c r="K72" i="2"/>
  <c r="L72" i="2" s="1"/>
  <c r="E72" i="2"/>
  <c r="D72" i="2"/>
  <c r="K71" i="2"/>
  <c r="L71" i="2" s="1"/>
  <c r="E71" i="2"/>
  <c r="D71" i="2"/>
  <c r="L70" i="2"/>
  <c r="E70" i="2"/>
  <c r="D70" i="2"/>
  <c r="K69" i="2"/>
  <c r="L69" i="2" s="1"/>
  <c r="E69" i="2"/>
  <c r="D69" i="2"/>
  <c r="K68" i="2"/>
  <c r="E68" i="2"/>
  <c r="D68" i="2"/>
  <c r="L67" i="2"/>
  <c r="E67" i="2"/>
  <c r="D67" i="2"/>
  <c r="L66" i="2"/>
  <c r="E66" i="2"/>
  <c r="D66" i="2"/>
  <c r="M65" i="2"/>
  <c r="L65" i="2"/>
  <c r="E65" i="2"/>
  <c r="D65" i="2"/>
  <c r="L64" i="2"/>
  <c r="E64" i="2"/>
  <c r="D64" i="2"/>
  <c r="L63" i="2"/>
  <c r="E63" i="2"/>
  <c r="D63" i="2"/>
  <c r="L62" i="2"/>
  <c r="E62" i="2"/>
  <c r="D62" i="2"/>
  <c r="K61" i="2"/>
  <c r="L61" i="2" s="1"/>
  <c r="E61" i="2"/>
  <c r="D61" i="2"/>
  <c r="K60" i="2"/>
  <c r="L60" i="2" s="1"/>
  <c r="E60" i="2"/>
  <c r="D60" i="2"/>
  <c r="K59" i="2"/>
  <c r="L59" i="2" s="1"/>
  <c r="E59" i="2"/>
  <c r="D59" i="2"/>
  <c r="L58" i="2"/>
  <c r="E58" i="2"/>
  <c r="D58" i="2"/>
  <c r="L57" i="2"/>
  <c r="E57" i="2"/>
  <c r="D57" i="2"/>
  <c r="L56" i="2"/>
  <c r="E56" i="2"/>
  <c r="D56" i="2"/>
  <c r="K55" i="2"/>
  <c r="L55" i="2" s="1"/>
  <c r="E55" i="2"/>
  <c r="D55" i="2"/>
  <c r="L54" i="2"/>
  <c r="E54" i="2"/>
  <c r="D54" i="2"/>
  <c r="L53" i="2"/>
  <c r="E53" i="2"/>
  <c r="D53" i="2"/>
  <c r="K52" i="2"/>
  <c r="L52" i="2" s="1"/>
  <c r="E52" i="2"/>
  <c r="D52" i="2"/>
  <c r="L51" i="2"/>
  <c r="E51" i="2"/>
  <c r="D51" i="2"/>
  <c r="K50" i="2"/>
  <c r="L50" i="2" s="1"/>
  <c r="E50" i="2"/>
  <c r="D50" i="2"/>
  <c r="L49" i="2"/>
  <c r="E49" i="2"/>
  <c r="D49" i="2"/>
  <c r="K48" i="2"/>
  <c r="L48" i="2" s="1"/>
  <c r="E48" i="2"/>
  <c r="D48" i="2"/>
  <c r="L47" i="2"/>
  <c r="E47" i="2"/>
  <c r="D47" i="2"/>
  <c r="L46" i="2"/>
  <c r="E46" i="2"/>
  <c r="D46" i="2"/>
  <c r="K45" i="2"/>
  <c r="L45" i="2" s="1"/>
  <c r="E45" i="2"/>
  <c r="D45" i="2"/>
  <c r="M44" i="2"/>
  <c r="L44" i="2"/>
  <c r="E44" i="2"/>
  <c r="D44" i="2"/>
  <c r="L43" i="2"/>
  <c r="E43" i="2"/>
  <c r="D43" i="2"/>
  <c r="M42" i="2"/>
  <c r="L42" i="2"/>
  <c r="E42" i="2"/>
  <c r="D42" i="2"/>
  <c r="L41" i="2"/>
  <c r="E41" i="2"/>
  <c r="D41" i="2"/>
  <c r="K40" i="2"/>
  <c r="L40" i="2" s="1"/>
  <c r="E40" i="2"/>
  <c r="D40" i="2"/>
  <c r="K39" i="2"/>
  <c r="L39" i="2" s="1"/>
  <c r="E39" i="2"/>
  <c r="D39" i="2"/>
  <c r="L38" i="2"/>
  <c r="E38" i="2"/>
  <c r="D38" i="2"/>
  <c r="K37" i="2"/>
  <c r="L37" i="2" s="1"/>
  <c r="E37" i="2"/>
  <c r="D37" i="2"/>
  <c r="L36" i="2"/>
  <c r="E36" i="2"/>
  <c r="D36" i="2"/>
  <c r="K35" i="2"/>
  <c r="E35" i="2"/>
  <c r="D35" i="2"/>
  <c r="K34" i="2"/>
  <c r="L34" i="2" s="1"/>
  <c r="E34" i="2"/>
  <c r="D34" i="2"/>
  <c r="L33" i="2"/>
  <c r="E33" i="2"/>
  <c r="D33" i="2"/>
  <c r="L32" i="2"/>
  <c r="E32" i="2"/>
  <c r="D32" i="2"/>
  <c r="L31" i="2"/>
  <c r="E31" i="2"/>
  <c r="D31" i="2"/>
  <c r="K30" i="2"/>
  <c r="L30" i="2" s="1"/>
  <c r="E30" i="2"/>
  <c r="D30" i="2"/>
  <c r="L29" i="2"/>
  <c r="E29" i="2"/>
  <c r="D29" i="2"/>
  <c r="K28" i="2"/>
  <c r="L28" i="2" s="1"/>
  <c r="E28" i="2"/>
  <c r="D28" i="2"/>
  <c r="K27" i="2"/>
  <c r="L27" i="2" s="1"/>
  <c r="E27" i="2"/>
  <c r="D27" i="2"/>
  <c r="L26" i="2"/>
  <c r="E26" i="2"/>
  <c r="D26" i="2"/>
  <c r="K25" i="2"/>
  <c r="L25" i="2" s="1"/>
  <c r="E25" i="2"/>
  <c r="D25" i="2"/>
  <c r="L24" i="2"/>
  <c r="E24" i="2"/>
  <c r="D24" i="2"/>
  <c r="L23" i="2"/>
  <c r="E23" i="2"/>
  <c r="D23" i="2"/>
  <c r="K22" i="2"/>
  <c r="L22" i="2" s="1"/>
  <c r="E22" i="2"/>
  <c r="D22" i="2"/>
  <c r="K21" i="2"/>
  <c r="L21" i="2" s="1"/>
  <c r="E21" i="2"/>
  <c r="D21" i="2"/>
  <c r="L20" i="2"/>
  <c r="E20" i="2"/>
  <c r="D20" i="2"/>
  <c r="L19" i="2"/>
  <c r="E19" i="2"/>
  <c r="D19" i="2"/>
  <c r="K18" i="2"/>
  <c r="L18" i="2" s="1"/>
  <c r="E18" i="2"/>
  <c r="D18" i="2"/>
  <c r="K17" i="2"/>
  <c r="L17" i="2" s="1"/>
  <c r="E17" i="2"/>
  <c r="D17" i="2"/>
  <c r="L16" i="2"/>
  <c r="E16" i="2"/>
  <c r="D16" i="2"/>
  <c r="K15" i="2"/>
  <c r="L15" i="2" s="1"/>
  <c r="E15" i="2"/>
  <c r="D15" i="2"/>
  <c r="L14" i="2"/>
  <c r="E14" i="2"/>
  <c r="D14" i="2"/>
  <c r="K13" i="2"/>
  <c r="L13" i="2" s="1"/>
  <c r="E13" i="2"/>
  <c r="D13" i="2"/>
  <c r="K12" i="2"/>
  <c r="L12" i="2" s="1"/>
  <c r="E12" i="2"/>
  <c r="D12" i="2"/>
  <c r="K11" i="2"/>
  <c r="L11" i="2" s="1"/>
  <c r="E11" i="2"/>
  <c r="D11" i="2"/>
  <c r="K10" i="2"/>
  <c r="L10" i="2" s="1"/>
  <c r="E10" i="2"/>
  <c r="D10" i="2"/>
  <c r="K9" i="2"/>
  <c r="L9" i="2" s="1"/>
  <c r="E9" i="2"/>
  <c r="D9" i="2"/>
  <c r="L8" i="2"/>
  <c r="E8" i="2"/>
  <c r="D8" i="2"/>
  <c r="K7" i="2"/>
  <c r="L7" i="2" s="1"/>
  <c r="E7" i="2"/>
  <c r="D7" i="2"/>
  <c r="K6" i="2"/>
  <c r="L6" i="2" s="1"/>
  <c r="E6" i="2"/>
  <c r="D6" i="2"/>
  <c r="K5" i="2"/>
  <c r="L5" i="2" s="1"/>
  <c r="E5" i="2"/>
  <c r="D5" i="2"/>
  <c r="K4" i="2"/>
  <c r="L4" i="2" s="1"/>
  <c r="E4" i="2"/>
  <c r="D4" i="2"/>
  <c r="L3" i="2"/>
  <c r="E3" i="2"/>
  <c r="D3" i="2"/>
  <c r="K2" i="2"/>
  <c r="L2" i="2" s="1"/>
  <c r="E2" i="2"/>
  <c r="D2" i="2"/>
  <c r="B1" i="2"/>
  <c r="A300" i="2" s="1"/>
  <c r="K1146" i="1"/>
  <c r="J1146" i="1"/>
  <c r="C1146" i="1"/>
  <c r="B1146" i="1"/>
  <c r="J1145" i="1"/>
  <c r="C1145" i="1"/>
  <c r="B1145" i="1"/>
  <c r="J1144" i="1"/>
  <c r="C1144" i="1"/>
  <c r="B1144" i="1"/>
  <c r="J1143" i="1"/>
  <c r="I1143" i="1"/>
  <c r="C1143" i="1"/>
  <c r="B1143" i="1"/>
  <c r="J1142" i="1"/>
  <c r="C1142" i="1"/>
  <c r="B1142" i="1"/>
  <c r="J1141" i="1"/>
  <c r="C1141" i="1"/>
  <c r="B1141" i="1"/>
  <c r="J1140" i="1"/>
  <c r="I1140" i="1"/>
  <c r="C1140" i="1"/>
  <c r="B1140" i="1"/>
  <c r="J1139" i="1"/>
  <c r="C1139" i="1"/>
  <c r="B1139" i="1"/>
  <c r="J1138" i="1"/>
  <c r="C1138" i="1"/>
  <c r="B1138" i="1"/>
  <c r="J1137" i="1"/>
  <c r="I1137" i="1"/>
  <c r="C1137" i="1"/>
  <c r="B1137" i="1"/>
  <c r="J1136" i="1"/>
  <c r="C1136" i="1"/>
  <c r="B1136" i="1"/>
  <c r="J1135" i="1"/>
  <c r="C1135" i="1"/>
  <c r="B1135" i="1"/>
  <c r="J1134" i="1"/>
  <c r="I1134" i="1"/>
  <c r="C1134" i="1"/>
  <c r="B1134" i="1"/>
  <c r="J1133" i="1"/>
  <c r="C1133" i="1"/>
  <c r="B1133" i="1"/>
  <c r="J1132" i="1"/>
  <c r="I1132" i="1"/>
  <c r="C1132" i="1"/>
  <c r="B1132" i="1"/>
  <c r="J1131" i="1"/>
  <c r="I1131" i="1"/>
  <c r="C1131" i="1"/>
  <c r="B1131" i="1"/>
  <c r="J1130" i="1"/>
  <c r="I1130" i="1"/>
  <c r="C1130" i="1"/>
  <c r="B1130" i="1"/>
  <c r="J1129" i="1"/>
  <c r="C1129" i="1"/>
  <c r="B1129" i="1"/>
  <c r="J1128" i="1"/>
  <c r="C1128" i="1"/>
  <c r="B1128" i="1"/>
  <c r="J1127" i="1"/>
  <c r="C1127" i="1"/>
  <c r="B1127" i="1"/>
  <c r="J1126" i="1"/>
  <c r="I1126" i="1"/>
  <c r="C1126" i="1"/>
  <c r="B1126" i="1"/>
  <c r="J1125" i="1"/>
  <c r="C1125" i="1"/>
  <c r="B1125" i="1"/>
  <c r="J1124" i="1"/>
  <c r="C1124" i="1"/>
  <c r="B1124" i="1"/>
  <c r="K1123" i="1"/>
  <c r="J1123" i="1"/>
  <c r="C1123" i="1"/>
  <c r="B1123" i="1"/>
  <c r="J1122" i="1"/>
  <c r="C1122" i="1"/>
  <c r="B1122" i="1"/>
  <c r="K1121" i="1"/>
  <c r="J1121" i="1"/>
  <c r="C1121" i="1"/>
  <c r="B1121" i="1"/>
  <c r="J1120" i="1"/>
  <c r="C1120" i="1"/>
  <c r="B1120" i="1"/>
  <c r="K1119" i="1"/>
  <c r="J1119" i="1"/>
  <c r="C1119" i="1"/>
  <c r="B1119" i="1"/>
  <c r="J1118" i="1"/>
  <c r="C1118" i="1"/>
  <c r="B1118" i="1"/>
  <c r="K1117" i="1"/>
  <c r="J1117" i="1"/>
  <c r="C1117" i="1"/>
  <c r="B1117" i="1"/>
  <c r="J1116" i="1"/>
  <c r="C1116" i="1"/>
  <c r="B1116" i="1"/>
  <c r="K1115" i="1"/>
  <c r="J1115" i="1"/>
  <c r="C1115" i="1"/>
  <c r="B1115" i="1"/>
  <c r="J1114" i="1"/>
  <c r="C1114" i="1"/>
  <c r="B1114" i="1"/>
  <c r="K1113" i="1"/>
  <c r="J1113" i="1"/>
  <c r="C1113" i="1"/>
  <c r="B1113" i="1"/>
  <c r="J1112" i="1"/>
  <c r="C1112" i="1"/>
  <c r="B1112" i="1"/>
  <c r="K1111" i="1"/>
  <c r="J1111" i="1"/>
  <c r="C1111" i="1"/>
  <c r="B1111" i="1"/>
  <c r="J1110" i="1"/>
  <c r="C1110" i="1"/>
  <c r="B1110" i="1"/>
  <c r="K1109" i="1"/>
  <c r="J1109" i="1"/>
  <c r="C1109" i="1"/>
  <c r="B1109" i="1"/>
  <c r="J1108" i="1"/>
  <c r="C1108" i="1"/>
  <c r="B1108" i="1"/>
  <c r="K1107" i="1"/>
  <c r="J1107" i="1"/>
  <c r="C1107" i="1"/>
  <c r="B1107" i="1"/>
  <c r="J1106" i="1"/>
  <c r="C1106" i="1"/>
  <c r="B1106" i="1"/>
  <c r="K1105" i="1"/>
  <c r="J1105" i="1"/>
  <c r="C1105" i="1"/>
  <c r="B1105" i="1"/>
  <c r="J1104" i="1"/>
  <c r="C1104" i="1"/>
  <c r="B1104" i="1"/>
  <c r="K1103" i="1"/>
  <c r="J1103" i="1"/>
  <c r="I1103" i="1"/>
  <c r="C1103" i="1"/>
  <c r="B1103" i="1"/>
  <c r="J1102" i="1"/>
  <c r="I1102" i="1"/>
  <c r="C1102" i="1"/>
  <c r="B1102" i="1"/>
  <c r="K1101" i="1"/>
  <c r="J1101" i="1"/>
  <c r="C1101" i="1"/>
  <c r="B1101" i="1"/>
  <c r="J1100" i="1"/>
  <c r="C1100" i="1"/>
  <c r="B1100" i="1"/>
  <c r="J1099" i="1"/>
  <c r="C1099" i="1"/>
  <c r="B1099" i="1"/>
  <c r="J1098" i="1"/>
  <c r="C1098" i="1"/>
  <c r="B1098" i="1"/>
  <c r="J1097" i="1"/>
  <c r="C1097" i="1"/>
  <c r="B1097" i="1"/>
  <c r="J1096" i="1"/>
  <c r="C1096" i="1"/>
  <c r="B1096" i="1"/>
  <c r="J1095" i="1"/>
  <c r="C1095" i="1"/>
  <c r="B1095" i="1"/>
  <c r="J1094" i="1"/>
  <c r="C1094" i="1"/>
  <c r="B1094" i="1"/>
  <c r="J1093" i="1"/>
  <c r="C1093" i="1"/>
  <c r="B1093" i="1"/>
  <c r="J1092" i="1"/>
  <c r="C1092" i="1"/>
  <c r="B1092" i="1"/>
  <c r="J1091" i="1"/>
  <c r="C1091" i="1"/>
  <c r="B1091" i="1"/>
  <c r="K1090" i="1"/>
  <c r="J1090" i="1"/>
  <c r="C1090" i="1"/>
  <c r="B1090" i="1"/>
  <c r="J1089" i="1"/>
  <c r="C1089" i="1"/>
  <c r="B1089" i="1"/>
  <c r="K1088" i="1"/>
  <c r="J1088" i="1"/>
  <c r="C1088" i="1"/>
  <c r="B1088" i="1"/>
  <c r="J1087" i="1"/>
  <c r="C1087" i="1"/>
  <c r="B1087" i="1"/>
  <c r="J1086" i="1"/>
  <c r="C1086" i="1"/>
  <c r="B1086" i="1"/>
  <c r="J1085" i="1"/>
  <c r="C1085" i="1"/>
  <c r="B1085" i="1"/>
  <c r="J1084" i="1"/>
  <c r="C1084" i="1"/>
  <c r="B1084" i="1"/>
  <c r="J1083" i="1"/>
  <c r="C1083" i="1"/>
  <c r="B1083" i="1"/>
  <c r="J1082" i="1"/>
  <c r="C1082" i="1"/>
  <c r="B1082" i="1"/>
  <c r="J1081" i="1"/>
  <c r="C1081" i="1"/>
  <c r="B1081" i="1"/>
  <c r="J1080" i="1"/>
  <c r="C1080" i="1"/>
  <c r="B1080" i="1"/>
  <c r="J1079" i="1"/>
  <c r="C1079" i="1"/>
  <c r="B1079" i="1"/>
  <c r="J1078" i="1"/>
  <c r="C1078" i="1"/>
  <c r="B1078" i="1"/>
  <c r="J1077" i="1"/>
  <c r="C1077" i="1"/>
  <c r="B1077" i="1"/>
  <c r="J1076" i="1"/>
  <c r="C1076" i="1"/>
  <c r="B1076" i="1"/>
  <c r="J1075" i="1"/>
  <c r="C1075" i="1"/>
  <c r="B1075" i="1"/>
  <c r="J1074" i="1"/>
  <c r="C1074" i="1"/>
  <c r="B1074" i="1"/>
  <c r="J1073" i="1"/>
  <c r="C1073" i="1"/>
  <c r="B1073" i="1"/>
  <c r="J1072" i="1"/>
  <c r="C1072" i="1"/>
  <c r="B1072" i="1"/>
  <c r="K1071" i="1"/>
  <c r="J1071" i="1"/>
  <c r="C1071" i="1"/>
  <c r="B1071" i="1"/>
  <c r="J1070" i="1"/>
  <c r="C1070" i="1"/>
  <c r="B1070" i="1"/>
  <c r="J1069" i="1"/>
  <c r="C1069" i="1"/>
  <c r="B1069" i="1"/>
  <c r="J1068" i="1"/>
  <c r="C1068" i="1"/>
  <c r="B1068" i="1"/>
  <c r="J1067" i="1"/>
  <c r="C1067" i="1"/>
  <c r="B1067" i="1"/>
  <c r="J1066" i="1"/>
  <c r="C1066" i="1"/>
  <c r="B1066" i="1"/>
  <c r="J1065" i="1"/>
  <c r="C1065" i="1"/>
  <c r="B1065" i="1"/>
  <c r="J1064" i="1"/>
  <c r="C1064" i="1"/>
  <c r="B1064" i="1"/>
  <c r="J1063" i="1"/>
  <c r="C1063" i="1"/>
  <c r="B1063" i="1"/>
  <c r="J1062" i="1"/>
  <c r="C1062" i="1"/>
  <c r="B1062" i="1"/>
  <c r="J1061" i="1"/>
  <c r="C1061" i="1"/>
  <c r="B1061" i="1"/>
  <c r="J1060" i="1"/>
  <c r="C1060" i="1"/>
  <c r="B1060" i="1"/>
  <c r="J1059" i="1"/>
  <c r="C1059" i="1"/>
  <c r="B1059" i="1"/>
  <c r="J1058" i="1"/>
  <c r="C1058" i="1"/>
  <c r="B1058" i="1"/>
  <c r="J1057" i="1"/>
  <c r="C1057" i="1"/>
  <c r="B1057" i="1"/>
  <c r="J1056" i="1"/>
  <c r="C1056" i="1"/>
  <c r="B1056" i="1"/>
  <c r="J1055" i="1"/>
  <c r="I1055" i="1"/>
  <c r="C1055" i="1"/>
  <c r="B1055" i="1"/>
  <c r="J1054" i="1"/>
  <c r="C1054" i="1"/>
  <c r="B1054" i="1"/>
  <c r="J1053" i="1"/>
  <c r="C1053" i="1"/>
  <c r="B1053" i="1"/>
  <c r="J1052" i="1"/>
  <c r="C1052" i="1"/>
  <c r="B1052" i="1"/>
  <c r="J1051" i="1"/>
  <c r="C1051" i="1"/>
  <c r="B1051" i="1"/>
  <c r="K1050" i="1"/>
  <c r="J1050" i="1"/>
  <c r="C1050" i="1"/>
  <c r="B1050" i="1"/>
  <c r="J1049" i="1"/>
  <c r="C1049" i="1"/>
  <c r="B1049" i="1"/>
  <c r="J1048" i="1"/>
  <c r="C1048" i="1"/>
  <c r="B1048" i="1"/>
  <c r="J1047" i="1"/>
  <c r="C1047" i="1"/>
  <c r="B1047" i="1"/>
  <c r="J1046" i="1"/>
  <c r="C1046" i="1"/>
  <c r="B1046" i="1"/>
  <c r="J1045" i="1"/>
  <c r="C1045" i="1"/>
  <c r="B1045" i="1"/>
  <c r="J1044" i="1"/>
  <c r="C1044" i="1"/>
  <c r="B1044" i="1"/>
  <c r="J1043" i="1"/>
  <c r="C1043" i="1"/>
  <c r="B1043" i="1"/>
  <c r="J1042" i="1"/>
  <c r="C1042" i="1"/>
  <c r="B1042" i="1"/>
  <c r="J1041" i="1"/>
  <c r="C1041" i="1"/>
  <c r="B1041" i="1"/>
  <c r="J1040" i="1"/>
  <c r="C1040" i="1"/>
  <c r="B1040" i="1"/>
  <c r="J1039" i="1"/>
  <c r="C1039" i="1"/>
  <c r="B1039" i="1"/>
  <c r="J1038" i="1"/>
  <c r="I1038" i="1"/>
  <c r="C1038" i="1"/>
  <c r="B1038" i="1"/>
  <c r="J1037" i="1"/>
  <c r="C1037" i="1"/>
  <c r="B1037" i="1"/>
  <c r="J1036" i="1"/>
  <c r="I1036" i="1"/>
  <c r="C1036" i="1"/>
  <c r="B1036" i="1"/>
  <c r="J1035" i="1"/>
  <c r="C1035" i="1"/>
  <c r="B1035" i="1"/>
  <c r="J1034" i="1"/>
  <c r="C1034" i="1"/>
  <c r="B1034" i="1"/>
  <c r="J1033" i="1"/>
  <c r="C1033" i="1"/>
  <c r="B1033" i="1"/>
  <c r="J1032" i="1"/>
  <c r="C1032" i="1"/>
  <c r="B1032" i="1"/>
  <c r="J1031" i="1"/>
  <c r="C1031" i="1"/>
  <c r="B1031" i="1"/>
  <c r="J1030" i="1"/>
  <c r="C1030" i="1"/>
  <c r="B1030" i="1"/>
  <c r="J1029" i="1"/>
  <c r="C1029" i="1"/>
  <c r="B1029" i="1"/>
  <c r="K1028" i="1"/>
  <c r="J1028" i="1"/>
  <c r="C1028" i="1"/>
  <c r="B1028" i="1"/>
  <c r="J1027" i="1"/>
  <c r="C1027" i="1"/>
  <c r="B1027" i="1"/>
  <c r="K1026" i="1"/>
  <c r="J1026" i="1"/>
  <c r="C1026" i="1"/>
  <c r="B1026" i="1"/>
  <c r="J1025" i="1"/>
  <c r="C1025" i="1"/>
  <c r="B1025" i="1"/>
  <c r="K1024" i="1"/>
  <c r="J1024" i="1"/>
  <c r="C1024" i="1"/>
  <c r="B1024" i="1"/>
  <c r="K1023" i="1"/>
  <c r="J1023" i="1"/>
  <c r="I1023" i="1"/>
  <c r="C1023" i="1"/>
  <c r="B1023" i="1"/>
  <c r="J1022" i="1"/>
  <c r="C1022" i="1"/>
  <c r="B1022" i="1"/>
  <c r="J1021" i="1"/>
  <c r="I1021" i="1"/>
  <c r="C1021" i="1"/>
  <c r="B1021" i="1"/>
  <c r="J1020" i="1"/>
  <c r="C1020" i="1"/>
  <c r="B1020" i="1"/>
  <c r="J1019" i="1"/>
  <c r="C1019" i="1"/>
  <c r="B1019" i="1"/>
  <c r="J1018" i="1"/>
  <c r="C1018" i="1"/>
  <c r="B1018" i="1"/>
  <c r="J1017" i="1"/>
  <c r="C1017" i="1"/>
  <c r="B1017" i="1"/>
  <c r="J1016" i="1"/>
  <c r="C1016" i="1"/>
  <c r="B1016" i="1"/>
  <c r="J1015" i="1"/>
  <c r="C1015" i="1"/>
  <c r="B1015" i="1"/>
  <c r="J1014" i="1"/>
  <c r="C1014" i="1"/>
  <c r="B1014" i="1"/>
  <c r="J1013" i="1"/>
  <c r="C1013" i="1"/>
  <c r="B1013" i="1"/>
  <c r="J1012" i="1"/>
  <c r="C1012" i="1"/>
  <c r="B1012" i="1"/>
  <c r="J1011" i="1"/>
  <c r="C1011" i="1"/>
  <c r="B1011" i="1"/>
  <c r="J1010" i="1"/>
  <c r="I1010" i="1"/>
  <c r="C1010" i="1"/>
  <c r="B1010" i="1"/>
  <c r="J1009" i="1"/>
  <c r="I1009" i="1"/>
  <c r="C1009" i="1"/>
  <c r="B1009" i="1"/>
  <c r="J1008" i="1"/>
  <c r="C1008" i="1"/>
  <c r="B1008" i="1"/>
  <c r="J1007" i="1"/>
  <c r="C1007" i="1"/>
  <c r="B1007" i="1"/>
  <c r="J1006" i="1"/>
  <c r="C1006" i="1"/>
  <c r="B1006" i="1"/>
  <c r="J1005" i="1"/>
  <c r="C1005" i="1"/>
  <c r="B1005" i="1"/>
  <c r="K1004" i="1"/>
  <c r="J1004" i="1"/>
  <c r="C1004" i="1"/>
  <c r="B1004" i="1"/>
  <c r="J1003" i="1"/>
  <c r="C1003" i="1"/>
  <c r="B1003" i="1"/>
  <c r="J1002" i="1"/>
  <c r="C1002" i="1"/>
  <c r="B1002" i="1"/>
  <c r="J1001" i="1"/>
  <c r="C1001" i="1"/>
  <c r="B1001" i="1"/>
  <c r="J1000" i="1"/>
  <c r="C1000" i="1"/>
  <c r="B1000" i="1"/>
  <c r="J999" i="1"/>
  <c r="C999" i="1"/>
  <c r="B999" i="1"/>
  <c r="K998" i="1"/>
  <c r="J998" i="1"/>
  <c r="C998" i="1"/>
  <c r="B998" i="1"/>
  <c r="J997" i="1"/>
  <c r="C997" i="1"/>
  <c r="B997" i="1"/>
  <c r="J996" i="1"/>
  <c r="C996" i="1"/>
  <c r="B996" i="1"/>
  <c r="J995" i="1"/>
  <c r="C995" i="1"/>
  <c r="B995" i="1"/>
  <c r="J994" i="1"/>
  <c r="C994" i="1"/>
  <c r="B994" i="1"/>
  <c r="J993" i="1"/>
  <c r="C993" i="1"/>
  <c r="B993" i="1"/>
  <c r="K992" i="1"/>
  <c r="J992" i="1"/>
  <c r="C992" i="1"/>
  <c r="B992" i="1"/>
  <c r="J991" i="1"/>
  <c r="C991" i="1"/>
  <c r="B991" i="1"/>
  <c r="J990" i="1"/>
  <c r="C990" i="1"/>
  <c r="B990" i="1"/>
  <c r="J989" i="1"/>
  <c r="C989" i="1"/>
  <c r="B989" i="1"/>
  <c r="J988" i="1"/>
  <c r="C988" i="1"/>
  <c r="B988" i="1"/>
  <c r="J987" i="1"/>
  <c r="C987" i="1"/>
  <c r="B987" i="1"/>
  <c r="J986" i="1"/>
  <c r="C986" i="1"/>
  <c r="B986" i="1"/>
  <c r="J985" i="1"/>
  <c r="C985" i="1"/>
  <c r="B985" i="1"/>
  <c r="J984" i="1"/>
  <c r="C984" i="1"/>
  <c r="B984" i="1"/>
  <c r="J983" i="1"/>
  <c r="C983" i="1"/>
  <c r="B983" i="1"/>
  <c r="J982" i="1"/>
  <c r="I982" i="1"/>
  <c r="C982" i="1"/>
  <c r="B982" i="1"/>
  <c r="K981" i="1"/>
  <c r="J981" i="1"/>
  <c r="C981" i="1"/>
  <c r="B981" i="1"/>
  <c r="J980" i="1"/>
  <c r="C980" i="1"/>
  <c r="B980" i="1"/>
  <c r="J979" i="1"/>
  <c r="C979" i="1"/>
  <c r="B979" i="1"/>
  <c r="K978" i="1"/>
  <c r="J978" i="1"/>
  <c r="C978" i="1"/>
  <c r="B978" i="1"/>
  <c r="J977" i="1"/>
  <c r="C977" i="1"/>
  <c r="B977" i="1"/>
  <c r="K976" i="1"/>
  <c r="J976" i="1"/>
  <c r="C976" i="1"/>
  <c r="B976" i="1"/>
  <c r="J975" i="1"/>
  <c r="C975" i="1"/>
  <c r="B975" i="1"/>
  <c r="J974" i="1"/>
  <c r="C974" i="1"/>
  <c r="B974" i="1"/>
  <c r="J973" i="1"/>
  <c r="C973" i="1"/>
  <c r="B973" i="1"/>
  <c r="J972" i="1"/>
  <c r="C972" i="1"/>
  <c r="B972" i="1"/>
  <c r="J971" i="1"/>
  <c r="C971" i="1"/>
  <c r="B971" i="1"/>
  <c r="J970" i="1"/>
  <c r="C970" i="1"/>
  <c r="B970" i="1"/>
  <c r="J969" i="1"/>
  <c r="C969" i="1"/>
  <c r="B969" i="1"/>
  <c r="J968" i="1"/>
  <c r="C968" i="1"/>
  <c r="B968" i="1"/>
  <c r="K967" i="1"/>
  <c r="J967" i="1"/>
  <c r="C967" i="1"/>
  <c r="B967" i="1"/>
  <c r="J966" i="1"/>
  <c r="C966" i="1"/>
  <c r="B966" i="1"/>
  <c r="J965" i="1"/>
  <c r="C965" i="1"/>
  <c r="B965" i="1"/>
  <c r="J964" i="1"/>
  <c r="C964" i="1"/>
  <c r="B964" i="1"/>
  <c r="J963" i="1"/>
  <c r="C963" i="1"/>
  <c r="B963" i="1"/>
  <c r="J962" i="1"/>
  <c r="C962" i="1"/>
  <c r="B962" i="1"/>
  <c r="J961" i="1"/>
  <c r="C961" i="1"/>
  <c r="B961" i="1"/>
  <c r="J960" i="1"/>
  <c r="I960" i="1"/>
  <c r="C960" i="1"/>
  <c r="B960" i="1"/>
  <c r="J959" i="1"/>
  <c r="C959" i="1"/>
  <c r="B959" i="1"/>
  <c r="J958" i="1"/>
  <c r="C958" i="1"/>
  <c r="B958" i="1"/>
  <c r="J957" i="1"/>
  <c r="C957" i="1"/>
  <c r="B957" i="1"/>
  <c r="J956" i="1"/>
  <c r="C956" i="1"/>
  <c r="B956" i="1"/>
  <c r="K955" i="1"/>
  <c r="J955" i="1"/>
  <c r="C955" i="1"/>
  <c r="B955" i="1"/>
  <c r="J954" i="1"/>
  <c r="C954" i="1"/>
  <c r="B954" i="1"/>
  <c r="J953" i="1"/>
  <c r="C953" i="1"/>
  <c r="B953" i="1"/>
  <c r="J952" i="1"/>
  <c r="C952" i="1"/>
  <c r="B952" i="1"/>
  <c r="J951" i="1"/>
  <c r="C951" i="1"/>
  <c r="B951" i="1"/>
  <c r="J950" i="1"/>
  <c r="C950" i="1"/>
  <c r="B950" i="1"/>
  <c r="J949" i="1"/>
  <c r="C949" i="1"/>
  <c r="B949" i="1"/>
  <c r="J948" i="1"/>
  <c r="C948" i="1"/>
  <c r="B948" i="1"/>
  <c r="K947" i="1"/>
  <c r="J947" i="1"/>
  <c r="C947" i="1"/>
  <c r="B947" i="1"/>
  <c r="J946" i="1"/>
  <c r="C946" i="1"/>
  <c r="B946" i="1"/>
  <c r="J945" i="1"/>
  <c r="C945" i="1"/>
  <c r="B945" i="1"/>
  <c r="J944" i="1"/>
  <c r="C944" i="1"/>
  <c r="B944" i="1"/>
  <c r="J943" i="1"/>
  <c r="C943" i="1"/>
  <c r="B943" i="1"/>
  <c r="J942" i="1"/>
  <c r="C942" i="1"/>
  <c r="B942" i="1"/>
  <c r="J941" i="1"/>
  <c r="C941" i="1"/>
  <c r="B941" i="1"/>
  <c r="J940" i="1"/>
  <c r="C940" i="1"/>
  <c r="B940" i="1"/>
  <c r="K939" i="1"/>
  <c r="J939" i="1"/>
  <c r="C939" i="1"/>
  <c r="B939" i="1"/>
  <c r="J938" i="1"/>
  <c r="C938" i="1"/>
  <c r="B938" i="1"/>
  <c r="J937" i="1"/>
  <c r="C937" i="1"/>
  <c r="B937" i="1"/>
  <c r="J936" i="1"/>
  <c r="C936" i="1"/>
  <c r="B936" i="1"/>
  <c r="J935" i="1"/>
  <c r="C935" i="1"/>
  <c r="B935" i="1"/>
  <c r="J934" i="1"/>
  <c r="C934" i="1"/>
  <c r="B934" i="1"/>
  <c r="J933" i="1"/>
  <c r="C933" i="1"/>
  <c r="B933" i="1"/>
  <c r="J932" i="1"/>
  <c r="C932" i="1"/>
  <c r="B932" i="1"/>
  <c r="J931" i="1"/>
  <c r="C931" i="1"/>
  <c r="B931" i="1"/>
  <c r="J930" i="1"/>
  <c r="C930" i="1"/>
  <c r="B930" i="1"/>
  <c r="J929" i="1"/>
  <c r="C929" i="1"/>
  <c r="B929" i="1"/>
  <c r="J928" i="1"/>
  <c r="C928" i="1"/>
  <c r="B928" i="1"/>
  <c r="J927" i="1"/>
  <c r="C927" i="1"/>
  <c r="B927" i="1"/>
  <c r="J926" i="1"/>
  <c r="C926" i="1"/>
  <c r="B926" i="1"/>
  <c r="J925" i="1"/>
  <c r="I925" i="1"/>
  <c r="C925" i="1"/>
  <c r="B925" i="1"/>
  <c r="J924" i="1"/>
  <c r="C924" i="1"/>
  <c r="B924" i="1"/>
  <c r="J923" i="1"/>
  <c r="C923" i="1"/>
  <c r="B923" i="1"/>
  <c r="J922" i="1"/>
  <c r="I922" i="1"/>
  <c r="C922" i="1"/>
  <c r="B922" i="1"/>
  <c r="J921" i="1"/>
  <c r="C921" i="1"/>
  <c r="B921" i="1"/>
  <c r="J920" i="1"/>
  <c r="C920" i="1"/>
  <c r="B920" i="1"/>
  <c r="J919" i="1"/>
  <c r="C919" i="1"/>
  <c r="B919" i="1"/>
  <c r="J918" i="1"/>
  <c r="C918" i="1"/>
  <c r="B918" i="1"/>
  <c r="J917" i="1"/>
  <c r="C917" i="1"/>
  <c r="B917" i="1"/>
  <c r="J916" i="1"/>
  <c r="C916" i="1"/>
  <c r="B916" i="1"/>
  <c r="J915" i="1"/>
  <c r="I915" i="1"/>
  <c r="C915" i="1"/>
  <c r="B915" i="1"/>
  <c r="J914" i="1"/>
  <c r="C914" i="1"/>
  <c r="B914" i="1"/>
  <c r="J913" i="1"/>
  <c r="C913" i="1"/>
  <c r="B913" i="1"/>
  <c r="J912" i="1"/>
  <c r="C912" i="1"/>
  <c r="B912" i="1"/>
  <c r="K911" i="1"/>
  <c r="J911" i="1"/>
  <c r="I911" i="1"/>
  <c r="C911" i="1"/>
  <c r="B911" i="1"/>
  <c r="K910" i="1"/>
  <c r="J910" i="1"/>
  <c r="C910" i="1"/>
  <c r="B910" i="1"/>
  <c r="J909" i="1"/>
  <c r="C909" i="1"/>
  <c r="B909" i="1"/>
  <c r="J908" i="1"/>
  <c r="C908" i="1"/>
  <c r="B908" i="1"/>
  <c r="J907" i="1"/>
  <c r="C907" i="1"/>
  <c r="B907" i="1"/>
  <c r="J906" i="1"/>
  <c r="I906" i="1"/>
  <c r="C906" i="1"/>
  <c r="B906" i="1"/>
  <c r="J905" i="1"/>
  <c r="C905" i="1"/>
  <c r="B905" i="1"/>
  <c r="J904" i="1"/>
  <c r="I904" i="1"/>
  <c r="C904" i="1"/>
  <c r="B904" i="1"/>
  <c r="K903" i="1"/>
  <c r="J903" i="1"/>
  <c r="C903" i="1"/>
  <c r="B903" i="1"/>
  <c r="J902" i="1"/>
  <c r="C902" i="1"/>
  <c r="B902" i="1"/>
  <c r="J901" i="1"/>
  <c r="C901" i="1"/>
  <c r="B901" i="1"/>
  <c r="J900" i="1"/>
  <c r="C900" i="1"/>
  <c r="B900" i="1"/>
  <c r="J899" i="1"/>
  <c r="C899" i="1"/>
  <c r="B899" i="1"/>
  <c r="J898" i="1"/>
  <c r="C898" i="1"/>
  <c r="B898" i="1"/>
  <c r="J897" i="1"/>
  <c r="C897" i="1"/>
  <c r="B897" i="1"/>
  <c r="J896" i="1"/>
  <c r="C896" i="1"/>
  <c r="B896" i="1"/>
  <c r="J895" i="1"/>
  <c r="C895" i="1"/>
  <c r="B895" i="1"/>
  <c r="J894" i="1"/>
  <c r="C894" i="1"/>
  <c r="B894" i="1"/>
  <c r="J893" i="1"/>
  <c r="C893" i="1"/>
  <c r="B893" i="1"/>
  <c r="J892" i="1"/>
  <c r="C892" i="1"/>
  <c r="B892" i="1"/>
  <c r="J891" i="1"/>
  <c r="C891" i="1"/>
  <c r="B891" i="1"/>
  <c r="J890" i="1"/>
  <c r="C890" i="1"/>
  <c r="B890" i="1"/>
  <c r="J889" i="1"/>
  <c r="C889" i="1"/>
  <c r="B889" i="1"/>
  <c r="J888" i="1"/>
  <c r="C888" i="1"/>
  <c r="B888" i="1"/>
  <c r="J887" i="1"/>
  <c r="C887" i="1"/>
  <c r="B887" i="1"/>
  <c r="J886" i="1"/>
  <c r="C886" i="1"/>
  <c r="B886" i="1"/>
  <c r="J885" i="1"/>
  <c r="C885" i="1"/>
  <c r="B885" i="1"/>
  <c r="J884" i="1"/>
  <c r="C884" i="1"/>
  <c r="B884" i="1"/>
  <c r="J883" i="1"/>
  <c r="C883" i="1"/>
  <c r="B883" i="1"/>
  <c r="J882" i="1"/>
  <c r="C882" i="1"/>
  <c r="B882" i="1"/>
  <c r="J881" i="1"/>
  <c r="C881" i="1"/>
  <c r="B881" i="1"/>
  <c r="J880" i="1"/>
  <c r="I880" i="1"/>
  <c r="C880" i="1"/>
  <c r="B880" i="1"/>
  <c r="J879" i="1"/>
  <c r="C879" i="1"/>
  <c r="B879" i="1"/>
  <c r="J878" i="1"/>
  <c r="C878" i="1"/>
  <c r="B878" i="1"/>
  <c r="J877" i="1"/>
  <c r="C877" i="1"/>
  <c r="B877" i="1"/>
  <c r="J876" i="1"/>
  <c r="I876" i="1"/>
  <c r="C876" i="1"/>
  <c r="B876" i="1"/>
  <c r="J875" i="1"/>
  <c r="C875" i="1"/>
  <c r="B875" i="1"/>
  <c r="J874" i="1"/>
  <c r="C874" i="1"/>
  <c r="B874" i="1"/>
  <c r="J873" i="1"/>
  <c r="C873" i="1"/>
  <c r="B873" i="1"/>
  <c r="J872" i="1"/>
  <c r="C872" i="1"/>
  <c r="B872" i="1"/>
  <c r="J871" i="1"/>
  <c r="C871" i="1"/>
  <c r="B871" i="1"/>
  <c r="K870" i="1"/>
  <c r="J870" i="1"/>
  <c r="C870" i="1"/>
  <c r="B870" i="1"/>
  <c r="J869" i="1"/>
  <c r="C869" i="1"/>
  <c r="B869" i="1"/>
  <c r="J868" i="1"/>
  <c r="C868" i="1"/>
  <c r="B868" i="1"/>
  <c r="J867" i="1"/>
  <c r="C867" i="1"/>
  <c r="B867" i="1"/>
  <c r="J866" i="1"/>
  <c r="C866" i="1"/>
  <c r="B866" i="1"/>
  <c r="K865" i="1"/>
  <c r="J865" i="1"/>
  <c r="C865" i="1"/>
  <c r="B865" i="1"/>
  <c r="J864" i="1"/>
  <c r="C864" i="1"/>
  <c r="B864" i="1"/>
  <c r="J863" i="1"/>
  <c r="C863" i="1"/>
  <c r="B863" i="1"/>
  <c r="J862" i="1"/>
  <c r="C862" i="1"/>
  <c r="B862" i="1"/>
  <c r="J861" i="1"/>
  <c r="C861" i="1"/>
  <c r="B861" i="1"/>
  <c r="J860" i="1"/>
  <c r="C860" i="1"/>
  <c r="B860" i="1"/>
  <c r="J859" i="1"/>
  <c r="C859" i="1"/>
  <c r="B859" i="1"/>
  <c r="J858" i="1"/>
  <c r="C858" i="1"/>
  <c r="B858" i="1"/>
  <c r="J857" i="1"/>
  <c r="C857" i="1"/>
  <c r="B857" i="1"/>
  <c r="J856" i="1"/>
  <c r="C856" i="1"/>
  <c r="B856" i="1"/>
  <c r="K855" i="1"/>
  <c r="J855" i="1"/>
  <c r="C855" i="1"/>
  <c r="B855" i="1"/>
  <c r="J854" i="1"/>
  <c r="C854" i="1"/>
  <c r="B854" i="1"/>
  <c r="J853" i="1"/>
  <c r="C853" i="1"/>
  <c r="B853" i="1"/>
  <c r="J852" i="1"/>
  <c r="C852" i="1"/>
  <c r="B852" i="1"/>
  <c r="K851" i="1"/>
  <c r="J851" i="1"/>
  <c r="C851" i="1"/>
  <c r="B851" i="1"/>
  <c r="J850" i="1"/>
  <c r="C850" i="1"/>
  <c r="B850" i="1"/>
  <c r="K849" i="1"/>
  <c r="J849" i="1"/>
  <c r="C849" i="1"/>
  <c r="B849" i="1"/>
  <c r="J848" i="1"/>
  <c r="C848" i="1"/>
  <c r="B848" i="1"/>
  <c r="J847" i="1"/>
  <c r="C847" i="1"/>
  <c r="B847" i="1"/>
  <c r="J846" i="1"/>
  <c r="C846" i="1"/>
  <c r="B846" i="1"/>
  <c r="K845" i="1"/>
  <c r="J845" i="1"/>
  <c r="C845" i="1"/>
  <c r="B845" i="1"/>
  <c r="J844" i="1"/>
  <c r="C844" i="1"/>
  <c r="B844" i="1"/>
  <c r="K843" i="1"/>
  <c r="J843" i="1"/>
  <c r="C843" i="1"/>
  <c r="B843" i="1"/>
  <c r="J842" i="1"/>
  <c r="C842" i="1"/>
  <c r="B842" i="1"/>
  <c r="J841" i="1"/>
  <c r="C841" i="1"/>
  <c r="B841" i="1"/>
  <c r="J840" i="1"/>
  <c r="C840" i="1"/>
  <c r="B840" i="1"/>
  <c r="J839" i="1"/>
  <c r="C839" i="1"/>
  <c r="B839" i="1"/>
  <c r="J838" i="1"/>
  <c r="C838" i="1"/>
  <c r="B838" i="1"/>
  <c r="J837" i="1"/>
  <c r="C837" i="1"/>
  <c r="B837" i="1"/>
  <c r="K836" i="1"/>
  <c r="J836" i="1"/>
  <c r="C836" i="1"/>
  <c r="B836" i="1"/>
  <c r="K835" i="1"/>
  <c r="J835" i="1"/>
  <c r="C835" i="1"/>
  <c r="B835" i="1"/>
  <c r="J834" i="1"/>
  <c r="I834" i="1"/>
  <c r="C834" i="1"/>
  <c r="B834" i="1"/>
  <c r="J833" i="1"/>
  <c r="C833" i="1"/>
  <c r="B833" i="1"/>
  <c r="J832" i="1"/>
  <c r="C832" i="1"/>
  <c r="B832" i="1"/>
  <c r="J831" i="1"/>
  <c r="C831" i="1"/>
  <c r="B831" i="1"/>
  <c r="J830" i="1"/>
  <c r="C830" i="1"/>
  <c r="B830" i="1"/>
  <c r="K829" i="1"/>
  <c r="J829" i="1"/>
  <c r="C829" i="1"/>
  <c r="B829" i="1"/>
  <c r="J828" i="1"/>
  <c r="C828" i="1"/>
  <c r="B828" i="1"/>
  <c r="K827" i="1"/>
  <c r="J827" i="1"/>
  <c r="C827" i="1"/>
  <c r="B827" i="1"/>
  <c r="J826" i="1"/>
  <c r="C826" i="1"/>
  <c r="B826" i="1"/>
  <c r="J825" i="1"/>
  <c r="I825" i="1"/>
  <c r="C825" i="1"/>
  <c r="B825" i="1"/>
  <c r="J824" i="1"/>
  <c r="C824" i="1"/>
  <c r="B824" i="1"/>
  <c r="J823" i="1"/>
  <c r="C823" i="1"/>
  <c r="B823" i="1"/>
  <c r="J822" i="1"/>
  <c r="C822" i="1"/>
  <c r="B822" i="1"/>
  <c r="J821" i="1"/>
  <c r="C821" i="1"/>
  <c r="B821" i="1"/>
  <c r="J820" i="1"/>
  <c r="I820" i="1"/>
  <c r="C820" i="1"/>
  <c r="B820" i="1"/>
  <c r="J819" i="1"/>
  <c r="C819" i="1"/>
  <c r="B819" i="1"/>
  <c r="K818" i="1"/>
  <c r="J818" i="1"/>
  <c r="C818" i="1"/>
  <c r="B818" i="1"/>
  <c r="J817" i="1"/>
  <c r="C817" i="1"/>
  <c r="B817" i="1"/>
  <c r="J816" i="1"/>
  <c r="C816" i="1"/>
  <c r="B816" i="1"/>
  <c r="J815" i="1"/>
  <c r="C815" i="1"/>
  <c r="B815" i="1"/>
  <c r="J814" i="1"/>
  <c r="C814" i="1"/>
  <c r="B814" i="1"/>
  <c r="J813" i="1"/>
  <c r="C813" i="1"/>
  <c r="B813" i="1"/>
  <c r="J812" i="1"/>
  <c r="C812" i="1"/>
  <c r="B812" i="1"/>
  <c r="J811" i="1"/>
  <c r="C811" i="1"/>
  <c r="B811" i="1"/>
  <c r="J810" i="1"/>
  <c r="C810" i="1"/>
  <c r="B810" i="1"/>
  <c r="J809" i="1"/>
  <c r="C809" i="1"/>
  <c r="B809" i="1"/>
  <c r="K808" i="1"/>
  <c r="J808" i="1"/>
  <c r="C808" i="1"/>
  <c r="B808" i="1"/>
  <c r="J807" i="1"/>
  <c r="I807" i="1"/>
  <c r="C807" i="1"/>
  <c r="B807" i="1"/>
  <c r="J806" i="1"/>
  <c r="C806" i="1"/>
  <c r="B806" i="1"/>
  <c r="J805" i="1"/>
  <c r="C805" i="1"/>
  <c r="B805" i="1"/>
  <c r="J804" i="1"/>
  <c r="C804" i="1"/>
  <c r="B804" i="1"/>
  <c r="J803" i="1"/>
  <c r="C803" i="1"/>
  <c r="B803" i="1"/>
  <c r="J802" i="1"/>
  <c r="C802" i="1"/>
  <c r="B802" i="1"/>
  <c r="J801" i="1"/>
  <c r="I801" i="1"/>
  <c r="C801" i="1"/>
  <c r="B801" i="1"/>
  <c r="J800" i="1"/>
  <c r="C800" i="1"/>
  <c r="B800" i="1"/>
  <c r="J799" i="1"/>
  <c r="C799" i="1"/>
  <c r="B799" i="1"/>
  <c r="J798" i="1"/>
  <c r="C798" i="1"/>
  <c r="B798" i="1"/>
  <c r="J797" i="1"/>
  <c r="C797" i="1"/>
  <c r="B797" i="1"/>
  <c r="J796" i="1"/>
  <c r="C796" i="1"/>
  <c r="B796" i="1"/>
  <c r="J795" i="1"/>
  <c r="C795" i="1"/>
  <c r="B795" i="1"/>
  <c r="J794" i="1"/>
  <c r="C794" i="1"/>
  <c r="B794" i="1"/>
  <c r="J793" i="1"/>
  <c r="C793" i="1"/>
  <c r="B793" i="1"/>
  <c r="J792" i="1"/>
  <c r="C792" i="1"/>
  <c r="B792" i="1"/>
  <c r="J791" i="1"/>
  <c r="C791" i="1"/>
  <c r="B791" i="1"/>
  <c r="J790" i="1"/>
  <c r="C790" i="1"/>
  <c r="B790" i="1"/>
  <c r="J789" i="1"/>
  <c r="C789" i="1"/>
  <c r="B789" i="1"/>
  <c r="J788" i="1"/>
  <c r="C788" i="1"/>
  <c r="B788" i="1"/>
  <c r="J787" i="1"/>
  <c r="C787" i="1"/>
  <c r="B787" i="1"/>
  <c r="K786" i="1"/>
  <c r="J786" i="1"/>
  <c r="C786" i="1"/>
  <c r="B786" i="1"/>
  <c r="J785" i="1"/>
  <c r="C785" i="1"/>
  <c r="B785" i="1"/>
  <c r="J784" i="1"/>
  <c r="C784" i="1"/>
  <c r="B784" i="1"/>
  <c r="J783" i="1"/>
  <c r="C783" i="1"/>
  <c r="B783" i="1"/>
  <c r="J782" i="1"/>
  <c r="I782" i="1"/>
  <c r="C782" i="1"/>
  <c r="B782" i="1"/>
  <c r="J781" i="1"/>
  <c r="C781" i="1"/>
  <c r="B781" i="1"/>
  <c r="J780" i="1"/>
  <c r="C780" i="1"/>
  <c r="B780" i="1"/>
  <c r="J779" i="1"/>
  <c r="C779" i="1"/>
  <c r="B779" i="1"/>
  <c r="J778" i="1"/>
  <c r="C778" i="1"/>
  <c r="B778" i="1"/>
  <c r="J777" i="1"/>
  <c r="C777" i="1"/>
  <c r="B777" i="1"/>
  <c r="J776" i="1"/>
  <c r="C776" i="1"/>
  <c r="B776" i="1"/>
  <c r="J775" i="1"/>
  <c r="C775" i="1"/>
  <c r="B775" i="1"/>
  <c r="J774" i="1"/>
  <c r="C774" i="1"/>
  <c r="B774" i="1"/>
  <c r="J773" i="1"/>
  <c r="C773" i="1"/>
  <c r="B773" i="1"/>
  <c r="J772" i="1"/>
  <c r="C772" i="1"/>
  <c r="B772" i="1"/>
  <c r="K771" i="1"/>
  <c r="J771" i="1"/>
  <c r="C771" i="1"/>
  <c r="B771" i="1"/>
  <c r="J770" i="1"/>
  <c r="C770" i="1"/>
  <c r="B770" i="1"/>
  <c r="J769" i="1"/>
  <c r="C769" i="1"/>
  <c r="B769" i="1"/>
  <c r="J768" i="1"/>
  <c r="C768" i="1"/>
  <c r="B768" i="1"/>
  <c r="J767" i="1"/>
  <c r="C767" i="1"/>
  <c r="B767" i="1"/>
  <c r="J766" i="1"/>
  <c r="C766" i="1"/>
  <c r="B766" i="1"/>
  <c r="J765" i="1"/>
  <c r="C765" i="1"/>
  <c r="B765" i="1"/>
  <c r="J764" i="1"/>
  <c r="C764" i="1"/>
  <c r="B764" i="1"/>
  <c r="J763" i="1"/>
  <c r="C763" i="1"/>
  <c r="B763" i="1"/>
  <c r="J762" i="1"/>
  <c r="C762" i="1"/>
  <c r="B762" i="1"/>
  <c r="J761" i="1"/>
  <c r="C761" i="1"/>
  <c r="B761" i="1"/>
  <c r="J760" i="1"/>
  <c r="C760" i="1"/>
  <c r="B760" i="1"/>
  <c r="J759" i="1"/>
  <c r="C759" i="1"/>
  <c r="B759" i="1"/>
  <c r="J758" i="1"/>
  <c r="C758" i="1"/>
  <c r="B758" i="1"/>
  <c r="J757" i="1"/>
  <c r="C757" i="1"/>
  <c r="B757" i="1"/>
  <c r="J756" i="1"/>
  <c r="C756" i="1"/>
  <c r="B756" i="1"/>
  <c r="J755" i="1"/>
  <c r="C755" i="1"/>
  <c r="B755" i="1"/>
  <c r="K754" i="1"/>
  <c r="J754" i="1"/>
  <c r="C754" i="1"/>
  <c r="B754" i="1"/>
  <c r="K753" i="1"/>
  <c r="J753" i="1"/>
  <c r="C753" i="1"/>
  <c r="B753" i="1"/>
  <c r="J752" i="1"/>
  <c r="I752" i="1"/>
  <c r="C752" i="1"/>
  <c r="B752" i="1"/>
  <c r="J751" i="1"/>
  <c r="C751" i="1"/>
  <c r="B751" i="1"/>
  <c r="J750" i="1"/>
  <c r="C750" i="1"/>
  <c r="B750" i="1"/>
  <c r="K749" i="1"/>
  <c r="J749" i="1"/>
  <c r="C749" i="1"/>
  <c r="B749" i="1"/>
  <c r="J748" i="1"/>
  <c r="C748" i="1"/>
  <c r="B748" i="1"/>
  <c r="J747" i="1"/>
  <c r="C747" i="1"/>
  <c r="B747" i="1"/>
  <c r="K746" i="1"/>
  <c r="J746" i="1"/>
  <c r="C746" i="1"/>
  <c r="B746" i="1"/>
  <c r="K745" i="1"/>
  <c r="J745" i="1"/>
  <c r="C745" i="1"/>
  <c r="B745" i="1"/>
  <c r="J744" i="1"/>
  <c r="C744" i="1"/>
  <c r="B744" i="1"/>
  <c r="J743" i="1"/>
  <c r="C743" i="1"/>
  <c r="B743" i="1"/>
  <c r="J742" i="1"/>
  <c r="C742" i="1"/>
  <c r="B742" i="1"/>
  <c r="J741" i="1"/>
  <c r="C741" i="1"/>
  <c r="B741" i="1"/>
  <c r="J740" i="1"/>
  <c r="C740" i="1"/>
  <c r="B740" i="1"/>
  <c r="J739" i="1"/>
  <c r="C739" i="1"/>
  <c r="B739" i="1"/>
  <c r="J738" i="1"/>
  <c r="C738" i="1"/>
  <c r="B738" i="1"/>
  <c r="J737" i="1"/>
  <c r="C737" i="1"/>
  <c r="B737" i="1"/>
  <c r="J736" i="1"/>
  <c r="C736" i="1"/>
  <c r="B736" i="1"/>
  <c r="J735" i="1"/>
  <c r="C735" i="1"/>
  <c r="B735" i="1"/>
  <c r="J734" i="1"/>
  <c r="C734" i="1"/>
  <c r="B734" i="1"/>
  <c r="J733" i="1"/>
  <c r="C733" i="1"/>
  <c r="B733" i="1"/>
  <c r="J732" i="1"/>
  <c r="C732" i="1"/>
  <c r="B732" i="1"/>
  <c r="K731" i="1"/>
  <c r="J731" i="1"/>
  <c r="C731" i="1"/>
  <c r="B731" i="1"/>
  <c r="J730" i="1"/>
  <c r="C730" i="1"/>
  <c r="B730" i="1"/>
  <c r="J729" i="1"/>
  <c r="C729" i="1"/>
  <c r="B729" i="1"/>
  <c r="J728" i="1"/>
  <c r="I728" i="1"/>
  <c r="C728" i="1"/>
  <c r="B728" i="1"/>
  <c r="K727" i="1"/>
  <c r="J727" i="1"/>
  <c r="I727" i="1"/>
  <c r="C727" i="1"/>
  <c r="B727" i="1"/>
  <c r="J726" i="1"/>
  <c r="I726" i="1"/>
  <c r="C726" i="1"/>
  <c r="B726" i="1"/>
  <c r="J725" i="1"/>
  <c r="C725" i="1"/>
  <c r="B725" i="1"/>
  <c r="J724" i="1"/>
  <c r="I724" i="1"/>
  <c r="C724" i="1"/>
  <c r="B724" i="1"/>
  <c r="K723" i="1"/>
  <c r="J723" i="1"/>
  <c r="C723" i="1"/>
  <c r="B723" i="1"/>
  <c r="J722" i="1"/>
  <c r="I722" i="1"/>
  <c r="C722" i="1"/>
  <c r="B722" i="1"/>
  <c r="J721" i="1"/>
  <c r="I721" i="1"/>
  <c r="C721" i="1"/>
  <c r="B721" i="1"/>
  <c r="J720" i="1"/>
  <c r="C720" i="1"/>
  <c r="B720" i="1"/>
  <c r="J719" i="1"/>
  <c r="C719" i="1"/>
  <c r="B719" i="1"/>
  <c r="J718" i="1"/>
  <c r="C718" i="1"/>
  <c r="B718" i="1"/>
  <c r="J717" i="1"/>
  <c r="C717" i="1"/>
  <c r="B717" i="1"/>
  <c r="K716" i="1"/>
  <c r="J716" i="1"/>
  <c r="I716" i="1"/>
  <c r="C716" i="1"/>
  <c r="B716" i="1"/>
  <c r="J715" i="1"/>
  <c r="C715" i="1"/>
  <c r="B715" i="1"/>
  <c r="J714" i="1"/>
  <c r="C714" i="1"/>
  <c r="B714" i="1"/>
  <c r="J713" i="1"/>
  <c r="C713" i="1"/>
  <c r="B713" i="1"/>
  <c r="J712" i="1"/>
  <c r="C712" i="1"/>
  <c r="B712" i="1"/>
  <c r="J711" i="1"/>
  <c r="C711" i="1"/>
  <c r="B711" i="1"/>
  <c r="J710" i="1"/>
  <c r="C710" i="1"/>
  <c r="B710" i="1"/>
  <c r="J709" i="1"/>
  <c r="I709" i="1"/>
  <c r="C709" i="1"/>
  <c r="B709" i="1"/>
  <c r="J708" i="1"/>
  <c r="C708" i="1"/>
  <c r="B708" i="1"/>
  <c r="J707" i="1"/>
  <c r="C707" i="1"/>
  <c r="B707" i="1"/>
  <c r="J706" i="1"/>
  <c r="C706" i="1"/>
  <c r="B706" i="1"/>
  <c r="J705" i="1"/>
  <c r="C705" i="1"/>
  <c r="B705" i="1"/>
  <c r="J704" i="1"/>
  <c r="C704" i="1"/>
  <c r="B704" i="1"/>
  <c r="J703" i="1"/>
  <c r="C703" i="1"/>
  <c r="B703" i="1"/>
  <c r="J702" i="1"/>
  <c r="C702" i="1"/>
  <c r="B702" i="1"/>
  <c r="J701" i="1"/>
  <c r="C701" i="1"/>
  <c r="B701" i="1"/>
  <c r="J700" i="1"/>
  <c r="C700" i="1"/>
  <c r="B700" i="1"/>
  <c r="J699" i="1"/>
  <c r="I699" i="1"/>
  <c r="C699" i="1"/>
  <c r="B699" i="1"/>
  <c r="J698" i="1"/>
  <c r="C698" i="1"/>
  <c r="B698" i="1"/>
  <c r="J697" i="1"/>
  <c r="I697" i="1"/>
  <c r="C697" i="1"/>
  <c r="B697" i="1"/>
  <c r="J696" i="1"/>
  <c r="C696" i="1"/>
  <c r="B696" i="1"/>
  <c r="J695" i="1"/>
  <c r="C695" i="1"/>
  <c r="B695" i="1"/>
  <c r="K694" i="1"/>
  <c r="J694" i="1"/>
  <c r="C694" i="1"/>
  <c r="B694" i="1"/>
  <c r="J693" i="1"/>
  <c r="I693" i="1"/>
  <c r="C693" i="1"/>
  <c r="B693" i="1"/>
  <c r="J692" i="1"/>
  <c r="I692" i="1"/>
  <c r="C692" i="1"/>
  <c r="B692" i="1"/>
  <c r="J691" i="1"/>
  <c r="C691" i="1"/>
  <c r="B691" i="1"/>
  <c r="J690" i="1"/>
  <c r="C690" i="1"/>
  <c r="B690" i="1"/>
  <c r="J689" i="1"/>
  <c r="I689" i="1"/>
  <c r="C689" i="1"/>
  <c r="B689" i="1"/>
  <c r="J688" i="1"/>
  <c r="C688" i="1"/>
  <c r="B688" i="1"/>
  <c r="J687" i="1"/>
  <c r="C687" i="1"/>
  <c r="B687" i="1"/>
  <c r="J686" i="1"/>
  <c r="C686" i="1"/>
  <c r="B686" i="1"/>
  <c r="J685" i="1"/>
  <c r="C685" i="1"/>
  <c r="B685" i="1"/>
  <c r="J684" i="1"/>
  <c r="C684" i="1"/>
  <c r="B684" i="1"/>
  <c r="J683" i="1"/>
  <c r="I683" i="1"/>
  <c r="C683" i="1"/>
  <c r="B683" i="1"/>
  <c r="J682" i="1"/>
  <c r="I682" i="1"/>
  <c r="C682" i="1"/>
  <c r="B682" i="1"/>
  <c r="J681" i="1"/>
  <c r="I681" i="1"/>
  <c r="C681" i="1"/>
  <c r="B681" i="1"/>
  <c r="J680" i="1"/>
  <c r="C680" i="1"/>
  <c r="B680" i="1"/>
  <c r="K679" i="1"/>
  <c r="J679" i="1"/>
  <c r="C679" i="1"/>
  <c r="B679" i="1"/>
  <c r="J678" i="1"/>
  <c r="C678" i="1"/>
  <c r="B678" i="1"/>
  <c r="J677" i="1"/>
  <c r="C677" i="1"/>
  <c r="B677" i="1"/>
  <c r="J676" i="1"/>
  <c r="C676" i="1"/>
  <c r="B676" i="1"/>
  <c r="J675" i="1"/>
  <c r="C675" i="1"/>
  <c r="B675" i="1"/>
  <c r="J674" i="1"/>
  <c r="C674" i="1"/>
  <c r="B674" i="1"/>
  <c r="J673" i="1"/>
  <c r="C673" i="1"/>
  <c r="B673" i="1"/>
  <c r="J672" i="1"/>
  <c r="I672" i="1"/>
  <c r="C672" i="1"/>
  <c r="B672" i="1"/>
  <c r="K671" i="1"/>
  <c r="J671" i="1"/>
  <c r="C671" i="1"/>
  <c r="B671" i="1"/>
  <c r="J670" i="1"/>
  <c r="C670" i="1"/>
  <c r="B670" i="1"/>
  <c r="J669" i="1"/>
  <c r="C669" i="1"/>
  <c r="B669" i="1"/>
  <c r="K668" i="1"/>
  <c r="J668" i="1"/>
  <c r="I668" i="1"/>
  <c r="C668" i="1"/>
  <c r="B668" i="1"/>
  <c r="J667" i="1"/>
  <c r="C667" i="1"/>
  <c r="B667" i="1"/>
  <c r="J666" i="1"/>
  <c r="C666" i="1"/>
  <c r="B666" i="1"/>
  <c r="J665" i="1"/>
  <c r="C665" i="1"/>
  <c r="B665" i="1"/>
  <c r="J664" i="1"/>
  <c r="C664" i="1"/>
  <c r="B664" i="1"/>
  <c r="J663" i="1"/>
  <c r="C663" i="1"/>
  <c r="B663" i="1"/>
  <c r="J662" i="1"/>
  <c r="C662" i="1"/>
  <c r="B662" i="1"/>
  <c r="J661" i="1"/>
  <c r="C661" i="1"/>
  <c r="B661" i="1"/>
  <c r="J660" i="1"/>
  <c r="C660" i="1"/>
  <c r="B660" i="1"/>
  <c r="J659" i="1"/>
  <c r="C659" i="1"/>
  <c r="B659" i="1"/>
  <c r="J658" i="1"/>
  <c r="C658" i="1"/>
  <c r="B658" i="1"/>
  <c r="K657" i="1"/>
  <c r="J657" i="1"/>
  <c r="C657" i="1"/>
  <c r="B657" i="1"/>
  <c r="J656" i="1"/>
  <c r="C656" i="1"/>
  <c r="B656" i="1"/>
  <c r="J655" i="1"/>
  <c r="C655" i="1"/>
  <c r="B655" i="1"/>
  <c r="J654" i="1"/>
  <c r="C654" i="1"/>
  <c r="B654" i="1"/>
  <c r="K653" i="1"/>
  <c r="J653" i="1"/>
  <c r="C653" i="1"/>
  <c r="B653" i="1"/>
  <c r="J652" i="1"/>
  <c r="C652" i="1"/>
  <c r="B652" i="1"/>
  <c r="J651" i="1"/>
  <c r="C651" i="1"/>
  <c r="B651" i="1"/>
  <c r="K650" i="1"/>
  <c r="J650" i="1"/>
  <c r="C650" i="1"/>
  <c r="B650" i="1"/>
  <c r="J649" i="1"/>
  <c r="C649" i="1"/>
  <c r="B649" i="1"/>
  <c r="J648" i="1"/>
  <c r="C648" i="1"/>
  <c r="B648" i="1"/>
  <c r="J647" i="1"/>
  <c r="C647" i="1"/>
  <c r="B647" i="1"/>
  <c r="J646" i="1"/>
  <c r="C646" i="1"/>
  <c r="B646" i="1"/>
  <c r="K645" i="1"/>
  <c r="J645" i="1"/>
  <c r="C645" i="1"/>
  <c r="B645" i="1"/>
  <c r="K644" i="1"/>
  <c r="J644" i="1"/>
  <c r="I644" i="1"/>
  <c r="C644" i="1"/>
  <c r="B644" i="1"/>
  <c r="J643" i="1"/>
  <c r="C643" i="1"/>
  <c r="B643" i="1"/>
  <c r="J642" i="1"/>
  <c r="C642" i="1"/>
  <c r="B642" i="1"/>
  <c r="K641" i="1"/>
  <c r="J641" i="1"/>
  <c r="C641" i="1"/>
  <c r="B641" i="1"/>
  <c r="J640" i="1"/>
  <c r="C640" i="1"/>
  <c r="B640" i="1"/>
  <c r="J639" i="1"/>
  <c r="C639" i="1"/>
  <c r="B639" i="1"/>
  <c r="J638" i="1"/>
  <c r="C638" i="1"/>
  <c r="B638" i="1"/>
  <c r="J637" i="1"/>
  <c r="I637" i="1"/>
  <c r="C637" i="1"/>
  <c r="B637" i="1"/>
  <c r="J636" i="1"/>
  <c r="C636" i="1"/>
  <c r="B636" i="1"/>
  <c r="J635" i="1"/>
  <c r="C635" i="1"/>
  <c r="B635" i="1"/>
  <c r="J634" i="1"/>
  <c r="C634" i="1"/>
  <c r="B634" i="1"/>
  <c r="J633" i="1"/>
  <c r="C633" i="1"/>
  <c r="B633" i="1"/>
  <c r="J632" i="1"/>
  <c r="C632" i="1"/>
  <c r="B632" i="1"/>
  <c r="J631" i="1"/>
  <c r="C631" i="1"/>
  <c r="B631" i="1"/>
  <c r="J630" i="1"/>
  <c r="C630" i="1"/>
  <c r="B630" i="1"/>
  <c r="J629" i="1"/>
  <c r="C629" i="1"/>
  <c r="B629" i="1"/>
  <c r="J628" i="1"/>
  <c r="C628" i="1"/>
  <c r="B628" i="1"/>
  <c r="J627" i="1"/>
  <c r="C627" i="1"/>
  <c r="B627" i="1"/>
  <c r="J626" i="1"/>
  <c r="I626" i="1"/>
  <c r="C626" i="1"/>
  <c r="B626" i="1"/>
  <c r="J625" i="1"/>
  <c r="C625" i="1"/>
  <c r="B625" i="1"/>
  <c r="J624" i="1"/>
  <c r="C624" i="1"/>
  <c r="B624" i="1"/>
  <c r="J623" i="1"/>
  <c r="C623" i="1"/>
  <c r="B623" i="1"/>
  <c r="J622" i="1"/>
  <c r="C622" i="1"/>
  <c r="B622" i="1"/>
  <c r="J621" i="1"/>
  <c r="C621" i="1"/>
  <c r="B621" i="1"/>
  <c r="J620" i="1"/>
  <c r="I620" i="1"/>
  <c r="C620" i="1"/>
  <c r="B620" i="1"/>
  <c r="J619" i="1"/>
  <c r="C619" i="1"/>
  <c r="B619" i="1"/>
  <c r="J618" i="1"/>
  <c r="C618" i="1"/>
  <c r="B618" i="1"/>
  <c r="J617" i="1"/>
  <c r="C617" i="1"/>
  <c r="B617" i="1"/>
  <c r="J616" i="1"/>
  <c r="I616" i="1"/>
  <c r="C616" i="1"/>
  <c r="B616" i="1"/>
  <c r="J615" i="1"/>
  <c r="C615" i="1"/>
  <c r="B615" i="1"/>
  <c r="J614" i="1"/>
  <c r="C614" i="1"/>
  <c r="B614" i="1"/>
  <c r="J613" i="1"/>
  <c r="C613" i="1"/>
  <c r="B613" i="1"/>
  <c r="J612" i="1"/>
  <c r="C612" i="1"/>
  <c r="B612" i="1"/>
  <c r="J611" i="1"/>
  <c r="C611" i="1"/>
  <c r="B611" i="1"/>
  <c r="J610" i="1"/>
  <c r="C610" i="1"/>
  <c r="B610" i="1"/>
  <c r="J609" i="1"/>
  <c r="C609" i="1"/>
  <c r="B609" i="1"/>
  <c r="J608" i="1"/>
  <c r="I608" i="1"/>
  <c r="C608" i="1"/>
  <c r="B608" i="1"/>
  <c r="J607" i="1"/>
  <c r="C607" i="1"/>
  <c r="B607" i="1"/>
  <c r="J606" i="1"/>
  <c r="C606" i="1"/>
  <c r="B606" i="1"/>
  <c r="J605" i="1"/>
  <c r="C605" i="1"/>
  <c r="B605" i="1"/>
  <c r="J604" i="1"/>
  <c r="C604" i="1"/>
  <c r="B604" i="1"/>
  <c r="J603" i="1"/>
  <c r="C603" i="1"/>
  <c r="B603" i="1"/>
  <c r="J602" i="1"/>
  <c r="C602" i="1"/>
  <c r="B602" i="1"/>
  <c r="J601" i="1"/>
  <c r="I601" i="1"/>
  <c r="C601" i="1"/>
  <c r="B601" i="1"/>
  <c r="J600" i="1"/>
  <c r="C600" i="1"/>
  <c r="B600" i="1"/>
  <c r="K599" i="1"/>
  <c r="J599" i="1"/>
  <c r="C599" i="1"/>
  <c r="B599" i="1"/>
  <c r="J598" i="1"/>
  <c r="C598" i="1"/>
  <c r="B598" i="1"/>
  <c r="J597" i="1"/>
  <c r="C597" i="1"/>
  <c r="B597" i="1"/>
  <c r="J596" i="1"/>
  <c r="C596" i="1"/>
  <c r="B596" i="1"/>
  <c r="J595" i="1"/>
  <c r="C595" i="1"/>
  <c r="B595" i="1"/>
  <c r="J594" i="1"/>
  <c r="C594" i="1"/>
  <c r="B594" i="1"/>
  <c r="J593" i="1"/>
  <c r="C593" i="1"/>
  <c r="B593" i="1"/>
  <c r="J592" i="1"/>
  <c r="C592" i="1"/>
  <c r="B592" i="1"/>
  <c r="J591" i="1"/>
  <c r="C591" i="1"/>
  <c r="B591" i="1"/>
  <c r="J590" i="1"/>
  <c r="C590" i="1"/>
  <c r="B590" i="1"/>
  <c r="J589" i="1"/>
  <c r="C589" i="1"/>
  <c r="B589" i="1"/>
  <c r="J588" i="1"/>
  <c r="C588" i="1"/>
  <c r="B588" i="1"/>
  <c r="J587" i="1"/>
  <c r="C587" i="1"/>
  <c r="B587" i="1"/>
  <c r="J586" i="1"/>
  <c r="C586" i="1"/>
  <c r="B586" i="1"/>
  <c r="J585" i="1"/>
  <c r="C585" i="1"/>
  <c r="B585" i="1"/>
  <c r="J584" i="1"/>
  <c r="C584" i="1"/>
  <c r="B584" i="1"/>
  <c r="J583" i="1"/>
  <c r="C583" i="1"/>
  <c r="B583" i="1"/>
  <c r="J582" i="1"/>
  <c r="C582" i="1"/>
  <c r="B582" i="1"/>
  <c r="K581" i="1"/>
  <c r="J581" i="1"/>
  <c r="C581" i="1"/>
  <c r="B581" i="1"/>
  <c r="J580" i="1"/>
  <c r="I580" i="1"/>
  <c r="C580" i="1"/>
  <c r="B580" i="1"/>
  <c r="J579" i="1"/>
  <c r="C579" i="1"/>
  <c r="B579" i="1"/>
  <c r="J578" i="1"/>
  <c r="C578" i="1"/>
  <c r="B578" i="1"/>
  <c r="J577" i="1"/>
  <c r="C577" i="1"/>
  <c r="B577" i="1"/>
  <c r="J576" i="1"/>
  <c r="C576" i="1"/>
  <c r="B576" i="1"/>
  <c r="J575" i="1"/>
  <c r="C575" i="1"/>
  <c r="B575" i="1"/>
  <c r="J574" i="1"/>
  <c r="C574" i="1"/>
  <c r="B574" i="1"/>
  <c r="J573" i="1"/>
  <c r="C573" i="1"/>
  <c r="B573" i="1"/>
  <c r="J572" i="1"/>
  <c r="C572" i="1"/>
  <c r="B572" i="1"/>
  <c r="K571" i="1"/>
  <c r="J571" i="1"/>
  <c r="C571" i="1"/>
  <c r="B571" i="1"/>
  <c r="J570" i="1"/>
  <c r="C570" i="1"/>
  <c r="B570" i="1"/>
  <c r="J569" i="1"/>
  <c r="I569" i="1"/>
  <c r="C569" i="1"/>
  <c r="B569" i="1"/>
  <c r="J568" i="1"/>
  <c r="I568" i="1"/>
  <c r="C568" i="1"/>
  <c r="B568" i="1"/>
  <c r="K567" i="1"/>
  <c r="J567" i="1"/>
  <c r="I567" i="1"/>
  <c r="C567" i="1"/>
  <c r="B567" i="1"/>
  <c r="J566" i="1"/>
  <c r="I566" i="1"/>
  <c r="C566" i="1"/>
  <c r="B566" i="1"/>
  <c r="J565" i="1"/>
  <c r="I565" i="1"/>
  <c r="C565" i="1"/>
  <c r="B565" i="1"/>
  <c r="J564" i="1"/>
  <c r="I564" i="1"/>
  <c r="C564" i="1"/>
  <c r="B564" i="1"/>
  <c r="K563" i="1"/>
  <c r="J563" i="1"/>
  <c r="C563" i="1"/>
  <c r="B563" i="1"/>
  <c r="J562" i="1"/>
  <c r="C562" i="1"/>
  <c r="B562" i="1"/>
  <c r="J561" i="1"/>
  <c r="C561" i="1"/>
  <c r="B561" i="1"/>
  <c r="J560" i="1"/>
  <c r="C560" i="1"/>
  <c r="B560" i="1"/>
  <c r="J559" i="1"/>
  <c r="C559" i="1"/>
  <c r="B559" i="1"/>
  <c r="J558" i="1"/>
  <c r="I558" i="1"/>
  <c r="C558" i="1"/>
  <c r="B558" i="1"/>
  <c r="J557" i="1"/>
  <c r="C557" i="1"/>
  <c r="B557" i="1"/>
  <c r="J556" i="1"/>
  <c r="C556" i="1"/>
  <c r="B556" i="1"/>
  <c r="J555" i="1"/>
  <c r="C555" i="1"/>
  <c r="B555" i="1"/>
  <c r="J554" i="1"/>
  <c r="C554" i="1"/>
  <c r="B554" i="1"/>
  <c r="J553" i="1"/>
  <c r="C553" i="1"/>
  <c r="B553" i="1"/>
  <c r="J552" i="1"/>
  <c r="C552" i="1"/>
  <c r="B552" i="1"/>
  <c r="J551" i="1"/>
  <c r="C551" i="1"/>
  <c r="B551" i="1"/>
  <c r="J550" i="1"/>
  <c r="C550" i="1"/>
  <c r="B550" i="1"/>
  <c r="J549" i="1"/>
  <c r="C549" i="1"/>
  <c r="B549" i="1"/>
  <c r="J548" i="1"/>
  <c r="C548" i="1"/>
  <c r="B548" i="1"/>
  <c r="J547" i="1"/>
  <c r="C547" i="1"/>
  <c r="B547" i="1"/>
  <c r="J546" i="1"/>
  <c r="C546" i="1"/>
  <c r="B546" i="1"/>
  <c r="J545" i="1"/>
  <c r="C545" i="1"/>
  <c r="B545" i="1"/>
  <c r="J544" i="1"/>
  <c r="C544" i="1"/>
  <c r="B544" i="1"/>
  <c r="J543" i="1"/>
  <c r="C543" i="1"/>
  <c r="B543" i="1"/>
  <c r="J542" i="1"/>
  <c r="C542" i="1"/>
  <c r="B542" i="1"/>
  <c r="J541" i="1"/>
  <c r="C541" i="1"/>
  <c r="B541" i="1"/>
  <c r="J540" i="1"/>
  <c r="C540" i="1"/>
  <c r="B540" i="1"/>
  <c r="J539" i="1"/>
  <c r="C539" i="1"/>
  <c r="B539" i="1"/>
  <c r="J538" i="1"/>
  <c r="C538" i="1"/>
  <c r="B538" i="1"/>
  <c r="J537" i="1"/>
  <c r="C537" i="1"/>
  <c r="B537" i="1"/>
  <c r="J536" i="1"/>
  <c r="I536" i="1"/>
  <c r="C536" i="1"/>
  <c r="B536" i="1"/>
  <c r="J535" i="1"/>
  <c r="C535" i="1"/>
  <c r="B535" i="1"/>
  <c r="J534" i="1"/>
  <c r="C534" i="1"/>
  <c r="B534" i="1"/>
  <c r="J533" i="1"/>
  <c r="I533" i="1"/>
  <c r="C533" i="1"/>
  <c r="B533" i="1"/>
  <c r="J532" i="1"/>
  <c r="I532" i="1"/>
  <c r="C532" i="1"/>
  <c r="B532" i="1"/>
  <c r="J531" i="1"/>
  <c r="C531" i="1"/>
  <c r="B531" i="1"/>
  <c r="J530" i="1"/>
  <c r="C530" i="1"/>
  <c r="B530" i="1"/>
  <c r="J529" i="1"/>
  <c r="C529" i="1"/>
  <c r="B529" i="1"/>
  <c r="K528" i="1"/>
  <c r="J528" i="1"/>
  <c r="C528" i="1"/>
  <c r="B528" i="1"/>
  <c r="J527" i="1"/>
  <c r="C527" i="1"/>
  <c r="B527" i="1"/>
  <c r="J526" i="1"/>
  <c r="C526" i="1"/>
  <c r="B526" i="1"/>
  <c r="J525" i="1"/>
  <c r="C525" i="1"/>
  <c r="B525" i="1"/>
  <c r="J524" i="1"/>
  <c r="C524" i="1"/>
  <c r="B524" i="1"/>
  <c r="J523" i="1"/>
  <c r="C523" i="1"/>
  <c r="B523" i="1"/>
  <c r="J522" i="1"/>
  <c r="I522" i="1"/>
  <c r="C522" i="1"/>
  <c r="B522" i="1"/>
  <c r="J521" i="1"/>
  <c r="C521" i="1"/>
  <c r="B521" i="1"/>
  <c r="J520" i="1"/>
  <c r="C520" i="1"/>
  <c r="B520" i="1"/>
  <c r="J519" i="1"/>
  <c r="C519" i="1"/>
  <c r="B519" i="1"/>
  <c r="J518" i="1"/>
  <c r="C518" i="1"/>
  <c r="B518" i="1"/>
  <c r="K517" i="1"/>
  <c r="J517" i="1"/>
  <c r="C517" i="1"/>
  <c r="B517" i="1"/>
  <c r="J516" i="1"/>
  <c r="C516" i="1"/>
  <c r="B516" i="1"/>
  <c r="J515" i="1"/>
  <c r="C515" i="1"/>
  <c r="B515" i="1"/>
  <c r="J514" i="1"/>
  <c r="C514" i="1"/>
  <c r="B514" i="1"/>
  <c r="J513" i="1"/>
  <c r="I513" i="1"/>
  <c r="C513" i="1"/>
  <c r="B513" i="1"/>
  <c r="K512" i="1"/>
  <c r="J512" i="1"/>
  <c r="C512" i="1"/>
  <c r="B512" i="1"/>
  <c r="J511" i="1"/>
  <c r="C511" i="1"/>
  <c r="B511" i="1"/>
  <c r="J510" i="1"/>
  <c r="C510" i="1"/>
  <c r="B510" i="1"/>
  <c r="J509" i="1"/>
  <c r="C509" i="1"/>
  <c r="B509" i="1"/>
  <c r="J508" i="1"/>
  <c r="C508" i="1"/>
  <c r="B508" i="1"/>
  <c r="J507" i="1"/>
  <c r="I507" i="1"/>
  <c r="C507" i="1"/>
  <c r="B507" i="1"/>
  <c r="J506" i="1"/>
  <c r="C506" i="1"/>
  <c r="B506" i="1"/>
  <c r="J505" i="1"/>
  <c r="C505" i="1"/>
  <c r="B505" i="1"/>
  <c r="J504" i="1"/>
  <c r="I504" i="1"/>
  <c r="C504" i="1"/>
  <c r="B504" i="1"/>
  <c r="J503" i="1"/>
  <c r="C503" i="1"/>
  <c r="B503" i="1"/>
  <c r="J502" i="1"/>
  <c r="I502" i="1"/>
  <c r="C502" i="1"/>
  <c r="B502" i="1"/>
  <c r="J501" i="1"/>
  <c r="C501" i="1"/>
  <c r="B501" i="1"/>
  <c r="J500" i="1"/>
  <c r="C500" i="1"/>
  <c r="B500" i="1"/>
  <c r="J499" i="1"/>
  <c r="C499" i="1"/>
  <c r="B499" i="1"/>
  <c r="J498" i="1"/>
  <c r="C498" i="1"/>
  <c r="B498" i="1"/>
  <c r="J497" i="1"/>
  <c r="C497" i="1"/>
  <c r="B497" i="1"/>
  <c r="J496" i="1"/>
  <c r="C496" i="1"/>
  <c r="B496" i="1"/>
  <c r="J495" i="1"/>
  <c r="I495" i="1"/>
  <c r="C495" i="1"/>
  <c r="B495" i="1"/>
  <c r="J494" i="1"/>
  <c r="C494" i="1"/>
  <c r="B494" i="1"/>
  <c r="J493" i="1"/>
  <c r="C493" i="1"/>
  <c r="B493" i="1"/>
  <c r="J492" i="1"/>
  <c r="C492" i="1"/>
  <c r="B492" i="1"/>
  <c r="J491" i="1"/>
  <c r="C491" i="1"/>
  <c r="B491" i="1"/>
  <c r="J490" i="1"/>
  <c r="I490" i="1"/>
  <c r="C490" i="1"/>
  <c r="B490" i="1"/>
  <c r="K489" i="1"/>
  <c r="J489" i="1"/>
  <c r="I489" i="1"/>
  <c r="C489" i="1"/>
  <c r="B489" i="1"/>
  <c r="J488" i="1"/>
  <c r="C488" i="1"/>
  <c r="B488" i="1"/>
  <c r="J487" i="1"/>
  <c r="C487" i="1"/>
  <c r="B487" i="1"/>
  <c r="J486" i="1"/>
  <c r="C486" i="1"/>
  <c r="B486" i="1"/>
  <c r="J485" i="1"/>
  <c r="C485" i="1"/>
  <c r="B485" i="1"/>
  <c r="J484" i="1"/>
  <c r="C484" i="1"/>
  <c r="B484" i="1"/>
  <c r="J483" i="1"/>
  <c r="C483" i="1"/>
  <c r="B483" i="1"/>
  <c r="J482" i="1"/>
  <c r="C482" i="1"/>
  <c r="B482" i="1"/>
  <c r="J481" i="1"/>
  <c r="C481" i="1"/>
  <c r="B481" i="1"/>
  <c r="J480" i="1"/>
  <c r="C480" i="1"/>
  <c r="B480" i="1"/>
  <c r="J479" i="1"/>
  <c r="C479" i="1"/>
  <c r="B479" i="1"/>
  <c r="J478" i="1"/>
  <c r="C478" i="1"/>
  <c r="B478" i="1"/>
  <c r="J477" i="1"/>
  <c r="C477" i="1"/>
  <c r="B477" i="1"/>
  <c r="J476" i="1"/>
  <c r="C476" i="1"/>
  <c r="B476" i="1"/>
  <c r="J475" i="1"/>
  <c r="C475" i="1"/>
  <c r="B475" i="1"/>
  <c r="J474" i="1"/>
  <c r="C474" i="1"/>
  <c r="B474" i="1"/>
  <c r="J473" i="1"/>
  <c r="C473" i="1"/>
  <c r="B473" i="1"/>
  <c r="J472" i="1"/>
  <c r="C472" i="1"/>
  <c r="B472" i="1"/>
  <c r="J471" i="1"/>
  <c r="C471" i="1"/>
  <c r="B471" i="1"/>
  <c r="J470" i="1"/>
  <c r="C470" i="1"/>
  <c r="B470" i="1"/>
  <c r="J469" i="1"/>
  <c r="C469" i="1"/>
  <c r="B469" i="1"/>
  <c r="J468" i="1"/>
  <c r="C468" i="1"/>
  <c r="B468" i="1"/>
  <c r="J467" i="1"/>
  <c r="C467" i="1"/>
  <c r="B467" i="1"/>
  <c r="J466" i="1"/>
  <c r="C466" i="1"/>
  <c r="B466" i="1"/>
  <c r="J465" i="1"/>
  <c r="C465" i="1"/>
  <c r="B465" i="1"/>
  <c r="J464" i="1"/>
  <c r="C464" i="1"/>
  <c r="B464" i="1"/>
  <c r="J463" i="1"/>
  <c r="C463" i="1"/>
  <c r="B463" i="1"/>
  <c r="J462" i="1"/>
  <c r="C462" i="1"/>
  <c r="B462" i="1"/>
  <c r="J461" i="1"/>
  <c r="C461" i="1"/>
  <c r="B461" i="1"/>
  <c r="J460" i="1"/>
  <c r="C460" i="1"/>
  <c r="B460" i="1"/>
  <c r="J459" i="1"/>
  <c r="C459" i="1"/>
  <c r="B459" i="1"/>
  <c r="J458" i="1"/>
  <c r="C458" i="1"/>
  <c r="B458" i="1"/>
  <c r="J457" i="1"/>
  <c r="C457" i="1"/>
  <c r="B457" i="1"/>
  <c r="K456" i="1"/>
  <c r="J456" i="1"/>
  <c r="I456" i="1"/>
  <c r="C456" i="1"/>
  <c r="B456" i="1"/>
  <c r="K455" i="1"/>
  <c r="J455" i="1"/>
  <c r="C455" i="1"/>
  <c r="B455" i="1"/>
  <c r="K454" i="1"/>
  <c r="J454" i="1"/>
  <c r="C454" i="1"/>
  <c r="B454" i="1"/>
  <c r="K453" i="1"/>
  <c r="J453" i="1"/>
  <c r="I453" i="1"/>
  <c r="C453" i="1"/>
  <c r="B453" i="1"/>
  <c r="J452" i="1"/>
  <c r="I452" i="1"/>
  <c r="C452" i="1"/>
  <c r="B452" i="1"/>
  <c r="J451" i="1"/>
  <c r="C451" i="1"/>
  <c r="B451" i="1"/>
  <c r="J450" i="1"/>
  <c r="C450" i="1"/>
  <c r="B450" i="1"/>
  <c r="J449" i="1"/>
  <c r="C449" i="1"/>
  <c r="B449" i="1"/>
  <c r="J448" i="1"/>
  <c r="C448" i="1"/>
  <c r="B448" i="1"/>
  <c r="J447" i="1"/>
  <c r="C447" i="1"/>
  <c r="B447" i="1"/>
  <c r="J446" i="1"/>
  <c r="I446" i="1"/>
  <c r="C446" i="1"/>
  <c r="B446" i="1"/>
  <c r="K445" i="1"/>
  <c r="J445" i="1"/>
  <c r="C445" i="1"/>
  <c r="B445" i="1"/>
  <c r="J444" i="1"/>
  <c r="C444" i="1"/>
  <c r="B444" i="1"/>
  <c r="J443" i="1"/>
  <c r="C443" i="1"/>
  <c r="B443" i="1"/>
  <c r="J442" i="1"/>
  <c r="C442" i="1"/>
  <c r="B442" i="1"/>
  <c r="J441" i="1"/>
  <c r="C441" i="1"/>
  <c r="B441" i="1"/>
  <c r="J440" i="1"/>
  <c r="C440" i="1"/>
  <c r="B440" i="1"/>
  <c r="J439" i="1"/>
  <c r="C439" i="1"/>
  <c r="B439" i="1"/>
  <c r="J438" i="1"/>
  <c r="C438" i="1"/>
  <c r="B438" i="1"/>
  <c r="K437" i="1"/>
  <c r="J437" i="1"/>
  <c r="C437" i="1"/>
  <c r="B437" i="1"/>
  <c r="J436" i="1"/>
  <c r="C436" i="1"/>
  <c r="B436" i="1"/>
  <c r="J435" i="1"/>
  <c r="C435" i="1"/>
  <c r="B435" i="1"/>
  <c r="J434" i="1"/>
  <c r="C434" i="1"/>
  <c r="B434" i="1"/>
  <c r="J433" i="1"/>
  <c r="C433" i="1"/>
  <c r="B433" i="1"/>
  <c r="J432" i="1"/>
  <c r="C432" i="1"/>
  <c r="B432" i="1"/>
  <c r="J431" i="1"/>
  <c r="C431" i="1"/>
  <c r="B431" i="1"/>
  <c r="J430" i="1"/>
  <c r="C430" i="1"/>
  <c r="B430" i="1"/>
  <c r="J429" i="1"/>
  <c r="C429" i="1"/>
  <c r="B429" i="1"/>
  <c r="J428" i="1"/>
  <c r="C428" i="1"/>
  <c r="B428" i="1"/>
  <c r="J427" i="1"/>
  <c r="C427" i="1"/>
  <c r="B427" i="1"/>
  <c r="J426" i="1"/>
  <c r="C426" i="1"/>
  <c r="B426" i="1"/>
  <c r="J425" i="1"/>
  <c r="C425" i="1"/>
  <c r="B425" i="1"/>
  <c r="J424" i="1"/>
  <c r="C424" i="1"/>
  <c r="B424" i="1"/>
  <c r="J423" i="1"/>
  <c r="C423" i="1"/>
  <c r="B423" i="1"/>
  <c r="J422" i="1"/>
  <c r="C422" i="1"/>
  <c r="B422" i="1"/>
  <c r="J421" i="1"/>
  <c r="C421" i="1"/>
  <c r="B421" i="1"/>
  <c r="J420" i="1"/>
  <c r="C420" i="1"/>
  <c r="B420" i="1"/>
  <c r="J419" i="1"/>
  <c r="C419" i="1"/>
  <c r="B419" i="1"/>
  <c r="J418" i="1"/>
  <c r="C418" i="1"/>
  <c r="B418" i="1"/>
  <c r="J417" i="1"/>
  <c r="C417" i="1"/>
  <c r="B417" i="1"/>
  <c r="J416" i="1"/>
  <c r="C416" i="1"/>
  <c r="B416" i="1"/>
  <c r="J415" i="1"/>
  <c r="C415" i="1"/>
  <c r="B415" i="1"/>
  <c r="J414" i="1"/>
  <c r="C414" i="1"/>
  <c r="B414" i="1"/>
  <c r="J413" i="1"/>
  <c r="C413" i="1"/>
  <c r="B413" i="1"/>
  <c r="J412" i="1"/>
  <c r="C412" i="1"/>
  <c r="B412" i="1"/>
  <c r="J411" i="1"/>
  <c r="C411" i="1"/>
  <c r="B411" i="1"/>
  <c r="J410" i="1"/>
  <c r="I410" i="1"/>
  <c r="C410" i="1"/>
  <c r="B410" i="1"/>
  <c r="J409" i="1"/>
  <c r="C409" i="1"/>
  <c r="B409" i="1"/>
  <c r="J408" i="1"/>
  <c r="C408" i="1"/>
  <c r="B408" i="1"/>
  <c r="J407" i="1"/>
  <c r="C407" i="1"/>
  <c r="B407" i="1"/>
  <c r="J406" i="1"/>
  <c r="C406" i="1"/>
  <c r="B406" i="1"/>
  <c r="J405" i="1"/>
  <c r="C405" i="1"/>
  <c r="B405" i="1"/>
  <c r="J404" i="1"/>
  <c r="C404" i="1"/>
  <c r="B404" i="1"/>
  <c r="J403" i="1"/>
  <c r="C403" i="1"/>
  <c r="B403" i="1"/>
  <c r="J402" i="1"/>
  <c r="C402" i="1"/>
  <c r="B402" i="1"/>
  <c r="J401" i="1"/>
  <c r="C401" i="1"/>
  <c r="B401" i="1"/>
  <c r="J400" i="1"/>
  <c r="C400" i="1"/>
  <c r="B400" i="1"/>
  <c r="K399" i="1"/>
  <c r="J399" i="1"/>
  <c r="C399" i="1"/>
  <c r="B399" i="1"/>
  <c r="J398" i="1"/>
  <c r="C398" i="1"/>
  <c r="B398" i="1"/>
  <c r="J397" i="1"/>
  <c r="C397" i="1"/>
  <c r="B397" i="1"/>
  <c r="J396" i="1"/>
  <c r="C396" i="1"/>
  <c r="B396" i="1"/>
  <c r="J395" i="1"/>
  <c r="C395" i="1"/>
  <c r="B395" i="1"/>
  <c r="J394" i="1"/>
  <c r="C394" i="1"/>
  <c r="B394" i="1"/>
  <c r="J393" i="1"/>
  <c r="I393" i="1"/>
  <c r="C393" i="1"/>
  <c r="B393" i="1"/>
  <c r="J392" i="1"/>
  <c r="I392" i="1"/>
  <c r="C392" i="1"/>
  <c r="B392" i="1"/>
  <c r="J391" i="1"/>
  <c r="C391" i="1"/>
  <c r="B391" i="1"/>
  <c r="C390" i="1"/>
  <c r="B390" i="1"/>
  <c r="J389" i="1"/>
  <c r="C389" i="1"/>
  <c r="B389" i="1"/>
  <c r="J388" i="1"/>
  <c r="C388" i="1"/>
  <c r="B388" i="1"/>
  <c r="J387" i="1"/>
  <c r="C387" i="1"/>
  <c r="B387" i="1"/>
  <c r="J386" i="1"/>
  <c r="C386" i="1"/>
  <c r="B386" i="1"/>
  <c r="C385" i="1"/>
  <c r="B385" i="1"/>
  <c r="J384" i="1"/>
  <c r="C384" i="1"/>
  <c r="B384" i="1"/>
  <c r="J383" i="1"/>
  <c r="C383" i="1"/>
  <c r="B383" i="1"/>
  <c r="J382" i="1"/>
  <c r="C382" i="1"/>
  <c r="B382" i="1"/>
  <c r="J381" i="1"/>
  <c r="C381" i="1"/>
  <c r="B381" i="1"/>
  <c r="J380" i="1"/>
  <c r="C380" i="1"/>
  <c r="B380" i="1"/>
  <c r="C379" i="1"/>
  <c r="B379" i="1"/>
  <c r="J378" i="1"/>
  <c r="C378" i="1"/>
  <c r="B378" i="1"/>
  <c r="J377" i="1"/>
  <c r="C377" i="1"/>
  <c r="B377" i="1"/>
  <c r="J376" i="1"/>
  <c r="C376" i="1"/>
  <c r="B376" i="1"/>
  <c r="J375" i="1"/>
  <c r="I375" i="1"/>
  <c r="C375" i="1"/>
  <c r="B375" i="1"/>
  <c r="J374" i="1"/>
  <c r="C374" i="1"/>
  <c r="B374" i="1"/>
  <c r="J373" i="1"/>
  <c r="C373" i="1"/>
  <c r="B373" i="1"/>
  <c r="J372" i="1"/>
  <c r="C372" i="1"/>
  <c r="B372" i="1"/>
  <c r="J371" i="1"/>
  <c r="C371" i="1"/>
  <c r="B371" i="1"/>
  <c r="J370" i="1"/>
  <c r="C370" i="1"/>
  <c r="B370" i="1"/>
  <c r="J369" i="1"/>
  <c r="C369" i="1"/>
  <c r="B369" i="1"/>
  <c r="C368" i="1"/>
  <c r="B368" i="1"/>
  <c r="K367" i="1"/>
  <c r="J367" i="1"/>
  <c r="C367" i="1"/>
  <c r="B367" i="1"/>
  <c r="J366" i="1"/>
  <c r="C366" i="1"/>
  <c r="B366" i="1"/>
  <c r="J365" i="1"/>
  <c r="C365" i="1"/>
  <c r="B365" i="1"/>
  <c r="J364" i="1"/>
  <c r="C364" i="1"/>
  <c r="B364" i="1"/>
  <c r="J363" i="1"/>
  <c r="C363" i="1"/>
  <c r="B363" i="1"/>
  <c r="J362" i="1"/>
  <c r="C362" i="1"/>
  <c r="B362" i="1"/>
  <c r="J361" i="1"/>
  <c r="I361" i="1"/>
  <c r="C361" i="1"/>
  <c r="B361" i="1"/>
  <c r="J360" i="1"/>
  <c r="C360" i="1"/>
  <c r="B360" i="1"/>
  <c r="J359" i="1"/>
  <c r="C359" i="1"/>
  <c r="B359" i="1"/>
  <c r="J358" i="1"/>
  <c r="I358" i="1"/>
  <c r="C358" i="1"/>
  <c r="B358" i="1"/>
  <c r="J357" i="1"/>
  <c r="C357" i="1"/>
  <c r="B357" i="1"/>
  <c r="O356" i="1"/>
  <c r="K356" i="1"/>
  <c r="J356" i="1"/>
  <c r="I356" i="1"/>
  <c r="C356" i="1"/>
  <c r="B356" i="1"/>
  <c r="O355" i="1"/>
  <c r="J355" i="1"/>
  <c r="C355" i="1"/>
  <c r="B355" i="1"/>
  <c r="O354" i="1"/>
  <c r="J354" i="1"/>
  <c r="I354" i="1"/>
  <c r="C354" i="1"/>
  <c r="B354" i="1"/>
  <c r="O353" i="1"/>
  <c r="J353" i="1"/>
  <c r="C353" i="1"/>
  <c r="B353" i="1"/>
  <c r="O352" i="1"/>
  <c r="K352" i="1"/>
  <c r="J352" i="1"/>
  <c r="C352" i="1"/>
  <c r="B352" i="1"/>
  <c r="O351" i="1"/>
  <c r="K351" i="1"/>
  <c r="J351" i="1"/>
  <c r="C351" i="1"/>
  <c r="B351" i="1"/>
  <c r="O350" i="1"/>
  <c r="J350" i="1"/>
  <c r="C350" i="1"/>
  <c r="B350" i="1"/>
  <c r="O349" i="1"/>
  <c r="J349" i="1"/>
  <c r="C349" i="1"/>
  <c r="B349" i="1"/>
  <c r="O348" i="1"/>
  <c r="J348" i="1"/>
  <c r="C348" i="1"/>
  <c r="B348" i="1"/>
  <c r="O347" i="1"/>
  <c r="J347" i="1"/>
  <c r="C347" i="1"/>
  <c r="B347" i="1"/>
  <c r="O346" i="1"/>
  <c r="J346" i="1"/>
  <c r="C346" i="1"/>
  <c r="B346" i="1"/>
  <c r="O345" i="1"/>
  <c r="J345" i="1"/>
  <c r="C345" i="1"/>
  <c r="B345" i="1"/>
  <c r="O344" i="1"/>
  <c r="J344" i="1"/>
  <c r="C344" i="1"/>
  <c r="B344" i="1"/>
  <c r="O343" i="1"/>
  <c r="J343" i="1"/>
  <c r="C343" i="1"/>
  <c r="B343" i="1"/>
  <c r="O342" i="1"/>
  <c r="J342" i="1"/>
  <c r="C342" i="1"/>
  <c r="B342" i="1"/>
  <c r="O341" i="1"/>
  <c r="J341" i="1"/>
  <c r="C341" i="1"/>
  <c r="B341" i="1"/>
  <c r="O340" i="1"/>
  <c r="J340" i="1"/>
  <c r="C340" i="1"/>
  <c r="B340" i="1"/>
  <c r="O339" i="1"/>
  <c r="J339" i="1"/>
  <c r="C339" i="1"/>
  <c r="B339" i="1"/>
  <c r="O338" i="1"/>
  <c r="J338" i="1"/>
  <c r="C338" i="1"/>
  <c r="B338" i="1"/>
  <c r="O337" i="1"/>
  <c r="J337" i="1"/>
  <c r="C337" i="1"/>
  <c r="B337" i="1"/>
  <c r="O336" i="1"/>
  <c r="J336" i="1"/>
  <c r="C336" i="1"/>
  <c r="B336" i="1"/>
  <c r="O335" i="1"/>
  <c r="J335" i="1"/>
  <c r="I335" i="1"/>
  <c r="C335" i="1"/>
  <c r="B335" i="1"/>
  <c r="O334" i="1"/>
  <c r="J334" i="1"/>
  <c r="C334" i="1"/>
  <c r="B334" i="1"/>
  <c r="O333" i="1"/>
  <c r="J333" i="1"/>
  <c r="C333" i="1"/>
  <c r="B333" i="1"/>
  <c r="O332" i="1"/>
  <c r="J332" i="1"/>
  <c r="C332" i="1"/>
  <c r="B332" i="1"/>
  <c r="O331" i="1"/>
  <c r="J331" i="1"/>
  <c r="C331" i="1"/>
  <c r="B331" i="1"/>
  <c r="O330" i="1"/>
  <c r="J330" i="1"/>
  <c r="C330" i="1"/>
  <c r="B330" i="1"/>
  <c r="O329" i="1"/>
  <c r="J329" i="1"/>
  <c r="C329" i="1"/>
  <c r="B329" i="1"/>
  <c r="O328" i="1"/>
  <c r="J328" i="1"/>
  <c r="C328" i="1"/>
  <c r="B328" i="1"/>
  <c r="O327" i="1"/>
  <c r="J327" i="1"/>
  <c r="C327" i="1"/>
  <c r="B327" i="1"/>
  <c r="O326" i="1"/>
  <c r="J326" i="1"/>
  <c r="I326" i="1"/>
  <c r="C326" i="1"/>
  <c r="B326" i="1"/>
  <c r="O325" i="1"/>
  <c r="J325" i="1"/>
  <c r="C325" i="1"/>
  <c r="B325" i="1"/>
  <c r="O324" i="1"/>
  <c r="J324" i="1"/>
  <c r="C324" i="1"/>
  <c r="B324" i="1"/>
  <c r="O323" i="1"/>
  <c r="J323" i="1"/>
  <c r="C323" i="1"/>
  <c r="B323" i="1"/>
  <c r="O322" i="1"/>
  <c r="J322" i="1"/>
  <c r="C322" i="1"/>
  <c r="B322" i="1"/>
  <c r="O321" i="1"/>
  <c r="K321" i="1"/>
  <c r="J321" i="1"/>
  <c r="C321" i="1"/>
  <c r="B321" i="1"/>
  <c r="O320" i="1"/>
  <c r="K320" i="1"/>
  <c r="J320" i="1"/>
  <c r="C320" i="1"/>
  <c r="B320" i="1"/>
  <c r="O319" i="1"/>
  <c r="J319" i="1"/>
  <c r="C319" i="1"/>
  <c r="B319" i="1"/>
  <c r="O318" i="1"/>
  <c r="J318" i="1"/>
  <c r="I318" i="1"/>
  <c r="C318" i="1"/>
  <c r="B318" i="1"/>
  <c r="O317" i="1"/>
  <c r="J317" i="1"/>
  <c r="I317" i="1"/>
  <c r="C317" i="1"/>
  <c r="B317" i="1"/>
  <c r="O316" i="1"/>
  <c r="J316" i="1"/>
  <c r="C316" i="1"/>
  <c r="B316" i="1"/>
  <c r="O315" i="1"/>
  <c r="K315" i="1"/>
  <c r="J315" i="1"/>
  <c r="C315" i="1"/>
  <c r="B315" i="1"/>
  <c r="O314" i="1"/>
  <c r="J314" i="1"/>
  <c r="I314" i="1"/>
  <c r="C314" i="1"/>
  <c r="B314" i="1"/>
  <c r="O313" i="1"/>
  <c r="J313" i="1"/>
  <c r="C313" i="1"/>
  <c r="B313" i="1"/>
  <c r="K312" i="1"/>
  <c r="J312" i="1"/>
  <c r="C312" i="1"/>
  <c r="B312" i="1"/>
  <c r="J311" i="1"/>
  <c r="I311" i="1"/>
  <c r="C311" i="1"/>
  <c r="B311" i="1"/>
  <c r="J310" i="1"/>
  <c r="C310" i="1"/>
  <c r="B310" i="1"/>
  <c r="J309" i="1"/>
  <c r="I309" i="1"/>
  <c r="C309" i="1"/>
  <c r="B309" i="1"/>
  <c r="J308" i="1"/>
  <c r="I308" i="1"/>
  <c r="C308" i="1"/>
  <c r="B308" i="1"/>
  <c r="J307" i="1"/>
  <c r="I307" i="1"/>
  <c r="C307" i="1"/>
  <c r="B307" i="1"/>
  <c r="J306" i="1"/>
  <c r="I306" i="1"/>
  <c r="C306" i="1"/>
  <c r="B306" i="1"/>
  <c r="J305" i="1"/>
  <c r="I305" i="1"/>
  <c r="C305" i="1"/>
  <c r="B305" i="1"/>
  <c r="J304" i="1"/>
  <c r="I304" i="1"/>
  <c r="C304" i="1"/>
  <c r="B304" i="1"/>
  <c r="J303" i="1"/>
  <c r="I303" i="1"/>
  <c r="C303" i="1"/>
  <c r="B303" i="1"/>
  <c r="J302" i="1"/>
  <c r="I302" i="1"/>
  <c r="C302" i="1"/>
  <c r="B302" i="1"/>
  <c r="J301" i="1"/>
  <c r="C301" i="1"/>
  <c r="B301" i="1"/>
  <c r="J300" i="1"/>
  <c r="I300" i="1"/>
  <c r="C300" i="1"/>
  <c r="B300" i="1"/>
  <c r="J299" i="1"/>
  <c r="I299" i="1"/>
  <c r="C299" i="1"/>
  <c r="B299" i="1"/>
  <c r="J298" i="1"/>
  <c r="I298" i="1"/>
  <c r="C298" i="1"/>
  <c r="B298" i="1"/>
  <c r="J297" i="1"/>
  <c r="I297" i="1"/>
  <c r="C297" i="1"/>
  <c r="B297" i="1"/>
  <c r="J296" i="1"/>
  <c r="C296" i="1"/>
  <c r="B296" i="1"/>
  <c r="J295" i="1"/>
  <c r="C295" i="1"/>
  <c r="B295" i="1"/>
  <c r="J294" i="1"/>
  <c r="I294" i="1"/>
  <c r="C294" i="1"/>
  <c r="B294" i="1"/>
  <c r="J293" i="1"/>
  <c r="I293" i="1"/>
  <c r="C293" i="1"/>
  <c r="B293" i="1"/>
  <c r="J292" i="1"/>
  <c r="I292" i="1"/>
  <c r="C292" i="1"/>
  <c r="B292" i="1"/>
  <c r="J291" i="1"/>
  <c r="I291" i="1"/>
  <c r="C291" i="1"/>
  <c r="B291" i="1"/>
  <c r="J290" i="1"/>
  <c r="C290" i="1"/>
  <c r="B290" i="1"/>
  <c r="J289" i="1"/>
  <c r="I289" i="1"/>
  <c r="C289" i="1"/>
  <c r="B289" i="1"/>
  <c r="J288" i="1"/>
  <c r="I288" i="1"/>
  <c r="C288" i="1"/>
  <c r="B288" i="1"/>
  <c r="J287" i="1"/>
  <c r="I287" i="1"/>
  <c r="C287" i="1"/>
  <c r="B287" i="1"/>
  <c r="J286" i="1"/>
  <c r="I286" i="1"/>
  <c r="C286" i="1"/>
  <c r="B286" i="1"/>
  <c r="J285" i="1"/>
  <c r="I285" i="1"/>
  <c r="C285" i="1"/>
  <c r="B285" i="1"/>
  <c r="J284" i="1"/>
  <c r="I284" i="1"/>
  <c r="C284" i="1"/>
  <c r="B284" i="1"/>
  <c r="J283" i="1"/>
  <c r="I283" i="1"/>
  <c r="C283" i="1"/>
  <c r="B283" i="1"/>
  <c r="J282" i="1"/>
  <c r="I282" i="1"/>
  <c r="C282" i="1"/>
  <c r="B282" i="1"/>
  <c r="J281" i="1"/>
  <c r="I281" i="1"/>
  <c r="C281" i="1"/>
  <c r="B281" i="1"/>
  <c r="J280" i="1"/>
  <c r="I280" i="1"/>
  <c r="C280" i="1"/>
  <c r="B280" i="1"/>
  <c r="J279" i="1"/>
  <c r="I279" i="1"/>
  <c r="C279" i="1"/>
  <c r="B279" i="1"/>
  <c r="J278" i="1"/>
  <c r="C278" i="1"/>
  <c r="B278" i="1"/>
  <c r="J277" i="1"/>
  <c r="I277" i="1"/>
  <c r="C277" i="1"/>
  <c r="B277" i="1"/>
  <c r="J276" i="1"/>
  <c r="I276" i="1"/>
  <c r="C276" i="1"/>
  <c r="B276" i="1"/>
  <c r="J275" i="1"/>
  <c r="C275" i="1"/>
  <c r="B275" i="1"/>
  <c r="J274" i="1"/>
  <c r="I274" i="1"/>
  <c r="C274" i="1"/>
  <c r="B274" i="1"/>
  <c r="J273" i="1"/>
  <c r="I273" i="1"/>
  <c r="C273" i="1"/>
  <c r="B273" i="1"/>
  <c r="J272" i="1"/>
  <c r="I272" i="1"/>
  <c r="C272" i="1"/>
  <c r="B272" i="1"/>
  <c r="J271" i="1"/>
  <c r="C271" i="1"/>
  <c r="B271" i="1"/>
  <c r="J270" i="1"/>
  <c r="I270" i="1"/>
  <c r="C270" i="1"/>
  <c r="B270" i="1"/>
  <c r="J269" i="1"/>
  <c r="I269" i="1"/>
  <c r="C269" i="1"/>
  <c r="B269" i="1"/>
  <c r="J268" i="1"/>
  <c r="C268" i="1"/>
  <c r="B268" i="1"/>
  <c r="K267" i="1"/>
  <c r="J267" i="1"/>
  <c r="I267" i="1"/>
  <c r="C267" i="1"/>
  <c r="B267" i="1"/>
  <c r="J266" i="1"/>
  <c r="C266" i="1"/>
  <c r="B266" i="1"/>
  <c r="J265" i="1"/>
  <c r="C265" i="1"/>
  <c r="B265" i="1"/>
  <c r="J264" i="1"/>
  <c r="C264" i="1"/>
  <c r="B264" i="1"/>
  <c r="J263" i="1"/>
  <c r="C263" i="1"/>
  <c r="B263" i="1"/>
  <c r="J262" i="1"/>
  <c r="C262" i="1"/>
  <c r="B262" i="1"/>
  <c r="J261" i="1"/>
  <c r="C261" i="1"/>
  <c r="B261" i="1"/>
  <c r="J260" i="1"/>
  <c r="C260" i="1"/>
  <c r="B260" i="1"/>
  <c r="J259" i="1"/>
  <c r="C259" i="1"/>
  <c r="B259" i="1"/>
  <c r="O258" i="1"/>
  <c r="K258" i="1"/>
  <c r="J258" i="1"/>
  <c r="C258" i="1"/>
  <c r="B258" i="1"/>
  <c r="O257" i="1"/>
  <c r="J257" i="1"/>
  <c r="C257" i="1"/>
  <c r="B257" i="1"/>
  <c r="O256" i="1"/>
  <c r="J256" i="1"/>
  <c r="C256" i="1"/>
  <c r="B256" i="1"/>
  <c r="O255" i="1"/>
  <c r="J255" i="1"/>
  <c r="C255" i="1"/>
  <c r="B255" i="1"/>
  <c r="O254" i="1"/>
  <c r="J254" i="1"/>
  <c r="C254" i="1"/>
  <c r="B254" i="1"/>
  <c r="O253" i="1"/>
  <c r="J253" i="1"/>
  <c r="I253" i="1"/>
  <c r="C253" i="1"/>
  <c r="B253" i="1"/>
  <c r="O252" i="1"/>
  <c r="J252" i="1"/>
  <c r="C252" i="1"/>
  <c r="B252" i="1"/>
  <c r="O251" i="1"/>
  <c r="J251" i="1"/>
  <c r="C251" i="1"/>
  <c r="B251" i="1"/>
  <c r="O250" i="1"/>
  <c r="J250" i="1"/>
  <c r="C250" i="1"/>
  <c r="B250" i="1"/>
  <c r="O249" i="1"/>
  <c r="J249" i="1"/>
  <c r="C249" i="1"/>
  <c r="B249" i="1"/>
  <c r="O248" i="1"/>
  <c r="J248" i="1"/>
  <c r="C248" i="1"/>
  <c r="B248" i="1"/>
  <c r="O247" i="1"/>
  <c r="J247" i="1"/>
  <c r="C247" i="1"/>
  <c r="B247" i="1"/>
  <c r="O246" i="1"/>
  <c r="J246" i="1"/>
  <c r="C246" i="1"/>
  <c r="B246" i="1"/>
  <c r="O245" i="1"/>
  <c r="J245" i="1"/>
  <c r="C245" i="1"/>
  <c r="B245" i="1"/>
  <c r="O244" i="1"/>
  <c r="J244" i="1"/>
  <c r="C244" i="1"/>
  <c r="B244" i="1"/>
  <c r="O243" i="1"/>
  <c r="J243" i="1"/>
  <c r="I243" i="1"/>
  <c r="C243" i="1"/>
  <c r="B243" i="1"/>
  <c r="O242" i="1"/>
  <c r="K242" i="1"/>
  <c r="J242" i="1"/>
  <c r="C242" i="1"/>
  <c r="B242" i="1"/>
  <c r="O241" i="1"/>
  <c r="J241" i="1"/>
  <c r="C241" i="1"/>
  <c r="B241" i="1"/>
  <c r="O240" i="1"/>
  <c r="J240" i="1"/>
  <c r="C240" i="1"/>
  <c r="B240" i="1"/>
  <c r="O239" i="1"/>
  <c r="J239" i="1"/>
  <c r="C239" i="1"/>
  <c r="B239" i="1"/>
  <c r="O238" i="1"/>
  <c r="J238" i="1"/>
  <c r="C238" i="1"/>
  <c r="B238" i="1"/>
  <c r="O237" i="1"/>
  <c r="J237" i="1"/>
  <c r="I237" i="1"/>
  <c r="C237" i="1"/>
  <c r="B237" i="1"/>
  <c r="O236" i="1"/>
  <c r="J236" i="1"/>
  <c r="I236" i="1"/>
  <c r="C236" i="1"/>
  <c r="B236" i="1"/>
  <c r="O235" i="1"/>
  <c r="J235" i="1"/>
  <c r="I235" i="1"/>
  <c r="C235" i="1"/>
  <c r="B235" i="1"/>
  <c r="O234" i="1"/>
  <c r="J234" i="1"/>
  <c r="C234" i="1"/>
  <c r="B234" i="1"/>
  <c r="O233" i="1"/>
  <c r="J233" i="1"/>
  <c r="C233" i="1"/>
  <c r="B233" i="1"/>
  <c r="O232" i="1"/>
  <c r="J232" i="1"/>
  <c r="C232" i="1"/>
  <c r="B232" i="1"/>
  <c r="O231" i="1"/>
  <c r="J231" i="1"/>
  <c r="C231" i="1"/>
  <c r="B231" i="1"/>
  <c r="O230" i="1"/>
  <c r="J230" i="1"/>
  <c r="I230" i="1"/>
  <c r="C230" i="1"/>
  <c r="B230" i="1"/>
  <c r="O229" i="1"/>
  <c r="J229" i="1"/>
  <c r="C229" i="1"/>
  <c r="B229" i="1"/>
  <c r="O228" i="1"/>
  <c r="J228" i="1"/>
  <c r="C228" i="1"/>
  <c r="B228" i="1"/>
  <c r="O227" i="1"/>
  <c r="K227" i="1"/>
  <c r="J227" i="1"/>
  <c r="C227" i="1"/>
  <c r="B227" i="1"/>
  <c r="O226" i="1"/>
  <c r="J226" i="1"/>
  <c r="C226" i="1"/>
  <c r="B226" i="1"/>
  <c r="O225" i="1"/>
  <c r="J225" i="1"/>
  <c r="C225" i="1"/>
  <c r="B225" i="1"/>
  <c r="O224" i="1"/>
  <c r="J224" i="1"/>
  <c r="C224" i="1"/>
  <c r="B224" i="1"/>
  <c r="O223" i="1"/>
  <c r="J223" i="1"/>
  <c r="C223" i="1"/>
  <c r="B223" i="1"/>
  <c r="O222" i="1"/>
  <c r="J222" i="1"/>
  <c r="C222" i="1"/>
  <c r="B222" i="1"/>
  <c r="O221" i="1"/>
  <c r="J221" i="1"/>
  <c r="C221" i="1"/>
  <c r="B221" i="1"/>
  <c r="K220" i="1"/>
  <c r="J220" i="1"/>
  <c r="C220" i="1"/>
  <c r="B220" i="1"/>
  <c r="J219" i="1"/>
  <c r="I219" i="1"/>
  <c r="C219" i="1"/>
  <c r="B219" i="1"/>
  <c r="J218" i="1"/>
  <c r="C218" i="1"/>
  <c r="B218" i="1"/>
  <c r="J217" i="1"/>
  <c r="C217" i="1"/>
  <c r="B217" i="1"/>
  <c r="J216" i="1"/>
  <c r="C216" i="1"/>
  <c r="B216" i="1"/>
  <c r="J215" i="1"/>
  <c r="C215" i="1"/>
  <c r="B215" i="1"/>
  <c r="J214" i="1"/>
  <c r="I214" i="1"/>
  <c r="C214" i="1"/>
  <c r="B214" i="1"/>
  <c r="J213" i="1"/>
  <c r="C213" i="1"/>
  <c r="B213" i="1"/>
  <c r="J212" i="1"/>
  <c r="C212" i="1"/>
  <c r="B212" i="1"/>
  <c r="J211" i="1"/>
  <c r="C211" i="1"/>
  <c r="B211" i="1"/>
  <c r="J210" i="1"/>
  <c r="C210" i="1"/>
  <c r="B210" i="1"/>
  <c r="J209" i="1"/>
  <c r="I209" i="1"/>
  <c r="C209" i="1"/>
  <c r="B209" i="1"/>
  <c r="J208" i="1"/>
  <c r="C208" i="1"/>
  <c r="B208" i="1"/>
  <c r="J207" i="1"/>
  <c r="C207" i="1"/>
  <c r="B207" i="1"/>
  <c r="J206" i="1"/>
  <c r="C206" i="1"/>
  <c r="B206" i="1"/>
  <c r="J205" i="1"/>
  <c r="C205" i="1"/>
  <c r="B205" i="1"/>
  <c r="J204" i="1"/>
  <c r="I204" i="1"/>
  <c r="C204" i="1"/>
  <c r="B204" i="1"/>
  <c r="J203" i="1"/>
  <c r="C203" i="1"/>
  <c r="B203" i="1"/>
  <c r="J202" i="1"/>
  <c r="C202" i="1"/>
  <c r="B202" i="1"/>
  <c r="J201" i="1"/>
  <c r="C201" i="1"/>
  <c r="B201" i="1"/>
  <c r="J200" i="1"/>
  <c r="C200" i="1"/>
  <c r="B200" i="1"/>
  <c r="J199" i="1"/>
  <c r="C199" i="1"/>
  <c r="B199" i="1"/>
  <c r="J198" i="1"/>
  <c r="C198" i="1"/>
  <c r="B198" i="1"/>
  <c r="J197" i="1"/>
  <c r="C197" i="1"/>
  <c r="B197" i="1"/>
  <c r="J196" i="1"/>
  <c r="C196" i="1"/>
  <c r="B196" i="1"/>
  <c r="J195" i="1"/>
  <c r="C195" i="1"/>
  <c r="B195" i="1"/>
  <c r="O194" i="1"/>
  <c r="K194" i="1"/>
  <c r="J194" i="1"/>
  <c r="C194" i="1"/>
  <c r="B194" i="1"/>
  <c r="O193" i="1"/>
  <c r="J193" i="1"/>
  <c r="C193" i="1"/>
  <c r="B193" i="1"/>
  <c r="O192" i="1"/>
  <c r="J192" i="1"/>
  <c r="C192" i="1"/>
  <c r="B192" i="1"/>
  <c r="O191" i="1"/>
  <c r="J191" i="1"/>
  <c r="I191" i="1"/>
  <c r="C191" i="1"/>
  <c r="B191" i="1"/>
  <c r="O190" i="1"/>
  <c r="J190" i="1"/>
  <c r="C190" i="1"/>
  <c r="B190" i="1"/>
  <c r="O189" i="1"/>
  <c r="J189" i="1"/>
  <c r="I189" i="1"/>
  <c r="C189" i="1"/>
  <c r="B189" i="1"/>
  <c r="O188" i="1"/>
  <c r="J188" i="1"/>
  <c r="I188" i="1"/>
  <c r="C188" i="1"/>
  <c r="B188" i="1"/>
  <c r="O187" i="1"/>
  <c r="J187" i="1"/>
  <c r="I187" i="1"/>
  <c r="C187" i="1"/>
  <c r="B187" i="1"/>
  <c r="O186" i="1"/>
  <c r="J186" i="1"/>
  <c r="C186" i="1"/>
  <c r="B186" i="1"/>
  <c r="O185" i="1"/>
  <c r="J185" i="1"/>
  <c r="C185" i="1"/>
  <c r="B185" i="1"/>
  <c r="O184" i="1"/>
  <c r="J184" i="1"/>
  <c r="C184" i="1"/>
  <c r="B184" i="1"/>
  <c r="O183" i="1"/>
  <c r="J183" i="1"/>
  <c r="C183" i="1"/>
  <c r="B183" i="1"/>
  <c r="O182" i="1"/>
  <c r="J182" i="1"/>
  <c r="C182" i="1"/>
  <c r="B182" i="1"/>
  <c r="O181" i="1"/>
  <c r="J181" i="1"/>
  <c r="C181" i="1"/>
  <c r="B181" i="1"/>
  <c r="O180" i="1"/>
  <c r="J180" i="1"/>
  <c r="I180" i="1"/>
  <c r="C180" i="1"/>
  <c r="B180" i="1"/>
  <c r="O179" i="1"/>
  <c r="J179" i="1"/>
  <c r="I179" i="1"/>
  <c r="C179" i="1"/>
  <c r="B179" i="1"/>
  <c r="O178" i="1"/>
  <c r="J178" i="1"/>
  <c r="C178" i="1"/>
  <c r="B178" i="1"/>
  <c r="O177" i="1"/>
  <c r="J177" i="1"/>
  <c r="C177" i="1"/>
  <c r="B177" i="1"/>
  <c r="O176" i="1"/>
  <c r="J176" i="1"/>
  <c r="I176" i="1"/>
  <c r="C176" i="1"/>
  <c r="B176" i="1"/>
  <c r="O175" i="1"/>
  <c r="J175" i="1"/>
  <c r="I175" i="1"/>
  <c r="C175" i="1"/>
  <c r="B175" i="1"/>
  <c r="O174" i="1"/>
  <c r="J174" i="1"/>
  <c r="C174" i="1"/>
  <c r="B174" i="1"/>
  <c r="O173" i="1"/>
  <c r="J173" i="1"/>
  <c r="C173" i="1"/>
  <c r="B173" i="1"/>
  <c r="O172" i="1"/>
  <c r="J172" i="1"/>
  <c r="C172" i="1"/>
  <c r="B172" i="1"/>
  <c r="O171" i="1"/>
  <c r="J171" i="1"/>
  <c r="I171" i="1"/>
  <c r="C171" i="1"/>
  <c r="B171" i="1"/>
  <c r="O170" i="1"/>
  <c r="J170" i="1"/>
  <c r="I170" i="1"/>
  <c r="C170" i="1"/>
  <c r="B170" i="1"/>
  <c r="O169" i="1"/>
  <c r="J169" i="1"/>
  <c r="C169" i="1"/>
  <c r="B169" i="1"/>
  <c r="O168" i="1"/>
  <c r="J168" i="1"/>
  <c r="C168" i="1"/>
  <c r="B168" i="1"/>
  <c r="O167" i="1"/>
  <c r="J167" i="1"/>
  <c r="C167" i="1"/>
  <c r="B167" i="1"/>
  <c r="O166" i="1"/>
  <c r="J166" i="1"/>
  <c r="I166" i="1"/>
  <c r="C166" i="1"/>
  <c r="B166" i="1"/>
  <c r="O165" i="1"/>
  <c r="J165" i="1"/>
  <c r="I165" i="1"/>
  <c r="C165" i="1"/>
  <c r="B165" i="1"/>
  <c r="O164" i="1"/>
  <c r="J164" i="1"/>
  <c r="C164" i="1"/>
  <c r="B164" i="1"/>
  <c r="O163" i="1"/>
  <c r="J163" i="1"/>
  <c r="C163" i="1"/>
  <c r="B163" i="1"/>
  <c r="O162" i="1"/>
  <c r="K162" i="1"/>
  <c r="J162" i="1"/>
  <c r="I162" i="1"/>
  <c r="C162" i="1"/>
  <c r="B162" i="1"/>
  <c r="O161" i="1"/>
  <c r="J161" i="1"/>
  <c r="I161" i="1"/>
  <c r="C161" i="1"/>
  <c r="B161" i="1"/>
  <c r="O160" i="1"/>
  <c r="J160" i="1"/>
  <c r="C160" i="1"/>
  <c r="B160" i="1"/>
  <c r="O159" i="1"/>
  <c r="J159" i="1"/>
  <c r="C159" i="1"/>
  <c r="B159" i="1"/>
  <c r="O158" i="1"/>
  <c r="J158" i="1"/>
  <c r="I158" i="1"/>
  <c r="C158" i="1"/>
  <c r="B158" i="1"/>
  <c r="O157" i="1"/>
  <c r="J157" i="1"/>
  <c r="C157" i="1"/>
  <c r="B157" i="1"/>
  <c r="O156" i="1"/>
  <c r="J156" i="1"/>
  <c r="C156" i="1"/>
  <c r="B156" i="1"/>
  <c r="K155" i="1"/>
  <c r="J155" i="1"/>
  <c r="C155" i="1"/>
  <c r="B155" i="1"/>
  <c r="J154" i="1"/>
  <c r="C154" i="1"/>
  <c r="B154" i="1"/>
  <c r="J153" i="1"/>
  <c r="C153" i="1"/>
  <c r="B153" i="1"/>
  <c r="J152" i="1"/>
  <c r="C152" i="1"/>
  <c r="B152" i="1"/>
  <c r="J151" i="1"/>
  <c r="C151" i="1"/>
  <c r="B151" i="1"/>
  <c r="J150" i="1"/>
  <c r="C150" i="1"/>
  <c r="B150" i="1"/>
  <c r="J149" i="1"/>
  <c r="C149" i="1"/>
  <c r="B149" i="1"/>
  <c r="J148" i="1"/>
  <c r="C148" i="1"/>
  <c r="B148" i="1"/>
  <c r="J147" i="1"/>
  <c r="C147" i="1"/>
  <c r="B147" i="1"/>
  <c r="J146" i="1"/>
  <c r="C146" i="1"/>
  <c r="B146" i="1"/>
  <c r="J145" i="1"/>
  <c r="C145" i="1"/>
  <c r="B145" i="1"/>
  <c r="J144" i="1"/>
  <c r="C144" i="1"/>
  <c r="B144" i="1"/>
  <c r="J143" i="1"/>
  <c r="C143" i="1"/>
  <c r="B143" i="1"/>
  <c r="J142" i="1"/>
  <c r="C142" i="1"/>
  <c r="B142" i="1"/>
  <c r="J141" i="1"/>
  <c r="C141" i="1"/>
  <c r="B141" i="1"/>
  <c r="J140" i="1"/>
  <c r="C140" i="1"/>
  <c r="B140" i="1"/>
  <c r="K139" i="1"/>
  <c r="J139" i="1"/>
  <c r="C139" i="1"/>
  <c r="B139" i="1"/>
  <c r="J138" i="1"/>
  <c r="C138" i="1"/>
  <c r="B138" i="1"/>
  <c r="J137" i="1"/>
  <c r="C137" i="1"/>
  <c r="B137" i="1"/>
  <c r="J136" i="1"/>
  <c r="C136" i="1"/>
  <c r="B136" i="1"/>
  <c r="J135" i="1"/>
  <c r="C135" i="1"/>
  <c r="B135" i="1"/>
  <c r="J134" i="1"/>
  <c r="C134" i="1"/>
  <c r="B134" i="1"/>
  <c r="K133" i="1"/>
  <c r="J133" i="1"/>
  <c r="C133" i="1"/>
  <c r="B133" i="1"/>
  <c r="J132" i="1"/>
  <c r="C132" i="1"/>
  <c r="B132" i="1"/>
  <c r="J131" i="1"/>
  <c r="I131" i="1"/>
  <c r="C131" i="1"/>
  <c r="B131" i="1"/>
  <c r="J130" i="1"/>
  <c r="C130" i="1"/>
  <c r="B130" i="1"/>
  <c r="J129" i="1"/>
  <c r="C129" i="1"/>
  <c r="B129" i="1"/>
  <c r="J128" i="1"/>
  <c r="C128" i="1"/>
  <c r="B128" i="1"/>
  <c r="J127" i="1"/>
  <c r="C127" i="1"/>
  <c r="B127" i="1"/>
  <c r="J126" i="1"/>
  <c r="C126" i="1"/>
  <c r="B126" i="1"/>
  <c r="K125" i="1"/>
  <c r="J125" i="1"/>
  <c r="I125" i="1"/>
  <c r="C125" i="1"/>
  <c r="B125" i="1"/>
  <c r="J124" i="1"/>
  <c r="I124" i="1"/>
  <c r="C124" i="1"/>
  <c r="B124" i="1"/>
  <c r="J123" i="1"/>
  <c r="C123" i="1"/>
  <c r="B123" i="1"/>
  <c r="J122" i="1"/>
  <c r="C122" i="1"/>
  <c r="B122" i="1"/>
  <c r="J121" i="1"/>
  <c r="I121" i="1"/>
  <c r="C121" i="1"/>
  <c r="B121" i="1"/>
  <c r="J120" i="1"/>
  <c r="C120" i="1"/>
  <c r="B120" i="1"/>
  <c r="J119" i="1"/>
  <c r="C119" i="1"/>
  <c r="B119" i="1"/>
  <c r="J118" i="1"/>
  <c r="C118" i="1"/>
  <c r="B118" i="1"/>
  <c r="J117" i="1"/>
  <c r="C117" i="1"/>
  <c r="B117" i="1"/>
  <c r="K116" i="1"/>
  <c r="J116" i="1"/>
  <c r="C116" i="1"/>
  <c r="B116" i="1"/>
  <c r="J115" i="1"/>
  <c r="C115" i="1"/>
  <c r="B115" i="1"/>
  <c r="J114" i="1"/>
  <c r="C114" i="1"/>
  <c r="B114" i="1"/>
  <c r="J113" i="1"/>
  <c r="C113" i="1"/>
  <c r="B113" i="1"/>
  <c r="J112" i="1"/>
  <c r="C112" i="1"/>
  <c r="B112" i="1"/>
  <c r="J111" i="1"/>
  <c r="C111" i="1"/>
  <c r="B111" i="1"/>
  <c r="K110" i="1"/>
  <c r="J110" i="1"/>
  <c r="C110" i="1"/>
  <c r="B110" i="1"/>
  <c r="J109" i="1"/>
  <c r="C109" i="1"/>
  <c r="B109" i="1"/>
  <c r="J108" i="1"/>
  <c r="C108" i="1"/>
  <c r="B108" i="1"/>
  <c r="K107" i="1"/>
  <c r="J107" i="1"/>
  <c r="I107" i="1"/>
  <c r="C107" i="1"/>
  <c r="B107" i="1"/>
  <c r="J106" i="1"/>
  <c r="C106" i="1"/>
  <c r="B106" i="1"/>
  <c r="J105" i="1"/>
  <c r="C105" i="1"/>
  <c r="B105" i="1"/>
  <c r="J104" i="1"/>
  <c r="I104" i="1"/>
  <c r="C104" i="1"/>
  <c r="B104" i="1"/>
  <c r="J103" i="1"/>
  <c r="C103" i="1"/>
  <c r="B103" i="1"/>
  <c r="J102" i="1"/>
  <c r="C102" i="1"/>
  <c r="B102" i="1"/>
  <c r="J101" i="1"/>
  <c r="C101" i="1"/>
  <c r="B101" i="1"/>
  <c r="J100" i="1"/>
  <c r="C100" i="1"/>
  <c r="B100" i="1"/>
  <c r="J99" i="1"/>
  <c r="C99" i="1"/>
  <c r="B99" i="1"/>
  <c r="J98" i="1"/>
  <c r="C98" i="1"/>
  <c r="B98" i="1"/>
  <c r="J97" i="1"/>
  <c r="C97" i="1"/>
  <c r="B97" i="1"/>
  <c r="J96" i="1"/>
  <c r="C96" i="1"/>
  <c r="B96" i="1"/>
  <c r="O95" i="1"/>
  <c r="K95" i="1"/>
  <c r="J95" i="1"/>
  <c r="C95" i="1"/>
  <c r="B95" i="1"/>
  <c r="O94" i="1"/>
  <c r="K94" i="1"/>
  <c r="J94" i="1"/>
  <c r="C94" i="1"/>
  <c r="B94" i="1"/>
  <c r="O93" i="1"/>
  <c r="K93" i="1"/>
  <c r="J93" i="1"/>
  <c r="I93" i="1"/>
  <c r="C93" i="1"/>
  <c r="B93" i="1"/>
  <c r="O92" i="1"/>
  <c r="J92" i="1"/>
  <c r="C92" i="1"/>
  <c r="B92" i="1"/>
  <c r="O91" i="1"/>
  <c r="J91" i="1"/>
  <c r="C91" i="1"/>
  <c r="B91" i="1"/>
  <c r="O90" i="1"/>
  <c r="K90" i="1"/>
  <c r="J90" i="1"/>
  <c r="C90" i="1"/>
  <c r="B90" i="1"/>
  <c r="O89" i="1"/>
  <c r="J89" i="1"/>
  <c r="I89" i="1"/>
  <c r="C89" i="1"/>
  <c r="B89" i="1"/>
  <c r="O88" i="1"/>
  <c r="J88" i="1"/>
  <c r="C88" i="1"/>
  <c r="B88" i="1"/>
  <c r="O87" i="1"/>
  <c r="J87" i="1"/>
  <c r="C87" i="1"/>
  <c r="B87" i="1"/>
  <c r="O86" i="1"/>
  <c r="J86" i="1"/>
  <c r="I86" i="1"/>
  <c r="C86" i="1"/>
  <c r="B86" i="1"/>
  <c r="O85" i="1"/>
  <c r="K85" i="1"/>
  <c r="J85" i="1"/>
  <c r="C85" i="1"/>
  <c r="B85" i="1"/>
  <c r="O84" i="1"/>
  <c r="J84" i="1"/>
  <c r="I84" i="1"/>
  <c r="C84" i="1"/>
  <c r="B84" i="1"/>
  <c r="O83" i="1"/>
  <c r="K83" i="1"/>
  <c r="J83" i="1"/>
  <c r="I83" i="1"/>
  <c r="C83" i="1"/>
  <c r="B83" i="1"/>
  <c r="O82" i="1"/>
  <c r="J82" i="1"/>
  <c r="C82" i="1"/>
  <c r="B82" i="1"/>
  <c r="O81" i="1"/>
  <c r="J81" i="1"/>
  <c r="I81" i="1"/>
  <c r="C81" i="1"/>
  <c r="B81" i="1"/>
  <c r="O80" i="1"/>
  <c r="J80" i="1"/>
  <c r="C80" i="1"/>
  <c r="B80" i="1"/>
  <c r="O79" i="1"/>
  <c r="J79" i="1"/>
  <c r="C79" i="1"/>
  <c r="B79" i="1"/>
  <c r="O78" i="1"/>
  <c r="J78" i="1"/>
  <c r="I78" i="1"/>
  <c r="C78" i="1"/>
  <c r="B78" i="1"/>
  <c r="O77" i="1"/>
  <c r="K77" i="1"/>
  <c r="J77" i="1"/>
  <c r="C77" i="1"/>
  <c r="B77" i="1"/>
  <c r="O76" i="1"/>
  <c r="J76" i="1"/>
  <c r="C76" i="1"/>
  <c r="B76" i="1"/>
  <c r="O75" i="1"/>
  <c r="J75" i="1"/>
  <c r="C75" i="1"/>
  <c r="B75" i="1"/>
  <c r="O74" i="1"/>
  <c r="J74" i="1"/>
  <c r="C74" i="1"/>
  <c r="B74" i="1"/>
  <c r="O73" i="1"/>
  <c r="J73" i="1"/>
  <c r="C73" i="1"/>
  <c r="B73" i="1"/>
  <c r="O72" i="1"/>
  <c r="J72" i="1"/>
  <c r="C72" i="1"/>
  <c r="B72" i="1"/>
  <c r="O71" i="1"/>
  <c r="J71" i="1"/>
  <c r="C71" i="1"/>
  <c r="B71" i="1"/>
  <c r="K70" i="1"/>
  <c r="J70" i="1"/>
  <c r="C70" i="1"/>
  <c r="B70" i="1"/>
  <c r="J69" i="1"/>
  <c r="C69" i="1"/>
  <c r="B69" i="1"/>
  <c r="J68" i="1"/>
  <c r="C68" i="1"/>
  <c r="B68" i="1"/>
  <c r="K67" i="1"/>
  <c r="J67" i="1"/>
  <c r="C67" i="1"/>
  <c r="B67" i="1"/>
  <c r="J66" i="1"/>
  <c r="C66" i="1"/>
  <c r="B66" i="1"/>
  <c r="J65" i="1"/>
  <c r="C65" i="1"/>
  <c r="B65" i="1"/>
  <c r="J64" i="1"/>
  <c r="C64" i="1"/>
  <c r="B64" i="1"/>
  <c r="J63" i="1"/>
  <c r="C63" i="1"/>
  <c r="B63" i="1"/>
  <c r="J62" i="1"/>
  <c r="I62" i="1"/>
  <c r="C62" i="1"/>
  <c r="B62" i="1"/>
  <c r="J61" i="1"/>
  <c r="C61" i="1"/>
  <c r="B61" i="1"/>
  <c r="J60" i="1"/>
  <c r="C60" i="1"/>
  <c r="B60" i="1"/>
  <c r="J59" i="1"/>
  <c r="C59" i="1"/>
  <c r="B59" i="1"/>
  <c r="J58" i="1"/>
  <c r="C58" i="1"/>
  <c r="B58" i="1"/>
  <c r="J57" i="1"/>
  <c r="C57" i="1"/>
  <c r="B57" i="1"/>
  <c r="J56" i="1"/>
  <c r="C56" i="1"/>
  <c r="B56" i="1"/>
  <c r="J55" i="1"/>
  <c r="C55" i="1"/>
  <c r="B55" i="1"/>
  <c r="J54" i="1"/>
  <c r="C54" i="1"/>
  <c r="B54" i="1"/>
  <c r="J53" i="1"/>
  <c r="C53" i="1"/>
  <c r="B53" i="1"/>
  <c r="J52" i="1"/>
  <c r="I52" i="1"/>
  <c r="C52" i="1"/>
  <c r="B52" i="1"/>
  <c r="J51" i="1"/>
  <c r="C51" i="1"/>
  <c r="B51" i="1"/>
  <c r="J50" i="1"/>
  <c r="I50" i="1"/>
  <c r="C50" i="1"/>
  <c r="B50" i="1"/>
  <c r="J49" i="1"/>
  <c r="I49" i="1"/>
  <c r="C49" i="1"/>
  <c r="B49" i="1"/>
  <c r="J48" i="1"/>
  <c r="C48" i="1"/>
  <c r="B48" i="1"/>
  <c r="J47" i="1"/>
  <c r="I47" i="1"/>
  <c r="C47" i="1"/>
  <c r="B47" i="1"/>
  <c r="J46" i="1"/>
  <c r="I46" i="1"/>
  <c r="C46" i="1"/>
  <c r="B46" i="1"/>
  <c r="J45" i="1"/>
  <c r="I45" i="1"/>
  <c r="C45" i="1"/>
  <c r="B45" i="1"/>
  <c r="J44" i="1"/>
  <c r="C44" i="1"/>
  <c r="B44" i="1"/>
  <c r="J43" i="1"/>
  <c r="I43" i="1"/>
  <c r="C43" i="1"/>
  <c r="B43" i="1"/>
  <c r="J42" i="1"/>
  <c r="C42" i="1"/>
  <c r="B42" i="1"/>
  <c r="J41" i="1"/>
  <c r="C41" i="1"/>
  <c r="B41" i="1"/>
  <c r="J40" i="1"/>
  <c r="I40" i="1"/>
  <c r="C40" i="1"/>
  <c r="B40" i="1"/>
  <c r="J39" i="1"/>
  <c r="I39" i="1"/>
  <c r="C39" i="1"/>
  <c r="B39" i="1"/>
  <c r="J38" i="1"/>
  <c r="I38" i="1"/>
  <c r="C38" i="1"/>
  <c r="B38" i="1"/>
  <c r="J37" i="1"/>
  <c r="C37" i="1"/>
  <c r="B37" i="1"/>
  <c r="J36" i="1"/>
  <c r="C36" i="1"/>
  <c r="B36" i="1"/>
  <c r="J35" i="1"/>
  <c r="C35" i="1"/>
  <c r="B35" i="1"/>
  <c r="J34" i="1"/>
  <c r="C34" i="1"/>
  <c r="B34" i="1"/>
  <c r="J33" i="1"/>
  <c r="C33" i="1"/>
  <c r="B33" i="1"/>
  <c r="J32" i="1"/>
  <c r="C32" i="1"/>
  <c r="B32" i="1"/>
  <c r="J31" i="1"/>
  <c r="I31" i="1"/>
  <c r="C31" i="1"/>
  <c r="B31" i="1"/>
  <c r="J30" i="1"/>
  <c r="C30" i="1"/>
  <c r="B30" i="1"/>
  <c r="J29" i="1"/>
  <c r="C29" i="1"/>
  <c r="B29" i="1"/>
  <c r="J28" i="1"/>
  <c r="C28" i="1"/>
  <c r="B28" i="1"/>
  <c r="J27" i="1"/>
  <c r="C27" i="1"/>
  <c r="B27" i="1"/>
  <c r="J26" i="1"/>
  <c r="C26" i="1"/>
  <c r="B26" i="1"/>
  <c r="J25" i="1"/>
  <c r="I25" i="1"/>
  <c r="C25" i="1"/>
  <c r="B25" i="1"/>
  <c r="J24" i="1"/>
  <c r="C24" i="1"/>
  <c r="B24" i="1"/>
  <c r="K23" i="1"/>
  <c r="J23" i="1"/>
  <c r="C23" i="1"/>
  <c r="B23" i="1"/>
  <c r="J22" i="1"/>
  <c r="C22" i="1"/>
  <c r="B22" i="1"/>
  <c r="O21" i="1"/>
  <c r="K21" i="1"/>
  <c r="J21" i="1"/>
  <c r="C21" i="1"/>
  <c r="B21" i="1"/>
  <c r="O20" i="1"/>
  <c r="J20" i="1"/>
  <c r="C20" i="1"/>
  <c r="B20" i="1"/>
  <c r="O19" i="1"/>
  <c r="J19" i="1"/>
  <c r="C19" i="1"/>
  <c r="B19" i="1"/>
  <c r="O18" i="1"/>
  <c r="J18" i="1"/>
  <c r="C18" i="1"/>
  <c r="B18" i="1"/>
  <c r="O17" i="1"/>
  <c r="K17" i="1"/>
  <c r="J17" i="1"/>
  <c r="C17" i="1"/>
  <c r="B17" i="1"/>
  <c r="O16" i="1"/>
  <c r="J16" i="1"/>
  <c r="C16" i="1"/>
  <c r="B16" i="1"/>
  <c r="O15" i="1"/>
  <c r="J15" i="1"/>
  <c r="C15" i="1"/>
  <c r="B15" i="1"/>
  <c r="O14" i="1"/>
  <c r="J14" i="1"/>
  <c r="C14" i="1"/>
  <c r="B14" i="1"/>
  <c r="O13" i="1"/>
  <c r="J13" i="1"/>
  <c r="C13" i="1"/>
  <c r="B13" i="1"/>
  <c r="O12" i="1"/>
  <c r="J12" i="1"/>
  <c r="C12" i="1"/>
  <c r="B12" i="1"/>
  <c r="O11" i="1"/>
  <c r="J11" i="1"/>
  <c r="C11" i="1"/>
  <c r="B11" i="1"/>
  <c r="O10" i="1"/>
  <c r="K10" i="1"/>
  <c r="J10" i="1"/>
  <c r="C10" i="1"/>
  <c r="B10" i="1"/>
  <c r="O9" i="1"/>
  <c r="J9" i="1"/>
  <c r="C9" i="1"/>
  <c r="B9" i="1"/>
  <c r="O8" i="1"/>
  <c r="K8" i="1"/>
  <c r="J8" i="1"/>
  <c r="I8" i="1"/>
  <c r="C8" i="1"/>
  <c r="B8" i="1"/>
  <c r="O7" i="1"/>
  <c r="J7" i="1"/>
  <c r="I7" i="1"/>
  <c r="C7" i="1"/>
  <c r="B7" i="1"/>
  <c r="O6" i="1"/>
  <c r="J6" i="1"/>
  <c r="C6" i="1"/>
  <c r="B6" i="1"/>
  <c r="K5" i="1"/>
  <c r="J5" i="1"/>
  <c r="C5" i="1"/>
  <c r="B5" i="1"/>
  <c r="O4" i="1"/>
  <c r="K4" i="1"/>
  <c r="J4" i="1"/>
  <c r="C4" i="1"/>
  <c r="B4" i="1"/>
  <c r="O3" i="1"/>
  <c r="K3" i="1"/>
  <c r="J3" i="1"/>
  <c r="C3" i="1"/>
  <c r="B3" i="1"/>
  <c r="K2" i="1"/>
  <c r="J2" i="1"/>
  <c r="C2" i="1"/>
  <c r="B2" i="1"/>
  <c r="M35" i="2" l="1"/>
  <c r="M67" i="2"/>
  <c r="M120" i="2"/>
  <c r="A1718" i="14"/>
  <c r="A1717" i="14"/>
  <c r="L1717" i="14"/>
  <c r="A1716" i="14"/>
  <c r="A1714" i="14"/>
  <c r="A1715" i="14"/>
  <c r="A1713" i="14"/>
  <c r="M164" i="2"/>
  <c r="M349" i="2"/>
  <c r="M356" i="2"/>
  <c r="M248" i="2"/>
  <c r="L338" i="2"/>
  <c r="M240" i="2"/>
  <c r="M233" i="2"/>
  <c r="A1712" i="14"/>
  <c r="A1700" i="14"/>
  <c r="A1703" i="14"/>
  <c r="A1710" i="14"/>
  <c r="A1706" i="14"/>
  <c r="A1702" i="14"/>
  <c r="A1698" i="14"/>
  <c r="A1708" i="14"/>
  <c r="A1704" i="14"/>
  <c r="A1711" i="14"/>
  <c r="A1707" i="14"/>
  <c r="A1699" i="14"/>
  <c r="A1709" i="14"/>
  <c r="A1705" i="14"/>
  <c r="A1701" i="14"/>
  <c r="A1697" i="14"/>
  <c r="M25" i="2"/>
  <c r="L35" i="2"/>
  <c r="M76" i="2"/>
  <c r="M190" i="2"/>
  <c r="M115" i="2"/>
  <c r="L117" i="2"/>
  <c r="L184" i="2"/>
  <c r="M68" i="2"/>
  <c r="M194" i="2"/>
  <c r="M212" i="2"/>
  <c r="M253" i="2"/>
  <c r="A1694" i="14"/>
  <c r="A1690" i="14"/>
  <c r="A1686" i="14"/>
  <c r="A1693" i="14"/>
  <c r="A1689" i="14"/>
  <c r="A1685" i="14"/>
  <c r="A1696" i="14"/>
  <c r="A1692" i="14"/>
  <c r="A1688" i="14"/>
  <c r="A1684" i="14"/>
  <c r="A1695" i="14"/>
  <c r="A1691" i="14"/>
  <c r="A1687" i="14"/>
  <c r="A1683" i="14"/>
  <c r="M1683" i="14"/>
  <c r="M2" i="2"/>
  <c r="M6" i="2"/>
  <c r="M30" i="2"/>
  <c r="M45" i="2"/>
  <c r="M124" i="2"/>
  <c r="M186" i="2"/>
  <c r="M187" i="2"/>
  <c r="M56" i="2"/>
  <c r="L68" i="2"/>
  <c r="M167" i="2"/>
  <c r="M196" i="2"/>
  <c r="L212" i="2"/>
  <c r="A1680" i="14"/>
  <c r="A1679" i="14"/>
  <c r="A1682" i="14"/>
  <c r="A1678" i="14"/>
  <c r="A1681" i="14"/>
  <c r="A1677" i="14"/>
  <c r="A20" i="14"/>
  <c r="A26" i="14"/>
  <c r="A32" i="14"/>
  <c r="A47" i="14"/>
  <c r="A67" i="14"/>
  <c r="A73" i="14"/>
  <c r="A12" i="14"/>
  <c r="A37" i="14"/>
  <c r="A65" i="14"/>
  <c r="A71" i="14"/>
  <c r="A5" i="14"/>
  <c r="A17" i="14"/>
  <c r="A23" i="14"/>
  <c r="A29" i="14"/>
  <c r="A35" i="14"/>
  <c r="A54" i="14"/>
  <c r="A3" i="14"/>
  <c r="A9" i="14"/>
  <c r="A15" i="14"/>
  <c r="A62" i="14"/>
  <c r="B14" i="2"/>
  <c r="A25" i="2"/>
  <c r="A58" i="2"/>
  <c r="A59" i="2"/>
  <c r="A82" i="2"/>
  <c r="A101" i="2"/>
  <c r="A103" i="2"/>
  <c r="A121" i="2"/>
  <c r="A168" i="2"/>
  <c r="A196" i="2"/>
  <c r="A224" i="2"/>
  <c r="A265" i="2"/>
  <c r="A270" i="2"/>
  <c r="A286" i="2"/>
  <c r="A291" i="2"/>
  <c r="A334" i="2"/>
  <c r="A335" i="2"/>
  <c r="A336" i="2"/>
  <c r="A337" i="2"/>
  <c r="A360" i="2"/>
  <c r="A400" i="2"/>
  <c r="A403" i="2"/>
  <c r="A2" i="2"/>
  <c r="B3" i="2"/>
  <c r="B4" i="2"/>
  <c r="A9" i="2"/>
  <c r="A12" i="2"/>
  <c r="B15" i="2"/>
  <c r="B19" i="2"/>
  <c r="B21" i="2"/>
  <c r="A29" i="2"/>
  <c r="A51" i="2"/>
  <c r="A52" i="2"/>
  <c r="A69" i="2"/>
  <c r="A75" i="2"/>
  <c r="A76" i="2"/>
  <c r="A114" i="2"/>
  <c r="A130" i="2"/>
  <c r="A131" i="2"/>
  <c r="A132" i="2"/>
  <c r="A146" i="2"/>
  <c r="A147" i="2"/>
  <c r="A148" i="2"/>
  <c r="A149" i="2"/>
  <c r="A150" i="2"/>
  <c r="A151" i="2"/>
  <c r="A188" i="2"/>
  <c r="A228" i="2"/>
  <c r="A233" i="2"/>
  <c r="A249" i="2"/>
  <c r="A254" i="2"/>
  <c r="A259" i="2"/>
  <c r="A274" i="2"/>
  <c r="A275" i="2"/>
  <c r="A295" i="2"/>
  <c r="A397" i="2"/>
  <c r="A396" i="2"/>
  <c r="A359" i="2"/>
  <c r="A350" i="2"/>
  <c r="A339" i="2"/>
  <c r="A333" i="2"/>
  <c r="A328" i="2"/>
  <c r="A327" i="2"/>
  <c r="A326" i="2"/>
  <c r="A325" i="2"/>
  <c r="A306" i="2"/>
  <c r="A305" i="2"/>
  <c r="A299" i="2"/>
  <c r="A298" i="2"/>
  <c r="A294" i="2"/>
  <c r="A290" i="2"/>
  <c r="A289" i="2"/>
  <c r="A285" i="2"/>
  <c r="A281" i="2"/>
  <c r="A273" i="2"/>
  <c r="A269" i="2"/>
  <c r="A264" i="2"/>
  <c r="A263" i="2"/>
  <c r="A258" i="2"/>
  <c r="A257" i="2"/>
  <c r="A253" i="2"/>
  <c r="A244" i="2"/>
  <c r="A236" i="2"/>
  <c r="A227" i="2"/>
  <c r="A223" i="2"/>
  <c r="A219" i="2"/>
  <c r="A218" i="2"/>
  <c r="A214" i="2"/>
  <c r="A213" i="2"/>
  <c r="A210" i="2"/>
  <c r="A204" i="2"/>
  <c r="A198" i="2"/>
  <c r="A195" i="2"/>
  <c r="A187" i="2"/>
  <c r="A184" i="2"/>
  <c r="A183" i="2"/>
  <c r="A182" i="2"/>
  <c r="A173" i="2"/>
  <c r="A172" i="2"/>
  <c r="A161" i="2"/>
  <c r="A160" i="2"/>
  <c r="A159" i="2"/>
  <c r="A154" i="2"/>
  <c r="A145" i="2"/>
  <c r="A138" i="2"/>
  <c r="A137" i="2"/>
  <c r="A129" i="2"/>
  <c r="A125" i="2"/>
  <c r="A120" i="2"/>
  <c r="A119" i="2"/>
  <c r="A116" i="2"/>
  <c r="A113" i="2"/>
  <c r="A108" i="2"/>
  <c r="A99" i="2"/>
  <c r="A98" i="2"/>
  <c r="A97" i="2"/>
  <c r="A96" i="2"/>
  <c r="A95" i="2"/>
  <c r="A86" i="2"/>
  <c r="A85" i="2"/>
  <c r="A81" i="2"/>
  <c r="A80" i="2"/>
  <c r="A74" i="2"/>
  <c r="A73" i="2"/>
  <c r="A65" i="2"/>
  <c r="A64" i="2"/>
  <c r="A63" i="2"/>
  <c r="A62" i="2"/>
  <c r="A57" i="2"/>
  <c r="A50" i="2"/>
  <c r="A49" i="2"/>
  <c r="A44" i="2"/>
  <c r="A41" i="2"/>
  <c r="A30" i="2"/>
  <c r="A28" i="2"/>
  <c r="A23" i="2"/>
  <c r="A21" i="2"/>
  <c r="B20" i="2"/>
  <c r="B18" i="2"/>
  <c r="B16" i="2"/>
  <c r="A14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58" i="2"/>
  <c r="A357" i="2"/>
  <c r="A332" i="2"/>
  <c r="A331" i="2"/>
  <c r="A324" i="2"/>
  <c r="A323" i="2"/>
  <c r="A322" i="2"/>
  <c r="A321" i="2"/>
  <c r="A320" i="2"/>
  <c r="A319" i="2"/>
  <c r="A304" i="2"/>
  <c r="A297" i="2"/>
  <c r="A293" i="2"/>
  <c r="A288" i="2"/>
  <c r="A284" i="2"/>
  <c r="A280" i="2"/>
  <c r="A279" i="2"/>
  <c r="A272" i="2"/>
  <c r="A268" i="2"/>
  <c r="A262" i="2"/>
  <c r="A256" i="2"/>
  <c r="A252" i="2"/>
  <c r="A248" i="2"/>
  <c r="A243" i="2"/>
  <c r="A240" i="2"/>
  <c r="A239" i="2"/>
  <c r="A235" i="2"/>
  <c r="A231" i="2"/>
  <c r="A230" i="2"/>
  <c r="A226" i="2"/>
  <c r="A222" i="2"/>
  <c r="A217" i="2"/>
  <c r="A209" i="2"/>
  <c r="A208" i="2"/>
  <c r="A207" i="2"/>
  <c r="A203" i="2"/>
  <c r="A197" i="2"/>
  <c r="A190" i="2"/>
  <c r="A181" i="2"/>
  <c r="A180" i="2"/>
  <c r="A179" i="2"/>
  <c r="A178" i="2"/>
  <c r="A171" i="2"/>
  <c r="A170" i="2"/>
  <c r="A167" i="2"/>
  <c r="A166" i="2"/>
  <c r="A164" i="2"/>
  <c r="A158" i="2"/>
  <c r="A157" i="2"/>
  <c r="A153" i="2"/>
  <c r="A144" i="2"/>
  <c r="A143" i="2"/>
  <c r="A142" i="2"/>
  <c r="A141" i="2"/>
  <c r="A136" i="2"/>
  <c r="A135" i="2"/>
  <c r="A134" i="2"/>
  <c r="A128" i="2"/>
  <c r="A118" i="2"/>
  <c r="A112" i="2"/>
  <c r="A107" i="2"/>
  <c r="A94" i="2"/>
  <c r="A84" i="2"/>
  <c r="A79" i="2"/>
  <c r="A72" i="2"/>
  <c r="A68" i="2"/>
  <c r="A61" i="2"/>
  <c r="A56" i="2"/>
  <c r="A48" i="2"/>
  <c r="A47" i="2"/>
  <c r="A46" i="2"/>
  <c r="A40" i="2"/>
  <c r="A35" i="2"/>
  <c r="B29" i="2"/>
  <c r="B27" i="2"/>
  <c r="B25" i="2"/>
  <c r="B22" i="2"/>
  <c r="A20" i="2"/>
  <c r="A18" i="2"/>
  <c r="A16" i="2"/>
  <c r="B13" i="2"/>
  <c r="B11" i="2"/>
  <c r="B9" i="2"/>
  <c r="B7" i="2"/>
  <c r="A6" i="2"/>
  <c r="A4" i="2"/>
  <c r="A411" i="2"/>
  <c r="A410" i="2"/>
  <c r="A409" i="2"/>
  <c r="A408" i="2"/>
  <c r="A407" i="2"/>
  <c r="A406" i="2"/>
  <c r="A405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56" i="2"/>
  <c r="A355" i="2"/>
  <c r="A354" i="2"/>
  <c r="A353" i="2"/>
  <c r="A352" i="2"/>
  <c r="A349" i="2"/>
  <c r="A348" i="2"/>
  <c r="A338" i="2"/>
  <c r="A330" i="2"/>
  <c r="A318" i="2"/>
  <c r="A303" i="2"/>
  <c r="A302" i="2"/>
  <c r="A301" i="2"/>
  <c r="A296" i="2"/>
  <c r="A292" i="2"/>
  <c r="A287" i="2"/>
  <c r="A283" i="2"/>
  <c r="A278" i="2"/>
  <c r="A277" i="2"/>
  <c r="A276" i="2"/>
  <c r="A271" i="2"/>
  <c r="A267" i="2"/>
  <c r="A266" i="2"/>
  <c r="A261" i="2"/>
  <c r="A260" i="2"/>
  <c r="A255" i="2"/>
  <c r="A251" i="2"/>
  <c r="A250" i="2"/>
  <c r="A247" i="2"/>
  <c r="A246" i="2"/>
  <c r="A242" i="2"/>
  <c r="A238" i="2"/>
  <c r="A234" i="2"/>
  <c r="A232" i="2"/>
  <c r="A229" i="2"/>
  <c r="A225" i="2"/>
  <c r="A221" i="2"/>
  <c r="A216" i="2"/>
  <c r="A212" i="2"/>
  <c r="A206" i="2"/>
  <c r="A202" i="2"/>
  <c r="A194" i="2"/>
  <c r="A192" i="2"/>
  <c r="A189" i="2"/>
  <c r="A186" i="2"/>
  <c r="A177" i="2"/>
  <c r="A176" i="2"/>
  <c r="A175" i="2"/>
  <c r="A169" i="2"/>
  <c r="A163" i="2"/>
  <c r="A156" i="2"/>
  <c r="A152" i="2"/>
  <c r="A140" i="2"/>
  <c r="A133" i="2"/>
  <c r="A127" i="2"/>
  <c r="A124" i="2"/>
  <c r="A123" i="2"/>
  <c r="A122" i="2"/>
  <c r="A115" i="2"/>
  <c r="A111" i="2"/>
  <c r="A106" i="2"/>
  <c r="A105" i="2"/>
  <c r="A93" i="2"/>
  <c r="A92" i="2"/>
  <c r="A83" i="2"/>
  <c r="A78" i="2"/>
  <c r="A77" i="2"/>
  <c r="A71" i="2"/>
  <c r="A70" i="2"/>
  <c r="A60" i="2"/>
  <c r="A55" i="2"/>
  <c r="A54" i="2"/>
  <c r="A53" i="2"/>
  <c r="A43" i="2"/>
  <c r="A39" i="2"/>
  <c r="A38" i="2"/>
  <c r="A34" i="2"/>
  <c r="A33" i="2"/>
  <c r="A11" i="2"/>
  <c r="A15" i="2"/>
  <c r="B28" i="2"/>
  <c r="A87" i="2"/>
  <c r="A88" i="2"/>
  <c r="A89" i="2"/>
  <c r="A90" i="2"/>
  <c r="A91" i="2"/>
  <c r="A110" i="2"/>
  <c r="A162" i="2"/>
  <c r="A329" i="2"/>
  <c r="A361" i="2"/>
  <c r="A399" i="2"/>
  <c r="A402" i="2"/>
  <c r="B2" i="2"/>
  <c r="A5" i="2"/>
  <c r="A7" i="2"/>
  <c r="A10" i="2"/>
  <c r="B12" i="2"/>
  <c r="A17" i="2"/>
  <c r="A22" i="2"/>
  <c r="A26" i="2"/>
  <c r="A31" i="2"/>
  <c r="A32" i="2"/>
  <c r="A36" i="2"/>
  <c r="A37" i="2"/>
  <c r="A42" i="2"/>
  <c r="A45" i="2"/>
  <c r="A66" i="2"/>
  <c r="A67" i="2"/>
  <c r="A155" i="2"/>
  <c r="A165" i="2"/>
  <c r="A193" i="2"/>
  <c r="A199" i="2"/>
  <c r="A200" i="2"/>
  <c r="A201" i="2"/>
  <c r="A211" i="2"/>
  <c r="A237" i="2"/>
  <c r="A340" i="2"/>
  <c r="A341" i="2"/>
  <c r="A342" i="2"/>
  <c r="A343" i="2"/>
  <c r="A344" i="2"/>
  <c r="A345" i="2"/>
  <c r="A346" i="2"/>
  <c r="A347" i="2"/>
  <c r="A3" i="2"/>
  <c r="B6" i="2"/>
  <c r="B8" i="2"/>
  <c r="A19" i="2"/>
  <c r="B24" i="2"/>
  <c r="A100" i="2"/>
  <c r="A102" i="2"/>
  <c r="A104" i="2"/>
  <c r="A109" i="2"/>
  <c r="A126" i="2"/>
  <c r="A245" i="2"/>
  <c r="A351" i="2"/>
  <c r="A398" i="2"/>
  <c r="A401" i="2"/>
  <c r="A404" i="2"/>
  <c r="B5" i="2"/>
  <c r="A8" i="2"/>
  <c r="B10" i="2"/>
  <c r="A13" i="2"/>
  <c r="B17" i="2"/>
  <c r="B23" i="2"/>
  <c r="A24" i="2"/>
  <c r="B26" i="2"/>
  <c r="A27" i="2"/>
  <c r="A117" i="2"/>
  <c r="A139" i="2"/>
  <c r="A174" i="2"/>
  <c r="A185" i="2"/>
  <c r="A191" i="2"/>
  <c r="A205" i="2"/>
  <c r="A215" i="2"/>
  <c r="A220" i="2"/>
  <c r="A241" i="2"/>
  <c r="A282" i="2"/>
  <c r="A307" i="2"/>
  <c r="A308" i="2"/>
  <c r="A309" i="2"/>
  <c r="A310" i="2"/>
  <c r="A311" i="2"/>
  <c r="A312" i="2"/>
  <c r="A313" i="2"/>
  <c r="A314" i="2"/>
  <c r="A315" i="2"/>
  <c r="A316" i="2"/>
  <c r="A317" i="2"/>
  <c r="A1674" i="14"/>
  <c r="A1670" i="14"/>
  <c r="A1673" i="14"/>
  <c r="A1668" i="14"/>
  <c r="A1664" i="14"/>
  <c r="A1660" i="14"/>
  <c r="A1655" i="14"/>
  <c r="A1653" i="14"/>
  <c r="A1650" i="14"/>
  <c r="A1643" i="14"/>
  <c r="A1639" i="14"/>
  <c r="A1635" i="14"/>
  <c r="A1631" i="14"/>
  <c r="A1627" i="14"/>
  <c r="A1623" i="14"/>
  <c r="A1619" i="14"/>
  <c r="A1614" i="14"/>
  <c r="A1609" i="14"/>
  <c r="A1604" i="14"/>
  <c r="A1601" i="14"/>
  <c r="A1600" i="14"/>
  <c r="A1595" i="14"/>
  <c r="A1594" i="14"/>
  <c r="A1593" i="14"/>
  <c r="A1592" i="14"/>
  <c r="A1584" i="14"/>
  <c r="A1580" i="14"/>
  <c r="A1570" i="14"/>
  <c r="A1672" i="14"/>
  <c r="A1667" i="14"/>
  <c r="A1663" i="14"/>
  <c r="A1659" i="14"/>
  <c r="A1656" i="14"/>
  <c r="A1652" i="14"/>
  <c r="A1649" i="14"/>
  <c r="A1646" i="14"/>
  <c r="A1642" i="14"/>
  <c r="A1638" i="14"/>
  <c r="A1634" i="14"/>
  <c r="A1630" i="14"/>
  <c r="A1626" i="14"/>
  <c r="A1622" i="14"/>
  <c r="A1618" i="14"/>
  <c r="A1613" i="14"/>
  <c r="A1612" i="14"/>
  <c r="A1608" i="14"/>
  <c r="A1603" i="14"/>
  <c r="A1599" i="14"/>
  <c r="A1591" i="14"/>
  <c r="A1590" i="14"/>
  <c r="A1589" i="14"/>
  <c r="A1588" i="14"/>
  <c r="A1587" i="14"/>
  <c r="A1583" i="14"/>
  <c r="A1579" i="14"/>
  <c r="A1676" i="14"/>
  <c r="A1671" i="14"/>
  <c r="A1666" i="14"/>
  <c r="A1662" i="14"/>
  <c r="A1658" i="14"/>
  <c r="A1651" i="14"/>
  <c r="A1648" i="14"/>
  <c r="A1645" i="14"/>
  <c r="A1641" i="14"/>
  <c r="A1637" i="14"/>
  <c r="A1633" i="14"/>
  <c r="A1629" i="14"/>
  <c r="A1625" i="14"/>
  <c r="A1621" i="14"/>
  <c r="A1617" i="14"/>
  <c r="A1611" i="14"/>
  <c r="A1607" i="14"/>
  <c r="A1606" i="14"/>
  <c r="A1602" i="14"/>
  <c r="A1598" i="14"/>
  <c r="A1597" i="14"/>
  <c r="A1586" i="14"/>
  <c r="A1582" i="14"/>
  <c r="A1578" i="14"/>
  <c r="A1568" i="14"/>
  <c r="A1559" i="14"/>
  <c r="A1661" i="14"/>
  <c r="A1640" i="14"/>
  <c r="A1624" i="14"/>
  <c r="A1585" i="14"/>
  <c r="A1567" i="14"/>
  <c r="A1566" i="14"/>
  <c r="A1565" i="14"/>
  <c r="A1554" i="14"/>
  <c r="A1551" i="14"/>
  <c r="A1547" i="14"/>
  <c r="A1542" i="14"/>
  <c r="A1539" i="14"/>
  <c r="A1535" i="14"/>
  <c r="A1531" i="14"/>
  <c r="A1527" i="14"/>
  <c r="A1522" i="14"/>
  <c r="A1508" i="14"/>
  <c r="A1492" i="14"/>
  <c r="A1491" i="14"/>
  <c r="A1483" i="14"/>
  <c r="A1482" i="14"/>
  <c r="A1481" i="14"/>
  <c r="A1480" i="14"/>
  <c r="A1479" i="14"/>
  <c r="A1468" i="14"/>
  <c r="A1462" i="14"/>
  <c r="A1461" i="14"/>
  <c r="A1460" i="14"/>
  <c r="A1459" i="14"/>
  <c r="A1454" i="14"/>
  <c r="A1453" i="14"/>
  <c r="A1452" i="14"/>
  <c r="A1451" i="14"/>
  <c r="A1450" i="14"/>
  <c r="A1449" i="14"/>
  <c r="A1442" i="14"/>
  <c r="A1434" i="14"/>
  <c r="A1430" i="14"/>
  <c r="A1427" i="14"/>
  <c r="A1426" i="14"/>
  <c r="A1410" i="14"/>
  <c r="A1403" i="14"/>
  <c r="A1402" i="14"/>
  <c r="A1401" i="14"/>
  <c r="A1400" i="14"/>
  <c r="A1399" i="14"/>
  <c r="A1398" i="14"/>
  <c r="A1397" i="14"/>
  <c r="A1396" i="14"/>
  <c r="A1395" i="14"/>
  <c r="A1394" i="14"/>
  <c r="A1393" i="14"/>
  <c r="A1392" i="14"/>
  <c r="A1382" i="14"/>
  <c r="A1368" i="14"/>
  <c r="A1367" i="14"/>
  <c r="A1366" i="14"/>
  <c r="A1358" i="14"/>
  <c r="A1357" i="14"/>
  <c r="A1342" i="14"/>
  <c r="A1341" i="14"/>
  <c r="A1340" i="14"/>
  <c r="A1339" i="14"/>
  <c r="A1338" i="14"/>
  <c r="A1337" i="14"/>
  <c r="A1336" i="14"/>
  <c r="A1335" i="14"/>
  <c r="A1334" i="14"/>
  <c r="A1318" i="14"/>
  <c r="A1675" i="14"/>
  <c r="A1657" i="14"/>
  <c r="A1647" i="14"/>
  <c r="A1636" i="14"/>
  <c r="A1620" i="14"/>
  <c r="A1581" i="14"/>
  <c r="A1564" i="14"/>
  <c r="A1563" i="14"/>
  <c r="A1550" i="14"/>
  <c r="A1546" i="14"/>
  <c r="A1541" i="14"/>
  <c r="A1538" i="14"/>
  <c r="A1534" i="14"/>
  <c r="A1530" i="14"/>
  <c r="A1526" i="14"/>
  <c r="A1521" i="14"/>
  <c r="A1520" i="14"/>
  <c r="A1507" i="14"/>
  <c r="A1506" i="14"/>
  <c r="A1500" i="14"/>
  <c r="A1499" i="14"/>
  <c r="A1490" i="14"/>
  <c r="A1489" i="14"/>
  <c r="A1488" i="14"/>
  <c r="A1487" i="14"/>
  <c r="A1478" i="14"/>
  <c r="A1474" i="14"/>
  <c r="A1467" i="14"/>
  <c r="A1465" i="14"/>
  <c r="A1458" i="14"/>
  <c r="A1448" i="14"/>
  <c r="A1447" i="14"/>
  <c r="A1441" i="14"/>
  <c r="A1440" i="14"/>
  <c r="A1439" i="14"/>
  <c r="A1433" i="14"/>
  <c r="A1429" i="14"/>
  <c r="A1425" i="14"/>
  <c r="A1424" i="14"/>
  <c r="A1423" i="14"/>
  <c r="A1422" i="14"/>
  <c r="A1421" i="14"/>
  <c r="A1420" i="14"/>
  <c r="A1419" i="14"/>
  <c r="A1418" i="14"/>
  <c r="A1417" i="14"/>
  <c r="A1416" i="14"/>
  <c r="A1409" i="14"/>
  <c r="A1408" i="14"/>
  <c r="A1391" i="14"/>
  <c r="A1389" i="14"/>
  <c r="A1385" i="14"/>
  <c r="A1384" i="14"/>
  <c r="A1381" i="14"/>
  <c r="A1380" i="14"/>
  <c r="A1379" i="14"/>
  <c r="A1378" i="14"/>
  <c r="A1377" i="14"/>
  <c r="A1376" i="14"/>
  <c r="A1375" i="14"/>
  <c r="A1374" i="14"/>
  <c r="A1373" i="14"/>
  <c r="A1372" i="14"/>
  <c r="A1365" i="14"/>
  <c r="A1364" i="14"/>
  <c r="A1356" i="14"/>
  <c r="A1355" i="14"/>
  <c r="A1354" i="14"/>
  <c r="A1353" i="14"/>
  <c r="A1348" i="14"/>
  <c r="A1347" i="14"/>
  <c r="A1346" i="14"/>
  <c r="A1333" i="14"/>
  <c r="A1332" i="14"/>
  <c r="A1331" i="14"/>
  <c r="A1669" i="14"/>
  <c r="A1632" i="14"/>
  <c r="A1616" i="14"/>
  <c r="A1615" i="14"/>
  <c r="A1610" i="14"/>
  <c r="A1605" i="14"/>
  <c r="A1596" i="14"/>
  <c r="A1577" i="14"/>
  <c r="A1576" i="14"/>
  <c r="A1575" i="14"/>
  <c r="A1574" i="14"/>
  <c r="A1573" i="14"/>
  <c r="A1572" i="14"/>
  <c r="A1571" i="14"/>
  <c r="A1562" i="14"/>
  <c r="A1561" i="14"/>
  <c r="A1560" i="14"/>
  <c r="A1558" i="14"/>
  <c r="A1553" i="14"/>
  <c r="A1549" i="14"/>
  <c r="A1545" i="14"/>
  <c r="A1544" i="14"/>
  <c r="A1540" i="14"/>
  <c r="A1537" i="14"/>
  <c r="A1533" i="14"/>
  <c r="A1529" i="14"/>
  <c r="A1519" i="14"/>
  <c r="A1518" i="14"/>
  <c r="A1505" i="14"/>
  <c r="A1498" i="14"/>
  <c r="A1497" i="14"/>
  <c r="A1477" i="14"/>
  <c r="A1473" i="14"/>
  <c r="A1472" i="14"/>
  <c r="A1457" i="14"/>
  <c r="A1456" i="14"/>
  <c r="A1446" i="14"/>
  <c r="A1445" i="14"/>
  <c r="A1444" i="14"/>
  <c r="A1438" i="14"/>
  <c r="A1437" i="14"/>
  <c r="A1436" i="14"/>
  <c r="A1432" i="14"/>
  <c r="A1428" i="14"/>
  <c r="A1415" i="14"/>
  <c r="A1414" i="14"/>
  <c r="A1407" i="14"/>
  <c r="A1390" i="14"/>
  <c r="A1388" i="14"/>
  <c r="A1387" i="14"/>
  <c r="A1371" i="14"/>
  <c r="A1370" i="14"/>
  <c r="A1363" i="14"/>
  <c r="A1352" i="14"/>
  <c r="A1345" i="14"/>
  <c r="A1344" i="14"/>
  <c r="A1330" i="14"/>
  <c r="A1329" i="14"/>
  <c r="A1328" i="14"/>
  <c r="A1327" i="14"/>
  <c r="A1326" i="14"/>
  <c r="A1317" i="14"/>
  <c r="A1316" i="14"/>
  <c r="A1315" i="14"/>
  <c r="A1314" i="14"/>
  <c r="A1307" i="14"/>
  <c r="A1303" i="14"/>
  <c r="A1299" i="14"/>
  <c r="A1298" i="14"/>
  <c r="A1297" i="14"/>
  <c r="A1644" i="14"/>
  <c r="A1557" i="14"/>
  <c r="A1556" i="14"/>
  <c r="A1555" i="14"/>
  <c r="A1517" i="14"/>
  <c r="A1516" i="14"/>
  <c r="A1515" i="14"/>
  <c r="A1514" i="14"/>
  <c r="A1513" i="14"/>
  <c r="A1512" i="14"/>
  <c r="A1511" i="14"/>
  <c r="A1510" i="14"/>
  <c r="A1509" i="14"/>
  <c r="A1504" i="14"/>
  <c r="A1503" i="14"/>
  <c r="A1502" i="14"/>
  <c r="A1501" i="14"/>
  <c r="A1496" i="14"/>
  <c r="A1495" i="14"/>
  <c r="A1494" i="14"/>
  <c r="A1493" i="14"/>
  <c r="A1471" i="14"/>
  <c r="A1470" i="14"/>
  <c r="A1469" i="14"/>
  <c r="A1435" i="14"/>
  <c r="A1413" i="14"/>
  <c r="A1412" i="14"/>
  <c r="A1411" i="14"/>
  <c r="A1406" i="14"/>
  <c r="A1405" i="14"/>
  <c r="A1404" i="14"/>
  <c r="A1369" i="14"/>
  <c r="A1313" i="14"/>
  <c r="A1312" i="14"/>
  <c r="A1311" i="14"/>
  <c r="A1305" i="14"/>
  <c r="A1300" i="14"/>
  <c r="A1294" i="14"/>
  <c r="A1293" i="14"/>
  <c r="A1285" i="14"/>
  <c r="A1284" i="14"/>
  <c r="A1281" i="14"/>
  <c r="A1277" i="14"/>
  <c r="A1273" i="14"/>
  <c r="A1269" i="14"/>
  <c r="A1265" i="14"/>
  <c r="A1261" i="14"/>
  <c r="A1257" i="14"/>
  <c r="A1253" i="14"/>
  <c r="A1249" i="14"/>
  <c r="A1248" i="14"/>
  <c r="A1247" i="14"/>
  <c r="A1229" i="14"/>
  <c r="A1225" i="14"/>
  <c r="A1221" i="14"/>
  <c r="A1217" i="14"/>
  <c r="A1213" i="14"/>
  <c r="A1209" i="14"/>
  <c r="A1205" i="14"/>
  <c r="A1202" i="14"/>
  <c r="A1201" i="14"/>
  <c r="A1200" i="14"/>
  <c r="A1199" i="14"/>
  <c r="A1191" i="14"/>
  <c r="A1188" i="14"/>
  <c r="A1183" i="14"/>
  <c r="A1179" i="14"/>
  <c r="A1173" i="14"/>
  <c r="A1172" i="14"/>
  <c r="A1171" i="14"/>
  <c r="A1170" i="14"/>
  <c r="A1164" i="14"/>
  <c r="A1158" i="14"/>
  <c r="A1154" i="14"/>
  <c r="A1150" i="14"/>
  <c r="A1146" i="14"/>
  <c r="A1141" i="14"/>
  <c r="A1137" i="14"/>
  <c r="A1133" i="14"/>
  <c r="A1129" i="14"/>
  <c r="A1125" i="14"/>
  <c r="A1121" i="14"/>
  <c r="A1117" i="14"/>
  <c r="A1113" i="14"/>
  <c r="A1109" i="14"/>
  <c r="A1105" i="14"/>
  <c r="A1101" i="14"/>
  <c r="A1097" i="14"/>
  <c r="A1093" i="14"/>
  <c r="A1089" i="14"/>
  <c r="A1085" i="14"/>
  <c r="A1081" i="14"/>
  <c r="A1073" i="14"/>
  <c r="A1068" i="14"/>
  <c r="A1065" i="14"/>
  <c r="A1062" i="14"/>
  <c r="A1057" i="14"/>
  <c r="A1051" i="14"/>
  <c r="A1048" i="14"/>
  <c r="A1046" i="14"/>
  <c r="A1036" i="14"/>
  <c r="A1031" i="14"/>
  <c r="A1029" i="14"/>
  <c r="A1025" i="14"/>
  <c r="A1021" i="14"/>
  <c r="A1017" i="14"/>
  <c r="A1013" i="14"/>
  <c r="A1009" i="14"/>
  <c r="A1005" i="14"/>
  <c r="A1001" i="14"/>
  <c r="A997" i="14"/>
  <c r="A993" i="14"/>
  <c r="A989" i="14"/>
  <c r="A985" i="14"/>
  <c r="A981" i="14"/>
  <c r="A977" i="14"/>
  <c r="A975" i="14"/>
  <c r="A973" i="14"/>
  <c r="A968" i="14"/>
  <c r="A965" i="14"/>
  <c r="A962" i="14"/>
  <c r="A960" i="14"/>
  <c r="A953" i="14"/>
  <c r="A950" i="14"/>
  <c r="A947" i="14"/>
  <c r="A944" i="14"/>
  <c r="A928" i="14"/>
  <c r="A924" i="14"/>
  <c r="A917" i="14"/>
  <c r="A914" i="14"/>
  <c r="A911" i="14"/>
  <c r="A908" i="14"/>
  <c r="A904" i="14"/>
  <c r="A899" i="14"/>
  <c r="A897" i="14"/>
  <c r="A895" i="14"/>
  <c r="A893" i="14"/>
  <c r="A891" i="14"/>
  <c r="A889" i="14"/>
  <c r="A887" i="14"/>
  <c r="A885" i="14"/>
  <c r="A883" i="14"/>
  <c r="A881" i="14"/>
  <c r="A879" i="14"/>
  <c r="A877" i="14"/>
  <c r="A874" i="14"/>
  <c r="A870" i="14"/>
  <c r="A866" i="14"/>
  <c r="A862" i="14"/>
  <c r="A858" i="14"/>
  <c r="A854" i="14"/>
  <c r="A853" i="14"/>
  <c r="A849" i="14"/>
  <c r="A847" i="14"/>
  <c r="A844" i="14"/>
  <c r="A840" i="14"/>
  <c r="A835" i="14"/>
  <c r="A826" i="14"/>
  <c r="A823" i="14"/>
  <c r="A819" i="14"/>
  <c r="A813" i="14"/>
  <c r="A806" i="14"/>
  <c r="A802" i="14"/>
  <c r="A796" i="14"/>
  <c r="A792" i="14"/>
  <c r="A789" i="14"/>
  <c r="A1654" i="14"/>
  <c r="A1628" i="14"/>
  <c r="A1569" i="14"/>
  <c r="A1536" i="14"/>
  <c r="A1525" i="14"/>
  <c r="A1524" i="14"/>
  <c r="A1523" i="14"/>
  <c r="A1464" i="14"/>
  <c r="A1463" i="14"/>
  <c r="A1431" i="14"/>
  <c r="A1383" i="14"/>
  <c r="A1325" i="14"/>
  <c r="A1324" i="14"/>
  <c r="A1323" i="14"/>
  <c r="A1322" i="14"/>
  <c r="A1321" i="14"/>
  <c r="A1320" i="14"/>
  <c r="A1319" i="14"/>
  <c r="A1310" i="14"/>
  <c r="A1309" i="14"/>
  <c r="A1304" i="14"/>
  <c r="A1292" i="14"/>
  <c r="A1291" i="14"/>
  <c r="A1280" i="14"/>
  <c r="A1276" i="14"/>
  <c r="A1272" i="14"/>
  <c r="A1268" i="14"/>
  <c r="A1264" i="14"/>
  <c r="A1260" i="14"/>
  <c r="A1256" i="14"/>
  <c r="A1252" i="14"/>
  <c r="A1246" i="14"/>
  <c r="A1228" i="14"/>
  <c r="A1224" i="14"/>
  <c r="A1220" i="14"/>
  <c r="A1216" i="14"/>
  <c r="A1212" i="14"/>
  <c r="A1208" i="14"/>
  <c r="A1204" i="14"/>
  <c r="A1198" i="14"/>
  <c r="A1197" i="14"/>
  <c r="A1187" i="14"/>
  <c r="A1182" i="14"/>
  <c r="A1178" i="14"/>
  <c r="A1169" i="14"/>
  <c r="A1168" i="14"/>
  <c r="A1167" i="14"/>
  <c r="A1166" i="14"/>
  <c r="A1161" i="14"/>
  <c r="A1157" i="14"/>
  <c r="A1153" i="14"/>
  <c r="A1149" i="14"/>
  <c r="A1145" i="14"/>
  <c r="A1142" i="14"/>
  <c r="A1136" i="14"/>
  <c r="A1132" i="14"/>
  <c r="A1128" i="14"/>
  <c r="A1124" i="14"/>
  <c r="A1120" i="14"/>
  <c r="A1116" i="14"/>
  <c r="A1112" i="14"/>
  <c r="A1108" i="14"/>
  <c r="A1104" i="14"/>
  <c r="A1100" i="14"/>
  <c r="A1096" i="14"/>
  <c r="A1552" i="14"/>
  <c r="A1532" i="14"/>
  <c r="A1486" i="14"/>
  <c r="A1485" i="14"/>
  <c r="A1484" i="14"/>
  <c r="A1466" i="14"/>
  <c r="A1455" i="14"/>
  <c r="A1362" i="14"/>
  <c r="A1361" i="14"/>
  <c r="A1360" i="14"/>
  <c r="A1359" i="14"/>
  <c r="A1343" i="14"/>
  <c r="A1308" i="14"/>
  <c r="A1302" i="14"/>
  <c r="A1296" i="14"/>
  <c r="A1290" i="14"/>
  <c r="A1289" i="14"/>
  <c r="A1288" i="14"/>
  <c r="A1287" i="14"/>
  <c r="A1283" i="14"/>
  <c r="A1279" i="14"/>
  <c r="A1275" i="14"/>
  <c r="A1271" i="14"/>
  <c r="A1267" i="14"/>
  <c r="A1263" i="14"/>
  <c r="A1259" i="14"/>
  <c r="A1255" i="14"/>
  <c r="A1251" i="14"/>
  <c r="A1245" i="14"/>
  <c r="A1244" i="14"/>
  <c r="A1243" i="14"/>
  <c r="A1242" i="14"/>
  <c r="A1241" i="14"/>
  <c r="A1240" i="14"/>
  <c r="A1239" i="14"/>
  <c r="A1238" i="14"/>
  <c r="A1237" i="14"/>
  <c r="A1227" i="14"/>
  <c r="A1223" i="14"/>
  <c r="A1219" i="14"/>
  <c r="A1215" i="14"/>
  <c r="A1211" i="14"/>
  <c r="A1207" i="14"/>
  <c r="A1203" i="14"/>
  <c r="A1196" i="14"/>
  <c r="A1195" i="14"/>
  <c r="A1190" i="14"/>
  <c r="A1186" i="14"/>
  <c r="A1181" i="14"/>
  <c r="A1180" i="14"/>
  <c r="A1177" i="14"/>
  <c r="A1165" i="14"/>
  <c r="A1163" i="14"/>
  <c r="A1160" i="14"/>
  <c r="A1156" i="14"/>
  <c r="A1152" i="14"/>
  <c r="A1148" i="14"/>
  <c r="A1143" i="14"/>
  <c r="A1139" i="14"/>
  <c r="A1135" i="14"/>
  <c r="A1131" i="14"/>
  <c r="A1127" i="14"/>
  <c r="A1123" i="14"/>
  <c r="A1119" i="14"/>
  <c r="A1115" i="14"/>
  <c r="A1111" i="14"/>
  <c r="A1107" i="14"/>
  <c r="A1103" i="14"/>
  <c r="A1099" i="14"/>
  <c r="A1095" i="14"/>
  <c r="A1091" i="14"/>
  <c r="A1087" i="14"/>
  <c r="A1083" i="14"/>
  <c r="A1075" i="14"/>
  <c r="A1067" i="14"/>
  <c r="A1064" i="14"/>
  <c r="A1059" i="14"/>
  <c r="A1056" i="14"/>
  <c r="A1054" i="14"/>
  <c r="A1052" i="14"/>
  <c r="A1049" i="14"/>
  <c r="A1047" i="14"/>
  <c r="A1040" i="14"/>
  <c r="A1037" i="14"/>
  <c r="A1032" i="14"/>
  <c r="A1027" i="14"/>
  <c r="A1023" i="14"/>
  <c r="A1019" i="14"/>
  <c r="A1015" i="14"/>
  <c r="A1011" i="14"/>
  <c r="A1007" i="14"/>
  <c r="A1003" i="14"/>
  <c r="A999" i="14"/>
  <c r="A995" i="14"/>
  <c r="A991" i="14"/>
  <c r="A987" i="14"/>
  <c r="A983" i="14"/>
  <c r="A979" i="14"/>
  <c r="A974" i="14"/>
  <c r="A969" i="14"/>
  <c r="A967" i="14"/>
  <c r="A961" i="14"/>
  <c r="A958" i="14"/>
  <c r="A954" i="14"/>
  <c r="A945" i="14"/>
  <c r="A943" i="14"/>
  <c r="A940" i="14"/>
  <c r="A937" i="14"/>
  <c r="A934" i="14"/>
  <c r="A932" i="14"/>
  <c r="A926" i="14"/>
  <c r="A922" i="14"/>
  <c r="A919" i="14"/>
  <c r="A916" i="14"/>
  <c r="A912" i="14"/>
  <c r="A910" i="14"/>
  <c r="A906" i="14"/>
  <c r="A902" i="14"/>
  <c r="A900" i="14"/>
  <c r="A898" i="14"/>
  <c r="A896" i="14"/>
  <c r="A894" i="14"/>
  <c r="A892" i="14"/>
  <c r="A890" i="14"/>
  <c r="A888" i="14"/>
  <c r="A886" i="14"/>
  <c r="A884" i="14"/>
  <c r="A882" i="14"/>
  <c r="A880" i="14"/>
  <c r="A878" i="14"/>
  <c r="A876" i="14"/>
  <c r="A872" i="14"/>
  <c r="A868" i="14"/>
  <c r="A864" i="14"/>
  <c r="A860" i="14"/>
  <c r="A856" i="14"/>
  <c r="A851" i="14"/>
  <c r="A845" i="14"/>
  <c r="A842" i="14"/>
  <c r="A839" i="14"/>
  <c r="A836" i="14"/>
  <c r="A833" i="14"/>
  <c r="A831" i="14"/>
  <c r="A828" i="14"/>
  <c r="A821" i="14"/>
  <c r="A817" i="14"/>
  <c r="A815" i="14"/>
  <c r="A811" i="14"/>
  <c r="A808" i="14"/>
  <c r="A804" i="14"/>
  <c r="A800" i="14"/>
  <c r="A794" i="14"/>
  <c r="A788" i="14"/>
  <c r="A783" i="14"/>
  <c r="A1665" i="14"/>
  <c r="A1548" i="14"/>
  <c r="A1543" i="14"/>
  <c r="A1443" i="14"/>
  <c r="A1386" i="14"/>
  <c r="A1306" i="14"/>
  <c r="A1282" i="14"/>
  <c r="A1266" i="14"/>
  <c r="A1250" i="14"/>
  <c r="A1226" i="14"/>
  <c r="A1210" i="14"/>
  <c r="A1189" i="14"/>
  <c r="A1147" i="14"/>
  <c r="A1130" i="14"/>
  <c r="A1114" i="14"/>
  <c r="A1098" i="14"/>
  <c r="A1088" i="14"/>
  <c r="A1080" i="14"/>
  <c r="A1078" i="14"/>
  <c r="A1076" i="14"/>
  <c r="A1071" i="14"/>
  <c r="A1069" i="14"/>
  <c r="A1063" i="14"/>
  <c r="A1055" i="14"/>
  <c r="A1039" i="14"/>
  <c r="A1035" i="14"/>
  <c r="A1033" i="14"/>
  <c r="A1026" i="14"/>
  <c r="A1018" i="14"/>
  <c r="A1010" i="14"/>
  <c r="A1002" i="14"/>
  <c r="A994" i="14"/>
  <c r="A986" i="14"/>
  <c r="A978" i="14"/>
  <c r="A972" i="14"/>
  <c r="A970" i="14"/>
  <c r="A964" i="14"/>
  <c r="A956" i="14"/>
  <c r="A951" i="14"/>
  <c r="A946" i="14"/>
  <c r="A938" i="14"/>
  <c r="A927" i="14"/>
  <c r="A915" i="14"/>
  <c r="A909" i="14"/>
  <c r="A901" i="14"/>
  <c r="A869" i="14"/>
  <c r="A861" i="14"/>
  <c r="A850" i="14"/>
  <c r="A843" i="14"/>
  <c r="A818" i="14"/>
  <c r="A814" i="14"/>
  <c r="A809" i="14"/>
  <c r="A801" i="14"/>
  <c r="A791" i="14"/>
  <c r="A787" i="14"/>
  <c r="A785" i="14"/>
  <c r="A781" i="14"/>
  <c r="A778" i="14"/>
  <c r="A769" i="14"/>
  <c r="A766" i="14"/>
  <c r="A763" i="14"/>
  <c r="A760" i="14"/>
  <c r="A757" i="14"/>
  <c r="A753" i="14"/>
  <c r="A750" i="14"/>
  <c r="A746" i="14"/>
  <c r="A742" i="14"/>
  <c r="A738" i="14"/>
  <c r="A735" i="14"/>
  <c r="A731" i="14"/>
  <c r="A728" i="14"/>
  <c r="A721" i="14"/>
  <c r="A718" i="14"/>
  <c r="A714" i="14"/>
  <c r="A708" i="14"/>
  <c r="A704" i="14"/>
  <c r="A700" i="14"/>
  <c r="A698" i="14"/>
  <c r="A695" i="14"/>
  <c r="A691" i="14"/>
  <c r="A688" i="14"/>
  <c r="A682" i="14"/>
  <c r="A677" i="14"/>
  <c r="A675" i="14"/>
  <c r="A670" i="14"/>
  <c r="A669" i="14"/>
  <c r="A664" i="14"/>
  <c r="A658" i="14"/>
  <c r="A654" i="14"/>
  <c r="A646" i="14"/>
  <c r="A644" i="14"/>
  <c r="A642" i="14"/>
  <c r="A639" i="14"/>
  <c r="A631" i="14"/>
  <c r="A627" i="14"/>
  <c r="A619" i="14"/>
  <c r="A615" i="14"/>
  <c r="A612" i="14"/>
  <c r="A608" i="14"/>
  <c r="A604" i="14"/>
  <c r="A600" i="14"/>
  <c r="A596" i="14"/>
  <c r="A593" i="14"/>
  <c r="A590" i="14"/>
  <c r="A587" i="14"/>
  <c r="A583" i="14"/>
  <c r="A579" i="14"/>
  <c r="A575" i="14"/>
  <c r="A571" i="14"/>
  <c r="A567" i="14"/>
  <c r="A564" i="14"/>
  <c r="A561" i="14"/>
  <c r="A558" i="14"/>
  <c r="A554" i="14"/>
  <c r="A551" i="14"/>
  <c r="A547" i="14"/>
  <c r="A545" i="14"/>
  <c r="A535" i="14"/>
  <c r="A532" i="14"/>
  <c r="A530" i="14"/>
  <c r="A524" i="14"/>
  <c r="A1301" i="14"/>
  <c r="A1278" i="14"/>
  <c r="A1262" i="14"/>
  <c r="A1222" i="14"/>
  <c r="A1206" i="14"/>
  <c r="A1185" i="14"/>
  <c r="A1184" i="14"/>
  <c r="A1159" i="14"/>
  <c r="A1126" i="14"/>
  <c r="A1110" i="14"/>
  <c r="A1094" i="14"/>
  <c r="A1086" i="14"/>
  <c r="A1074" i="14"/>
  <c r="A1060" i="14"/>
  <c r="A1053" i="14"/>
  <c r="A1044" i="14"/>
  <c r="A1042" i="14"/>
  <c r="A1024" i="14"/>
  <c r="A1016" i="14"/>
  <c r="A1008" i="14"/>
  <c r="A1000" i="14"/>
  <c r="A992" i="14"/>
  <c r="A984" i="14"/>
  <c r="A976" i="14"/>
  <c r="A959" i="14"/>
  <c r="A949" i="14"/>
  <c r="A941" i="14"/>
  <c r="A936" i="14"/>
  <c r="A930" i="14"/>
  <c r="A925" i="14"/>
  <c r="A920" i="14"/>
  <c r="A913" i="14"/>
  <c r="A907" i="14"/>
  <c r="A875" i="14"/>
  <c r="A867" i="14"/>
  <c r="A859" i="14"/>
  <c r="A848" i="14"/>
  <c r="A841" i="14"/>
  <c r="A837" i="14"/>
  <c r="A829" i="14"/>
  <c r="A824" i="14"/>
  <c r="A816" i="14"/>
  <c r="A812" i="14"/>
  <c r="A807" i="14"/>
  <c r="A799" i="14"/>
  <c r="A797" i="14"/>
  <c r="A777" i="14"/>
  <c r="A774" i="14"/>
  <c r="A772" i="14"/>
  <c r="A768" i="14"/>
  <c r="A762" i="14"/>
  <c r="A759" i="14"/>
  <c r="A756" i="14"/>
  <c r="A749" i="14"/>
  <c r="A745" i="14"/>
  <c r="A741" i="14"/>
  <c r="A737" i="14"/>
  <c r="A734" i="14"/>
  <c r="A730" i="14"/>
  <c r="A727" i="14"/>
  <c r="A724" i="14"/>
  <c r="A717" i="14"/>
  <c r="A713" i="14"/>
  <c r="A710" i="14"/>
  <c r="A707" i="14"/>
  <c r="A703" i="14"/>
  <c r="A697" i="14"/>
  <c r="A694" i="14"/>
  <c r="A690" i="14"/>
  <c r="A685" i="14"/>
  <c r="A681" i="14"/>
  <c r="A678" i="14"/>
  <c r="A676" i="14"/>
  <c r="A671" i="14"/>
  <c r="A668" i="14"/>
  <c r="A667" i="14"/>
  <c r="A666" i="14"/>
  <c r="A665" i="14"/>
  <c r="A659" i="14"/>
  <c r="A655" i="14"/>
  <c r="A648" i="14"/>
  <c r="A641" i="14"/>
  <c r="A638" i="14"/>
  <c r="A636" i="14"/>
  <c r="A633" i="14"/>
  <c r="A630" i="14"/>
  <c r="A624" i="14"/>
  <c r="A622" i="14"/>
  <c r="A618" i="14"/>
  <c r="A614" i="14"/>
  <c r="A611" i="14"/>
  <c r="A607" i="14"/>
  <c r="A603" i="14"/>
  <c r="A599" i="14"/>
  <c r="A595" i="14"/>
  <c r="A592" i="14"/>
  <c r="A589" i="14"/>
  <c r="A586" i="14"/>
  <c r="A582" i="14"/>
  <c r="A578" i="14"/>
  <c r="A574" i="14"/>
  <c r="A570" i="14"/>
  <c r="A560" i="14"/>
  <c r="A557" i="14"/>
  <c r="A550" i="14"/>
  <c r="A544" i="14"/>
  <c r="A542" i="14"/>
  <c r="A539" i="14"/>
  <c r="A537" i="14"/>
  <c r="A534" i="14"/>
  <c r="A529" i="14"/>
  <c r="A520" i="14"/>
  <c r="A516" i="14"/>
  <c r="A513" i="14"/>
  <c r="A509" i="14"/>
  <c r="A505" i="14"/>
  <c r="A501" i="14"/>
  <c r="A497" i="14"/>
  <c r="A494" i="14"/>
  <c r="A490" i="14"/>
  <c r="A487" i="14"/>
  <c r="A484" i="14"/>
  <c r="A481" i="14"/>
  <c r="A477" i="14"/>
  <c r="A474" i="14"/>
  <c r="A470" i="14"/>
  <c r="A467" i="14"/>
  <c r="A465" i="14"/>
  <c r="A1528" i="14"/>
  <c r="A1351" i="14"/>
  <c r="A1350" i="14"/>
  <c r="A1349" i="14"/>
  <c r="A1274" i="14"/>
  <c r="A1258" i="14"/>
  <c r="A1218" i="14"/>
  <c r="A1194" i="14"/>
  <c r="A1193" i="14"/>
  <c r="A1192" i="14"/>
  <c r="A1176" i="14"/>
  <c r="A1175" i="14"/>
  <c r="A1174" i="14"/>
  <c r="A1155" i="14"/>
  <c r="A1144" i="14"/>
  <c r="A1138" i="14"/>
  <c r="A1122" i="14"/>
  <c r="A1106" i="14"/>
  <c r="A1092" i="14"/>
  <c r="A1084" i="14"/>
  <c r="A1079" i="14"/>
  <c r="A1077" i="14"/>
  <c r="A1072" i="14"/>
  <c r="A1070" i="14"/>
  <c r="A1066" i="14"/>
  <c r="A1058" i="14"/>
  <c r="A1038" i="14"/>
  <c r="A1034" i="14"/>
  <c r="A1030" i="14"/>
  <c r="A1022" i="14"/>
  <c r="A1014" i="14"/>
  <c r="A1006" i="14"/>
  <c r="A998" i="14"/>
  <c r="A990" i="14"/>
  <c r="A982" i="14"/>
  <c r="A971" i="14"/>
  <c r="A963" i="14"/>
  <c r="A957" i="14"/>
  <c r="A955" i="14"/>
  <c r="A952" i="14"/>
  <c r="A939" i="14"/>
  <c r="A933" i="14"/>
  <c r="A923" i="14"/>
  <c r="A918" i="14"/>
  <c r="A905" i="14"/>
  <c r="A873" i="14"/>
  <c r="A865" i="14"/>
  <c r="A857" i="14"/>
  <c r="A846" i="14"/>
  <c r="A832" i="14"/>
  <c r="A827" i="14"/>
  <c r="A822" i="14"/>
  <c r="A810" i="14"/>
  <c r="A805" i="14"/>
  <c r="A795" i="14"/>
  <c r="A790" i="14"/>
  <c r="A786" i="14"/>
  <c r="A784" i="14"/>
  <c r="A780" i="14"/>
  <c r="A776" i="14"/>
  <c r="A771" i="14"/>
  <c r="A765" i="14"/>
  <c r="A761" i="14"/>
  <c r="A758" i="14"/>
  <c r="A755" i="14"/>
  <c r="A752" i="14"/>
  <c r="A748" i="14"/>
  <c r="A744" i="14"/>
  <c r="A740" i="14"/>
  <c r="A736" i="14"/>
  <c r="A733" i="14"/>
  <c r="A726" i="14"/>
  <c r="A723" i="14"/>
  <c r="A720" i="14"/>
  <c r="A716" i="14"/>
  <c r="A712" i="14"/>
  <c r="A706" i="14"/>
  <c r="A702" i="14"/>
  <c r="A699" i="14"/>
  <c r="A696" i="14"/>
  <c r="A693" i="14"/>
  <c r="A687" i="14"/>
  <c r="A684" i="14"/>
  <c r="A680" i="14"/>
  <c r="A673" i="14"/>
  <c r="A672" i="14"/>
  <c r="A662" i="14"/>
  <c r="A661" i="14"/>
  <c r="A660" i="14"/>
  <c r="A656" i="14"/>
  <c r="A651" i="14"/>
  <c r="A650" i="14"/>
  <c r="A647" i="14"/>
  <c r="A645" i="14"/>
  <c r="A643" i="14"/>
  <c r="A640" i="14"/>
  <c r="A635" i="14"/>
  <c r="A629" i="14"/>
  <c r="A626" i="14"/>
  <c r="A621" i="14"/>
  <c r="A617" i="14"/>
  <c r="A610" i="14"/>
  <c r="A606" i="14"/>
  <c r="A602" i="14"/>
  <c r="A598" i="14"/>
  <c r="A594" i="14"/>
  <c r="A591" i="14"/>
  <c r="A588" i="14"/>
  <c r="A585" i="14"/>
  <c r="A581" i="14"/>
  <c r="A577" i="14"/>
  <c r="A573" i="14"/>
  <c r="A569" i="14"/>
  <c r="A566" i="14"/>
  <c r="A563" i="14"/>
  <c r="A559" i="14"/>
  <c r="A556" i="14"/>
  <c r="A553" i="14"/>
  <c r="A549" i="14"/>
  <c r="A546" i="14"/>
  <c r="A541" i="14"/>
  <c r="A531" i="14"/>
  <c r="A528" i="14"/>
  <c r="A526" i="14"/>
  <c r="A523" i="14"/>
  <c r="A519" i="14"/>
  <c r="A512" i="14"/>
  <c r="A508" i="14"/>
  <c r="A504" i="14"/>
  <c r="A500" i="14"/>
  <c r="A496" i="14"/>
  <c r="A493" i="14"/>
  <c r="A489" i="14"/>
  <c r="A486" i="14"/>
  <c r="A483" i="14"/>
  <c r="A476" i="14"/>
  <c r="A473" i="14"/>
  <c r="A469" i="14"/>
  <c r="A462" i="14"/>
  <c r="A458" i="14"/>
  <c r="A450" i="14"/>
  <c r="A448" i="14"/>
  <c r="A445" i="14"/>
  <c r="A442" i="14"/>
  <c r="A439" i="14"/>
  <c r="A425" i="14"/>
  <c r="A415" i="14"/>
  <c r="A411" i="14"/>
  <c r="A408" i="14"/>
  <c r="A405" i="14"/>
  <c r="A401" i="14"/>
  <c r="A397" i="14"/>
  <c r="A394" i="14"/>
  <c r="A387" i="14"/>
  <c r="A383" i="14"/>
  <c r="A379" i="14"/>
  <c r="A375" i="14"/>
  <c r="A368" i="14"/>
  <c r="A364" i="14"/>
  <c r="A360" i="14"/>
  <c r="A353" i="14"/>
  <c r="A351" i="14"/>
  <c r="A349" i="14"/>
  <c r="A343" i="14"/>
  <c r="A339" i="14"/>
  <c r="A335" i="14"/>
  <c r="A332" i="14"/>
  <c r="A328" i="14"/>
  <c r="A322" i="14"/>
  <c r="A318" i="14"/>
  <c r="A1295" i="14"/>
  <c r="A1286" i="14"/>
  <c r="A1102" i="14"/>
  <c r="A1041" i="14"/>
  <c r="A1012" i="14"/>
  <c r="A980" i="14"/>
  <c r="A931" i="14"/>
  <c r="A921" i="14"/>
  <c r="A855" i="14"/>
  <c r="A852" i="14"/>
  <c r="A751" i="14"/>
  <c r="A725" i="14"/>
  <c r="A719" i="14"/>
  <c r="A663" i="14"/>
  <c r="A653" i="14"/>
  <c r="A652" i="14"/>
  <c r="A632" i="14"/>
  <c r="A620" i="14"/>
  <c r="A609" i="14"/>
  <c r="A580" i="14"/>
  <c r="A548" i="14"/>
  <c r="A543" i="14"/>
  <c r="A536" i="14"/>
  <c r="A525" i="14"/>
  <c r="A518" i="14"/>
  <c r="A514" i="14"/>
  <c r="A506" i="14"/>
  <c r="A498" i="14"/>
  <c r="A491" i="14"/>
  <c r="A485" i="14"/>
  <c r="A480" i="14"/>
  <c r="A479" i="14"/>
  <c r="A478" i="14"/>
  <c r="A472" i="14"/>
  <c r="A464" i="14"/>
  <c r="A460" i="14"/>
  <c r="A456" i="14"/>
  <c r="A454" i="14"/>
  <c r="A452" i="14"/>
  <c r="A447" i="14"/>
  <c r="A444" i="14"/>
  <c r="A424" i="14"/>
  <c r="A420" i="14"/>
  <c r="A417" i="14"/>
  <c r="A413" i="14"/>
  <c r="A409" i="14"/>
  <c r="A404" i="14"/>
  <c r="A399" i="14"/>
  <c r="A395" i="14"/>
  <c r="A386" i="14"/>
  <c r="A381" i="14"/>
  <c r="A376" i="14"/>
  <c r="A367" i="14"/>
  <c r="A362" i="14"/>
  <c r="A358" i="14"/>
  <c r="A356" i="14"/>
  <c r="A348" i="14"/>
  <c r="A345" i="14"/>
  <c r="A340" i="14"/>
  <c r="A330" i="14"/>
  <c r="A325" i="14"/>
  <c r="A323" i="14"/>
  <c r="A317" i="14"/>
  <c r="A313" i="14"/>
  <c r="A311" i="14"/>
  <c r="A309" i="14"/>
  <c r="A307" i="14"/>
  <c r="A304" i="14"/>
  <c r="A301" i="14"/>
  <c r="A300" i="14"/>
  <c r="A299" i="14"/>
  <c r="A295" i="14"/>
  <c r="A288" i="14"/>
  <c r="A284" i="14"/>
  <c r="A277" i="14"/>
  <c r="A274" i="14"/>
  <c r="A271" i="14"/>
  <c r="A269" i="14"/>
  <c r="A266" i="14"/>
  <c r="A259" i="14"/>
  <c r="A256" i="14"/>
  <c r="A250" i="14"/>
  <c r="A242" i="14"/>
  <c r="A237" i="14"/>
  <c r="A234" i="14"/>
  <c r="A226" i="14"/>
  <c r="A223" i="14"/>
  <c r="A216" i="14"/>
  <c r="A212" i="14"/>
  <c r="A209" i="14"/>
  <c r="A207" i="14"/>
  <c r="A205" i="14"/>
  <c r="A203" i="14"/>
  <c r="A201" i="14"/>
  <c r="A199" i="14"/>
  <c r="A197" i="14"/>
  <c r="A195" i="14"/>
  <c r="A193" i="14"/>
  <c r="A191" i="14"/>
  <c r="A189" i="14"/>
  <c r="A187" i="14"/>
  <c r="A185" i="14"/>
  <c r="A183" i="14"/>
  <c r="A180" i="14"/>
  <c r="A176" i="14"/>
  <c r="A173" i="14"/>
  <c r="A169" i="14"/>
  <c r="A165" i="14"/>
  <c r="A157" i="14"/>
  <c r="A155" i="14"/>
  <c r="A149" i="14"/>
  <c r="A147" i="14"/>
  <c r="A144" i="14"/>
  <c r="A142" i="14"/>
  <c r="A138" i="14"/>
  <c r="A134" i="14"/>
  <c r="A1270" i="14"/>
  <c r="A1236" i="14"/>
  <c r="A1235" i="14"/>
  <c r="A1234" i="14"/>
  <c r="A1233" i="14"/>
  <c r="A1232" i="14"/>
  <c r="A1231" i="14"/>
  <c r="A1230" i="14"/>
  <c r="A1151" i="14"/>
  <c r="A1090" i="14"/>
  <c r="A1043" i="14"/>
  <c r="A1004" i="14"/>
  <c r="A942" i="14"/>
  <c r="A935" i="14"/>
  <c r="A903" i="14"/>
  <c r="A830" i="14"/>
  <c r="A820" i="14"/>
  <c r="A803" i="14"/>
  <c r="A793" i="14"/>
  <c r="A779" i="14"/>
  <c r="A773" i="14"/>
  <c r="A767" i="14"/>
  <c r="A747" i="14"/>
  <c r="A732" i="14"/>
  <c r="A715" i="14"/>
  <c r="A709" i="14"/>
  <c r="A689" i="14"/>
  <c r="A683" i="14"/>
  <c r="A634" i="14"/>
  <c r="A628" i="14"/>
  <c r="A616" i="14"/>
  <c r="A605" i="14"/>
  <c r="A576" i="14"/>
  <c r="A565" i="14"/>
  <c r="A555" i="14"/>
  <c r="A538" i="14"/>
  <c r="A527" i="14"/>
  <c r="A517" i="14"/>
  <c r="A511" i="14"/>
  <c r="A503" i="14"/>
  <c r="A495" i="14"/>
  <c r="A482" i="14"/>
  <c r="A471" i="14"/>
  <c r="A466" i="14"/>
  <c r="A459" i="14"/>
  <c r="A443" i="14"/>
  <c r="A438" i="14"/>
  <c r="A436" i="14"/>
  <c r="A434" i="14"/>
  <c r="A432" i="14"/>
  <c r="A430" i="14"/>
  <c r="A427" i="14"/>
  <c r="A423" i="14"/>
  <c r="A421" i="14"/>
  <c r="A419" i="14"/>
  <c r="A412" i="14"/>
  <c r="A407" i="14"/>
  <c r="A403" i="14"/>
  <c r="A398" i="14"/>
  <c r="A393" i="14"/>
  <c r="A391" i="14"/>
  <c r="A389" i="14"/>
  <c r="A384" i="14"/>
  <c r="A380" i="14"/>
  <c r="A374" i="14"/>
  <c r="A371" i="14"/>
  <c r="A366" i="14"/>
  <c r="A361" i="14"/>
  <c r="A350" i="14"/>
  <c r="A347" i="14"/>
  <c r="A344" i="14"/>
  <c r="A338" i="14"/>
  <c r="A334" i="14"/>
  <c r="A329" i="14"/>
  <c r="A321" i="14"/>
  <c r="A316" i="14"/>
  <c r="A303" i="14"/>
  <c r="A296" i="14"/>
  <c r="A292" i="14"/>
  <c r="A291" i="14"/>
  <c r="A290" i="14"/>
  <c r="A287" i="14"/>
  <c r="A283" i="14"/>
  <c r="A280" i="14"/>
  <c r="A265" i="14"/>
  <c r="A262" i="14"/>
  <c r="A258" i="14"/>
  <c r="A254" i="14"/>
  <c r="A252" i="14"/>
  <c r="A249" i="14"/>
  <c r="A246" i="14"/>
  <c r="A244" i="14"/>
  <c r="A241" i="14"/>
  <c r="A239" i="14"/>
  <c r="A231" i="14"/>
  <c r="A229" i="14"/>
  <c r="A224" i="14"/>
  <c r="A222" i="14"/>
  <c r="A219" i="14"/>
  <c r="A215" i="14"/>
  <c r="A211" i="14"/>
  <c r="A179" i="14"/>
  <c r="A175" i="14"/>
  <c r="A172" i="14"/>
  <c r="A168" i="14"/>
  <c r="A164" i="14"/>
  <c r="A162" i="14"/>
  <c r="A159" i="14"/>
  <c r="A154" i="14"/>
  <c r="A152" i="14"/>
  <c r="A146" i="14"/>
  <c r="A141" i="14"/>
  <c r="A137" i="14"/>
  <c r="A133" i="14"/>
  <c r="A130" i="14"/>
  <c r="A127" i="14"/>
  <c r="A1476" i="14"/>
  <c r="A1475" i="14"/>
  <c r="A1162" i="14"/>
  <c r="A1140" i="14"/>
  <c r="A1118" i="14"/>
  <c r="A1020" i="14"/>
  <c r="A988" i="14"/>
  <c r="A966" i="14"/>
  <c r="A929" i="14"/>
  <c r="A863" i="14"/>
  <c r="A838" i="14"/>
  <c r="A825" i="14"/>
  <c r="A798" i="14"/>
  <c r="A782" i="14"/>
  <c r="A770" i="14"/>
  <c r="A764" i="14"/>
  <c r="A739" i="14"/>
  <c r="A729" i="14"/>
  <c r="A701" i="14"/>
  <c r="A692" i="14"/>
  <c r="A686" i="14"/>
  <c r="A657" i="14"/>
  <c r="A637" i="14"/>
  <c r="A625" i="14"/>
  <c r="A613" i="14"/>
  <c r="A597" i="14"/>
  <c r="A584" i="14"/>
  <c r="A568" i="14"/>
  <c r="A562" i="14"/>
  <c r="A552" i="14"/>
  <c r="A521" i="14"/>
  <c r="A515" i="14"/>
  <c r="A507" i="14"/>
  <c r="A499" i="14"/>
  <c r="A492" i="14"/>
  <c r="A461" i="14"/>
  <c r="A440" i="14"/>
  <c r="A437" i="14"/>
  <c r="A435" i="14"/>
  <c r="A433" i="14"/>
  <c r="A431" i="14"/>
  <c r="A428" i="14"/>
  <c r="A426" i="14"/>
  <c r="A414" i="14"/>
  <c r="A400" i="14"/>
  <c r="A392" i="14"/>
  <c r="A390" i="14"/>
  <c r="A382" i="14"/>
  <c r="A377" i="14"/>
  <c r="A372" i="14"/>
  <c r="A369" i="14"/>
  <c r="A363" i="14"/>
  <c r="A359" i="14"/>
  <c r="A354" i="14"/>
  <c r="A346" i="14"/>
  <c r="A341" i="14"/>
  <c r="A336" i="14"/>
  <c r="A331" i="14"/>
  <c r="A326" i="14"/>
  <c r="A319" i="14"/>
  <c r="A314" i="14"/>
  <c r="A305" i="14"/>
  <c r="A298" i="14"/>
  <c r="A294" i="14"/>
  <c r="A289" i="14"/>
  <c r="A285" i="14"/>
  <c r="A281" i="14"/>
  <c r="A278" i="14"/>
  <c r="A275" i="14"/>
  <c r="A272" i="14"/>
  <c r="A267" i="14"/>
  <c r="A263" i="14"/>
  <c r="A260" i="14"/>
  <c r="A257" i="14"/>
  <c r="A253" i="14"/>
  <c r="A251" i="14"/>
  <c r="A6" i="14"/>
  <c r="A13" i="14"/>
  <c r="A21" i="14"/>
  <c r="A30" i="14"/>
  <c r="A33" i="14"/>
  <c r="A38" i="14"/>
  <c r="A41" i="14"/>
  <c r="A44" i="14"/>
  <c r="A50" i="14"/>
  <c r="A52" i="14"/>
  <c r="A55" i="14"/>
  <c r="A57" i="14"/>
  <c r="A60" i="14"/>
  <c r="A63" i="14"/>
  <c r="A68" i="14"/>
  <c r="A77" i="14"/>
  <c r="A79" i="14"/>
  <c r="A82" i="14"/>
  <c r="A84" i="14"/>
  <c r="A88" i="14"/>
  <c r="A91" i="14"/>
  <c r="A95" i="14"/>
  <c r="A104" i="14"/>
  <c r="A110" i="14"/>
  <c r="A115" i="14"/>
  <c r="A120" i="14"/>
  <c r="A128" i="14"/>
  <c r="A132" i="14"/>
  <c r="A140" i="14"/>
  <c r="A145" i="14"/>
  <c r="A153" i="14"/>
  <c r="A160" i="14"/>
  <c r="A171" i="14"/>
  <c r="A178" i="14"/>
  <c r="A186" i="14"/>
  <c r="A194" i="14"/>
  <c r="A202" i="14"/>
  <c r="A210" i="14"/>
  <c r="A218" i="14"/>
  <c r="A232" i="14"/>
  <c r="A236" i="14"/>
  <c r="A255" i="14"/>
  <c r="A293" i="14"/>
  <c r="A302" i="14"/>
  <c r="A308" i="14"/>
  <c r="A315" i="14"/>
  <c r="A337" i="14"/>
  <c r="A365" i="14"/>
  <c r="A378" i="14"/>
  <c r="A385" i="14"/>
  <c r="A406" i="14"/>
  <c r="A441" i="14"/>
  <c r="A453" i="14"/>
  <c r="A522" i="14"/>
  <c r="A540" i="14"/>
  <c r="A623" i="14"/>
  <c r="A996" i="14"/>
  <c r="A1134" i="14"/>
  <c r="A2" i="14"/>
  <c r="A4" i="14"/>
  <c r="A7" i="14"/>
  <c r="A10" i="14"/>
  <c r="A14" i="14"/>
  <c r="A16" i="14"/>
  <c r="A18" i="14"/>
  <c r="A22" i="14"/>
  <c r="A24" i="14"/>
  <c r="A27" i="14"/>
  <c r="A31" i="14"/>
  <c r="A36" i="14"/>
  <c r="A39" i="14"/>
  <c r="A42" i="14"/>
  <c r="A45" i="14"/>
  <c r="A48" i="14"/>
  <c r="A58" i="14"/>
  <c r="A61" i="14"/>
  <c r="A66" i="14"/>
  <c r="A69" i="14"/>
  <c r="A72" i="14"/>
  <c r="A74" i="14"/>
  <c r="A76" i="14"/>
  <c r="A80" i="14"/>
  <c r="A85" i="14"/>
  <c r="A89" i="14"/>
  <c r="A92" i="14"/>
  <c r="A96" i="14"/>
  <c r="A99" i="14"/>
  <c r="A103" i="14"/>
  <c r="A108" i="14"/>
  <c r="A109" i="14"/>
  <c r="A114" i="14"/>
  <c r="A119" i="14"/>
  <c r="A121" i="14"/>
  <c r="A123" i="14"/>
  <c r="A125" i="14"/>
  <c r="A129" i="14"/>
  <c r="A135" i="14"/>
  <c r="A150" i="14"/>
  <c r="A158" i="14"/>
  <c r="A161" i="14"/>
  <c r="A166" i="14"/>
  <c r="A174" i="14"/>
  <c r="A181" i="14"/>
  <c r="A184" i="14"/>
  <c r="A192" i="14"/>
  <c r="A200" i="14"/>
  <c r="A208" i="14"/>
  <c r="A213" i="14"/>
  <c r="A230" i="14"/>
  <c r="A233" i="14"/>
  <c r="A240" i="14"/>
  <c r="A247" i="14"/>
  <c r="A264" i="14"/>
  <c r="A270" i="14"/>
  <c r="A276" i="14"/>
  <c r="A282" i="14"/>
  <c r="A297" i="14"/>
  <c r="A320" i="14"/>
  <c r="A327" i="14"/>
  <c r="A342" i="14"/>
  <c r="A357" i="14"/>
  <c r="A370" i="14"/>
  <c r="A396" i="14"/>
  <c r="A449" i="14"/>
  <c r="A451" i="14"/>
  <c r="A468" i="14"/>
  <c r="A502" i="14"/>
  <c r="A572" i="14"/>
  <c r="A601" i="14"/>
  <c r="A711" i="14"/>
  <c r="A754" i="14"/>
  <c r="A775" i="14"/>
  <c r="A834" i="14"/>
  <c r="A871" i="14"/>
  <c r="A1028" i="14"/>
  <c r="A1214" i="14"/>
  <c r="A8" i="14"/>
  <c r="A11" i="14"/>
  <c r="A19" i="14"/>
  <c r="A25" i="14"/>
  <c r="A28" i="14"/>
  <c r="A34" i="14"/>
  <c r="A40" i="14"/>
  <c r="A43" i="14"/>
  <c r="A46" i="14"/>
  <c r="A49" i="14"/>
  <c r="A51" i="14"/>
  <c r="A53" i="14"/>
  <c r="A56" i="14"/>
  <c r="A59" i="14"/>
  <c r="A64" i="14"/>
  <c r="A70" i="14"/>
  <c r="A78" i="14"/>
  <c r="A81" i="14"/>
  <c r="A83" i="14"/>
  <c r="A86" i="14"/>
  <c r="A93" i="14"/>
  <c r="A97" i="14"/>
  <c r="A100" i="14"/>
  <c r="A102" i="14"/>
  <c r="A106" i="14"/>
  <c r="A107" i="14"/>
  <c r="A112" i="14"/>
  <c r="A113" i="14"/>
  <c r="A117" i="14"/>
  <c r="A118" i="14"/>
  <c r="A122" i="14"/>
  <c r="A126" i="14"/>
  <c r="A136" i="14"/>
  <c r="A143" i="14"/>
  <c r="A151" i="14"/>
  <c r="A167" i="14"/>
  <c r="A182" i="14"/>
  <c r="A190" i="14"/>
  <c r="A198" i="14"/>
  <c r="A206" i="14"/>
  <c r="A214" i="14"/>
  <c r="A220" i="14"/>
  <c r="A227" i="14"/>
  <c r="A238" i="14"/>
  <c r="A245" i="14"/>
  <c r="A248" i="14"/>
  <c r="A268" i="14"/>
  <c r="A286" i="14"/>
  <c r="A312" i="14"/>
  <c r="A333" i="14"/>
  <c r="A355" i="14"/>
  <c r="A402" i="14"/>
  <c r="A410" i="14"/>
  <c r="A418" i="14"/>
  <c r="A429" i="14"/>
  <c r="A446" i="14"/>
  <c r="A457" i="14"/>
  <c r="A488" i="14"/>
  <c r="A510" i="14"/>
  <c r="A533" i="14"/>
  <c r="A705" i="14"/>
  <c r="A1254" i="14"/>
  <c r="A87" i="14"/>
  <c r="A90" i="14"/>
  <c r="A94" i="14"/>
  <c r="A98" i="14"/>
  <c r="A101" i="14"/>
  <c r="A105" i="14"/>
  <c r="A111" i="14"/>
  <c r="A116" i="14"/>
  <c r="A124" i="14"/>
  <c r="A131" i="14"/>
  <c r="A139" i="14"/>
  <c r="A148" i="14"/>
  <c r="A156" i="14"/>
  <c r="A163" i="14"/>
  <c r="A170" i="14"/>
  <c r="A177" i="14"/>
  <c r="A188" i="14"/>
  <c r="A196" i="14"/>
  <c r="A204" i="14"/>
  <c r="A217" i="14"/>
  <c r="A221" i="14"/>
  <c r="A225" i="14"/>
  <c r="A228" i="14"/>
  <c r="A235" i="14"/>
  <c r="A243" i="14"/>
  <c r="A261" i="14"/>
  <c r="A273" i="14"/>
  <c r="A279" i="14"/>
  <c r="A306" i="14"/>
  <c r="A310" i="14"/>
  <c r="A324" i="14"/>
  <c r="A352" i="14"/>
  <c r="A373" i="14"/>
  <c r="A388" i="14"/>
  <c r="A416" i="14"/>
  <c r="A422" i="14"/>
  <c r="A455" i="14"/>
  <c r="A463" i="14"/>
  <c r="A475" i="14"/>
  <c r="A649" i="14"/>
  <c r="A674" i="14"/>
  <c r="A679" i="14"/>
  <c r="A722" i="14"/>
  <c r="A743" i="14"/>
  <c r="A948" i="14"/>
  <c r="A1045" i="14"/>
  <c r="A1050" i="14"/>
  <c r="A1061" i="14"/>
  <c r="A1082" i="14"/>
  <c r="B143" i="13"/>
  <c r="C143" i="13"/>
  <c r="B199" i="13"/>
  <c r="C199" i="13"/>
  <c r="B216" i="13"/>
  <c r="C216" i="13"/>
  <c r="B242" i="13"/>
  <c r="C242" i="13"/>
  <c r="B246" i="13"/>
  <c r="C246" i="13"/>
  <c r="B258" i="13"/>
  <c r="C258" i="13"/>
  <c r="C230" i="13"/>
  <c r="B230" i="13"/>
  <c r="B217" i="13"/>
  <c r="C217" i="13"/>
  <c r="B224" i="13"/>
  <c r="C224" i="13"/>
  <c r="B163" i="13"/>
  <c r="C163" i="13"/>
  <c r="B261" i="13"/>
  <c r="C261" i="13"/>
  <c r="C132" i="13"/>
  <c r="B132" i="13"/>
  <c r="B139" i="13"/>
  <c r="C139" i="13"/>
  <c r="B135" i="13"/>
  <c r="C135" i="13"/>
  <c r="C195" i="13"/>
  <c r="B195" i="13"/>
  <c r="C118" i="13"/>
  <c r="B118" i="13"/>
  <c r="E305" i="14"/>
  <c r="D305" i="14"/>
  <c r="C218" i="13"/>
  <c r="B218" i="13"/>
  <c r="E302" i="14"/>
  <c r="D302" i="14"/>
  <c r="B137" i="13"/>
  <c r="C137" i="13"/>
  <c r="C130" i="13"/>
  <c r="B130" i="13"/>
  <c r="C168" i="13"/>
  <c r="B168" i="13"/>
  <c r="B161" i="13"/>
  <c r="C161" i="13"/>
  <c r="B129" i="13"/>
  <c r="C129" i="13"/>
  <c r="B183" i="13"/>
  <c r="C183" i="13"/>
  <c r="C177" i="13"/>
  <c r="B177" i="13"/>
  <c r="B126" i="13"/>
  <c r="C126" i="13"/>
  <c r="B221" i="13"/>
  <c r="C221" i="13"/>
  <c r="C237" i="13"/>
  <c r="B237" i="13"/>
  <c r="B115" i="13"/>
  <c r="C115" i="13"/>
  <c r="C142" i="13"/>
  <c r="B142" i="13"/>
  <c r="B184" i="13"/>
  <c r="C184" i="13"/>
  <c r="B110" i="13"/>
  <c r="C110" i="13"/>
  <c r="C148" i="13"/>
  <c r="B148" i="13"/>
  <c r="C134" i="13"/>
  <c r="B134" i="13"/>
  <c r="B260" i="13"/>
  <c r="C260" i="13"/>
  <c r="C116" i="13"/>
  <c r="B116" i="13"/>
  <c r="B181" i="13"/>
  <c r="C181" i="13"/>
  <c r="B144" i="13"/>
  <c r="C144" i="13"/>
  <c r="C128" i="13"/>
  <c r="B128" i="13"/>
  <c r="C231" i="13"/>
  <c r="B231" i="13"/>
  <c r="C188" i="13"/>
  <c r="B188" i="13"/>
  <c r="B219" i="13"/>
  <c r="C219" i="13"/>
  <c r="B238" i="13"/>
  <c r="C238" i="13"/>
  <c r="B178" i="13"/>
  <c r="C178" i="13"/>
  <c r="C229" i="13"/>
  <c r="B229" i="13"/>
  <c r="C180" i="13"/>
  <c r="B180" i="13"/>
  <c r="C248" i="13"/>
  <c r="B248" i="13"/>
  <c r="C136" i="13"/>
  <c r="B136" i="13"/>
  <c r="B213" i="13"/>
  <c r="C213" i="13"/>
  <c r="C150" i="13"/>
  <c r="B150" i="13"/>
  <c r="C125" i="13"/>
  <c r="B125" i="13"/>
  <c r="C208" i="13"/>
  <c r="B208" i="13"/>
  <c r="B158" i="13"/>
  <c r="C158" i="13"/>
  <c r="C193" i="13"/>
  <c r="B193" i="13"/>
  <c r="B131" i="13"/>
  <c r="C131" i="13"/>
  <c r="C196" i="13"/>
  <c r="B196" i="13"/>
  <c r="C117" i="13"/>
  <c r="B117" i="13"/>
  <c r="C202" i="13"/>
  <c r="B202" i="13"/>
  <c r="B256" i="13"/>
  <c r="C256" i="13"/>
  <c r="C263" i="13"/>
  <c r="B263" i="13"/>
  <c r="B233" i="13"/>
  <c r="C233" i="13"/>
  <c r="B186" i="13"/>
  <c r="C186" i="13"/>
  <c r="C103" i="13"/>
  <c r="B103" i="13"/>
  <c r="C223" i="13"/>
  <c r="B223" i="13"/>
  <c r="C245" i="13"/>
  <c r="B245" i="13"/>
  <c r="C162" i="13"/>
  <c r="B162" i="13"/>
  <c r="C155" i="13"/>
  <c r="B155" i="13"/>
  <c r="B210" i="13"/>
  <c r="C210" i="13"/>
  <c r="B226" i="13"/>
  <c r="C226" i="13"/>
  <c r="C165" i="13"/>
  <c r="B165" i="13"/>
  <c r="B244" i="13"/>
  <c r="C244" i="13"/>
  <c r="B185" i="13"/>
  <c r="C185" i="13"/>
  <c r="B179" i="13"/>
  <c r="C179" i="13"/>
  <c r="C249" i="13"/>
  <c r="B249" i="13"/>
  <c r="B104" i="13"/>
  <c r="C104" i="13"/>
  <c r="C106" i="13"/>
  <c r="B106" i="13"/>
  <c r="B167" i="13"/>
  <c r="C167" i="13"/>
  <c r="C197" i="13"/>
  <c r="B197" i="13"/>
  <c r="C112" i="13"/>
  <c r="B112" i="13"/>
  <c r="C173" i="13"/>
  <c r="B173" i="13"/>
  <c r="C147" i="13"/>
  <c r="B147" i="13"/>
  <c r="B192" i="13"/>
  <c r="C192" i="13"/>
  <c r="B198" i="13"/>
  <c r="C198" i="13"/>
  <c r="C247" i="13"/>
  <c r="B247" i="13"/>
  <c r="B154" i="13"/>
  <c r="C154" i="13"/>
  <c r="C194" i="13"/>
  <c r="B194" i="13"/>
  <c r="B153" i="13"/>
  <c r="C153" i="13"/>
  <c r="C187" i="13"/>
  <c r="B187" i="13"/>
  <c r="B211" i="13"/>
  <c r="C211" i="13"/>
  <c r="C253" i="13"/>
  <c r="B253" i="13"/>
  <c r="D306" i="14"/>
  <c r="E306" i="14"/>
  <c r="C149" i="13"/>
  <c r="B149" i="13"/>
  <c r="B160" i="13"/>
  <c r="C160" i="13"/>
  <c r="C114" i="13"/>
  <c r="B114" i="13"/>
  <c r="C166" i="13"/>
  <c r="B166" i="13"/>
  <c r="C146" i="13"/>
  <c r="B146" i="13"/>
  <c r="B113" i="13"/>
  <c r="C113" i="13"/>
  <c r="B141" i="13"/>
  <c r="C141" i="13"/>
  <c r="B108" i="13"/>
  <c r="C108" i="13"/>
  <c r="C189" i="13"/>
  <c r="B189" i="13"/>
  <c r="C171" i="13"/>
  <c r="B171" i="13"/>
  <c r="C254" i="13"/>
  <c r="B254" i="13"/>
  <c r="C109" i="13"/>
  <c r="B109" i="13"/>
  <c r="B252" i="13"/>
  <c r="C252" i="13"/>
  <c r="C157" i="13"/>
  <c r="B157" i="13"/>
  <c r="C152" i="13"/>
  <c r="B152" i="13"/>
  <c r="B243" i="13"/>
  <c r="C243" i="13"/>
  <c r="B236" i="13"/>
  <c r="C236" i="13"/>
  <c r="B262" i="13"/>
  <c r="C262" i="13"/>
  <c r="B120" i="13"/>
  <c r="C120" i="13"/>
  <c r="C235" i="13"/>
  <c r="B235" i="13"/>
  <c r="B232" i="13"/>
  <c r="C232" i="13"/>
  <c r="C225" i="13"/>
  <c r="B225" i="13"/>
  <c r="B255" i="13"/>
  <c r="C255" i="13"/>
  <c r="C176" i="13"/>
  <c r="B176" i="13"/>
  <c r="C250" i="13"/>
  <c r="B250" i="13"/>
  <c r="C145" i="13"/>
  <c r="B145" i="13"/>
  <c r="B119" i="13"/>
  <c r="C119" i="13"/>
  <c r="C172" i="13"/>
  <c r="B172" i="13"/>
  <c r="B182" i="13"/>
  <c r="C182" i="13"/>
  <c r="C164" i="13"/>
  <c r="B164" i="13"/>
  <c r="B206" i="13"/>
  <c r="C206" i="13"/>
  <c r="C207" i="13"/>
  <c r="B207" i="13"/>
  <c r="B169" i="13"/>
  <c r="C169" i="13"/>
  <c r="B151" i="13"/>
  <c r="C151" i="13"/>
  <c r="B204" i="13"/>
  <c r="C204" i="13"/>
  <c r="C239" i="13"/>
  <c r="B239" i="13"/>
  <c r="B200" i="13"/>
  <c r="C200" i="13"/>
  <c r="C124" i="13"/>
  <c r="B124" i="13"/>
  <c r="B170" i="13"/>
  <c r="C170" i="13"/>
  <c r="C140" i="13"/>
  <c r="B140" i="13"/>
  <c r="C105" i="13"/>
  <c r="B105" i="13"/>
  <c r="B240" i="13"/>
  <c r="C240" i="13"/>
  <c r="C220" i="13"/>
  <c r="B220" i="13"/>
  <c r="D304" i="14"/>
  <c r="E304" i="14"/>
  <c r="B190" i="13"/>
  <c r="C190" i="13"/>
  <c r="B259" i="13"/>
  <c r="C259" i="13"/>
  <c r="B234" i="13"/>
  <c r="C234" i="13"/>
  <c r="E301" i="14"/>
  <c r="D301" i="14"/>
  <c r="C123" i="13"/>
  <c r="B123" i="13"/>
  <c r="C175" i="13"/>
  <c r="B175" i="13"/>
  <c r="E303" i="14"/>
  <c r="D303" i="14"/>
  <c r="B205" i="13"/>
  <c r="C205" i="13"/>
  <c r="C203" i="13"/>
  <c r="B203" i="13"/>
  <c r="C209" i="13"/>
  <c r="B209" i="13"/>
  <c r="C174" i="13"/>
  <c r="B174" i="13"/>
  <c r="C133" i="13"/>
  <c r="B133" i="13"/>
  <c r="C212" i="13"/>
  <c r="B212" i="13"/>
  <c r="B257" i="13"/>
  <c r="C257" i="13"/>
  <c r="B215" i="13"/>
  <c r="C215" i="13"/>
  <c r="C111" i="13"/>
  <c r="B111" i="13"/>
  <c r="C138" i="13"/>
  <c r="B138" i="13"/>
  <c r="B214" i="13"/>
  <c r="C214" i="13"/>
  <c r="B201" i="13"/>
  <c r="C201" i="13"/>
  <c r="C127" i="13"/>
  <c r="B127" i="13"/>
  <c r="B222" i="13"/>
  <c r="C222" i="13"/>
  <c r="B228" i="13"/>
  <c r="C228" i="13"/>
  <c r="C121" i="13"/>
  <c r="B121" i="13"/>
  <c r="B191" i="13"/>
  <c r="C191" i="13"/>
  <c r="C122" i="13"/>
  <c r="B122" i="13"/>
  <c r="C107" i="13"/>
  <c r="B107" i="13"/>
  <c r="C159" i="13"/>
  <c r="B159" i="13"/>
  <c r="B227" i="13"/>
  <c r="C227" i="13"/>
  <c r="B251" i="13"/>
  <c r="C251" i="13"/>
  <c r="B241" i="13"/>
  <c r="C241" i="13"/>
  <c r="C156" i="13"/>
  <c r="B15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LOGISTICA-ALMACEN</author>
  </authors>
  <commentList>
    <comment ref="M1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Esperar confirmación
</t>
        </r>
      </text>
    </comment>
    <comment ref="K13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se agregan 29 con filo cobalto
</t>
        </r>
      </text>
    </comment>
    <comment ref="K13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menos 12 por inventario 13/03/2026
</t>
        </r>
      </text>
    </comment>
    <comment ref="K18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sin sello 
</t>
        </r>
      </text>
    </comment>
    <comment ref="P196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197" authorId="0" shapeId="0" xr:uid="{38F5971F-5C86-4851-9C45-85280E3AB08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198" authorId="0" shapeId="0" xr:uid="{A22E738B-CBAA-4A9F-9475-89883334AE62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199" authorId="0" shapeId="0" xr:uid="{CFED4343-94D2-4929-A4AA-F70F6866D7A4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0" authorId="0" shapeId="0" xr:uid="{F8BFA413-D00F-4D4B-8D6B-F2EA7B4DA5F2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1" authorId="0" shapeId="0" xr:uid="{CF260220-9541-4BED-ABCE-0E14F1528E86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2" authorId="0" shapeId="0" xr:uid="{E8E5B4F3-2F4B-4FBD-AAC2-65888DCA6ABC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3" authorId="0" shapeId="0" xr:uid="{37CA09DF-0FAF-4DA6-80D6-6AA27583A951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4" authorId="0" shapeId="0" xr:uid="{F09E93F7-0D38-4D25-9734-9185A619718B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5" authorId="0" shapeId="0" xr:uid="{E6C0E86D-EAD2-4C7E-A9FD-FD52D29387B3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6" authorId="0" shapeId="0" xr:uid="{0017725F-60A6-46D8-B0DB-E72B96916AF8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7" authorId="0" shapeId="0" xr:uid="{68BF6DAB-9680-4C6B-A4CD-59E95BE6A83A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8" authorId="0" shapeId="0" xr:uid="{49022175-9D0B-4C7F-9B47-3530438D25C2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09" authorId="0" shapeId="0" xr:uid="{6025E3A3-9474-45F1-9DB1-DA13E29FB406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10" authorId="0" shapeId="0" xr:uid="{CE8CB7AA-C43D-4552-B5E0-80E28E2B264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  <comment ref="P211" authorId="0" shapeId="0" xr:uid="{1062BDB9-86A5-4B79-93F8-91BC8C0F42EE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CAMBIO PARA EL 10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LOGISTICA-ALMACEN</author>
    <author>Usuario</author>
  </authors>
  <commentList>
    <comment ref="K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YA COBRADO
</t>
        </r>
      </text>
    </comment>
    <comment ref="H45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BO 916
</t>
        </r>
      </text>
    </comment>
    <comment ref="K885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3 EN LA ENTRADA DE MAÑANA 
</t>
        </r>
      </text>
    </comment>
    <comment ref="K994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36
</t>
        </r>
      </text>
    </comment>
    <comment ref="J1053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se aumentó en 360</t>
        </r>
      </text>
    </comment>
    <comment ref="J1054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se aument{o en 300
</t>
        </r>
      </text>
    </comment>
    <comment ref="K1228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se tomó de bisa para cambio de caja
</t>
        </r>
      </text>
    </comment>
    <comment ref="K128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ANTES 57
</t>
        </r>
      </text>
    </comment>
    <comment ref="K1310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ANTES 20 PIEZAS
</t>
        </r>
      </text>
    </comment>
    <comment ref="K1313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SIN SELLO 
</t>
        </r>
      </text>
    </comment>
    <comment ref="K1315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ANTES 20 PIEZAS
</t>
        </r>
      </text>
    </comment>
    <comment ref="J13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SE MODIFICÓ A 36 DE 12 PIEZAS ORIGINALMENTE
</t>
        </r>
      </text>
    </comment>
    <comment ref="K139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previo 6
</t>
        </r>
      </text>
    </comment>
    <comment ref="K1395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previo 6
</t>
        </r>
      </text>
    </comment>
    <comment ref="K1397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previo 13
</t>
        </r>
      </text>
    </comment>
    <comment ref="K1411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previo 8
</t>
        </r>
      </text>
    </comment>
    <comment ref="K1413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previo 5
</t>
        </r>
      </text>
    </comment>
    <comment ref="K1479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solo se mandaron 20
</t>
        </r>
      </text>
    </comment>
    <comment ref="K148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antes 45
</t>
        </r>
      </text>
    </comment>
    <comment ref="K1498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cantidad cargada
</t>
        </r>
      </text>
    </comment>
    <comment ref="K1499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cantidad cargada
</t>
        </r>
      </text>
    </comment>
    <comment ref="K1602" authorId="0" shapeId="0" xr:uid="{DA852376-7376-490D-BC1D-09EC7F1F8D18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SÍ SALIERON LAS 144 PIEZAS, PREVIO 132 PZS
</t>
        </r>
      </text>
    </comment>
    <comment ref="K1660" authorId="0" shapeId="0" xr:uid="{CECE9146-F475-4E45-BE52-8792AB73D566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SE FUE COMPLETA 192
PREVIO 150
</t>
        </r>
      </text>
    </comment>
    <comment ref="K1672" authorId="0" shapeId="0" xr:uid="{457C5C1B-6392-4A64-A838-34D27EF141FE}">
      <text>
        <r>
          <rPr>
            <b/>
            <sz val="9"/>
            <color indexed="81"/>
            <rFont val="Tahoma"/>
            <family val="2"/>
          </rPr>
          <t>LOGISTICA-ALMACEN:</t>
        </r>
        <r>
          <rPr>
            <sz val="9"/>
            <color indexed="81"/>
            <rFont val="Tahoma"/>
            <family val="2"/>
          </rPr>
          <t xml:space="preserve">
SE VA PARCIAL 
</t>
        </r>
      </text>
    </comment>
    <comment ref="K1678" authorId="0" shapeId="0" xr:uid="{19734E89-B1F3-48BA-9509-0CEBBAD3B0FF}">
      <text>
        <r>
          <rPr>
            <b/>
            <sz val="9"/>
            <color indexed="81"/>
            <rFont val="Tahoma"/>
            <charset val="1"/>
          </rPr>
          <t>LOGISTICA-ALMACEN:</t>
        </r>
        <r>
          <rPr>
            <sz val="9"/>
            <color indexed="81"/>
            <rFont val="Tahoma"/>
            <charset val="1"/>
          </rPr>
          <t xml:space="preserve">
previo 0 pzs, se completó 27/3/2026</t>
        </r>
      </text>
    </comment>
  </commentList>
</comments>
</file>

<file path=xl/sharedStrings.xml><?xml version="1.0" encoding="utf-8"?>
<sst xmlns="http://schemas.openxmlformats.org/spreadsheetml/2006/main" count="19118" uniqueCount="1609">
  <si>
    <t>Serie documento</t>
  </si>
  <si>
    <t>Fecha</t>
  </si>
  <si>
    <t>Cantidad</t>
  </si>
  <si>
    <t>EXISTENTE</t>
  </si>
  <si>
    <t>PEDIDO FALTANTE</t>
  </si>
  <si>
    <t>%</t>
  </si>
  <si>
    <t>FECHA DE ENTREGA</t>
  </si>
  <si>
    <t>PRODUCCION</t>
  </si>
  <si>
    <t>FECHA LOGISTICA</t>
  </si>
  <si>
    <t>Producto: 2130002716050701 / BISA PLATO LISO 27 BLANCO C/F NEGRO DECORADO</t>
  </si>
  <si>
    <t xml:space="preserve">AEZKOA </t>
  </si>
  <si>
    <t>VT2</t>
  </si>
  <si>
    <t>00004838</t>
  </si>
  <si>
    <t>02/04/2025</t>
  </si>
  <si>
    <t>Producto: 2111001327010101 / BISA CUBETA 10 NEGRO MOTAS</t>
  </si>
  <si>
    <t>ARGELIA BERENICE CONTRERAS VALDÉS</t>
  </si>
  <si>
    <t>VT1</t>
  </si>
  <si>
    <t>00003517</t>
  </si>
  <si>
    <t>30/01/2025</t>
  </si>
  <si>
    <t>Producto: 2101002516050101 / BISA BACINICA 24 BLANCO C/F NEGRO</t>
  </si>
  <si>
    <t>Casa Valle Chab</t>
  </si>
  <si>
    <t>00004759</t>
  </si>
  <si>
    <t>15/01/2025</t>
  </si>
  <si>
    <t>Producto: 2142002129010101 / BISA TORTILLERO 18 ROJO</t>
  </si>
  <si>
    <t>COCINA MEXICANA</t>
  </si>
  <si>
    <t>00003523</t>
  </si>
  <si>
    <t>04/02/2025</t>
  </si>
  <si>
    <t>Producto: 2130001702010101 / BISA PLATO LISO 16 A/T</t>
  </si>
  <si>
    <t>COMPARTIENDO CON EL CHEF</t>
  </si>
  <si>
    <t>00003518</t>
  </si>
  <si>
    <t>Producto: 2130002202010101 / BISA PLATO LISO 20 A/T</t>
  </si>
  <si>
    <t>Producto: 2130002702010101 / BISA PLATO LISO 27 A/T</t>
  </si>
  <si>
    <t>Producto: 1103000919010101 / BISA BAÑO 5 GALVANIZADO</t>
  </si>
  <si>
    <t>ERENDIRA MARLENE GOMEZ RIVAS</t>
  </si>
  <si>
    <t>BO</t>
  </si>
  <si>
    <t>00000749</t>
  </si>
  <si>
    <t>08/10/2024</t>
  </si>
  <si>
    <t>Producto: 1103001019010101 / BISA BAÑO 6 GALVANIZADO</t>
  </si>
  <si>
    <t>Producto: 2106003302010101 / BISA BUDINERA 42 A/T</t>
  </si>
  <si>
    <t>00000757</t>
  </si>
  <si>
    <t>Producto: 2111001227010101 / BISA CUBETA 8 NEGRO MOTAS</t>
  </si>
  <si>
    <t>Producto: 2111001427010101 / BISA CUBETA 12 NEGRO MOTAS</t>
  </si>
  <si>
    <t>Producto: 2111001527010101 / BISA CUBETA 14 NEGRO MOTAS</t>
  </si>
  <si>
    <t>Producto: 2124002402010101 / BISA OLLA CONVEXA 22 A/T</t>
  </si>
  <si>
    <t>Producto: 2136002502010101 / BISA SARTEN 24 A/T</t>
  </si>
  <si>
    <t>Producto: 1103000819010101 / BISA BAÑO 4 GALVANIZADO</t>
  </si>
  <si>
    <t xml:space="preserve">EVELIA MELCHOR </t>
  </si>
  <si>
    <t>00000765</t>
  </si>
  <si>
    <t>02/12/2024</t>
  </si>
  <si>
    <t>Producto: 1111001219010101 / BISA CUBETA 8 GALVANIZADO</t>
  </si>
  <si>
    <t>Producto: 1111001419010101 / BISA CUBETA 12 GALVANIZADO</t>
  </si>
  <si>
    <t>Producto: 2111000927010101 / BISA CUBETA 5 NEGRO MOTAS</t>
  </si>
  <si>
    <t xml:space="preserve">GASTROART </t>
  </si>
  <si>
    <t>00003536</t>
  </si>
  <si>
    <t>14/03/2025</t>
  </si>
  <si>
    <t>Producto: 2133000927010101 / BISA POCILLO 5 NEGRO MOTAS</t>
  </si>
  <si>
    <t>Producto: 2108002117010101 / BISA CAZUELA 18 COBALTO</t>
  </si>
  <si>
    <t>GRUPO EMPRESARIAL</t>
  </si>
  <si>
    <t>00000793</t>
  </si>
  <si>
    <t>11/04/2025</t>
  </si>
  <si>
    <t>Producto: 2108002121010101 / BISA CAZUELA 18 GRIS</t>
  </si>
  <si>
    <t>Producto: 2108002129010101 / BISA CAZUELA 18 ROJO</t>
  </si>
  <si>
    <t>Producto: 2108002517010101 / BISA CAZUELA 24 COBALTO</t>
  </si>
  <si>
    <t>Producto: 2108002521010101 / BISA CAZUELA 24 GRIS</t>
  </si>
  <si>
    <t>Producto: 2108002529010101 / BISA CAZUELA 24 ROJO</t>
  </si>
  <si>
    <t>Producto: 2123001816050101 / RECIPIENTE MULTIUSOS RAYADO 15.5 BLANCO C/F NEGRO</t>
  </si>
  <si>
    <t>Producto: 2126002202010101 / BISA PLATO AVENERO 20 A/T</t>
  </si>
  <si>
    <t>Producto: 2128001726010101 / BISA PLATO BISTRO 16 NEGRO</t>
  </si>
  <si>
    <t>Producto: 2130001730010101 / BISA PLATO LISO 16 ROJO MOTAS</t>
  </si>
  <si>
    <t>Producto: 2130002516050101 / BISA PLATO LISO 24 BLANCO C/F NEGRO</t>
  </si>
  <si>
    <t>Producto: 2130002516070101 / BISA PLATO LISO 24 BLANCO C/F ROJO</t>
  </si>
  <si>
    <t>Producto: 2130002716040101 / BISA PLATO LISO 27 BLANCO C/F GRIS</t>
  </si>
  <si>
    <t>Producto: 2130002716050101 / BISA PLATO LISO 27 BLANCO C/F NEGRO</t>
  </si>
  <si>
    <t>Producto: 2133000902010101 / BISA POCILLO 5 A/T</t>
  </si>
  <si>
    <t>Producto: 2133000916040101 / BISA POCILLO 5 BLANCO C/F GRIS</t>
  </si>
  <si>
    <t>Producto: 2133000916050101 / BISA POCILLO 5 BLANCO C/F NEGRO</t>
  </si>
  <si>
    <t>Producto: 2133000917010101 / BISA POCILLO 5 COBALTO</t>
  </si>
  <si>
    <t>Producto: 2133000921010101 / BISA POCILLO 5 GRIS</t>
  </si>
  <si>
    <t>Producto: 2133001002010101 / BISA POCILLO 6 A/T</t>
  </si>
  <si>
    <t>Producto: 2133001217010101 / BISA POCILLO 8 COBALTO</t>
  </si>
  <si>
    <t>Producto: 2139001602010101 / BISA TAZON 15.5 A/T</t>
  </si>
  <si>
    <t>Producto: 2139001616030101 / BISA TAZON 15.5 BLANCO C/F COBALTO</t>
  </si>
  <si>
    <t>Producto: 2139001616040101 / BISA TAZON 15.5 BLANCO C/F GRIS</t>
  </si>
  <si>
    <t>Producto: 2139001616050101 / BISA TAZON 15.5 BLANCO C/F NEGRO</t>
  </si>
  <si>
    <t>Producto: 2139001616070101 / BISA TAZON 15.5 BLANCO C/F ROJO</t>
  </si>
  <si>
    <t>Producto: 2139002202010101 / BISA TAZON 20 A/T</t>
  </si>
  <si>
    <t>Producto: 2139002216030101 / BISA TAZON 20 BLANCO C/F COBALTO</t>
  </si>
  <si>
    <t>Producto: 2139002216040101 / BISA TAZON 20 BLANCO C/F GRIS</t>
  </si>
  <si>
    <t>Producto: 2139002216070101 / BISA TAZON 20 BLANCO C/F ROJO</t>
  </si>
  <si>
    <t>Producto: 2139002421010101 / BISA TAZON 20 GRIS</t>
  </si>
  <si>
    <t>Producto: 2140001202010101 / BISA TAZON INCLINADO 8 A/T</t>
  </si>
  <si>
    <t>Producto: 2140001216030101 / BISA TAZON INCLINADO 8 BLANCO C/F COBALTO</t>
  </si>
  <si>
    <t>Producto: 2140001216040101 / BISA TAZON INCLINADO 8 BLANCO C/F GRIS</t>
  </si>
  <si>
    <t>Producto: 2140001216050101 / BISA TAZON INCLINADO 8 BLANCO C/F NEGRO</t>
  </si>
  <si>
    <t>Producto: 2140001217010101 / BISA TAZON INCLINADO 8 COBALTO</t>
  </si>
  <si>
    <t>Producto: 2140001221010101 / BISA TAZON INCLINADO 8 GRIS</t>
  </si>
  <si>
    <t>Producto: 2140001227010101 / BISA TAZON INCLINADO 8 NEGRO MOTAS</t>
  </si>
  <si>
    <t xml:space="preserve">Producto: 2133001216040101 / BISA POCILLO 8 BLANCO C/F GRIS  </t>
  </si>
  <si>
    <t>Producto: 2140001902010101 / BISA TAZON INCLINADO 17 A/T</t>
  </si>
  <si>
    <t>Producto: 2152003027010101 / BISA PLATO OVAL 32 NEGRO MOTAS</t>
  </si>
  <si>
    <t>Producto: 2130003027010101 / BISA PLATO LISO 32 NEGRO MOTAS</t>
  </si>
  <si>
    <t xml:space="preserve">Producto: 2133001016050101 / BISA POCILLO 6 BLANCO C/F NEGRO  </t>
  </si>
  <si>
    <t>Producto: 1203000919010101 / POP BAÑO 5 GALVANIZADO</t>
  </si>
  <si>
    <t>00000794</t>
  </si>
  <si>
    <t>21/04/2025</t>
  </si>
  <si>
    <t>Producto: 1211000919010101 / POP CUBETA 5 GALVANIZADO</t>
  </si>
  <si>
    <t>Producto: 1211001219010101 / POP CUBETA 8 GALVANIZADO</t>
  </si>
  <si>
    <t xml:space="preserve">GRUPO EMPRESARIAL </t>
  </si>
  <si>
    <t>00004816</t>
  </si>
  <si>
    <t>03/03/2025</t>
  </si>
  <si>
    <t>Producto: 2111000827010101 / BISA CUBETA 4 NEGRO MOTAS</t>
  </si>
  <si>
    <t>Producto: 2111001027010101 / BISA CUBETA 6 NEGRO MOTAS</t>
  </si>
  <si>
    <t>Producto: 2425002425010101 / IMU 6 QT ENAMEL STOCK POT BLUE     C20666-1063310W</t>
  </si>
  <si>
    <t>IMUSA</t>
  </si>
  <si>
    <t>VT3</t>
  </si>
  <si>
    <t>00001056</t>
  </si>
  <si>
    <t>Producto: 2425002825010101 / IMU 12 QT ENAMEL STOCK POT BLUE      C20666-10646W</t>
  </si>
  <si>
    <t>Producto: 2433001450010101 / IMU 12 CM ENAMEL MUG BLUE (WM)       C20666-10977W</t>
  </si>
  <si>
    <t>Producto: 2444002925010101 / IMU 16 QT STEAMER STOCK POT-BLUE    C20666-1065948</t>
  </si>
  <si>
    <t>Producto: 2425002225010101 / IMU 4 QT ENAMEL STOCK POT BLUE     C20666-1062810W</t>
  </si>
  <si>
    <t>Producto: 2406002527010101 /MIR 4.5QT ENAMEL DUTCH OVEN (24) BLACK
MIR-10701</t>
  </si>
  <si>
    <t>Producto: 2129002716050101 / BISA PLATO HONDO 27 BLANCO C/F NEGRO</t>
  </si>
  <si>
    <t>JAIME ALEJANDRO PUENTE GUERRERO</t>
  </si>
  <si>
    <t>00004777</t>
  </si>
  <si>
    <t>Producto: 2333000916050101 / SANSON POCILLO 5 BLANCO C/F NEGRO</t>
  </si>
  <si>
    <t>Producto: 2133001510010101 / BISA POCILLO 14 BICOLOR AZUL</t>
  </si>
  <si>
    <t>JOSE LUIS SANTIAGO</t>
  </si>
  <si>
    <t>00004738</t>
  </si>
  <si>
    <t>19/12/2024</t>
  </si>
  <si>
    <t>Producto: 2133001512010101 / BISA POCILLO 14 BICOLOR NARANJA</t>
  </si>
  <si>
    <t>Producto: 2133001514010101 / BISA POCILLO 14 BICOLOR ROJO</t>
  </si>
  <si>
    <t>Producto: 2139001614010101 / BISA TAZON 15.5 BICOLOR ROJO</t>
  </si>
  <si>
    <t>00004739</t>
  </si>
  <si>
    <t>Producto: 2139001626010101 / BISA TAZON 15.5 NEGRO</t>
  </si>
  <si>
    <t>Producto: 2152003216050101 / BISA PLATO OVAL 36 BLANCO C/F NEGRO</t>
  </si>
  <si>
    <t>LA UNICA</t>
  </si>
  <si>
    <t>00000754</t>
  </si>
  <si>
    <t>16/10/2024</t>
  </si>
  <si>
    <t>Producto: 66660005 / ANTICIPO DE BIEN O SERVICIO</t>
  </si>
  <si>
    <t>LEOBAN</t>
  </si>
  <si>
    <t>VTA</t>
  </si>
  <si>
    <t>00003452</t>
  </si>
  <si>
    <t>05/03/2025</t>
  </si>
  <si>
    <t>Producto: 2106002502010101 / BISA BUDINERA 24 A/T</t>
  </si>
  <si>
    <t xml:space="preserve">LEONCIO </t>
  </si>
  <si>
    <t>COT</t>
  </si>
  <si>
    <t>00000709</t>
  </si>
  <si>
    <t>25/03/2025</t>
  </si>
  <si>
    <t>Producto: 2106002602010101 / BISA BUDINERA 26 A/T</t>
  </si>
  <si>
    <t>Producto: 2110002827010101 / BISA COMAL 28 NEGRO MOTAS</t>
  </si>
  <si>
    <t>Producto: 2124002102010101 / BISA OLLA CONVEXA 18 A/T</t>
  </si>
  <si>
    <t>Producto: 2124002202010101 / BISA OLLA CONVEXA 20 A/T</t>
  </si>
  <si>
    <t>Producto: 2124002502010101 / BISA OLLA CONVEXA 24 A/T</t>
  </si>
  <si>
    <t>Producto: 2124002602010101 / BISA OLLA CONVEXA 26 A/T</t>
  </si>
  <si>
    <t>Producto: 2124002902010101 / BISA OLLA CONVEXA 30 A/T</t>
  </si>
  <si>
    <t>Producto: 2125002902010101 / BISA OLLA RECTA 30 A/T</t>
  </si>
  <si>
    <t>Producto: 2125003102010101 / BISA OLLA RECTA 34 A/T</t>
  </si>
  <si>
    <t>Producto: 2125003302010101 / BISA OLLA RECTA 42 A/T</t>
  </si>
  <si>
    <t>Producto: 1103000719010101 / BISA BAÑO 3 GALVANIZADO</t>
  </si>
  <si>
    <t>00000710</t>
  </si>
  <si>
    <t>Producto: 2112004902010101 / BISA CUCHARA  CAFÉ A/T</t>
  </si>
  <si>
    <t>MAIZ Y AGAVE</t>
  </si>
  <si>
    <t>00003549</t>
  </si>
  <si>
    <t>10/04/2025</t>
  </si>
  <si>
    <t>Producto: 2112004921010101 / BISA CUCHARA  CAFÉ GRIS</t>
  </si>
  <si>
    <t>Producto: 2112004927010101 / BISA CUCHARA  CAFÉ NEGRO MOTAS</t>
  </si>
  <si>
    <t>Producto: 2112005002010101 / BISA CUCHARA MOKA A/T</t>
  </si>
  <si>
    <t>Producto: 2112005021010101 / BISA CUCHARA MOKA GRIS</t>
  </si>
  <si>
    <t>Producto: 2112005027010101 / BISA CUCHARA MOKA NEGRO MOTAS</t>
  </si>
  <si>
    <t>Producto: 2106002902010101 / BISA BUDINERA 30 A/T</t>
  </si>
  <si>
    <t>MESTIZO</t>
  </si>
  <si>
    <t>00004825</t>
  </si>
  <si>
    <t>13/03/2025</t>
  </si>
  <si>
    <t>Producto: 2106003102010101 / BISA BUDINERA 34 A/T</t>
  </si>
  <si>
    <t>VT4</t>
  </si>
  <si>
    <t>Producto: 2121004301010101 / BISA JUEGO 3+3</t>
  </si>
  <si>
    <t>VT5</t>
  </si>
  <si>
    <t>VT6</t>
  </si>
  <si>
    <t>VT7</t>
  </si>
  <si>
    <t>VT8</t>
  </si>
  <si>
    <t>Producto: 2133001402010101 / BISA POCILLO 12 A/T</t>
  </si>
  <si>
    <t>VT9</t>
  </si>
  <si>
    <t>Producto: 2133001502010101 / BISA POCILLO 14 A/T</t>
  </si>
  <si>
    <t>VT10</t>
  </si>
  <si>
    <t xml:space="preserve">MIGUEL MANCILLA </t>
  </si>
  <si>
    <t>00000791</t>
  </si>
  <si>
    <t>07/04/2025</t>
  </si>
  <si>
    <t>Producto: 2124001402010101 / BISA OLLA CONVEXA 12 A/T</t>
  </si>
  <si>
    <t xml:space="preserve">Producto: 2133001501010701 / BISA POCILLO 14 DECORADO </t>
  </si>
  <si>
    <t>Producto: 2106001702010101 / BISA BUDINERA 16 A/T</t>
  </si>
  <si>
    <t xml:space="preserve">OFELIA ALVAREZ MEDINA </t>
  </si>
  <si>
    <t>00004831</t>
  </si>
  <si>
    <t>20/03/2025</t>
  </si>
  <si>
    <t>Producto: 1102000219010101 / BISA BANDEJA 0 GALVANIZADO</t>
  </si>
  <si>
    <t>00004832</t>
  </si>
  <si>
    <t>Producto: 1102000519010101 / BISA BANDEJA 1 GALVANIZADO</t>
  </si>
  <si>
    <t>Producto: 1102000619010101 / BISA BANDEJA 2 GALVANIZADO</t>
  </si>
  <si>
    <t>Producto: 1102000719010101 / BISA BANDEJA 3 GALVANIZADO</t>
  </si>
  <si>
    <t>Producto: 1102000819010101 / BISA BANDEJA 4 GALVANIZADO</t>
  </si>
  <si>
    <t>Producto: 1103000219010101 / BISA BAÑO 0 GALVANIZADO</t>
  </si>
  <si>
    <t>Producto: 1103000319010101 / BISA BAÑO 00 GALVANIZADO</t>
  </si>
  <si>
    <t>Producto: 1103000419010101 / BISA BAÑO 000 GALVANIZADO</t>
  </si>
  <si>
    <t>Producto: 1111001019010101 / BISA CUBETA 6 GALVANIZADO</t>
  </si>
  <si>
    <t>Producto: 1111001319010101 / BISA CUBETA 10 GALVANIZADO</t>
  </si>
  <si>
    <t>Producto: 1111001519010101 / BISA CUBETA 14 GALVANIZADO</t>
  </si>
  <si>
    <t>Producto: 1111001719010101 / BISA CUBETA 16 GALVANIZADO</t>
  </si>
  <si>
    <t>Producto: 1103000519010101 / BISA BAÑO 1 GALVANIZADO</t>
  </si>
  <si>
    <t>PLASTICOS RIVAMAR</t>
  </si>
  <si>
    <t>00001057</t>
  </si>
  <si>
    <t>Producto: 1103000619010101 / BISA BAÑO 2 GALVANIZADO</t>
  </si>
  <si>
    <t>Producto: 1103001219010101 / BISA BAÑO 8 GALVANIZADO</t>
  </si>
  <si>
    <t>Producto: 1103001319010101 / BISA BAÑO 10 GALVANIZADO</t>
  </si>
  <si>
    <t>Producto: 1103001419010101 / BISA BAÑO 12 GALVANIZADO</t>
  </si>
  <si>
    <t>00001058</t>
  </si>
  <si>
    <t>Producto: 2106002102010101 / BISA BUDINERA 18 A/T</t>
  </si>
  <si>
    <t>Producto: 2106002202010101 / BISA BUDINERA 20 A/T</t>
  </si>
  <si>
    <t>Producto: 2106002210010101 / BISA BUDINERA 20 BICOLOR AZUL</t>
  </si>
  <si>
    <t>Producto: 2106002510010101 / BISA BUDINERA 24 BICOLOR AZUL</t>
  </si>
  <si>
    <t>Producto: 2107001502010101 / BISA CAZO 14 A/T</t>
  </si>
  <si>
    <t>Producto: 2107001702010101 / BISA CAZO 16 A/T</t>
  </si>
  <si>
    <t>Producto: 2124001702010101 / BISA OLLA CONVEXA 16 A/T</t>
  </si>
  <si>
    <t>Producto: 2124003102010101 / BISA OLLA CONVEXA 34 A/T</t>
  </si>
  <si>
    <t>Producto: 2125001402010101 / BISA OLLA RECTA 12 A/T</t>
  </si>
  <si>
    <t>Producto: 2125002510010101 / BISA OLLA RECTA 24 BICOLOR AZUL</t>
  </si>
  <si>
    <t>Producto: 2125002602010101 / BISA OLLA RECTA 26 A/T</t>
  </si>
  <si>
    <t>Producto: 2133001202010101 / BISA POCILLO 8 A/T</t>
  </si>
  <si>
    <t>Producto: 2133001302010101 / BISA POCILLO 10 A/T</t>
  </si>
  <si>
    <t>Producto: 2136002402010101 / BISA SARTEN 22 A/T</t>
  </si>
  <si>
    <t>Producto: 2155009827010101 / BISA PAVERA 45.7  NEGRO MOTAS</t>
  </si>
  <si>
    <t>Producto: 2104005501010101 / BISA BATERIA ALASKA</t>
  </si>
  <si>
    <t>REYNALDO DOMINGUEZ</t>
  </si>
  <si>
    <t>00000476</t>
  </si>
  <si>
    <t>Producto: 2104005601010101 / BISA BATERIA ALEGRIA</t>
  </si>
  <si>
    <t>Producto: 2104005801010101 / BISA BATERIA AZULEJO</t>
  </si>
  <si>
    <t>Producto: 2104006101010101 / BISA BATERIA CAMPESTRE</t>
  </si>
  <si>
    <t>Producto: 2104007001010101 / BISA BATERIA XOCHITL</t>
  </si>
  <si>
    <t>Producto: 2125002402010101 / BISA OLLA RECTA 22 A/T</t>
  </si>
  <si>
    <t>Producto: 2125002502010101 / BISA OLLA RECTA 24 A/T</t>
  </si>
  <si>
    <t>Producto: 2125009902010101 / BISA OLLA RECTA 38 A/T</t>
  </si>
  <si>
    <t>Producto: 2136002602010101 / BISA SARTEN 26 A/T</t>
  </si>
  <si>
    <t>Producto: 2144003102010101 / BISA VAPORERA 34 A/T</t>
  </si>
  <si>
    <t>Producto: 2106002402010101 / BISA BUDINERA 22 A/T</t>
  </si>
  <si>
    <t>Producto: 2110002427010101 / BISA COMAL 22 NEGRO MOTAS</t>
  </si>
  <si>
    <t>RILO IMPORT &amp; EXPORT INC</t>
  </si>
  <si>
    <t>00004762</t>
  </si>
  <si>
    <t>21/01/2025</t>
  </si>
  <si>
    <t>Producto: 2322000120010101 / RECIPIENTE MULTIUSOS SANSON</t>
  </si>
  <si>
    <t>Producto: 2339001220010101 / SANSON TAZON 8 GENERICO</t>
  </si>
  <si>
    <t>Producto: 2323002016050101 / SANSON RECIPIENTE MULTIUSOS RAYADO 17.5 BLANCO C/F</t>
  </si>
  <si>
    <t>Producto: 2152003016050101 / BISA PLATO OVAL 32 BLANCO C/F NEGRO</t>
  </si>
  <si>
    <t>Producto: 2330002526010101 / SANSON PLATO LISO 24 NEGRO</t>
  </si>
  <si>
    <t>Producto: 2152002827010101 / BISA PLATO OVAL 28 NEGRO MOTAS</t>
  </si>
  <si>
    <t>Producto: 2101002216050101 / BISA BACINICA 20 BLANCO C/F NEGRO</t>
  </si>
  <si>
    <t>ROBERTO LEAL</t>
  </si>
  <si>
    <t>00004808</t>
  </si>
  <si>
    <t>Producto: 2106001402010101 / BISA BUDINERA 12 A/T</t>
  </si>
  <si>
    <t>Producto: 2106001502010101 / BISA BUDINERA 14 A/T</t>
  </si>
  <si>
    <t>Producto: 2125001502010101 / BISA OLLA RECTA 14 A/T</t>
  </si>
  <si>
    <t>Producto: 2125001702010101 / BISA OLLA RECTA 16 A/T</t>
  </si>
  <si>
    <t>Producto: 2125002102010101 / BISA OLLA RECTA 18 A/T</t>
  </si>
  <si>
    <t>Producto: 2125002202010101 / BISA OLLA RECTA 20 A/T</t>
  </si>
  <si>
    <t>00004809</t>
  </si>
  <si>
    <t>Producto: 2136002202010101 / BISA SARTEN 20 A/T</t>
  </si>
  <si>
    <t>Producto: 2106001402010101 / BISA BUDINERA 12 A/T S</t>
  </si>
  <si>
    <t xml:space="preserve">TAQUERIA ZUISA </t>
  </si>
  <si>
    <t>00004833</t>
  </si>
  <si>
    <t>24/03/2025</t>
  </si>
  <si>
    <t>Producto: 2126002202010101 / BISA PLATO AVENERO 20 A/T S</t>
  </si>
  <si>
    <t>Producto: 2130001729010101 / BISA PLATO LISO 16 ROJO S</t>
  </si>
  <si>
    <t>Producto: 2130002227010101 / BISA PLATO LISO 20 NEGRO MOTAS s</t>
  </si>
  <si>
    <t>Producto: 2130002727010101 / BISA PLATO LISO 27 NEGRO MOTAS</t>
  </si>
  <si>
    <t>Producto: 2135000116050101 / BISA PORTAVASOS  BLANCO C/F NEGRO</t>
  </si>
  <si>
    <t>Producto: 2139001227010101 / BISA TAZON 8 NEGRO MOTAS</t>
  </si>
  <si>
    <t>Producto: 2152002802010101 / BISA PLATO OVAL 28 A/T</t>
  </si>
  <si>
    <t>Producto: 2106001414010101 / BISA BUDINERA 12 BICOLOR ROJO</t>
  </si>
  <si>
    <t xml:space="preserve">TODO PARA RESTAURANTES </t>
  </si>
  <si>
    <t>00003546</t>
  </si>
  <si>
    <t>Producto: 2106001416050101 / BISA BUDINERA 12 BLANCO C/F NEGRO</t>
  </si>
  <si>
    <t>Producto: 2106001421010101 / BISA BUDINERA 12 GRIS</t>
  </si>
  <si>
    <t>Producto: 2106001426010101 / BISA BUDINERA 12 NEGRO</t>
  </si>
  <si>
    <t>Producto: 2122000116050101 / BISA MULTIUSOS BLANCO C/F NEGRO</t>
  </si>
  <si>
    <t>Producto: 2122000121010101 / BISA MULTIUSOS GRIS</t>
  </si>
  <si>
    <t>Producto: 2122000126010101 / BISA MULTIUSOS   NEGRO</t>
  </si>
  <si>
    <t>Producto: 2126002216050101 / BISA PLATO AVENERO 20 BLANCO C/F NEGRO</t>
  </si>
  <si>
    <t xml:space="preserve">Producto: 2126002226010101 / BISA PLATO AVENERO 20 NEGRO </t>
  </si>
  <si>
    <t>Producto: 2130001716050101 / BISA PLATO LISO 16 BLANCO C/F NEGRO</t>
  </si>
  <si>
    <t>Producto: 2130001721010101 / BISA PLATO LISO 16 GRIS</t>
  </si>
  <si>
    <t>Producto: 2130001726010101 / BISA PLATO LISO 16 NEGRO</t>
  </si>
  <si>
    <t>Producto: 2130002216050101 / BISA PLATO LISO 20 BLANCO C/F NEGRO</t>
  </si>
  <si>
    <t>Producto: 2130002221010101 / BISA PLATO LISO 20 GRIS</t>
  </si>
  <si>
    <t>Producto: 2130002226010101 / BISA PLATO LISO 20 NEGRO</t>
  </si>
  <si>
    <t>Producto: 2130002521010101 / BISA PLATO LISO 24 GRIS</t>
  </si>
  <si>
    <t>Producto: 2130002526010101 / BISA PLATO LISO 24 NEGRO</t>
  </si>
  <si>
    <t>Producto: 2130002721010101 / BISA PLATO LISO 27 GRIS</t>
  </si>
  <si>
    <t>Producto: 2130002726010101 / BISA PLATO LISO 27 NEGRO</t>
  </si>
  <si>
    <t>Producto: 2130003016050101 / BISA PLATO LISO 32 BLANCO C/F NEGRO</t>
  </si>
  <si>
    <t>Producto: 2130003021010101 / BISA PLATO LISO 32 GRIS</t>
  </si>
  <si>
    <t>Producto: 2130003026010101 / BISA PLATO LISO 32 NEGRO</t>
  </si>
  <si>
    <t>Producto: 2133000926010101 / BISA POCILLO 5 NEGRO</t>
  </si>
  <si>
    <t>Producto: 2133001216050101 / BISA POCILLO 8 BLANCO C/F NEGRO</t>
  </si>
  <si>
    <t>Producto: 2133001221010101 / BISA POCILLO 8 GRIS</t>
  </si>
  <si>
    <t>Producto: 2133001226010101 / BISA POCILLO 8 NEGRO</t>
  </si>
  <si>
    <t>Producto: 2139001216050101 / BISA TAZON 8 BLANCO C/F NEGRO</t>
  </si>
  <si>
    <t>Producto: 2139001221010101 / BISA TAZON 8 GRIS</t>
  </si>
  <si>
    <t>Producto: 2139001226010101 / BISA TAZON 8 NEGRO</t>
  </si>
  <si>
    <t>Producto: 2139001621010101 / BISA TAZON 15.5 GRIS</t>
  </si>
  <si>
    <t>Producto: 2142002121010101 / BISA TORTILLERO 18 GRIS</t>
  </si>
  <si>
    <t>Producto: 2142002126010101 / BISA TORTILLERO 18 NEGRO</t>
  </si>
  <si>
    <t>Producto: 2152002816050101 / BISA PLATO OVAL 28 BLANCO C/F NEGRO</t>
  </si>
  <si>
    <t>Producto: 2152003021010101 / BISA PLATO OVAL 32 GRIS</t>
  </si>
  <si>
    <t>Producto: 2152002821010101 / BISA PLATO OVAL 28 GRIS</t>
  </si>
  <si>
    <t>Producto: 2126002221010101 / BISA PLATO AVENERO 20 GRIS</t>
  </si>
  <si>
    <t>Producto: 2152002826010101 / BISA PLATO OVAL 28 NEGRO</t>
  </si>
  <si>
    <t>Producto: 2152003026010101 / BISA PLATO OVAL 32 NEGRO</t>
  </si>
  <si>
    <t>TOP MELAMINE MEXICO</t>
  </si>
  <si>
    <t>00004771</t>
  </si>
  <si>
    <t>28/01/2025</t>
  </si>
  <si>
    <t>Producto: 2143006901010105 / BISA VAJILLA VELO 16 PZ</t>
  </si>
  <si>
    <t>V. PUBLICO</t>
  </si>
  <si>
    <t>ALM</t>
  </si>
  <si>
    <t>00000004</t>
  </si>
  <si>
    <t>05/12/2024</t>
  </si>
  <si>
    <t>Producto: 2143006301010105 / BISA VAJILLA LAVANDA 16 PZ</t>
  </si>
  <si>
    <t>Producto: 2143007401010104 / BISA VAJILLA 12 PZAS MARINA PH</t>
  </si>
  <si>
    <t>Producto: 2143006401010101 / BISA VAJILLA LE COQ PH</t>
  </si>
  <si>
    <t>Producto: 2143006701010101 / BISA VAJILLA MOSCA EN EL PLATO PH</t>
  </si>
  <si>
    <t>Producto: 2132003029010101 / BISA PLATO TROQUELADO 32 ROJO</t>
  </si>
  <si>
    <t>VBC</t>
  </si>
  <si>
    <t>00000010</t>
  </si>
  <si>
    <t>Producto: 2106002214010101 / BISA BUDINERA 20 BICOLOR ROJO</t>
  </si>
  <si>
    <t>FERIA DEL HOGAR / ROSENDO RAMIREZ</t>
  </si>
  <si>
    <t>00000701</t>
  </si>
  <si>
    <t>Producto: 2106002514010101 / BISA BUDINERA 24 BICOLOR ROJO</t>
  </si>
  <si>
    <t>Producto: 2124001502010101 / BISA OLLA CONVEXA 14 A/T</t>
  </si>
  <si>
    <t>Producto: 2125002212010101 / BISA OLLA RECTA 20 BICOLOR NARANJA</t>
  </si>
  <si>
    <t>Producto: 2125002512010101 / BISA OLLA RECTA 24 BICOLOR NARANJA</t>
  </si>
  <si>
    <t>Producto: 2125002802010101 / BISA OLLA RECTA 28 A/T</t>
  </si>
  <si>
    <t xml:space="preserve">Producto: 2143006401010101 / BISA VAJILLA LE COQ PH </t>
  </si>
  <si>
    <t>00004735</t>
  </si>
  <si>
    <t>17/12/2024</t>
  </si>
  <si>
    <t>BOC</t>
  </si>
  <si>
    <t>00000015</t>
  </si>
  <si>
    <t>12/02/2025</t>
  </si>
  <si>
    <t>COT 0702</t>
  </si>
  <si>
    <t>Producto: 2110003227010101 / BISA COMAL 36 NEGRO MOTAS</t>
  </si>
  <si>
    <t xml:space="preserve">Producto: 2133001216050701 / BISA POCILLO 8 BLANCO C/F NEGRO DECORADO </t>
  </si>
  <si>
    <t>VIBRANTZ</t>
  </si>
  <si>
    <t>00001060</t>
  </si>
  <si>
    <t xml:space="preserve">XOCHIIPLASTIC </t>
  </si>
  <si>
    <t>00000792</t>
  </si>
  <si>
    <t>ALMACENES RAM</t>
  </si>
  <si>
    <t>00000472</t>
  </si>
  <si>
    <t>26/03/2025</t>
  </si>
  <si>
    <t>PERLA YURIDIA RAMIREZ VALVERDE</t>
  </si>
  <si>
    <t>00000479</t>
  </si>
  <si>
    <t>22/04/2025</t>
  </si>
  <si>
    <t>Producto: 2148001571010101 / BISA VASO RECTO 14 CON ASA</t>
  </si>
  <si>
    <t>JOSE DE ALBA</t>
  </si>
  <si>
    <t>00000795</t>
  </si>
  <si>
    <t>28/04/2025</t>
  </si>
  <si>
    <t>Producto: 1111000819010101 / BISA CUBETA 4 GALVANIZADO</t>
  </si>
  <si>
    <t>MUÑOZ MUÑOZ</t>
  </si>
  <si>
    <t>00000796</t>
  </si>
  <si>
    <t>Producto: 2119003727010101 / BISA JARRA RECTA 2.5LTS NEGRO MOTAS</t>
  </si>
  <si>
    <t>Producto: 2133000921010701 / BISA POCILLO 5 GRIS DECORADO</t>
  </si>
  <si>
    <t>ABASTEHOGAR</t>
  </si>
  <si>
    <t>00003552</t>
  </si>
  <si>
    <t>Producto: 2133001246090701 / BISA POCILLO 8 TRIGO C/F VERDE DECORADO</t>
  </si>
  <si>
    <t>ENRIQUE GERARDO SANCHEZ CORTEZ</t>
  </si>
  <si>
    <t>00004856</t>
  </si>
  <si>
    <t>29/04/2025</t>
  </si>
  <si>
    <t>Producto: 2133000916070101 / BISA POCILLO 5 BLANCO C/F ROJO</t>
  </si>
  <si>
    <t>PEDRO GILDARDO ANGELES GARCIA</t>
  </si>
  <si>
    <t>VTI</t>
  </si>
  <si>
    <t>00003556</t>
  </si>
  <si>
    <t>ALCO</t>
  </si>
  <si>
    <t>00003558</t>
  </si>
  <si>
    <t>30/04/2025</t>
  </si>
  <si>
    <t>00000720</t>
  </si>
  <si>
    <t>09/05/2025</t>
  </si>
  <si>
    <t>Producto: 2125002214010101 / BISA OLLA RECTA 20 BICOLOR ROJO</t>
  </si>
  <si>
    <t>Producto: 2125002514010101 / BISA OLLA RECTA 24 BICOLOR ROJO</t>
  </si>
  <si>
    <t>LUIS SIERRA</t>
  </si>
  <si>
    <t>00000721</t>
  </si>
  <si>
    <t>DAVID GARCIA</t>
  </si>
  <si>
    <t>00000723</t>
  </si>
  <si>
    <t>12/05/2025</t>
  </si>
  <si>
    <t>Producto: 2139002210010101 / BISA TAZON 20 BICOLOR AZUL</t>
  </si>
  <si>
    <t>Producto: 2139002212010101 / BISA TAZON 20 BICOLOR NARANJA</t>
  </si>
  <si>
    <t>Producto: 2139002214010101 / BISA TAZON 20 BICOLOR ROJO</t>
  </si>
  <si>
    <t>Producto: 2139002216050101 / BISA TAZON 20 BLANCO C/F NEGRO</t>
  </si>
  <si>
    <t>YONG DIAZ EXPORTACIONES</t>
  </si>
  <si>
    <t>00004861</t>
  </si>
  <si>
    <t>13/05/2025</t>
  </si>
  <si>
    <t>Producto: 2121004401010101 / BISA JUEGO 5+5</t>
  </si>
  <si>
    <t>Producto: 2121006001010101 / BISA JUEGO BODEGON</t>
  </si>
  <si>
    <t>Producto: 2121008601010101 / BISA JUEGO MARIMAR</t>
  </si>
  <si>
    <t>XOCHIPLASTIC</t>
  </si>
  <si>
    <t>00004862</t>
  </si>
  <si>
    <t>Producto: 2148001572010101 / BISA VASO RECTO 14 CON TAPA</t>
  </si>
  <si>
    <t>Producto: 2133000916050115 / BISA POCILLO 5 BLANCO C/F NEGRO S</t>
  </si>
  <si>
    <t>DISTRIBUIDORA JALI</t>
  </si>
  <si>
    <t>00004863</t>
  </si>
  <si>
    <t>15/05/2025</t>
  </si>
  <si>
    <t>Producto: 2133001216050115 / BISA POCILLO 8 BLANCO C/F NEGRO S</t>
  </si>
  <si>
    <t>Producto: 2133001227010115 / BISA POCILLO 8 NEGRO MOTAS S</t>
  </si>
  <si>
    <t>Producto: 2133000927010115 / BISA POCILLO 5 NEGRO MOTAS S</t>
  </si>
  <si>
    <t>Producto: 2129002716070101 / BISA PLATO HONDO 27 BLANCO C/F ROJO</t>
  </si>
  <si>
    <t>S2M GLOBAL</t>
  </si>
  <si>
    <t>00003565</t>
  </si>
  <si>
    <t>16/05/2025</t>
  </si>
  <si>
    <t>Producto: 2130002216070101 / BISA PLATO LISO 20 BLANCO C/F ROJO</t>
  </si>
  <si>
    <t>Producto: 2140002416070101 / BISA TAZON INCLINADO 22 BLANCO C/F ROJO</t>
  </si>
  <si>
    <t>JAVIER CEDILLO</t>
  </si>
  <si>
    <t>00000725</t>
  </si>
  <si>
    <t>20/05/2025</t>
  </si>
  <si>
    <t>Producto: 1103001119010101 / BISA BAÑO 7 GALVANIZADO</t>
  </si>
  <si>
    <t>Producto: 1203000219010101 / POP BAÑO 0 GALVANIZADO</t>
  </si>
  <si>
    <t>00000726</t>
  </si>
  <si>
    <t>Producto: 1203000519010101 / POP BAÑO 1 GALVANIZADO</t>
  </si>
  <si>
    <t>Producto: 1203000619010101 / POP BAÑO 2 GALVANIZADO</t>
  </si>
  <si>
    <t>Producto: 1203000719010101 / POP BAÑO 3 GALVANIZADO</t>
  </si>
  <si>
    <t>Producto: 1203000819010101 / POP BAÑO 4 GALVANIZADO</t>
  </si>
  <si>
    <t>Producto: 1203001019010101 / POP BAÑO 6 GALVANIZADO</t>
  </si>
  <si>
    <t>Producto: 1203001119010101 / POP BAÑO 7 GALVANIZADO</t>
  </si>
  <si>
    <t>Producto: 1211000819010101 / POP CUBETA 4 GALVANIZADO s</t>
  </si>
  <si>
    <t>Producto: 1211000919010101 / POP CUBETA 5 GALVANIZADO s</t>
  </si>
  <si>
    <t>Producto: 1211001019010101 / POP CUBETA 6 GALVANIZADO</t>
  </si>
  <si>
    <t>Producto: 1211001319010101 / POP CUBETA 10 GALVANIZADO</t>
  </si>
  <si>
    <t>Producto: 1211001419010101 / POP CUBETA 12 GALVANIZADO</t>
  </si>
  <si>
    <t>Producto: 1211001519010101 / POP CUBETA 14 GALVANIZADO</t>
  </si>
  <si>
    <t>Producto: 1211001719010101 / POP CUBETA 16 GALVANIZADO</t>
  </si>
  <si>
    <t>Producto: 1211002119010101 / POP CUBETA 18 GALVANIZADO</t>
  </si>
  <si>
    <t>Producto: 1211002219010101 / POP CUBETA 20 GALVANIZADO</t>
  </si>
  <si>
    <t>00000727</t>
  </si>
  <si>
    <t>PROEPTA</t>
  </si>
  <si>
    <t>00003566</t>
  </si>
  <si>
    <t>21/05/2025</t>
  </si>
  <si>
    <t>Producto: 2130002502010101 / BISA PLATO LISO 24 A/T</t>
  </si>
  <si>
    <t>RODOLFO RIVAS JARAMILLO</t>
  </si>
  <si>
    <t>00000801</t>
  </si>
  <si>
    <t>22/05/2025</t>
  </si>
  <si>
    <t>00000802</t>
  </si>
  <si>
    <t>ROSA MARIA SANCHEZ</t>
  </si>
  <si>
    <t>00000804</t>
  </si>
  <si>
    <t>Producto: 2118004516050101 / BISA FUENTE P/HORNO 30X20 BLANCO C/F NEGRO</t>
  </si>
  <si>
    <t>KEVIN ALONSO ROSALES DELGADO</t>
  </si>
  <si>
    <t>00000806</t>
  </si>
  <si>
    <t xml:space="preserve">Producto: 2154009713010101 / BISA JARRA ABOMBADA 3L BICOLOR NEGRO MOTAS </t>
  </si>
  <si>
    <t>00000807</t>
  </si>
  <si>
    <t>JULIAN GARCIA HUERTA</t>
  </si>
  <si>
    <t>00000805</t>
  </si>
  <si>
    <t>GRUPO CRISTALERO HETO</t>
  </si>
  <si>
    <t>00000808</t>
  </si>
  <si>
    <t>26/05/2025</t>
  </si>
  <si>
    <t>Producto: 2115002713010101 / BISA ENSALADERA 27 BICOLOR NEGRO MOTAS PH</t>
  </si>
  <si>
    <t>NINFA ALEJANDRA PADRON LIZARRAGA</t>
  </si>
  <si>
    <t>00004871</t>
  </si>
  <si>
    <t>28/05/2025</t>
  </si>
  <si>
    <t>Producto: 2130002227010101 / BISA PLATO LISO 20 NEGRO MOTAS</t>
  </si>
  <si>
    <t>Producto: 2138000116050101 / BISA TAZA BISTRO  BLANCO C/F NEGRO</t>
  </si>
  <si>
    <t>Producto: 2142002127010101 / BISA TORTILLERO 18 NEGRO MOTAS</t>
  </si>
  <si>
    <t>JESUS MANUEL PADRON LIZARRAGA</t>
  </si>
  <si>
    <t>00004870</t>
  </si>
  <si>
    <t>GUTZA IMPORT</t>
  </si>
  <si>
    <t>00000809</t>
  </si>
  <si>
    <t>30/05/2025</t>
  </si>
  <si>
    <t>00000810</t>
  </si>
  <si>
    <t>00000811</t>
  </si>
  <si>
    <t>VENTURA TADEO</t>
  </si>
  <si>
    <t>00000812</t>
  </si>
  <si>
    <t>PERLA JOSSELIN ANGEL MARTINEZ</t>
  </si>
  <si>
    <t>00000813</t>
  </si>
  <si>
    <t>00000814</t>
  </si>
  <si>
    <t>00000815</t>
  </si>
  <si>
    <t>MOBILIARIO RESTAURANTERO CH</t>
  </si>
  <si>
    <t>00003567</t>
  </si>
  <si>
    <t>PLASTICOS GRAVIDI</t>
  </si>
  <si>
    <t>00000816</t>
  </si>
  <si>
    <t>COMERCIALIZADORA DE PLÁSTICOS LILIANT</t>
  </si>
  <si>
    <t>00000817</t>
  </si>
  <si>
    <t>03/06/2025</t>
  </si>
  <si>
    <t>MARIA DEL PILAR ANGELINA</t>
  </si>
  <si>
    <t>00000818</t>
  </si>
  <si>
    <t>Producto: 2106002212010101 / BISA BUDINERA 20 BICOLOR NARANJA</t>
  </si>
  <si>
    <t>Producto: 2106002512010101 / BISA BUDINERA 24 BICOLOR NARANJA</t>
  </si>
  <si>
    <t>Producto: 2144002602010101 / BISA VAPORERA 26 A/T</t>
  </si>
  <si>
    <t>Producto: 2144002902010101 / BISA VAPORERA 30 A/T</t>
  </si>
  <si>
    <t>00000819</t>
  </si>
  <si>
    <t>GRUPO COMERCIAL ALCO</t>
  </si>
  <si>
    <t>00000820</t>
  </si>
  <si>
    <t>00000821</t>
  </si>
  <si>
    <t>Producto: 2139001202010101 / BISA TAZON 8 A/T</t>
  </si>
  <si>
    <t>PLASTICOS DE ZAMPA</t>
  </si>
  <si>
    <t>00000822</t>
  </si>
  <si>
    <t>DISTRIBUIDORA COMSANTOS DE MONTERREY</t>
  </si>
  <si>
    <t>00003569</t>
  </si>
  <si>
    <t>TODO PARA SU COCINA DE QUERETARO</t>
  </si>
  <si>
    <t>00003568</t>
  </si>
  <si>
    <t>AJOLOTE MERCADEO</t>
  </si>
  <si>
    <t>00003570</t>
  </si>
  <si>
    <t>04/06/2025</t>
  </si>
  <si>
    <t>PLASTICOS DE COLIMA</t>
  </si>
  <si>
    <t>00000823</t>
  </si>
  <si>
    <t>06/06/2025</t>
  </si>
  <si>
    <t>CRISTALERIA RAMIREZ</t>
  </si>
  <si>
    <t>00000824</t>
  </si>
  <si>
    <t>ACOLT HERNANDEZ</t>
  </si>
  <si>
    <t>00000825</t>
  </si>
  <si>
    <t>ANTONIO GOMEZ</t>
  </si>
  <si>
    <t>00000729</t>
  </si>
  <si>
    <t>09/06/2025</t>
  </si>
  <si>
    <t>Producto: 2106010216071601 / BISA ENSALADERA CASCANUECES</t>
  </si>
  <si>
    <t>VENTA AL PUBLICO</t>
  </si>
  <si>
    <t>00000005</t>
  </si>
  <si>
    <t>10/06/2025</t>
  </si>
  <si>
    <t>Producto: 2143000101011614 / BISA VAJILLA CASCANUECES</t>
  </si>
  <si>
    <t>Producto: 2152003016071601 / BISA PLATO OVAL 32 CASCANUECES</t>
  </si>
  <si>
    <t>Producto: 2154000916071601 / BISA JARRA ABOMBADA CASCANUECES</t>
  </si>
  <si>
    <t>Producto: 2121000901011602 / BISA JUEGO TEQUILEROS CASCANUECES</t>
  </si>
  <si>
    <t>SUPER TIENDA DE ABARROTES EL EMPORIO MERCANTIL</t>
  </si>
  <si>
    <t>00004876</t>
  </si>
  <si>
    <t>11/06/2025</t>
  </si>
  <si>
    <t>00004877</t>
  </si>
  <si>
    <t>FRANCISCO GURROLA RAMIREZ</t>
  </si>
  <si>
    <t>00004878</t>
  </si>
  <si>
    <t>16/06/2025</t>
  </si>
  <si>
    <t>OFELIA ALVAREZ MEDINA</t>
  </si>
  <si>
    <t>00004879</t>
  </si>
  <si>
    <t>17/06/2025</t>
  </si>
  <si>
    <t>GASTROART</t>
  </si>
  <si>
    <t>00003574</t>
  </si>
  <si>
    <t>19/06/2025</t>
  </si>
  <si>
    <t>Producto: 2118004527010101 / BISA FUENTE P/HORNO 30X20 NEGRO MOTAS</t>
  </si>
  <si>
    <t>FERREJARCIAS</t>
  </si>
  <si>
    <t>00000827</t>
  </si>
  <si>
    <t>Producto: 1137000719010101 / BISA TAMALERA 3 GALVANIZADO</t>
  </si>
  <si>
    <t>Producto: 1137000819010101 / BISA TAMALERA 4 GALVANIZADO</t>
  </si>
  <si>
    <t>Producto: 1137000919010101 / BISA TAMALERA 5 GALVANIZADO</t>
  </si>
  <si>
    <t>ANA MERCEDES ZAMUDIO</t>
  </si>
  <si>
    <t>00000826</t>
  </si>
  <si>
    <t>Producto: 2133001216030701 / BISA POCILLO 8 BLANCO C/F COBALTO DECORADO</t>
  </si>
  <si>
    <t>RANCHO SAN ISIDRO</t>
  </si>
  <si>
    <t>00000730</t>
  </si>
  <si>
    <t xml:space="preserve">Producto: 2130003016030701 / BISA PLATO LISO 32 BLANCO C/F COBALTO DECORADO </t>
  </si>
  <si>
    <t xml:space="preserve">Producto: 2130001716030701 / BISA PLATO LISO 16 BLANCO C/F COBALTO DECORADO </t>
  </si>
  <si>
    <t xml:space="preserve">Producto: 2139001616030701 / BISA TAZON 15.5 BLANCO C/F COBALTO DECORADO </t>
  </si>
  <si>
    <t xml:space="preserve">Producto: 2133000916030701 / BISA POCILLO 5 BLANCO C/F COBALTO DECORADO </t>
  </si>
  <si>
    <t>Producto: 2130002716030701 / BISA PLATO LISO 27 BLANCO C/F COBALTO DECORADO</t>
  </si>
  <si>
    <t>Producto: 2130002216030701 / BISA PLATO LISO 20 BLANCO C/F COBALTO DECORADO</t>
  </si>
  <si>
    <t>Producto: 2139001216030701 / BISA TAZON 8 BLANCO C/F COBALTO DECORADO</t>
  </si>
  <si>
    <t>Producto: 2140002416030701 / BISA TAZON INCLINADO 22 BLANCO C/F COBALTO  DECORA</t>
  </si>
  <si>
    <t>Producto: 2139001227010103 / BISA TAZON 8 NEGRO MOTAS 6PZ/1 PH</t>
  </si>
  <si>
    <t>PALACIO DE HIERRO</t>
  </si>
  <si>
    <t>00003573</t>
  </si>
  <si>
    <t>Producto: 2110002827010103 / BISA COMAL 28 NEGRO MOTAS 6PZ/1 PH</t>
  </si>
  <si>
    <t>00003575</t>
  </si>
  <si>
    <t>Producto: 2142002127010103 / BISA TORTILLERO 18 NEGRO MOTAS 6PZ/1 PH</t>
  </si>
  <si>
    <t>Producto: 2130001416050103 / BISA PLATO LISO 12 BLANCO C/F NEGRO 6PZ/1 PH</t>
  </si>
  <si>
    <t>00003576</t>
  </si>
  <si>
    <t>Producto: 2112005016010103 / BISA CUCHARA MOKA BLANCO 6PZ/1 PH</t>
  </si>
  <si>
    <t>Producto: 2112005027010103 / BISA CUCHARA MOKA NEGRO MOTAS 6PZ/1 PH</t>
  </si>
  <si>
    <t>Producto: 2122000116040103 / BISA MULTIUSOS BLANCO C/F GRIS 6PZ/1 PH</t>
  </si>
  <si>
    <t>Producto: 2133000916050103 / BISA POCILLO 5 BLANCO C/F NEGRO 6PZ/1 PH</t>
  </si>
  <si>
    <t>Producto: 2133000927010103 / BISA POCILLO 5 NEGRO MOTAS 6PZ/1 PH</t>
  </si>
  <si>
    <t>Producto: 2133001227010103 / BISA POCILLO 8 NEGRO MOTAS 6PZ/1 PH</t>
  </si>
  <si>
    <t>Producto: 2130001727010103 / BISA PLATO LISO 16 NEGRO MOTAS 6PZ/1 PH</t>
  </si>
  <si>
    <t>Producto: 2123002027010103 / BISA MULTIUSOS RAYADO 17.5 NEGRO MOTAS 6PZ/1 PH</t>
  </si>
  <si>
    <t>ENRIQUE LOPEZ REYES</t>
  </si>
  <si>
    <t>00004880</t>
  </si>
  <si>
    <t>ERIC LOPEZ REYES</t>
  </si>
  <si>
    <t>00004881</t>
  </si>
  <si>
    <t>Producto: 2106002102010103 / BISA BUDINERA 18 A/T 6PZ/1 CF 746169031812</t>
  </si>
  <si>
    <t>CITY FRESKO</t>
  </si>
  <si>
    <t>00004882</t>
  </si>
  <si>
    <t>20/06/2025</t>
  </si>
  <si>
    <t>Producto: 2106002502010102 / BISA BUDINERA 24 A/T 4PZ/1 CF 746169032413</t>
  </si>
  <si>
    <t>Producto: 2106002512010102 / BISA BUDINERA 24 BIC NARANJA4PZ/1 CF 746169032420</t>
  </si>
  <si>
    <t>Producto: 2110002826010104 / BISA COMAL 28 NEGRO 12PZ/1 CF 746169002874</t>
  </si>
  <si>
    <t>Producto: 2124002102010103 / BISA OLLA CONVEXA 18 A/T 6PZ/1 CF 746169011814</t>
  </si>
  <si>
    <t>Producto: 2124002402010102 / BISA OLLA CONVEXA 22 A/T 4PZ/1 CF 746169012217</t>
  </si>
  <si>
    <t>Producto: 2125002202010103 / BISA OLLA RECTA 20 A/T 6PZ/1 CF 746169022018</t>
  </si>
  <si>
    <t>Producto: 2125002210010103 / BISA OLLA RECTA 20 BIC AZUL6PZ/1 CF 746169022032</t>
  </si>
  <si>
    <t>Producto: 2125002212010103 / BISA OLLA RECTA 20 BIC NARANJ6PZ/1 CF 746169022025</t>
  </si>
  <si>
    <t>Producto: 2125002214010103 / BISA OLLA RECTA 20 BIC ROJO6PZ/1 CF 746169022049</t>
  </si>
  <si>
    <t>Producto: 2125002510010102 / BISA OLLA RECTA 24 BIC AZUL 4PZ/1 CF 746169022438</t>
  </si>
  <si>
    <t>Producto: 2125002512010102 / BISA OLLA RECTA 24 BIC NARANJ4PZ/1 CF 746169022421</t>
  </si>
  <si>
    <t>Producto: 2125002514010102 / BISA OLLA RECTA 24 BIC ROJO 4PZ/1 CF 746169022445</t>
  </si>
  <si>
    <t>Producto: 2125002802010108 / BISA OLLA RECTA 28 A/T 2PZ/1 CF 746169022810</t>
  </si>
  <si>
    <t>Producto: 2133001501010703 / BISA POCILLO 14 DECORADO 6PZ/1 CF 746169141481</t>
  </si>
  <si>
    <t>Producto: 2133001502010103 / BISA POCILLO 14 A/T 6PZ/1 CF 746169041514</t>
  </si>
  <si>
    <t>Producto: 2133001510010103 / BISA POCILLO 14 BICOLOR AZUL 6PZ/1 CF 746169041439</t>
  </si>
  <si>
    <t>Producto: 2133001512010103 / BISA POCILLO 14 BIC NARANJA 6PZ/1 CF 746169041422</t>
  </si>
  <si>
    <t>Producto: 2133001514010103 / BISA POCILLO 14 BICOLOR ROJO 6PZ/1 CF 746169041446</t>
  </si>
  <si>
    <t>Producto: 2133000916050701 / BISA POCILLO 5 BLANCO C/F NEGRO DECORADO</t>
  </si>
  <si>
    <t>STARBUCKS</t>
  </si>
  <si>
    <t>23/06/2025</t>
  </si>
  <si>
    <t>ARMANDO AVILA AGUIRRE</t>
  </si>
  <si>
    <t>00004885</t>
  </si>
  <si>
    <t>24/06/2025</t>
  </si>
  <si>
    <t>MARIA GUADALUPE SANTIAGO HERNANDEZ</t>
  </si>
  <si>
    <t>00004886</t>
  </si>
  <si>
    <t>00004887</t>
  </si>
  <si>
    <t>CRISTALERIAS PARA EL HOGAR</t>
  </si>
  <si>
    <t>00004888</t>
  </si>
  <si>
    <t>00003577</t>
  </si>
  <si>
    <t>25/06/2025</t>
  </si>
  <si>
    <t>ELIZABETH AGUIRRE TORRES</t>
  </si>
  <si>
    <t>00004889</t>
  </si>
  <si>
    <t>00004890</t>
  </si>
  <si>
    <t>Producto: 2533001425010101 / SANSON POCILLO 12 NAVY W</t>
  </si>
  <si>
    <t>WALDO´S</t>
  </si>
  <si>
    <t>00004891</t>
  </si>
  <si>
    <t>Producto: 2533001527010101 / BISA POCILLO 14 NEGRO MOTAS W</t>
  </si>
  <si>
    <t>00004892</t>
  </si>
  <si>
    <t>00004893</t>
  </si>
  <si>
    <t>00004894</t>
  </si>
  <si>
    <t>00004895</t>
  </si>
  <si>
    <t>00004896</t>
  </si>
  <si>
    <t>00004897</t>
  </si>
  <si>
    <t>00004898</t>
  </si>
  <si>
    <t>00004899</t>
  </si>
  <si>
    <t>00004900</t>
  </si>
  <si>
    <t>00004901</t>
  </si>
  <si>
    <t>00000828</t>
  </si>
  <si>
    <t>Producto: 2130002216040101 / BISA PLATO LISO 20 BLANCO C/F GRIS</t>
  </si>
  <si>
    <t>Producto: 2132001721010101 / BISA PLATO TROQUELADO 16 GRIS</t>
  </si>
  <si>
    <t>Producto: 2132003021010101 / BISA PLATO TROQUELADO 32 GRIS</t>
  </si>
  <si>
    <t xml:space="preserve">Producto: 2152003227010101 / BISA PLATO OVAL 36 NEGRO MOTAS </t>
  </si>
  <si>
    <t>ARTICULO  --00</t>
  </si>
  <si>
    <t>MODELO ----0000</t>
  </si>
  <si>
    <t>COLOR ---- ---- 00--</t>
  </si>
  <si>
    <t>FILETE ---- ---- --00</t>
  </si>
  <si>
    <t>BACINICA</t>
  </si>
  <si>
    <t>S/I</t>
  </si>
  <si>
    <t>BANDEJA</t>
  </si>
  <si>
    <t>A/T</t>
  </si>
  <si>
    <t>AQUA</t>
  </si>
  <si>
    <t>BAÑO</t>
  </si>
  <si>
    <t>AMARILLO</t>
  </si>
  <si>
    <t>COBALTO</t>
  </si>
  <si>
    <t>BATERIA</t>
  </si>
  <si>
    <t>AMBAR</t>
  </si>
  <si>
    <t>GRIS</t>
  </si>
  <si>
    <t>BOTE BASURA</t>
  </si>
  <si>
    <t>NEGRO</t>
  </si>
  <si>
    <t xml:space="preserve">BUDINERA  </t>
  </si>
  <si>
    <t>AZUL</t>
  </si>
  <si>
    <t>NEVADO</t>
  </si>
  <si>
    <t>CAZO</t>
  </si>
  <si>
    <t>BERENJENA</t>
  </si>
  <si>
    <t>ROJO</t>
  </si>
  <si>
    <t>CAZUELA</t>
  </si>
  <si>
    <t>BICOLOR</t>
  </si>
  <si>
    <t>ROSA</t>
  </si>
  <si>
    <t>CHAROLA DE SERVICIO</t>
  </si>
  <si>
    <t>BICOLOR AMARILLO</t>
  </si>
  <si>
    <t>VERDE</t>
  </si>
  <si>
    <t>COMAL</t>
  </si>
  <si>
    <t>BICOLOR AZUL</t>
  </si>
  <si>
    <t>CUBETA</t>
  </si>
  <si>
    <t>BICOLOR COBALTO</t>
  </si>
  <si>
    <t xml:space="preserve">CAFÉ </t>
  </si>
  <si>
    <t>CUCHARA</t>
  </si>
  <si>
    <t>BICOLOR NARANJA</t>
  </si>
  <si>
    <t>CUCHILLO</t>
  </si>
  <si>
    <t>BICOLOR NEGRO MOTAS</t>
  </si>
  <si>
    <t>DESPACHADOR AGUA</t>
  </si>
  <si>
    <t>BICOLOR ROJO</t>
  </si>
  <si>
    <t>ENSALADERA</t>
  </si>
  <si>
    <t>BICOLOR VERDE</t>
  </si>
  <si>
    <t>FLORERO</t>
  </si>
  <si>
    <t xml:space="preserve">BLANCO </t>
  </si>
  <si>
    <t>FRESH CONTENEDOR</t>
  </si>
  <si>
    <t>FUENTE PARA HORNO</t>
  </si>
  <si>
    <t>COBALTO MOTAS</t>
  </si>
  <si>
    <t>JARRA RECTA</t>
  </si>
  <si>
    <t>GALVANIZADO</t>
  </si>
  <si>
    <t>JICARA</t>
  </si>
  <si>
    <t>GENERICO</t>
  </si>
  <si>
    <t>JUEGO</t>
  </si>
  <si>
    <t>MULTIUSOS</t>
  </si>
  <si>
    <t>HUMO</t>
  </si>
  <si>
    <t>MULTIUSOS RAYADO</t>
  </si>
  <si>
    <t>NARANJA</t>
  </si>
  <si>
    <t>OLLA CONVEXA</t>
  </si>
  <si>
    <t>NARANJA MOTAS</t>
  </si>
  <si>
    <t>OLLA RECTA</t>
  </si>
  <si>
    <t>NAVY</t>
  </si>
  <si>
    <t>PLATO AVENERO</t>
  </si>
  <si>
    <t>PLATO BASE</t>
  </si>
  <si>
    <t>NEGRO MOTAS</t>
  </si>
  <si>
    <t>PLATO BISTRO</t>
  </si>
  <si>
    <t>PLATO HONDO</t>
  </si>
  <si>
    <t>PLATO LISO</t>
  </si>
  <si>
    <t>ROJO MOTAS</t>
  </si>
  <si>
    <t>PLATO ROYAL</t>
  </si>
  <si>
    <t>PLATO TROQUELADO</t>
  </si>
  <si>
    <t>ROSA MOTAS</t>
  </si>
  <si>
    <t>POCILLO</t>
  </si>
  <si>
    <t>TITANIO</t>
  </si>
  <si>
    <t>POCILLO HERVIDOR</t>
  </si>
  <si>
    <t>TRASLUCIDO</t>
  </si>
  <si>
    <t>PORTAVASOS</t>
  </si>
  <si>
    <t>TRASLUCIDO AMBAR</t>
  </si>
  <si>
    <t>SARTEN</t>
  </si>
  <si>
    <t>TRASLUCIDO AZUL</t>
  </si>
  <si>
    <t>TAMALERA</t>
  </si>
  <si>
    <t>2.5 LTS</t>
  </si>
  <si>
    <t>TRASLUCIDO AZUL REY</t>
  </si>
  <si>
    <t>TAZA BISTRO</t>
  </si>
  <si>
    <t>19 LTS</t>
  </si>
  <si>
    <t>TRASLUCIDO BERENJENA</t>
  </si>
  <si>
    <t xml:space="preserve">TAZON </t>
  </si>
  <si>
    <t>75 LTS</t>
  </si>
  <si>
    <t>TRASLUCIDO HUMO</t>
  </si>
  <si>
    <t>TAZON INCLINADO</t>
  </si>
  <si>
    <t>400 ML</t>
  </si>
  <si>
    <t>TRASLUCIDO MORADO</t>
  </si>
  <si>
    <t>TENEDOR</t>
  </si>
  <si>
    <t xml:space="preserve">500 ML </t>
  </si>
  <si>
    <t>TRASLUCIDO ROJO</t>
  </si>
  <si>
    <t xml:space="preserve">TORTILLERO </t>
  </si>
  <si>
    <t>1500 ML</t>
  </si>
  <si>
    <t>TRASLUCIDO ROSA</t>
  </si>
  <si>
    <t>VAJILLA</t>
  </si>
  <si>
    <t>3+3</t>
  </si>
  <si>
    <t>TRASLUCIDO A/T</t>
  </si>
  <si>
    <t>VAPORERA</t>
  </si>
  <si>
    <t>5+5</t>
  </si>
  <si>
    <t>TRASLUCIDO VERDE</t>
  </si>
  <si>
    <t>VASO</t>
  </si>
  <si>
    <t>30X20</t>
  </si>
  <si>
    <t>TRASLUCIDO VERDE BOTELLA</t>
  </si>
  <si>
    <t>VASO AGUA</t>
  </si>
  <si>
    <t>40X30</t>
  </si>
  <si>
    <t>TRIGO/CREMA</t>
  </si>
  <si>
    <t>VASO OLD FASHION</t>
  </si>
  <si>
    <t>A</t>
  </si>
  <si>
    <t>VASO RECTO</t>
  </si>
  <si>
    <t>B</t>
  </si>
  <si>
    <t>VERDE BOTELLA</t>
  </si>
  <si>
    <t>CUCHARA DE SERVICIO</t>
  </si>
  <si>
    <t>CAFÉ</t>
  </si>
  <si>
    <t>VERDE MOTAS</t>
  </si>
  <si>
    <t>TAPA</t>
  </si>
  <si>
    <t>MOKA</t>
  </si>
  <si>
    <t>NAVY (WM)</t>
  </si>
  <si>
    <t>OLLA RECTA PROFUNDA</t>
  </si>
  <si>
    <t>SOPERA</t>
  </si>
  <si>
    <t>MORADO</t>
  </si>
  <si>
    <t>PLATO OVAL</t>
  </si>
  <si>
    <t>CHICO</t>
  </si>
  <si>
    <t>BICOLOR ROJO NEGRO</t>
  </si>
  <si>
    <t xml:space="preserve">ADORNO </t>
  </si>
  <si>
    <t>MEDIANO</t>
  </si>
  <si>
    <t>BICOLOR COBALTO MOTAS</t>
  </si>
  <si>
    <t>JARRA ABOMBADA</t>
  </si>
  <si>
    <t>GRANDE</t>
  </si>
  <si>
    <t>BICOLOR ROJO MOTAS</t>
  </si>
  <si>
    <t>PAVERA OVAL</t>
  </si>
  <si>
    <t>ALASKA</t>
  </si>
  <si>
    <t>BICOLOR TITANIO</t>
  </si>
  <si>
    <t>MODELO 430</t>
  </si>
  <si>
    <t>ALEGRIA</t>
  </si>
  <si>
    <t>BICOLOR A/T</t>
  </si>
  <si>
    <t>MODELO 630</t>
  </si>
  <si>
    <t>AROMA</t>
  </si>
  <si>
    <t>BICOLOR GRIS</t>
  </si>
  <si>
    <t>ECOFILTRO</t>
  </si>
  <si>
    <t>AZULEJO</t>
  </si>
  <si>
    <t>BICOLOR BLANCO</t>
  </si>
  <si>
    <t>CUBETA SIN ASA SIN OREJA</t>
  </si>
  <si>
    <t>BISTRO</t>
  </si>
  <si>
    <t>ARENA</t>
  </si>
  <si>
    <t>BODEGON</t>
  </si>
  <si>
    <t>NEGRO PIEDRA</t>
  </si>
  <si>
    <t>CAMPESTRE</t>
  </si>
  <si>
    <t>ENCORE</t>
  </si>
  <si>
    <t>LAVANDA</t>
  </si>
  <si>
    <t>LE COQ</t>
  </si>
  <si>
    <t>MARTINA</t>
  </si>
  <si>
    <t>MILENIA</t>
  </si>
  <si>
    <t>MOSCA EN EL PLATO</t>
  </si>
  <si>
    <t>PRIMAVERA</t>
  </si>
  <si>
    <t>VELO</t>
  </si>
  <si>
    <t>XOCHITL</t>
  </si>
  <si>
    <t>CON ASA</t>
  </si>
  <si>
    <t>CON TAPA</t>
  </si>
  <si>
    <t>TERNO BISTRO</t>
  </si>
  <si>
    <t>CERRADO MARINO</t>
  </si>
  <si>
    <t>KRYSTAL</t>
  </si>
  <si>
    <t>KRYSTAL 14 OZ</t>
  </si>
  <si>
    <t>KRYSTAL 19 OZ</t>
  </si>
  <si>
    <t>VISION 12 OZ</t>
  </si>
  <si>
    <t>POCILLO 5</t>
  </si>
  <si>
    <t>POCILLO 8</t>
  </si>
  <si>
    <t>TAZON INCLINADO 20</t>
  </si>
  <si>
    <t>PLATO 16</t>
  </si>
  <si>
    <t>PLATO 20</t>
  </si>
  <si>
    <t>20X8</t>
  </si>
  <si>
    <t>MARIMAR</t>
  </si>
  <si>
    <t>TROMPO</t>
  </si>
  <si>
    <t>MOÑO</t>
  </si>
  <si>
    <t>ARBOL</t>
  </si>
  <si>
    <t>ESFERA</t>
  </si>
  <si>
    <t>RELOJ</t>
  </si>
  <si>
    <t>CASCANUECES</t>
  </si>
  <si>
    <t>CAMPANA</t>
  </si>
  <si>
    <t>ESTRELLA</t>
  </si>
  <si>
    <t>COPO DE NIEVE</t>
  </si>
  <si>
    <t>BASTON</t>
  </si>
  <si>
    <t>3 L</t>
  </si>
  <si>
    <t>18"</t>
  </si>
  <si>
    <t>15"</t>
  </si>
  <si>
    <t>´---- 1022</t>
  </si>
  <si>
    <t>20 C/TAPA CRISTAL</t>
  </si>
  <si>
    <t>´---- 1025</t>
  </si>
  <si>
    <t>24 C/TAPA CRISTAL</t>
  </si>
  <si>
    <t xml:space="preserve">´---- </t>
  </si>
  <si>
    <t>26-28 C/TAPA CRISTAL</t>
  </si>
  <si>
    <t>FECHA VENTAS</t>
  </si>
  <si>
    <t>DESCRIPCION</t>
  </si>
  <si>
    <t>PRODUCTO</t>
  </si>
  <si>
    <t>COLOR</t>
  </si>
  <si>
    <t>CLIENTE</t>
  </si>
  <si>
    <t>DOCUMENTO</t>
  </si>
  <si>
    <t>FECHA CAPTURA</t>
  </si>
  <si>
    <t>FECHA DE VENTAS</t>
  </si>
  <si>
    <t>00004905</t>
  </si>
  <si>
    <t>01/07/2025</t>
  </si>
  <si>
    <t>Producto: 2142002117010101 / BISA TORTILLERO 18 COBALTO</t>
  </si>
  <si>
    <t>DISTRIBUIDORA ARTESANAL</t>
  </si>
  <si>
    <t>00003580</t>
  </si>
  <si>
    <t>09/07/2025</t>
  </si>
  <si>
    <t>GUADALUPE CARDENAS</t>
  </si>
  <si>
    <t>12/08/2025</t>
  </si>
  <si>
    <t>00000834</t>
  </si>
  <si>
    <t>30/06/2025</t>
  </si>
  <si>
    <t>00000835</t>
  </si>
  <si>
    <t>00000873</t>
  </si>
  <si>
    <t>GUTZA IMPORTS</t>
  </si>
  <si>
    <t>00004985</t>
  </si>
  <si>
    <t>21/10/2025</t>
  </si>
  <si>
    <t>00004986</t>
  </si>
  <si>
    <t>00004987</t>
  </si>
  <si>
    <t>Producto: 2144003302010101 / BISA VAPORERA 42 A/T</t>
  </si>
  <si>
    <t>Producto: 2148001502010101 / BISA VASO RECTO 14 CON ASA</t>
  </si>
  <si>
    <t>Producto: 2155009850010101 / BISA PAVERA 45.7  NAVY</t>
  </si>
  <si>
    <t>Producto: 2155010027010101 / BISA PAVERA 38 NEGRO MOTAS</t>
  </si>
  <si>
    <t>00000879</t>
  </si>
  <si>
    <t>00005022</t>
  </si>
  <si>
    <t>07/11/2025</t>
  </si>
  <si>
    <t>00005026</t>
  </si>
  <si>
    <t>11/11/2025</t>
  </si>
  <si>
    <t>Producto: 2151001502010101 / BISA VASO RECTO 14 CON TAPA</t>
  </si>
  <si>
    <t>Producto: 2130002216060101 / BISA PLATO LISO 20 BLANCO C/F NEVADO</t>
  </si>
  <si>
    <t>CAFE CANTALU</t>
  </si>
  <si>
    <t>MAB</t>
  </si>
  <si>
    <t>00000003</t>
  </si>
  <si>
    <t>12/11/2025</t>
  </si>
  <si>
    <t>Producto: 2133000916060101 / BISA POCILLO 5 BLANCO C/F NEVADO</t>
  </si>
  <si>
    <t>Producto: 2122000102010101 / BISA MULTIUSOS   A/T</t>
  </si>
  <si>
    <t>GARBHO DEL SURESTE</t>
  </si>
  <si>
    <t>00003620</t>
  </si>
  <si>
    <t>24/11/2025</t>
  </si>
  <si>
    <t>00005034</t>
  </si>
  <si>
    <t>27/11/2025</t>
  </si>
  <si>
    <t>00003621</t>
  </si>
  <si>
    <t>02/12/2025</t>
  </si>
  <si>
    <t>00000781</t>
  </si>
  <si>
    <t>05/12/2025</t>
  </si>
  <si>
    <t>00000022</t>
  </si>
  <si>
    <t>05/11/2025</t>
  </si>
  <si>
    <t>00000024</t>
  </si>
  <si>
    <t>14/10/2025</t>
  </si>
  <si>
    <t>00000893</t>
  </si>
  <si>
    <t>20/10/2025</t>
  </si>
  <si>
    <t>EL MESTIZO LA MEJOR</t>
  </si>
  <si>
    <t>00000895</t>
  </si>
  <si>
    <t>03/09/2025</t>
  </si>
  <si>
    <t>22/10/2025</t>
  </si>
  <si>
    <t>GRUPO EMPRESARIAL TENORIO</t>
  </si>
  <si>
    <t>00005043</t>
  </si>
  <si>
    <t>00003622</t>
  </si>
  <si>
    <t>16/12/2025</t>
  </si>
  <si>
    <t>Producto: 2139001216070101 / BISA TAZON 8 BLANCO C/F ROJO</t>
  </si>
  <si>
    <t>00000897</t>
  </si>
  <si>
    <t>00000896</t>
  </si>
  <si>
    <t>25/11/2025</t>
  </si>
  <si>
    <t>BUDINERA   24</t>
  </si>
  <si>
    <t>BICOLOR ROJO S/I</t>
  </si>
  <si>
    <t>PERLA JOSELINE</t>
  </si>
  <si>
    <t>00000898</t>
  </si>
  <si>
    <t>29/10/2025</t>
  </si>
  <si>
    <t>BUDINERA   26</t>
  </si>
  <si>
    <t>A/T S/I</t>
  </si>
  <si>
    <t>BUDINERA   30</t>
  </si>
  <si>
    <t>JUEGO 3+3</t>
  </si>
  <si>
    <t>S/I S/I</t>
  </si>
  <si>
    <t>JUEGO 5+5</t>
  </si>
  <si>
    <t>BUDINERA   20</t>
  </si>
  <si>
    <t>OLLA CONVEXA 14</t>
  </si>
  <si>
    <t>OLLA CONVEXA 30</t>
  </si>
  <si>
    <t>OLLA RECTA 20</t>
  </si>
  <si>
    <t>POCILLO 14</t>
  </si>
  <si>
    <t>VASO RECTO 14</t>
  </si>
  <si>
    <t>BICOLOR NARANJA S/I</t>
  </si>
  <si>
    <t>MIGUEL MANCILLA CASIMIRO</t>
  </si>
  <si>
    <t>00000899</t>
  </si>
  <si>
    <t>SARTEN 24</t>
  </si>
  <si>
    <t>BUDINERA   22</t>
  </si>
  <si>
    <t>BUDINERA   34</t>
  </si>
  <si>
    <t>OLLA RECTA 30</t>
  </si>
  <si>
    <t xml:space="preserve">DAVID GARCIA </t>
  </si>
  <si>
    <t>00000900</t>
  </si>
  <si>
    <t>03/12/2025</t>
  </si>
  <si>
    <t>00000901</t>
  </si>
  <si>
    <t>TORTILLERO  18</t>
  </si>
  <si>
    <t>NEGRO S/I</t>
  </si>
  <si>
    <t>00000902</t>
  </si>
  <si>
    <t>10/11/2025</t>
  </si>
  <si>
    <t>ROJO S/I</t>
  </si>
  <si>
    <t>PLATO LISO 20</t>
  </si>
  <si>
    <t>BLANCO  GRIS</t>
  </si>
  <si>
    <t>PLATO LISO 24</t>
  </si>
  <si>
    <t>BLANCO  NEGRO</t>
  </si>
  <si>
    <t>PLATO LISO 27</t>
  </si>
  <si>
    <t>Producto: 2132001726010101 / BISA PLATO TROQUELADO 16 NEGRO</t>
  </si>
  <si>
    <t>PLATO TROQUELADO 16</t>
  </si>
  <si>
    <t>PLATO TROQUELADO 32</t>
  </si>
  <si>
    <t>GRIS S/I</t>
  </si>
  <si>
    <t>TAZON  8</t>
  </si>
  <si>
    <t>PLATO OVAL 36</t>
  </si>
  <si>
    <t>PLATO OVAL 32</t>
  </si>
  <si>
    <t>00000903</t>
  </si>
  <si>
    <t>CUBETA 12</t>
  </si>
  <si>
    <t>NEGRO MOTAS S/I</t>
  </si>
  <si>
    <t>OLLA RECTA 24</t>
  </si>
  <si>
    <t>BUDINERA   12</t>
  </si>
  <si>
    <t>ABASTEHOGAR MONTERREY</t>
  </si>
  <si>
    <t>00000904</t>
  </si>
  <si>
    <t>MAYOREO DE CRISTALERIA</t>
  </si>
  <si>
    <t>00000905</t>
  </si>
  <si>
    <t>00005044</t>
  </si>
  <si>
    <t>18/12/2025</t>
  </si>
  <si>
    <t>Producto: 2106002510010102 / BISA BUDINERA 24 BIC AZUL 4PZ/1 CF 746169032437</t>
  </si>
  <si>
    <t>DALMACIO</t>
  </si>
  <si>
    <t>00000786</t>
  </si>
  <si>
    <t>19/12/2025</t>
  </si>
  <si>
    <t>00000785</t>
  </si>
  <si>
    <t>OFELIA ALVAREZ</t>
  </si>
  <si>
    <t>00005046</t>
  </si>
  <si>
    <t>00005047</t>
  </si>
  <si>
    <t>Producto: 2406002525010101 / IMU 4.5QT ENAMEL  DUTCH OVEN BLUE  C20666-1014610W</t>
  </si>
  <si>
    <t>00001075</t>
  </si>
  <si>
    <t>Producto: 2407001525010101 / IMU 1.25 ENAMEL SAUCE PAN BLUE      C20666-1017710</t>
  </si>
  <si>
    <t>Producto: 2425002525010101 / IMU 7.75QT ENAMEL STOCK POT BLUE C20666-10636W</t>
  </si>
  <si>
    <t>Producto: 2455009825010101 / IMU 18" COVERED ROASTER BLUE          C20666-10664</t>
  </si>
  <si>
    <t>Producto: 2406002527010101 / MIR 4.5QT ENAMEL DUTCH OVEN (24) BLACK  MIR-10701</t>
  </si>
  <si>
    <t>Producto: 2407001527010101 / MIR 1.0 Qt  ENAMEL SAUCE PAN BLACK 14 CM  MI-10709</t>
  </si>
  <si>
    <t xml:space="preserve">Producto: 2424002127010101 / MIR 3.0 Qt ENAMEL CONVEX KETTLE BLACK - 2.8       </t>
  </si>
  <si>
    <t>00001077</t>
  </si>
  <si>
    <t>Producto: 2142002121010103 / BISA TORTILLERO 18 GRIS 6PZ/1 PH</t>
  </si>
  <si>
    <t>00003623</t>
  </si>
  <si>
    <t>17/12/2025</t>
  </si>
  <si>
    <t>00003624</t>
  </si>
  <si>
    <t>Producto: 2119003727010108 / BISA JARRA RECTA 2.5LTS NEGRO MOTAS 2PZ/1 PH</t>
  </si>
  <si>
    <t>Producto: 2133001216050103 / BISA POCILLO 8 BLANCO C/F NEGRO 6PZ/1 PH</t>
  </si>
  <si>
    <t>Producto: 2109003416010401 / BISA CHAROLA DE SERVICIO 45 BLANCO LE COQ PH</t>
  </si>
  <si>
    <t>00003625</t>
  </si>
  <si>
    <t>Producto: 2130002216050103 / BISA PLATO LISO 20 BLANCO C/F NEGRO 6PZ/1 PH</t>
  </si>
  <si>
    <t>Producto: 2106001416040103 / BISA BUDINERA 12 BLANCO C/F GRIS 6PZ/1 PH</t>
  </si>
  <si>
    <t>Producto: 2122000121010103 / BISA MULTIUSOS GRIS 6PZ/1 PH</t>
  </si>
  <si>
    <t>Producto: 2139001627010103 / BISA TAZON 15.5 NEGRO MOTAS 6PZ/1 PH</t>
  </si>
  <si>
    <t>Producto: 2130001716050103 / BISA PLATO LISO 16 BLANCO C/F NEGRO 6PZ/1 PH</t>
  </si>
  <si>
    <t>LA COMERCIAL DE TEHUACAN</t>
  </si>
  <si>
    <t>00000906</t>
  </si>
  <si>
    <t>06/11/2025</t>
  </si>
  <si>
    <t>CARLOS GONZALEZ</t>
  </si>
  <si>
    <t>00000880</t>
  </si>
  <si>
    <t>SARTEN 22</t>
  </si>
  <si>
    <t>IMPULSORA DE CRISTALERIAS TENORIO</t>
  </si>
  <si>
    <t>00000907</t>
  </si>
  <si>
    <t>15/08/2025</t>
  </si>
  <si>
    <t>VAPORERA 34</t>
  </si>
  <si>
    <t>00000908</t>
  </si>
  <si>
    <t>29/10/2024</t>
  </si>
  <si>
    <t>PEDRO SANTIAGO</t>
  </si>
  <si>
    <t>00000787</t>
  </si>
  <si>
    <t>05/01/2026</t>
  </si>
  <si>
    <t>CRISTALERIAS PARA EL HOGAR VEANA</t>
  </si>
  <si>
    <t>00005054</t>
  </si>
  <si>
    <t xml:space="preserve">SANVER FORTE  </t>
  </si>
  <si>
    <t>00005056</t>
  </si>
  <si>
    <t>06/01/2026</t>
  </si>
  <si>
    <t>Producto: 1202000719010101 / POP BANDEJA 3 GALVANIZADO</t>
  </si>
  <si>
    <t>00005055</t>
  </si>
  <si>
    <t>Producto: 1203004719010101 / POP BAÑO A GALVANIZADO</t>
  </si>
  <si>
    <t>Producto: 1203004819010101 / POP BAÑO B GALVANIZADO</t>
  </si>
  <si>
    <t>Producto: 1211001019011401 / POP CUBETA 6 GALVANIZADO S</t>
  </si>
  <si>
    <t>Producto: 1211001219011401 / POP CUBETA 8 GALVANIZADO S</t>
  </si>
  <si>
    <t>Producto: 1211001319011401 / POP CUBETA 10 GALVANIZADO S</t>
  </si>
  <si>
    <t>Producto: 1211000919011401 / POP CUBETA 5 GALNAVIZADO S</t>
  </si>
  <si>
    <t>00005059</t>
  </si>
  <si>
    <t>00005057</t>
  </si>
  <si>
    <t>Producto: 2118004616050101 / BISA FUENTE P/HORNO 40X30 BLANCO C/F NEGRO</t>
  </si>
  <si>
    <t>00005058</t>
  </si>
  <si>
    <t>MA DE LOS ANGELES</t>
  </si>
  <si>
    <t>00000909</t>
  </si>
  <si>
    <t>30/10/2025</t>
  </si>
  <si>
    <t>BICOLOR AZUL S/I</t>
  </si>
  <si>
    <t>00005048</t>
  </si>
  <si>
    <t>00005049</t>
  </si>
  <si>
    <t>00005050</t>
  </si>
  <si>
    <t>00005051</t>
  </si>
  <si>
    <t>00005052</t>
  </si>
  <si>
    <t xml:space="preserve">CRISTALERIA LA VIOLETA  </t>
  </si>
  <si>
    <t>00005060</t>
  </si>
  <si>
    <t>Producto: 2144002502010101 / BISA VAPORERA 24 A/T</t>
  </si>
  <si>
    <t>00005063</t>
  </si>
  <si>
    <t>Producto: 2130001416050101 / BISA PLATO LISO 12 BLANCO C/F NEGRO</t>
  </si>
  <si>
    <t>00003626</t>
  </si>
  <si>
    <t>00003627</t>
  </si>
  <si>
    <t>00005064</t>
  </si>
  <si>
    <t>07/01/2026</t>
  </si>
  <si>
    <t>00005065</t>
  </si>
  <si>
    <t>00000911</t>
  </si>
  <si>
    <t>17/07/2025</t>
  </si>
  <si>
    <t>00000910</t>
  </si>
  <si>
    <t>REYNALDO DOMINGUEZ ROMERO</t>
  </si>
  <si>
    <t>00005067</t>
  </si>
  <si>
    <t>13/01/2026</t>
  </si>
  <si>
    <t xml:space="preserve">CITY FRESKO  </t>
  </si>
  <si>
    <t>00005069</t>
  </si>
  <si>
    <t>15/01/2026</t>
  </si>
  <si>
    <t>Producto: 2106002514010102 / BISA BUDINERA 24 BIC ROJO 4PZ/1 CF 746169032444</t>
  </si>
  <si>
    <t>Producto: 2106002502010104 / BISA BUDINERA 24 A/T 12PZ/1 TG</t>
  </si>
  <si>
    <t xml:space="preserve">TIENDA GARCES </t>
  </si>
  <si>
    <t>00005068</t>
  </si>
  <si>
    <t>Producto: 2106002602010104 / BISA BUDINERA 26 A/T 12PZ/1 TG</t>
  </si>
  <si>
    <t>Producto: 2107001502010104 / BISA CAZO 14 A/T 12PZ/1 TG</t>
  </si>
  <si>
    <t>Producto: 2124002102010104 / BISA OLLA CONVEXA 18 A/T 12PZ/1 TG</t>
  </si>
  <si>
    <t>Producto: 2124002402010103 / BISA OLLA CONVEXA 22 A/T 6PZ/1 TG</t>
  </si>
  <si>
    <t>Producto: 2124002502010103 / BISA OLLA CONVEXA 24 A/T 6PZ/1 TG</t>
  </si>
  <si>
    <t>Producto: 2125002202010104 / BISA OLLA RECTA 20 A/T 12PZ/1 TG</t>
  </si>
  <si>
    <t>Producto: 2133001202010107 / BISA POCILLO 8 A/T 24PZ/1 TG</t>
  </si>
  <si>
    <t>Producto: 2133001302010107 / BISA POCILLO 10 A/T 24PZ/1 TG</t>
  </si>
  <si>
    <t>Producto: 2133001402010104 / BISA POCILLO 12 A/T 12PZ/1 TG</t>
  </si>
  <si>
    <t>Producto: 2148001502010104 / BISA VASO RECTO 14 A/T 12PZ/1 TG</t>
  </si>
  <si>
    <t>Producto: 2125002402010103 / BISA OLLA RECTA 22 A/T 6PZ/1 TG</t>
  </si>
  <si>
    <t>Producto: 2110002827010104 / BISA COMAL 28 NEGRO MOTAS 12PZ/1 TG</t>
  </si>
  <si>
    <t>Producto: 2106001702010106 / BISA BUDINERA 16 A/T 18PZS/1 TG</t>
  </si>
  <si>
    <t>Producto: 2145001227010101 / BISA VASO 8 NEGRO MOTAS</t>
  </si>
  <si>
    <t>OSCAR URIEL MARTINEZ CALDERON</t>
  </si>
  <si>
    <t>00000861</t>
  </si>
  <si>
    <t>29/07/2025</t>
  </si>
  <si>
    <t>00004945</t>
  </si>
  <si>
    <t>27/08/2025</t>
  </si>
  <si>
    <t>Producto: 2143006301010101 / BISA VAJILLA LAVANDA 24 PZ</t>
  </si>
  <si>
    <t xml:space="preserve">Producto: 2143006701010101 / BISA VAJILLA MOSCA EN EL PLATO  PH </t>
  </si>
  <si>
    <t>Producto: 2143006901010101 / BISA VAJILLA VELO 24 PZ</t>
  </si>
  <si>
    <t>Producto: 2143007401010101 / BISA VAJILLA CERRADO MARINO C</t>
  </si>
  <si>
    <t>00005070</t>
  </si>
  <si>
    <t>16/01/2026</t>
  </si>
  <si>
    <t>00005071</t>
  </si>
  <si>
    <t>00005072</t>
  </si>
  <si>
    <t>00005073</t>
  </si>
  <si>
    <t>00005074</t>
  </si>
  <si>
    <t>00005075</t>
  </si>
  <si>
    <t>Producto: 2133001221010701 / BISA POCILLO 8 GRIS DECORADO</t>
  </si>
  <si>
    <t>FERNANDO CONTRERAS   </t>
  </si>
  <si>
    <t>00003628</t>
  </si>
  <si>
    <t>AGUSTIN LORENZO CASTILLO CASTILLO</t>
  </si>
  <si>
    <t>00005076</t>
  </si>
  <si>
    <t>PLASTICOS ZAMPA</t>
  </si>
  <si>
    <t>00005077</t>
  </si>
  <si>
    <t>19/01/2026</t>
  </si>
  <si>
    <t>ROSA MARIA SANCHEZ CHAVEZ</t>
  </si>
  <si>
    <t>00005078</t>
  </si>
  <si>
    <t>20/01/2026</t>
  </si>
  <si>
    <t xml:space="preserve">JULIAN GACRIA HUERTA </t>
  </si>
  <si>
    <t>00005079</t>
  </si>
  <si>
    <t>00005080</t>
  </si>
  <si>
    <t>QUIEN TIENE TIENDA</t>
  </si>
  <si>
    <t>00003587</t>
  </si>
  <si>
    <t>24/07/2025</t>
  </si>
  <si>
    <t xml:space="preserve">FERRETERO DE ALBA </t>
  </si>
  <si>
    <t xml:space="preserve">SURTIDORA DE PLASTICOS DE COLIMA  </t>
  </si>
  <si>
    <t>00005062</t>
  </si>
  <si>
    <t>LL USA LLC</t>
  </si>
  <si>
    <t>00004931</t>
  </si>
  <si>
    <t>Producto: 2130002216050701 / BISA PLATO LISO 20 BLANCO C/F NEGRO DECORADO</t>
  </si>
  <si>
    <t>Producto: 2330003020010101 / SANSON PLATO LISO 32 GENERICO</t>
  </si>
  <si>
    <t>Producto: 2133000926010701 / BISA POCILLO 5 NEGRO DECORADO</t>
  </si>
  <si>
    <t>Producto: 2140002412050101 / BISA TAZON INCLINADO 22 BICOLOR NARANJA</t>
  </si>
  <si>
    <t>Producto: 2133000912050101 / BISA POCILLO 5 BICOLOR NARANJA</t>
  </si>
  <si>
    <t>Producto: 2138000126010701 / BISA TAZA BISTRO  NEGRO DECORADO</t>
  </si>
  <si>
    <t>Producto: 2145001227010701 / BISA VASO 8 NEGRO MOTAS DECPRADO</t>
  </si>
  <si>
    <t>Producto: 2130001727010701 / BISA PLATO LISO 16 NEGRO MOTAS DECORADO</t>
  </si>
  <si>
    <t>LL SL</t>
  </si>
  <si>
    <t>00004928</t>
  </si>
  <si>
    <t>LL SJC</t>
  </si>
  <si>
    <t>00004929</t>
  </si>
  <si>
    <t>LL CABO DE SOL</t>
  </si>
  <si>
    <t>00004930</t>
  </si>
  <si>
    <t>00001071</t>
  </si>
  <si>
    <t>25/09/2025</t>
  </si>
  <si>
    <t>00000881</t>
  </si>
  <si>
    <t>20/11/2025</t>
  </si>
  <si>
    <t>HOSPITALITY SERVICE MAYA</t>
  </si>
  <si>
    <t>00003616</t>
  </si>
  <si>
    <t>Producto: 1111002119010101 / BISA CUBETA 18 GALVANIZADO</t>
  </si>
  <si>
    <t>Producto: 2123001802010101 / BISA MULTIUSOS RAYADO 15.5 A/T</t>
  </si>
  <si>
    <t>Producto: 2154009717010101 / BISA JARRA ABOMBADA 3L COBALTO</t>
  </si>
  <si>
    <t>BUDINERA   18</t>
  </si>
  <si>
    <t>00005053</t>
  </si>
  <si>
    <t>COMAL 28</t>
  </si>
  <si>
    <t>OLLA CONVEXA 18</t>
  </si>
  <si>
    <t>OLLA CONVEXA 22</t>
  </si>
  <si>
    <t>OLLA RECTA 28</t>
  </si>
  <si>
    <t>00000884</t>
  </si>
  <si>
    <t>03/11/2025</t>
  </si>
  <si>
    <t>00000888</t>
  </si>
  <si>
    <t>00000887</t>
  </si>
  <si>
    <t>00000886</t>
  </si>
  <si>
    <t>Producto: 2106002202010106 / BISA BUDINERA 20 A/T 18PZ/1 TG</t>
  </si>
  <si>
    <t>00005045</t>
  </si>
  <si>
    <t>Producto: 2124002202010104 / BISA OLLA CONVEXA 20 A/T 12PZ/1 TG</t>
  </si>
  <si>
    <t>Producto: 2106002102010106 / BISA BUDINERA 18 A/T 18PZ/1 TG</t>
  </si>
  <si>
    <t>Producto: 2106001502010106 / BISA BUDINERA 14 A/T 18PZS/1 TG</t>
  </si>
  <si>
    <t>00000882</t>
  </si>
  <si>
    <t>08/10/2025</t>
  </si>
  <si>
    <t>00000889</t>
  </si>
  <si>
    <t>21/11/2025</t>
  </si>
  <si>
    <t>00001072</t>
  </si>
  <si>
    <t>POCILLO 12</t>
  </si>
  <si>
    <t>NAVY S/I</t>
  </si>
  <si>
    <t>00000019</t>
  </si>
  <si>
    <t xml:space="preserve">CANCELADOS </t>
  </si>
  <si>
    <t>FRANCISCO SANTIAGO</t>
  </si>
  <si>
    <t>00000766</t>
  </si>
  <si>
    <t>00000767</t>
  </si>
  <si>
    <t>00000829</t>
  </si>
  <si>
    <t>27/06/2025</t>
  </si>
  <si>
    <t>28/08/2025</t>
  </si>
  <si>
    <t>24/11/2026</t>
  </si>
  <si>
    <t>Producto: 2133000926010115 / BISA POCILLO 5 NEGRO S</t>
  </si>
  <si>
    <t>COSTCO</t>
  </si>
  <si>
    <t>ANFORAMA</t>
  </si>
  <si>
    <t>LIVERPOOL</t>
  </si>
  <si>
    <t>SANVER</t>
  </si>
  <si>
    <t>GRUPO FERRETERO DE ALBA</t>
  </si>
  <si>
    <t>CONSORCIO FERRETERO ALVAREZ</t>
  </si>
  <si>
    <t>VEANA</t>
  </si>
  <si>
    <t>Armando Avila Aguirre</t>
  </si>
  <si>
    <t>ROSELIA MILLAN CASTAÑEDA</t>
  </si>
  <si>
    <t>ALEJANDRO RIVAS JARAMILLO</t>
  </si>
  <si>
    <t>RESTAURANTE COPPLA</t>
  </si>
  <si>
    <t>BASARI LOUNGE</t>
  </si>
  <si>
    <t>LUIS ANTONIO MARTINEZ</t>
  </si>
  <si>
    <t>ALMACERA</t>
  </si>
  <si>
    <t xml:space="preserve">COMERCIALIZADORA GABY </t>
  </si>
  <si>
    <t>GAS NATURAL DEL NOROESTE</t>
  </si>
  <si>
    <t>ZAMUDIO</t>
  </si>
  <si>
    <t>Producto: 2133000916030101 / BISA POCILLO 5 BLANCO C/F COBALTO</t>
  </si>
  <si>
    <t>CRISTALERIA LA UNICA</t>
  </si>
  <si>
    <t>TODO PARA SU COCINA</t>
  </si>
  <si>
    <t>Producto: 2122000116070101 / BISA MULTIUSOS BLANCO C/F ROJO</t>
  </si>
  <si>
    <t>Producto: 2139001216040101 / BISA TAZON 8 BLANCO C/F GRIS</t>
  </si>
  <si>
    <t>EL PALACIO DE HIERRO</t>
  </si>
  <si>
    <t>ALMACENES CARBALLO</t>
  </si>
  <si>
    <t xml:space="preserve">SLIDERS BURGER </t>
  </si>
  <si>
    <t>GRUPO MEXICANO DE DISEÑO Y DIST. DE ARTICULOS</t>
  </si>
  <si>
    <t xml:space="preserve">GRUPO MEXICANO </t>
  </si>
  <si>
    <t xml:space="preserve">ALEJANDRO RIVAS </t>
  </si>
  <si>
    <t>GRECIA FERNANDA CABRERA BUSTAMANTE</t>
  </si>
  <si>
    <t>MIGUEL MANCILLA</t>
  </si>
  <si>
    <t>CORPORATIVO AEZKOA</t>
  </si>
  <si>
    <t xml:space="preserve">TENORIO JIMENEZ </t>
  </si>
  <si>
    <t>MANUEL VAZQUEZ</t>
  </si>
  <si>
    <t>HYATT OF BAJA</t>
  </si>
  <si>
    <t xml:space="preserve">JOSE EMISEL </t>
  </si>
  <si>
    <t>RAMIREZ VELARDE PERLA YURIDIA</t>
  </si>
  <si>
    <t xml:space="preserve">PEDRO ANGELES GILDARDO </t>
  </si>
  <si>
    <t xml:space="preserve">IMPULSORA </t>
  </si>
  <si>
    <t>KALIKUA</t>
  </si>
  <si>
    <t>JORGE ALBERTO DE LAS CASAS</t>
  </si>
  <si>
    <t xml:space="preserve">JOSE MISEL </t>
  </si>
  <si>
    <t xml:space="preserve">BENQUE HOSPITALITY </t>
  </si>
  <si>
    <t xml:space="preserve">SERGIO ERICK </t>
  </si>
  <si>
    <t xml:space="preserve">CONSORCIO FERRETERO </t>
  </si>
  <si>
    <t xml:space="preserve">KEVIN ALONSO </t>
  </si>
  <si>
    <t xml:space="preserve">CINE TONALA </t>
  </si>
  <si>
    <t>JULIÁN GARCÍA HUERTA</t>
  </si>
  <si>
    <t>ROSA MARÍA SÁNCHEZ CHÁVEZ</t>
  </si>
  <si>
    <t>PROMTY MONTERREY</t>
  </si>
  <si>
    <t>BANQUETES AMBROSIA</t>
  </si>
  <si>
    <t>LA COCINA DEL BIZCO</t>
  </si>
  <si>
    <t>MARIA DEL PILAR ANGELINA MARQUEZ POZOS</t>
  </si>
  <si>
    <t>FRANCISCO JAVIER SANCHEZ MENDOZA</t>
  </si>
  <si>
    <t xml:space="preserve">TAD HILTON </t>
  </si>
  <si>
    <t xml:space="preserve">ALANCAR </t>
  </si>
  <si>
    <t>XDIFICA</t>
  </si>
  <si>
    <t xml:space="preserve">EL REY DEL COME TODO </t>
  </si>
  <si>
    <t>MARIA DE LOS ANGELES MARTINEZ FLORES</t>
  </si>
  <si>
    <t xml:space="preserve">MARIA DEL CARMEN </t>
  </si>
  <si>
    <t>BEATRIZ MARTINEZ ROJAS</t>
  </si>
  <si>
    <t>ONESIMO GARCIA</t>
  </si>
  <si>
    <t>MA DE LOS ANGELES MARTINEZ FLORES</t>
  </si>
  <si>
    <t>MAURICIO GUTIERREZ LOSADA</t>
  </si>
  <si>
    <t>KRISTEL ALONDRA CHACON HERNANDEZ</t>
  </si>
  <si>
    <t xml:space="preserve">TAQUERIA SUIZA </t>
  </si>
  <si>
    <t>LUIS CARLOS FIERRO VALVERDE</t>
  </si>
  <si>
    <t>AGUA DE CHILE</t>
  </si>
  <si>
    <t>ALMARINEROS</t>
  </si>
  <si>
    <t>FABIOLA TANUS MEOUCHI</t>
  </si>
  <si>
    <t>TACOS REMOLKITO</t>
  </si>
  <si>
    <t>SURTIDORA DE PLASTICOS DE COLIMA</t>
  </si>
  <si>
    <t>JOSE DE ALBA DE ANDA</t>
  </si>
  <si>
    <t>Cristaleria Martinez</t>
  </si>
  <si>
    <t xml:space="preserve">THE HAPPY FAMILY DISCOUNT </t>
  </si>
  <si>
    <t>COSTCO DE MEXICO</t>
  </si>
  <si>
    <t>JOSE EMISEL PACHECO CORDOVA</t>
  </si>
  <si>
    <t>GRUPO EMPRESARIAL DE EQUIPOS DE COCINA</t>
  </si>
  <si>
    <t>Leonides Carmen Aguirre</t>
  </si>
  <si>
    <t>MARIA DEL CARMEN AMEZCUA</t>
  </si>
  <si>
    <t>LA BARRA MASARYK</t>
  </si>
  <si>
    <t>LEONCIO MARTINEZ</t>
  </si>
  <si>
    <t>ANDREA MELCHOR RIVAS</t>
  </si>
  <si>
    <t>CAFÉ  CANTALU</t>
  </si>
  <si>
    <t>FERRETERO DE ALBA</t>
  </si>
  <si>
    <t>SUCESORES DE IGNACIO DE LA MORA</t>
  </si>
  <si>
    <t>HYATT</t>
  </si>
  <si>
    <t>AGUSTIN LORENZO CASTILLO</t>
  </si>
  <si>
    <t>WAJIRO DREAM</t>
  </si>
  <si>
    <t>BEATRIZ MARTINEZ</t>
  </si>
  <si>
    <t>PROVENSA SPIRITUS</t>
  </si>
  <si>
    <t>SERGIO ERIK RAMIREZ PAYAN</t>
  </si>
  <si>
    <t>REGULO FLORES VASQUEZ</t>
  </si>
  <si>
    <t>EL QUE PEGA PRIMERO PEGA DOS VECES</t>
  </si>
  <si>
    <t>ELVIRA MORIYA SANCHEZ</t>
  </si>
  <si>
    <t>PALSTICOS DE COLIMA</t>
  </si>
  <si>
    <t>ROBERTO ARMIJO</t>
  </si>
  <si>
    <t>LEONARDO MARTINEZ HERNANDEZ</t>
  </si>
  <si>
    <t>PROVEEDORA DE UTENCILIOS</t>
  </si>
  <si>
    <t xml:space="preserve">VERVE CULTURE LLC </t>
  </si>
  <si>
    <t>LA COVACHA</t>
  </si>
  <si>
    <t>PLASTICOS LAS BRISAS</t>
  </si>
  <si>
    <t xml:space="preserve">ANA BEAVEN </t>
  </si>
  <si>
    <t>ABASTEHOGAR TORREON</t>
  </si>
  <si>
    <t>Producto: 2123001816050101 / BISA MULTIUSOS RAYADO 15.5 BLANCO C/F NEGRO</t>
  </si>
  <si>
    <t>Días de entrega</t>
  </si>
  <si>
    <t>Piezas pedidas</t>
  </si>
  <si>
    <t>Piezas asignadas</t>
  </si>
  <si>
    <t>Piezas x entregar</t>
  </si>
  <si>
    <t>Porcentaje de cumplimiento</t>
  </si>
  <si>
    <t>Días de entrega promedio</t>
  </si>
  <si>
    <t>Faltantes por entregar</t>
  </si>
  <si>
    <t>Porcentaje de entrega</t>
  </si>
  <si>
    <t>00003629</t>
  </si>
  <si>
    <t>21/01/2026</t>
  </si>
  <si>
    <t>00005081</t>
  </si>
  <si>
    <t>22/01/2026</t>
  </si>
  <si>
    <t xml:space="preserve">PLASTICOS RIVAMAR  </t>
  </si>
  <si>
    <t>00005082</t>
  </si>
  <si>
    <t>00005083</t>
  </si>
  <si>
    <t>00005085</t>
  </si>
  <si>
    <t>MARIA ELENA CHAVARRIA VAZQUEZ</t>
  </si>
  <si>
    <t>00005086</t>
  </si>
  <si>
    <t>23/01/2026</t>
  </si>
  <si>
    <t>00005087</t>
  </si>
  <si>
    <t>ID</t>
  </si>
  <si>
    <t>CARTERA CLIENTES 2025 Y 2026</t>
  </si>
  <si>
    <t>AAA COMERCIALIZADORA DE PLASTICOS LILIANT</t>
  </si>
  <si>
    <t>AAA GARCÉS</t>
  </si>
  <si>
    <t>AAA PLASTICOS LILIANT</t>
  </si>
  <si>
    <t>AAA TIENDA GARCES</t>
  </si>
  <si>
    <t>CAFÉ SIRENA</t>
  </si>
  <si>
    <t>00003630</t>
  </si>
  <si>
    <t>26/01/2026</t>
  </si>
  <si>
    <t xml:space="preserve">Producto: 2129002726010101 / BISA PLATO HONDO 27 NEGRO   </t>
  </si>
  <si>
    <t>00005088</t>
  </si>
  <si>
    <t>ERIKA RODRIGUEZ DEL MORAL</t>
  </si>
  <si>
    <t>00005089</t>
  </si>
  <si>
    <t>00005090</t>
  </si>
  <si>
    <t>00005091</t>
  </si>
  <si>
    <t>JOSE LUIS SANTIAGO SANCHEZ</t>
  </si>
  <si>
    <t>00005092</t>
  </si>
  <si>
    <t>27/01/2026</t>
  </si>
  <si>
    <t>Producto: 1103004819010101 / BISA BAÑO B GALVANIZADO</t>
  </si>
  <si>
    <t>00000790</t>
  </si>
  <si>
    <t xml:space="preserve">LUIS ANTONIO MARTINEZ </t>
  </si>
  <si>
    <t>BAÑO 10</t>
  </si>
  <si>
    <t>GALVANIZADO S/I</t>
  </si>
  <si>
    <t>BAÑO 12</t>
  </si>
  <si>
    <t>BACINICA 24</t>
  </si>
  <si>
    <t>FUENTE PARA HORNO 40X30</t>
  </si>
  <si>
    <t>29/01/2026</t>
  </si>
  <si>
    <t>30/01/2026</t>
  </si>
  <si>
    <t xml:space="preserve">DALMACIO </t>
  </si>
  <si>
    <t>00005094</t>
  </si>
  <si>
    <t>00005095</t>
  </si>
  <si>
    <t>CRISTALERIAS PARA EL HOGAR  VEANA</t>
  </si>
  <si>
    <t xml:space="preserve">GRUPO CRISTALERO HETO  </t>
  </si>
  <si>
    <t>00005096</t>
  </si>
  <si>
    <t xml:space="preserve">DIRECCION DE ENTREGA </t>
  </si>
  <si>
    <t>00000883</t>
  </si>
  <si>
    <t>00000912</t>
  </si>
  <si>
    <t>00000913</t>
  </si>
  <si>
    <t>00000914</t>
  </si>
  <si>
    <t>03/02/2026</t>
  </si>
  <si>
    <t>Producto: 2148007102010101 / BISA VASO RECTO 14 CON ASA</t>
  </si>
  <si>
    <t>Producto: 2148007202010101 / BISA VASO RECTO 14 CON TAPA</t>
  </si>
  <si>
    <t>00005097</t>
  </si>
  <si>
    <t>00005098</t>
  </si>
  <si>
    <t>00005099</t>
  </si>
  <si>
    <t>00005100</t>
  </si>
  <si>
    <t>00003631</t>
  </si>
  <si>
    <t>04/02/2026</t>
  </si>
  <si>
    <t>Producto: 2130002527010103 / BISA PLATO LISO 24 NEGRO MOTAS 6PZ/1 PH</t>
  </si>
  <si>
    <t>Producto: 2129002727010103 / BISA PLATO HONDO 27 NEGRO MOTAS 6PZ/1 PH</t>
  </si>
  <si>
    <t>00000915</t>
  </si>
  <si>
    <t>00005093</t>
  </si>
  <si>
    <t>28/01/2026</t>
  </si>
  <si>
    <t>LIZETH YAZMIN TENORIO JIMENEZ</t>
  </si>
  <si>
    <t>00005101</t>
  </si>
  <si>
    <t>06/02/2026</t>
  </si>
  <si>
    <t>BUDINERA   42</t>
  </si>
  <si>
    <t>COMAL 22</t>
  </si>
  <si>
    <t>COMAL 36</t>
  </si>
  <si>
    <t>PLATO AVENERO 20</t>
  </si>
  <si>
    <t>OLLA CONVEXA 20</t>
  </si>
  <si>
    <t>OLLA CONVEXA 26</t>
  </si>
  <si>
    <t>00000917</t>
  </si>
  <si>
    <t>00000918</t>
  </si>
  <si>
    <t>00000919</t>
  </si>
  <si>
    <t>LEONARDO MARTINEZ</t>
  </si>
  <si>
    <t>Producto: 2306002401010101 / SANSON  BUDINERA  22</t>
  </si>
  <si>
    <t>00000797</t>
  </si>
  <si>
    <t>Producto: 2306002501010101 / SANSON  BUDINERA  24</t>
  </si>
  <si>
    <t>Producto: 2306002601010101 / SANSON BUDINERA 26</t>
  </si>
  <si>
    <t>Producto: 2306002901010101 / SANSON  BUDINERA  30</t>
  </si>
  <si>
    <t>Producto: 2306003101010101 / SANSON  BUDINERA  34</t>
  </si>
  <si>
    <t>Producto: 2306003301010101 / SANSON  BUDINERA  42</t>
  </si>
  <si>
    <t>Producto: 2324001701010101 / SANSON  OLLA CONVEXA 16</t>
  </si>
  <si>
    <t>Producto: 2324002201010101 / SANSON  OLLA CONVEXA 20</t>
  </si>
  <si>
    <t>Producto: 2324002401010101 / SANSON  OLLA CONVEXA 22</t>
  </si>
  <si>
    <t>Producto: 2324002501010101 / SANSON  OLLA CONVEXA 24</t>
  </si>
  <si>
    <t>Producto: 2324002601010101 / SANSON  OLLA CONVEXA 26</t>
  </si>
  <si>
    <t>Producto: 2324002901010101 / SANSON  OLLA CONVEXA 30</t>
  </si>
  <si>
    <t>Producto: 2324003101010101 / SANSON  OLLA CONVEXA 34</t>
  </si>
  <si>
    <t>Producto: 2325002601010101 / SANSON  OLLA RECTA 26</t>
  </si>
  <si>
    <t>Producto: 2333001502010101 / SANSON  POCILLO 14 A/T</t>
  </si>
  <si>
    <t>Producto: 2336002501010101 / SANSON SARTEN 24</t>
  </si>
  <si>
    <t>Producto: 2336002601010101 / SANSON SARTEN 26</t>
  </si>
  <si>
    <t>Producto: 2333001402010101 / SANSON POCILLO 12 A/T</t>
  </si>
  <si>
    <t>Producto: 2333001302010101 / SANSON POCILLO 10 A/T</t>
  </si>
  <si>
    <t>00005102</t>
  </si>
  <si>
    <t>10/02/2026</t>
  </si>
  <si>
    <t>Producto: 2107001702010104 / BISA CAZO 16 A/T 12PZ/1 TG</t>
  </si>
  <si>
    <t>Producto: 2125002102010104 / BISA OLLA RECTA 18 A/T 12PZ/1 TG</t>
  </si>
  <si>
    <t>Producto: 2148007102010104 / BISA VASO RECTO 14 A/T 12PZ/1 TG</t>
  </si>
  <si>
    <t>TIENDAS GARCES</t>
  </si>
  <si>
    <t>00000920</t>
  </si>
  <si>
    <t>BUDINERA</t>
  </si>
  <si>
    <t>TAZON</t>
  </si>
  <si>
    <t>00000890</t>
  </si>
  <si>
    <t>00003632</t>
  </si>
  <si>
    <t>00003633</t>
  </si>
  <si>
    <t>12/02/2026</t>
  </si>
  <si>
    <t>00003634</t>
  </si>
  <si>
    <t>00005103</t>
  </si>
  <si>
    <t>11/02/2026</t>
  </si>
  <si>
    <t>00005104</t>
  </si>
  <si>
    <t>Producto: 1111002219010101 / BISA CUBETA 20 GALVANIZADO</t>
  </si>
  <si>
    <t xml:space="preserve">ALMACENES RAM  </t>
  </si>
  <si>
    <t>00005105</t>
  </si>
  <si>
    <t>00005106</t>
  </si>
  <si>
    <t>GUADALUPE RAMIREZ VEGA</t>
  </si>
  <si>
    <t>00005107</t>
  </si>
  <si>
    <t>13/02/2026</t>
  </si>
  <si>
    <t>00005108</t>
  </si>
  <si>
    <t>00005109</t>
  </si>
  <si>
    <t xml:space="preserve">COBRO </t>
  </si>
  <si>
    <t xml:space="preserve">FECHA PRODUCCION </t>
  </si>
  <si>
    <t>00005110</t>
  </si>
  <si>
    <t>16/02/2026</t>
  </si>
  <si>
    <t>00005111</t>
  </si>
  <si>
    <t>00005112</t>
  </si>
  <si>
    <t>00005113</t>
  </si>
  <si>
    <t>00005114</t>
  </si>
  <si>
    <t>00005115</t>
  </si>
  <si>
    <t>00005116</t>
  </si>
  <si>
    <t>00005117</t>
  </si>
  <si>
    <t>00005118</t>
  </si>
  <si>
    <t>17/02/2026</t>
  </si>
  <si>
    <t>BUDINERA   14</t>
  </si>
  <si>
    <t>BUDINERA   16</t>
  </si>
  <si>
    <t>CAZO 14</t>
  </si>
  <si>
    <t>CAZO 16</t>
  </si>
  <si>
    <t>OLLA CONVEXA 16</t>
  </si>
  <si>
    <t>OLLA CONVEXA 24</t>
  </si>
  <si>
    <t>OLLA RECTA 16</t>
  </si>
  <si>
    <t>OLLA RECTA 18</t>
  </si>
  <si>
    <t>POCILLO 10</t>
  </si>
  <si>
    <t>00000799</t>
  </si>
  <si>
    <t>18/02/2026</t>
  </si>
  <si>
    <t>00000921</t>
  </si>
  <si>
    <t>00000922</t>
  </si>
  <si>
    <t>MULTIUSOS S/I</t>
  </si>
  <si>
    <t>BLANCO  ROJO</t>
  </si>
  <si>
    <t>COBALTO S/I</t>
  </si>
  <si>
    <t>TAZON 8</t>
  </si>
  <si>
    <t>TAZON 15.5</t>
  </si>
  <si>
    <t>PLATO OVAL 28</t>
  </si>
  <si>
    <t>PLATO LISO 16</t>
  </si>
  <si>
    <t>BUDINERA 12</t>
  </si>
  <si>
    <t>MULTIUSOS RAYADO 16.5</t>
  </si>
  <si>
    <t>BLANCO  COBALTO</t>
  </si>
  <si>
    <t>00005119</t>
  </si>
  <si>
    <t>24/02/2026</t>
  </si>
  <si>
    <t>00005120</t>
  </si>
  <si>
    <t>TAZON 20</t>
  </si>
  <si>
    <t>BAÑO 8</t>
  </si>
  <si>
    <t>CUBETA 5</t>
  </si>
  <si>
    <t>CUBETA 6</t>
  </si>
  <si>
    <t>CUBETA 8</t>
  </si>
  <si>
    <t>CUBETA 10</t>
  </si>
  <si>
    <t>OLLA CONVEXA 12</t>
  </si>
  <si>
    <t>OLLA CONVEXA 34</t>
  </si>
  <si>
    <t>OLLA RECTA 12</t>
  </si>
  <si>
    <t>OLLA RECTA 14</t>
  </si>
  <si>
    <t>OLLA RECTA 34</t>
  </si>
  <si>
    <t>OLLA RECTA 42</t>
  </si>
  <si>
    <t>TAZON  15.5</t>
  </si>
  <si>
    <t>TAZON  20</t>
  </si>
  <si>
    <t>BAÑO 1</t>
  </si>
  <si>
    <t>BAÑO 2</t>
  </si>
  <si>
    <t>BAÑO 3</t>
  </si>
  <si>
    <t>BAÑO 4</t>
  </si>
  <si>
    <t>BAÑO 6</t>
  </si>
  <si>
    <t>BAÑO 7</t>
  </si>
  <si>
    <t>00000923</t>
  </si>
  <si>
    <t>00000924</t>
  </si>
  <si>
    <t>27/02/2026</t>
  </si>
  <si>
    <t>Producto: 2301002501010101 / SANSON  BACINICA 24</t>
  </si>
  <si>
    <t>Producto: 2306001501010101 / SANSON  BUDINERA  14</t>
  </si>
  <si>
    <t>Producto: 2306001701010101 / SANSON  BUDINERA  16</t>
  </si>
  <si>
    <t>Producto: 2306002101010101 / SANSON  BUDINERA  18</t>
  </si>
  <si>
    <t>Producto: 2306002201010101 / SANSON  BUDINERA  20</t>
  </si>
  <si>
    <t>Producto: 2307001501010101 / SANSON  CAZO 14</t>
  </si>
  <si>
    <t>Producto: 2307001701010101 / SANSON  CAZO 16</t>
  </si>
  <si>
    <t>Producto: 2310002801010101 / SANSON  COMAL  28</t>
  </si>
  <si>
    <t>Producto: 2324001401010101 / SANSON  OLLA CONVEXA 12</t>
  </si>
  <si>
    <t>Producto: 2324001501010101 / SANSON  OLLA CONVEXA 14</t>
  </si>
  <si>
    <t>Producto: 2324002101010101 / SANSON  OLLA CONVEXA 18</t>
  </si>
  <si>
    <t>Producto: 2325001401010101 / SANSON  OLLA RECTA 12</t>
  </si>
  <si>
    <t>Producto: 2325001501010101 / SANSON  OLLA RECTA 14</t>
  </si>
  <si>
    <t>Producto: 2325001701010101 / SANSON  OLLA RECTA 16</t>
  </si>
  <si>
    <t>Producto: 2325002101010101 / SANSON  OLLA RECTA 18</t>
  </si>
  <si>
    <t>Producto: 2325002201010101 / SANSON OLLA RECTA 20</t>
  </si>
  <si>
    <t>Producto: 2325002401010101 / SANSON  OLLA RECTA 22</t>
  </si>
  <si>
    <t>Producto: 2325002501010101 / SANSON  OLLA RECTA 24</t>
  </si>
  <si>
    <t>Producto: 2325002801010101 / SANSON  OLLA RECTA 28</t>
  </si>
  <si>
    <t>Producto: 2325002901010101 / SANSON  OLLA RECTA 30</t>
  </si>
  <si>
    <t>Producto: 2325003101010101 / SANSON  OLLA RECTA 34</t>
  </si>
  <si>
    <t>Producto: 2325003302010101 / SANSON  OLLA RECTA 42 A/T</t>
  </si>
  <si>
    <t>Producto: 2333001508010101 / SANSON  POCILLO 14 BICOLOR</t>
  </si>
  <si>
    <t>Producto: 2336002201010101 / SANSON SARTEN 20</t>
  </si>
  <si>
    <t>Producto: 2348001501010101 / SANSON VASO RECTO 14</t>
  </si>
  <si>
    <t>Producto: 2322000116050101 / SANSON MULTIUSOS BLANCO C/F NEGRO</t>
  </si>
  <si>
    <t>Producto: 2326002202010101 / SANSON PLATO AVENERO 20 A/T</t>
  </si>
  <si>
    <t>Producto: 2326002216050101 / SANSON PLATO AVENERO 20 BLANCO C/F NEGRO</t>
  </si>
  <si>
    <t>Producto: 2330001716050101 / SANSON PLATO LISO 16 BLANCO C/F NEGRO</t>
  </si>
  <si>
    <t>Producto: 2330002216050101 / SANSON PLATO LISO 20 BLANCO C/F NEGRO</t>
  </si>
  <si>
    <t>Producto: 2330002516050101 / SANSON PLATO LISO 24 BLANCO C/F NEGRO</t>
  </si>
  <si>
    <t>Producto: 2330002716050101 / SANSON PLATO LISO 27 BLANCO C/F NEGRO</t>
  </si>
  <si>
    <t>Producto: 2330003016050101 / SANSON PLATO LISO 32 BLANCO C/F NEGRO</t>
  </si>
  <si>
    <t>Producto: 2333000902010101 / SANSON POCILLO 5 A/T</t>
  </si>
  <si>
    <t>Producto: 2333001016050101 / SANSON POCILLO 6 BLANCO C/F NEGRO</t>
  </si>
  <si>
    <t>Producto: 2333001216050101 / SANSON POCILLO 8 BLANCO C/F NEGRO</t>
  </si>
  <si>
    <t>Producto: 2339001216050101 / SANSON TAZON 8 BLANCO C/F NEGRO</t>
  </si>
  <si>
    <t>Producto: 2339001616050101 / SANSON TAZON 15.5 BLANCO C/F NEGRO</t>
  </si>
  <si>
    <t>Producto: 2339002216050101 / SANSON TAZON 20 BLANCO C/F NEGRO</t>
  </si>
  <si>
    <t>Producto: 2306001402010101 / SANSON BUDINERA 12 A/T</t>
  </si>
  <si>
    <t>Producto: 2352003216050101 / SANSON PLATO OVAL 36 BLANCO C/F NEGRO</t>
  </si>
  <si>
    <t>Producto: 2352003016050101 / SANSON PLATO OVAL 32 BLANCO C/F NEGRO</t>
  </si>
  <si>
    <t>00000803</t>
  </si>
  <si>
    <t>JAVIER SANCHEZ</t>
  </si>
  <si>
    <t>00003635</t>
  </si>
  <si>
    <t>26/02/2026</t>
  </si>
  <si>
    <t>00003636</t>
  </si>
  <si>
    <t>Producto: 1202000519010101 / POP BANDEJA 1 GALVANIZADO</t>
  </si>
  <si>
    <t>00005121</t>
  </si>
  <si>
    <t>25/02/2026</t>
  </si>
  <si>
    <t>Producto: 1202000619010101 / POP BANDEJA 2 GALVANIZADO</t>
  </si>
  <si>
    <t>Producto: 1203000419010101 / POP BAÑO 000 GALVANIZADO</t>
  </si>
  <si>
    <t>Producto: 1211000819011401 / POP CUBETA 4 GALVANIZADO S</t>
  </si>
  <si>
    <t>00005122</t>
  </si>
  <si>
    <t>00005123</t>
  </si>
  <si>
    <t>00005124</t>
  </si>
  <si>
    <t>00005125</t>
  </si>
  <si>
    <t>00005126</t>
  </si>
  <si>
    <t>CUBETA 4</t>
  </si>
  <si>
    <t>00001079</t>
  </si>
  <si>
    <t>19/02/2026</t>
  </si>
  <si>
    <t>00001080</t>
  </si>
  <si>
    <t>00000021</t>
  </si>
  <si>
    <t>00000925</t>
  </si>
  <si>
    <t>00000926</t>
  </si>
  <si>
    <t>00005127</t>
  </si>
  <si>
    <t>04/03/2026</t>
  </si>
  <si>
    <t>00005128</t>
  </si>
  <si>
    <t>00005129</t>
  </si>
  <si>
    <t>00005130</t>
  </si>
  <si>
    <t>00003637</t>
  </si>
  <si>
    <t>05/03/2026</t>
  </si>
  <si>
    <t>00003638</t>
  </si>
  <si>
    <t>Producto: 2130001402010101 / BISA PLATO LISO 12 A/T</t>
  </si>
  <si>
    <t>00003639</t>
  </si>
  <si>
    <t>00003640</t>
  </si>
  <si>
    <t>00003641</t>
  </si>
  <si>
    <t>06/03/2026</t>
  </si>
  <si>
    <t>00005131</t>
  </si>
  <si>
    <t>09/03/2026</t>
  </si>
  <si>
    <t>Producto: 2106001416040101 / BISA BUDINERA 12 BLANCO C/F GRIS</t>
  </si>
  <si>
    <t>00003642</t>
  </si>
  <si>
    <t>00005132</t>
  </si>
  <si>
    <t>Producto: 2125002210010101 / BISA OLLA RECTA 20 BICOLOR AZUL</t>
  </si>
  <si>
    <t>00005133</t>
  </si>
  <si>
    <t>00005134</t>
  </si>
  <si>
    <t>CHAROLA DE SERVICIO 45</t>
  </si>
  <si>
    <t>BLANCO  S/I</t>
  </si>
  <si>
    <t>VAJILLA LE COQ</t>
  </si>
  <si>
    <t>JARRA RECTA 2.5 LTS</t>
  </si>
  <si>
    <t>CUCHARA MOKA</t>
  </si>
  <si>
    <t>MULTIUSOS RAYADO 17.5</t>
  </si>
  <si>
    <t>BUDINERA 16</t>
  </si>
  <si>
    <t>BUDINERA 18</t>
  </si>
  <si>
    <t>BACINICA 20</t>
  </si>
  <si>
    <t>SARTEN 20</t>
  </si>
  <si>
    <t>00005135</t>
  </si>
  <si>
    <t>11/03/2026</t>
  </si>
  <si>
    <t>Producto: 2106002402010104 / BISA BUDINERA 22 A/T 12PZ/1 TG</t>
  </si>
  <si>
    <t>00005136</t>
  </si>
  <si>
    <t>00005137</t>
  </si>
  <si>
    <t>00003643</t>
  </si>
  <si>
    <t>00003644</t>
  </si>
  <si>
    <t>SANSON</t>
  </si>
  <si>
    <t>00000928</t>
  </si>
  <si>
    <t>BAÑO 5</t>
  </si>
  <si>
    <t>00000929</t>
  </si>
  <si>
    <t>00000930</t>
  </si>
  <si>
    <t>00005138</t>
  </si>
  <si>
    <t>12/03/2026</t>
  </si>
  <si>
    <t>Producto: 2333001201010101 / SANSON  POCILLO 8</t>
  </si>
  <si>
    <t>Producto: 2333001401010101 / SANSON  POCILLO 12</t>
  </si>
  <si>
    <t>Producto: 2333001546010101 / SANSON POCILLO 14 TRIGO</t>
  </si>
  <si>
    <t>00005139</t>
  </si>
  <si>
    <t>00005140</t>
  </si>
  <si>
    <t>13/03/2026</t>
  </si>
  <si>
    <t>00001081</t>
  </si>
  <si>
    <t>17/03/2026</t>
  </si>
  <si>
    <t>Producto: 2410002825010101 / IMU ENAMEL COMAL SGL HANDED BLUE 28CM C20666-10668</t>
  </si>
  <si>
    <t>00000932</t>
  </si>
  <si>
    <t>18/03/2026</t>
  </si>
  <si>
    <t>00000931</t>
  </si>
  <si>
    <t>00005141</t>
  </si>
  <si>
    <t>00005142</t>
  </si>
  <si>
    <t>00005143</t>
  </si>
  <si>
    <t>00005144</t>
  </si>
  <si>
    <t>19/03/2026</t>
  </si>
  <si>
    <t>00005145</t>
  </si>
  <si>
    <t>CRISTALERIAS MICHEL</t>
  </si>
  <si>
    <t>00005146</t>
  </si>
  <si>
    <t xml:space="preserve">Producto: 2143007401010104 / BISA VAJILLA 12 PZAS MARINA </t>
  </si>
  <si>
    <t>00003564</t>
  </si>
  <si>
    <t>00005147</t>
  </si>
  <si>
    <t>00005148</t>
  </si>
  <si>
    <t>20/03/2026</t>
  </si>
  <si>
    <t>00000933</t>
  </si>
  <si>
    <t>00000934</t>
  </si>
  <si>
    <t>00003645</t>
  </si>
  <si>
    <t>LOS TOROS</t>
  </si>
  <si>
    <t>Producto: 2111000827010101 / BISA  CUBETA 4  NEGRO MOTAS</t>
  </si>
  <si>
    <t xml:space="preserve">Producto: 2143006301010105 / BISA VAJILLA LAVANDA 16 PZ </t>
  </si>
  <si>
    <t>23/03/2026</t>
  </si>
  <si>
    <t>Producto: 2133001501010701 / BISA POCILLO 14 DECORADO</t>
  </si>
  <si>
    <t>MANUEL CARRILLO</t>
  </si>
  <si>
    <t>00003646</t>
  </si>
  <si>
    <t>24/03/2026</t>
  </si>
  <si>
    <t>Producto: 2139001627010101 / BISA TAZON 15.5 NEGRO MOTAS</t>
  </si>
  <si>
    <t>Producto: 2106001727010100 / BISA BUDINERA 16 NEGRO MOTAS</t>
  </si>
  <si>
    <t>00000935</t>
  </si>
  <si>
    <t>BUDINERA 24</t>
  </si>
  <si>
    <t>26/03/2026</t>
  </si>
  <si>
    <t>TAZON 15.6</t>
  </si>
  <si>
    <t>TAZON 15.7</t>
  </si>
  <si>
    <t>BUDINERA 20</t>
  </si>
  <si>
    <t>BUDINERA 30</t>
  </si>
  <si>
    <t>VASO RECTO CON TAPA</t>
  </si>
  <si>
    <t>00005149</t>
  </si>
  <si>
    <t>00005150</t>
  </si>
  <si>
    <t>27/03/2026</t>
  </si>
  <si>
    <t>00003647</t>
  </si>
  <si>
    <t>00003648</t>
  </si>
  <si>
    <t>VASO RECTO CON ASA</t>
  </si>
  <si>
    <t>PLATO LISO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</si>
</sst>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000"/>
    <numFmt numFmtId="166" formatCode="000"/>
    <numFmt numFmtId="167" formatCode="0000000000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</cellStyleXfs>
  <cellXfs count="157">
    <xf numFmtId="0" fontId="0" fillId="0" borderId="0" xfId="0"/>
    <xf numFmtId="22" fontId="2" fillId="2" borderId="0" xfId="0" applyNumberFormat="1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 wrapText="1"/>
    </xf>
    <xf numFmtId="0" fontId="3" fillId="2" borderId="0" xfId="0" applyFont="1" applyFill="1" applyAlignment="1">
      <alignment horizontal="right" vertical="top" wrapText="1"/>
    </xf>
    <xf numFmtId="9" fontId="2" fillId="2" borderId="0" xfId="1" applyFont="1" applyFill="1" applyAlignment="1">
      <alignment wrapText="1"/>
    </xf>
    <xf numFmtId="14" fontId="2" fillId="2" borderId="0" xfId="0" applyNumberFormat="1" applyFont="1" applyFill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/>
    <xf numFmtId="0" fontId="3" fillId="0" borderId="0" xfId="0" applyFont="1"/>
    <xf numFmtId="0" fontId="3" fillId="0" borderId="0" xfId="0" quotePrefix="1" applyFont="1"/>
    <xf numFmtId="49" fontId="3" fillId="0" borderId="0" xfId="0" applyNumberFormat="1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9" fontId="2" fillId="2" borderId="0" xfId="1" applyFont="1" applyFill="1"/>
    <xf numFmtId="1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2" fontId="2" fillId="0" borderId="0" xfId="0" applyNumberFormat="1" applyFont="1"/>
    <xf numFmtId="14" fontId="3" fillId="0" borderId="0" xfId="0" quotePrefix="1" applyNumberFormat="1" applyFont="1" applyAlignment="1">
      <alignment horizontal="right"/>
    </xf>
    <xf numFmtId="0" fontId="0" fillId="0" borderId="0" xfId="0" quotePrefix="1"/>
    <xf numFmtId="9" fontId="2" fillId="0" borderId="0" xfId="1" applyFont="1"/>
    <xf numFmtId="0" fontId="2" fillId="0" borderId="0" xfId="0" quotePrefix="1" applyFont="1"/>
    <xf numFmtId="0" fontId="2" fillId="4" borderId="0" xfId="0" quotePrefix="1" applyFont="1" applyFill="1"/>
    <xf numFmtId="0" fontId="5" fillId="0" borderId="0" xfId="0" applyFont="1"/>
    <xf numFmtId="0" fontId="3" fillId="4" borderId="0" xfId="0" quotePrefix="1" applyFont="1" applyFill="1"/>
    <xf numFmtId="0" fontId="6" fillId="0" borderId="0" xfId="0" applyFont="1" applyAlignment="1">
      <alignment horizontal="right"/>
    </xf>
    <xf numFmtId="9" fontId="6" fillId="2" borderId="0" xfId="1" applyFont="1" applyFill="1"/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" fontId="6" fillId="0" borderId="0" xfId="0" applyNumberFormat="1" applyFont="1"/>
    <xf numFmtId="9" fontId="5" fillId="0" borderId="0" xfId="1" applyFont="1"/>
    <xf numFmtId="14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2" fontId="5" fillId="0" borderId="0" xfId="0" applyNumberFormat="1" applyFont="1"/>
    <xf numFmtId="9" fontId="5" fillId="2" borderId="0" xfId="1" applyFont="1" applyFill="1"/>
    <xf numFmtId="0" fontId="2" fillId="3" borderId="0" xfId="0" applyFont="1" applyFill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applyAlignment="1">
      <alignment horizontal="center"/>
    </xf>
    <xf numFmtId="165" fontId="0" fillId="0" borderId="1" xfId="0" applyNumberFormat="1" applyBorder="1"/>
    <xf numFmtId="166" fontId="0" fillId="0" borderId="1" xfId="0" applyNumberForma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67" fontId="2" fillId="0" borderId="0" xfId="0" applyNumberFormat="1" applyFont="1"/>
    <xf numFmtId="49" fontId="2" fillId="0" borderId="0" xfId="0" applyNumberFormat="1" applyFont="1"/>
    <xf numFmtId="1" fontId="2" fillId="0" borderId="0" xfId="0" applyNumberFormat="1" applyFont="1"/>
    <xf numFmtId="0" fontId="2" fillId="3" borderId="0" xfId="0" applyFont="1" applyFill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/>
    <xf numFmtId="0" fontId="2" fillId="3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5" borderId="1" xfId="0" applyFont="1" applyFill="1" applyBorder="1"/>
    <xf numFmtId="164" fontId="2" fillId="0" borderId="1" xfId="0" applyNumberFormat="1" applyFont="1" applyBorder="1" applyAlignment="1">
      <alignment horizontal="left"/>
    </xf>
    <xf numFmtId="0" fontId="3" fillId="7" borderId="0" xfId="0" applyFont="1" applyFill="1"/>
    <xf numFmtId="0" fontId="6" fillId="0" borderId="0" xfId="0" applyFont="1"/>
    <xf numFmtId="14" fontId="2" fillId="0" borderId="0" xfId="0" applyNumberFormat="1" applyFont="1"/>
    <xf numFmtId="49" fontId="6" fillId="0" borderId="0" xfId="0" applyNumberFormat="1" applyFont="1"/>
    <xf numFmtId="14" fontId="6" fillId="0" borderId="0" xfId="0" applyNumberFormat="1" applyFont="1"/>
    <xf numFmtId="0" fontId="2" fillId="0" borderId="0" xfId="0" quotePrefix="1" applyFont="1" applyAlignment="1">
      <alignment horizontal="right"/>
    </xf>
    <xf numFmtId="9" fontId="8" fillId="0" borderId="8" xfId="1" applyFont="1" applyBorder="1"/>
    <xf numFmtId="3" fontId="0" fillId="0" borderId="9" xfId="0" applyNumberFormat="1" applyBorder="1"/>
    <xf numFmtId="1" fontId="8" fillId="0" borderId="9" xfId="0" applyNumberFormat="1" applyFont="1" applyBorder="1"/>
    <xf numFmtId="9" fontId="10" fillId="0" borderId="9" xfId="1" applyFont="1" applyBorder="1"/>
    <xf numFmtId="3" fontId="10" fillId="0" borderId="9" xfId="0" applyNumberFormat="1" applyFont="1" applyBorder="1"/>
    <xf numFmtId="1" fontId="10" fillId="0" borderId="9" xfId="0" applyNumberFormat="1" applyFont="1" applyBorder="1"/>
    <xf numFmtId="16" fontId="13" fillId="0" borderId="10" xfId="0" applyNumberFormat="1" applyFont="1" applyBorder="1"/>
    <xf numFmtId="9" fontId="10" fillId="0" borderId="8" xfId="1" applyFont="1" applyBorder="1"/>
    <xf numFmtId="9" fontId="8" fillId="0" borderId="9" xfId="1" applyFont="1" applyBorder="1"/>
    <xf numFmtId="3" fontId="8" fillId="0" borderId="9" xfId="0" applyNumberFormat="1" applyFont="1" applyBorder="1"/>
    <xf numFmtId="9" fontId="0" fillId="0" borderId="8" xfId="1" applyFont="1" applyBorder="1"/>
    <xf numFmtId="1" fontId="2" fillId="0" borderId="9" xfId="0" applyNumberFormat="1" applyFont="1" applyBorder="1"/>
    <xf numFmtId="9" fontId="0" fillId="0" borderId="9" xfId="1" applyFont="1" applyBorder="1"/>
    <xf numFmtId="1" fontId="0" fillId="0" borderId="9" xfId="0" applyNumberFormat="1" applyBorder="1"/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0" fillId="0" borderId="10" xfId="0" applyBorder="1"/>
    <xf numFmtId="165" fontId="0" fillId="2" borderId="1" xfId="0" applyNumberFormat="1" applyFill="1" applyBorder="1"/>
    <xf numFmtId="0" fontId="0" fillId="2" borderId="1" xfId="0" applyFill="1" applyBorder="1"/>
    <xf numFmtId="9" fontId="2" fillId="0" borderId="1" xfId="1" applyFont="1" applyBorder="1"/>
    <xf numFmtId="9" fontId="2" fillId="0" borderId="1" xfId="1" applyFont="1" applyBorder="1" applyAlignment="1">
      <alignment horizontal="center"/>
    </xf>
    <xf numFmtId="0" fontId="14" fillId="2" borderId="0" xfId="0" applyFont="1" applyFill="1" applyAlignment="1">
      <alignment horizontal="center" wrapText="1"/>
    </xf>
    <xf numFmtId="14" fontId="15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 vertical="center"/>
    </xf>
    <xf numFmtId="9" fontId="2" fillId="0" borderId="1" xfId="1" applyFont="1" applyFill="1" applyBorder="1"/>
    <xf numFmtId="9" fontId="16" fillId="0" borderId="1" xfId="1" applyFont="1" applyBorder="1" applyAlignment="1">
      <alignment horizontal="center"/>
    </xf>
    <xf numFmtId="14" fontId="0" fillId="0" borderId="0" xfId="0" applyNumberFormat="1"/>
    <xf numFmtId="14" fontId="3" fillId="0" borderId="0" xfId="0" applyNumberFormat="1" applyFont="1" applyAlignment="1">
      <alignment horizontal="center"/>
    </xf>
    <xf numFmtId="9" fontId="2" fillId="0" borderId="1" xfId="1" applyFont="1" applyBorder="1" applyAlignment="1">
      <alignment horizontal="center" vertical="center"/>
    </xf>
    <xf numFmtId="9" fontId="16" fillId="0" borderId="1" xfId="1" applyFont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2" fillId="0" borderId="1" xfId="1" applyFont="1" applyBorder="1" applyAlignment="1">
      <alignment vertical="center"/>
    </xf>
    <xf numFmtId="0" fontId="13" fillId="9" borderId="11" xfId="0" applyFont="1" applyFill="1" applyBorder="1"/>
    <xf numFmtId="0" fontId="13" fillId="9" borderId="12" xfId="0" applyFont="1" applyFill="1" applyBorder="1"/>
    <xf numFmtId="0" fontId="0" fillId="0" borderId="13" xfId="0" applyBorder="1"/>
    <xf numFmtId="0" fontId="17" fillId="8" borderId="14" xfId="0" applyFont="1" applyFill="1" applyBorder="1"/>
    <xf numFmtId="0" fontId="17" fillId="0" borderId="14" xfId="0" applyFont="1" applyBorder="1"/>
    <xf numFmtId="0" fontId="17" fillId="0" borderId="14" xfId="0" quotePrefix="1" applyFont="1" applyBorder="1"/>
    <xf numFmtId="0" fontId="17" fillId="8" borderId="14" xfId="0" quotePrefix="1" applyFont="1" applyFill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3" fillId="3" borderId="0" xfId="0" applyFont="1" applyFill="1"/>
    <xf numFmtId="49" fontId="2" fillId="3" borderId="0" xfId="0" applyNumberFormat="1" applyFont="1" applyFill="1"/>
    <xf numFmtId="0" fontId="6" fillId="0" borderId="0" xfId="0" quotePrefix="1" applyFont="1"/>
    <xf numFmtId="0" fontId="14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9" fontId="2" fillId="0" borderId="1" xfId="1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left" vertical="center"/>
    </xf>
    <xf numFmtId="0" fontId="3" fillId="10" borderId="0" xfId="0" applyFont="1" applyFill="1"/>
    <xf numFmtId="0" fontId="6" fillId="10" borderId="0" xfId="0" applyFont="1" applyFill="1"/>
    <xf numFmtId="0" fontId="3" fillId="10" borderId="0" xfId="0" applyFont="1" applyFill="1" applyAlignment="1">
      <alignment horizontal="right"/>
    </xf>
    <xf numFmtId="9" fontId="0" fillId="0" borderId="1" xfId="0" applyNumberFormat="1" applyBorder="1"/>
    <xf numFmtId="14" fontId="3" fillId="0" borderId="0" xfId="0" applyNumberFormat="1" applyFont="1"/>
    <xf numFmtId="0" fontId="3" fillId="11" borderId="0" xfId="0" applyFont="1" applyFill="1"/>
    <xf numFmtId="9" fontId="2" fillId="0" borderId="6" xfId="1" applyFont="1" applyBorder="1" applyAlignment="1">
      <alignment horizontal="center" vertical="center"/>
    </xf>
    <xf numFmtId="0" fontId="3" fillId="12" borderId="0" xfId="0" applyFont="1" applyFill="1"/>
    <xf numFmtId="9" fontId="2" fillId="0" borderId="7" xfId="1" applyFont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2" fillId="0" borderId="5" xfId="1" applyFont="1" applyBorder="1" applyAlignment="1">
      <alignment horizontal="center" vertical="center"/>
    </xf>
    <xf numFmtId="9" fontId="2" fillId="0" borderId="6" xfId="1" applyFont="1" applyBorder="1" applyAlignment="1">
      <alignment horizontal="center" vertical="center"/>
    </xf>
    <xf numFmtId="9" fontId="16" fillId="0" borderId="1" xfId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9" fontId="2" fillId="7" borderId="5" xfId="1" applyFont="1" applyFill="1" applyBorder="1" applyAlignment="1">
      <alignment horizontal="center" vertical="center"/>
    </xf>
    <xf numFmtId="9" fontId="2" fillId="7" borderId="6" xfId="1" applyFont="1" applyFill="1" applyBorder="1" applyAlignment="1">
      <alignment horizontal="center" vertical="center"/>
    </xf>
    <xf numFmtId="9" fontId="2" fillId="7" borderId="7" xfId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9" fontId="16" fillId="0" borderId="5" xfId="1" applyFont="1" applyBorder="1" applyAlignment="1">
      <alignment horizontal="center" vertical="center"/>
    </xf>
    <xf numFmtId="9" fontId="16" fillId="0" borderId="6" xfId="1" applyFont="1" applyBorder="1" applyAlignment="1">
      <alignment horizontal="center" vertical="center"/>
    </xf>
    <xf numFmtId="9" fontId="16" fillId="0" borderId="7" xfId="1" applyFont="1" applyBorder="1" applyAlignment="1">
      <alignment horizontal="center" vertical="center"/>
    </xf>
    <xf numFmtId="9" fontId="2" fillId="2" borderId="5" xfId="1" applyFont="1" applyFill="1" applyBorder="1" applyAlignment="1">
      <alignment horizontal="center" vertical="center"/>
    </xf>
    <xf numFmtId="9" fontId="2" fillId="2" borderId="6" xfId="1" applyFont="1" applyFill="1" applyBorder="1" applyAlignment="1">
      <alignment horizontal="center" vertical="center"/>
    </xf>
    <xf numFmtId="9" fontId="2" fillId="2" borderId="7" xfId="1" applyFont="1" applyFill="1" applyBorder="1" applyAlignment="1">
      <alignment horizontal="center" vertical="center"/>
    </xf>
    <xf numFmtId="9" fontId="2" fillId="0" borderId="3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0" fontId="0" fillId="3" borderId="17" xfId="0" applyFill="1" applyBorder="1" applyAlignment="1">
      <alignment horizontal="center" vertical="center" textRotation="255"/>
    </xf>
    <xf numFmtId="0" fontId="0" fillId="3" borderId="0" xfId="0" applyFill="1" applyAlignment="1">
      <alignment horizontal="center" vertical="center" textRotation="255"/>
    </xf>
    <xf numFmtId="0" fontId="3" fillId="0" borderId="0" xfId="0" applyFont="1" applyAlignment="1">
      <alignment horizontal="center"/>
    </xf>
    <xf numFmtId="9" fontId="2" fillId="7" borderId="1" xfId="1" applyFont="1" applyFill="1" applyBorder="1" applyAlignment="1">
      <alignment horizontal="center" vertical="center"/>
    </xf>
  </cellXfs>
  <cellStyles count="4">
    <cellStyle name="Normal" xfId="0" builtinId="0"/>
    <cellStyle name="Normal 3 2 2" xfId="2" xr:uid="{00000000-0005-0000-0000-000001000000}"/>
    <cellStyle name="Normal 6" xfId="3" xr:uid="{00000000-0005-0000-0000-000002000000}"/>
    <cellStyle name="Porcentaje" xfId="1" builtinId="5"/>
  </cellStyles>
  <dxfs count="191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ill>
        <patternFill>
          <bgColor theme="9" tint="0.39994506668294322"/>
        </patternFill>
      </fill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10" Type="http://schemas.openxmlformats.org/officeDocument/2006/relationships/externalLink" Target="externalLinks/externalLink2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microsoft.com/office/2007/relationships/slicerCache" Target="slicerCaches/slicerCache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1431985</xdr:colOff>
      <xdr:row>1</xdr:row>
      <xdr:rowOff>0</xdr:rowOff>
    </xdr:from>
    <xdr:to>
      <xdr:col>24</xdr:col>
      <xdr:colOff>1682152</xdr:colOff>
      <xdr:row>12</xdr:row>
      <xdr:rowOff>76760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OLOR">
              <a:extLst>
                <a:ext uri="{FF2B5EF4-FFF2-40B4-BE49-F238E27FC236}">
                  <a16:creationId xmlns:a16="http://schemas.microsoft.com/office/drawing/2014/main" id="{43E517D9-72EC-0A53-B792-CC1A41A867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L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456551" y="888520"/>
              <a:ext cx="1828800" cy="2464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327803</xdr:colOff>
      <xdr:row>1</xdr:row>
      <xdr:rowOff>0</xdr:rowOff>
    </xdr:from>
    <xdr:to>
      <xdr:col>23</xdr:col>
      <xdr:colOff>1069674</xdr:colOff>
      <xdr:row>12</xdr:row>
      <xdr:rowOff>76760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IENTE">
              <a:extLst>
                <a:ext uri="{FF2B5EF4-FFF2-40B4-BE49-F238E27FC236}">
                  <a16:creationId xmlns:a16="http://schemas.microsoft.com/office/drawing/2014/main" id="{3A8CE90B-371A-088F-23AD-16605B3A3A6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265441" y="931651"/>
              <a:ext cx="1828800" cy="2464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28</xdr:col>
      <xdr:colOff>172528</xdr:colOff>
      <xdr:row>1</xdr:row>
      <xdr:rowOff>0</xdr:rowOff>
    </xdr:from>
    <xdr:to>
      <xdr:col>31</xdr:col>
      <xdr:colOff>310549</xdr:colOff>
      <xdr:row>12</xdr:row>
      <xdr:rowOff>76760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echa">
              <a:extLst>
                <a:ext uri="{FF2B5EF4-FFF2-40B4-BE49-F238E27FC236}">
                  <a16:creationId xmlns:a16="http://schemas.microsoft.com/office/drawing/2014/main" id="{64060A94-E4FA-F52B-6813-4BE0A7DDF6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562724" y="897146"/>
              <a:ext cx="1828800" cy="2464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IPC\Dropbox\BAROV3.3\PXS\2606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OGISTICA-ALMACEN\Desktop\YOSBEL\pxs\PXS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dor\AppData\Local\Packages\5319275A.WhatsAppDesktop_cv1g1gvanyjgm\LocalState\sessions\D80A38F306E9CF028B4A54072709EEA7562730D1\transfers\2025-51\17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ALOGO PZXCAJA"/>
      <sheetName val="Hoja 1"/>
      <sheetName val="2025"/>
      <sheetName val="2024"/>
      <sheetName val="2023"/>
      <sheetName val="2022"/>
      <sheetName val="2021"/>
      <sheetName val="19122024"/>
    </sheetNames>
    <sheetDataSet>
      <sheetData sheetId="0" refreshError="1">
        <row r="2">
          <cell r="A2" t="str">
            <v>Producto: 2101002216050101 / BISA BACINICA 20 BLANCO C/F NEGRO</v>
          </cell>
          <cell r="B2">
            <v>12</v>
          </cell>
        </row>
        <row r="3">
          <cell r="A3" t="str">
            <v>Producto: 2101002516050101 / BISA BACINICA 24 BLANCO C/F NEGRO</v>
          </cell>
          <cell r="B3">
            <v>12</v>
          </cell>
        </row>
        <row r="4">
          <cell r="A4" t="str">
            <v>Producto: 2103004727010101 / BISA BAÑO  A NEGRO MOTAS</v>
          </cell>
          <cell r="B4">
            <v>12</v>
          </cell>
        </row>
        <row r="5">
          <cell r="A5" t="str">
            <v>Producto: 2103004827010101 / BISA BAÑO  B NEGRO MOTAS</v>
          </cell>
          <cell r="B5">
            <v>12</v>
          </cell>
        </row>
        <row r="6">
          <cell r="A6" t="str">
            <v>Producto: 2104005501010101 / BISA BATERIA ALASKA</v>
          </cell>
          <cell r="B6">
            <v>1</v>
          </cell>
        </row>
        <row r="7">
          <cell r="A7" t="str">
            <v>Producto: 2104005601010101 / BISA BATERIA ALEGRIA</v>
          </cell>
          <cell r="B7">
            <v>1</v>
          </cell>
        </row>
        <row r="8">
          <cell r="A8" t="str">
            <v>Producto: 2104005801010101 / BISA BATERIA AZULEJO</v>
          </cell>
          <cell r="B8">
            <v>1</v>
          </cell>
        </row>
        <row r="9">
          <cell r="A9" t="str">
            <v>Producto: 2104006101010101 / BISA BATERIA CAMPESTRE</v>
          </cell>
          <cell r="B9">
            <v>1</v>
          </cell>
        </row>
        <row r="10">
          <cell r="A10" t="str">
            <v>Producto: 2104006201010101 / BISA BATERIA ENCORE</v>
          </cell>
          <cell r="B10">
            <v>1</v>
          </cell>
        </row>
        <row r="11">
          <cell r="A11" t="str">
            <v>Producto: 2104006261011501 / BISA BATERIA ENCORE TAPA CRISTAL</v>
          </cell>
          <cell r="B11">
            <v>1</v>
          </cell>
        </row>
        <row r="12">
          <cell r="A12" t="str">
            <v>Producto: 2104006601010101 / BISA BATERIA MILENIA</v>
          </cell>
          <cell r="B12">
            <v>1</v>
          </cell>
        </row>
        <row r="13">
          <cell r="A13" t="str">
            <v>Producto: 2104007001010101 / BISA BATERIA XOCHITL</v>
          </cell>
          <cell r="B13">
            <v>1</v>
          </cell>
        </row>
        <row r="14">
          <cell r="A14" t="str">
            <v xml:space="preserve">Producto: 2106001401010101 / BISA BUDINERA 12  </v>
          </cell>
          <cell r="B14">
            <v>18</v>
          </cell>
        </row>
        <row r="15">
          <cell r="A15" t="str">
            <v>Producto: 2106001401010701 / BISA BUDINERA 12 DECORADO</v>
          </cell>
          <cell r="B15">
            <v>18</v>
          </cell>
        </row>
        <row r="16">
          <cell r="A16" t="str">
            <v>Producto: 2106001402010101 / BISA BUDINERA 12 A/T</v>
          </cell>
          <cell r="B16">
            <v>18</v>
          </cell>
        </row>
        <row r="17">
          <cell r="A17" t="str">
            <v>Producto: 2106001405010101 / BISA BUDINERA 12 AQUA</v>
          </cell>
          <cell r="B17">
            <v>18</v>
          </cell>
        </row>
        <row r="18">
          <cell r="A18" t="str">
            <v>Producto: 2106001410010101 / BISA BUDINERA 12 BICOLOR AZUL</v>
          </cell>
          <cell r="B18">
            <v>18</v>
          </cell>
        </row>
        <row r="19">
          <cell r="A19" t="str">
            <v>Producto: 2106001414010101 / BISA BUDINERA 12 BICOLOR ROJO</v>
          </cell>
          <cell r="B19">
            <v>18</v>
          </cell>
        </row>
        <row r="20">
          <cell r="A20" t="str">
            <v>Producto: 2106001416030101 / BISA BUDINERA 12 BLANCO C/F COBALTO BBB</v>
          </cell>
          <cell r="B20">
            <v>6</v>
          </cell>
        </row>
        <row r="21">
          <cell r="A21" t="str">
            <v>Producto: 2106001416040101 / BISA BUDINERA 12 BLANCO C/F GRIS</v>
          </cell>
          <cell r="B21">
            <v>18</v>
          </cell>
        </row>
        <row r="22">
          <cell r="A22" t="str">
            <v>Producto: 2106001416040103 / BISA BUDINERA 12 BLANCO C/F GRIS 6PZ/1 PH</v>
          </cell>
          <cell r="B22">
            <v>1</v>
          </cell>
        </row>
        <row r="23">
          <cell r="A23" t="str">
            <v>Producto: 2106001416050101 / BISA BUDINERA 12 BLANCO C/F NEGRO</v>
          </cell>
          <cell r="B23">
            <v>18</v>
          </cell>
        </row>
        <row r="24">
          <cell r="A24" t="str">
            <v>Producto: 2106001416070101 / BISA BUDINERA 12 BLANCO C/F ROJO</v>
          </cell>
          <cell r="B24">
            <v>18</v>
          </cell>
        </row>
        <row r="25">
          <cell r="A25" t="str">
            <v xml:space="preserve">Producto: 2106001416070701 / BISA BUDINERA 12 BLANCO F/ROJO DECORADO </v>
          </cell>
          <cell r="B25">
            <v>18</v>
          </cell>
        </row>
        <row r="26">
          <cell r="A26" t="str">
            <v>Producto: 2106001416090101 / BISA BUDINERA 12 BLANCO C/F VERDE</v>
          </cell>
          <cell r="B26">
            <v>18</v>
          </cell>
        </row>
        <row r="27">
          <cell r="A27" t="str">
            <v>Producto: 2106001416100101 / BISA BUDINERA 12 BLANCO C/F AZUL</v>
          </cell>
          <cell r="B27">
            <v>18</v>
          </cell>
        </row>
        <row r="28">
          <cell r="A28" t="str">
            <v>Producto: 2106001417010101 / BISA BUDINERA 12 COBALTO</v>
          </cell>
          <cell r="B28">
            <v>18</v>
          </cell>
        </row>
        <row r="29">
          <cell r="A29" t="str">
            <v xml:space="preserve">Producto: 2106001418010101 / BISA BUDINERA 12 COBALTO MOTAS </v>
          </cell>
          <cell r="B29">
            <v>18</v>
          </cell>
        </row>
        <row r="30">
          <cell r="A30" t="str">
            <v>Producto: 2106001421010101 / BISA BUDINERA 12 GRIS</v>
          </cell>
          <cell r="B30">
            <v>18</v>
          </cell>
        </row>
        <row r="31">
          <cell r="A31" t="str">
            <v>Producto: 2106001421010103 / BISA BUDINERA 12 GRIS 6PZ/1 PH</v>
          </cell>
          <cell r="B31">
            <v>1</v>
          </cell>
        </row>
        <row r="32">
          <cell r="A32" t="str">
            <v>Producto: 2106001426010101 / BISA BUDINERA 12 NEGRO</v>
          </cell>
          <cell r="B32">
            <v>18</v>
          </cell>
        </row>
        <row r="33">
          <cell r="A33" t="str">
            <v>Producto: 2106001427010101 / BISA BUDINERA 12 NEGRO MOTAS</v>
          </cell>
          <cell r="B33">
            <v>18</v>
          </cell>
        </row>
        <row r="34">
          <cell r="A34" t="str">
            <v>Producto: 2106001427010103 / BISA BUDINERA 12 NEGRO MOTAS 6PZ/1 PH</v>
          </cell>
          <cell r="B34">
            <v>1</v>
          </cell>
        </row>
        <row r="35">
          <cell r="A35" t="str">
            <v>Producto: 2106001428010101 / BISA BUDINERA 12 NEVADO</v>
          </cell>
          <cell r="B35">
            <v>18</v>
          </cell>
        </row>
        <row r="36">
          <cell r="A36" t="str">
            <v>Producto: 2106001430010101 / BISA BUDINERA 12 ROJO MOTAS</v>
          </cell>
          <cell r="B36">
            <v>18</v>
          </cell>
        </row>
        <row r="37">
          <cell r="A37" t="str">
            <v>Producto: 2106001433010101 / BISA BUDINERA 12 TITANIO</v>
          </cell>
          <cell r="B37">
            <v>18</v>
          </cell>
        </row>
        <row r="38">
          <cell r="A38" t="str">
            <v>Producto: 2106001447010101 / BISA BUDINERA 12 VERDE</v>
          </cell>
          <cell r="B38">
            <v>18</v>
          </cell>
        </row>
        <row r="39">
          <cell r="A39" t="str">
            <v>Producto: 2106001454010101 / BISA BUDINERA 12 BICOLOR ROJO MOTAS</v>
          </cell>
          <cell r="B39">
            <v>18</v>
          </cell>
        </row>
        <row r="40">
          <cell r="A40" t="str">
            <v xml:space="preserve">Producto: 2106001467010101 / BISA BUDINERA 12 BICOLOR GRIS </v>
          </cell>
          <cell r="B40">
            <v>18</v>
          </cell>
        </row>
        <row r="41">
          <cell r="A41" t="str">
            <v xml:space="preserve">Producto: 2106001501010101 / BUDINERA BISA 14 </v>
          </cell>
          <cell r="B41">
            <v>18</v>
          </cell>
        </row>
        <row r="42">
          <cell r="A42" t="str">
            <v>Producto: 2106001502010101 / BISA BUDINERA 14 A/T</v>
          </cell>
          <cell r="B42">
            <v>18</v>
          </cell>
        </row>
        <row r="43">
          <cell r="A43" t="str">
            <v>Producto: 2106001502010106 / BISA BUDINERA 14 A/T 18PZS/1 TG</v>
          </cell>
          <cell r="B43">
            <v>1</v>
          </cell>
        </row>
        <row r="44">
          <cell r="A44" t="str">
            <v xml:space="preserve">Producto: 2106001701010101 / BUDINERA BISA16    </v>
          </cell>
          <cell r="B44">
            <v>18</v>
          </cell>
        </row>
        <row r="45">
          <cell r="A45" t="str">
            <v>Producto: 2106001702010101 / BISA BUDINERA 16 A/T</v>
          </cell>
          <cell r="B45">
            <v>18</v>
          </cell>
        </row>
        <row r="46">
          <cell r="A46" t="str">
            <v>Producto: 2106001702010106 / BISA BUDINERA 16 A/T 18PZS/1 TG</v>
          </cell>
          <cell r="B46">
            <v>1</v>
          </cell>
        </row>
        <row r="47">
          <cell r="A47" t="str">
            <v xml:space="preserve">Producto: 2106002101010101 / BUDINERA BISA 18   </v>
          </cell>
          <cell r="B47">
            <v>18</v>
          </cell>
        </row>
        <row r="48">
          <cell r="A48" t="str">
            <v>Producto: 2106002102010101 / BISA BUDINERA 18 A/T</v>
          </cell>
          <cell r="B48">
            <v>18</v>
          </cell>
        </row>
        <row r="49">
          <cell r="A49" t="str">
            <v>Producto: 2106002102010103 / BISA BUDINERA 18 A/T 6PZ/1 CF 746169031812</v>
          </cell>
          <cell r="B49">
            <v>1</v>
          </cell>
        </row>
        <row r="50">
          <cell r="A50" t="str">
            <v>Producto: 2106002102010106 / BISA BUDINERA 18 A/T 18PZ/1 TG</v>
          </cell>
          <cell r="B50">
            <v>1</v>
          </cell>
        </row>
        <row r="51">
          <cell r="A51" t="str">
            <v>Producto: 2106002201010701 / BUDIENRA 20 DECORADA</v>
          </cell>
          <cell r="B51">
            <v>1</v>
          </cell>
        </row>
        <row r="52">
          <cell r="A52" t="str">
            <v>Producto: 2106002202010101 / BISA BUDINERA 20 A/T</v>
          </cell>
          <cell r="B52">
            <v>18</v>
          </cell>
        </row>
        <row r="53">
          <cell r="A53" t="str">
            <v>Producto: 2106002202010106 / BISA BUDINERA 20 A/T 18PZ/1 TG</v>
          </cell>
          <cell r="B53">
            <v>1</v>
          </cell>
        </row>
        <row r="54">
          <cell r="A54" t="str">
            <v>Producto: 2106002210010101 / BISA BUDINERA 20 BICOLOR AZUL</v>
          </cell>
          <cell r="B54">
            <v>6</v>
          </cell>
        </row>
        <row r="55">
          <cell r="A55" t="str">
            <v>Producto: 2106002212010101 / BISA BUDINERA 20 BICOLOR NARANJA</v>
          </cell>
          <cell r="B55">
            <v>6</v>
          </cell>
        </row>
        <row r="56">
          <cell r="A56" t="str">
            <v>Producto: 2106002214010101 / BISA BUDINERA 20 BICOLOR ROJO</v>
          </cell>
          <cell r="B56">
            <v>6</v>
          </cell>
        </row>
        <row r="57">
          <cell r="A57" t="str">
            <v>Producto: 2106002215010101 / BISA BUDINERA 20 BICOLOR VERDE</v>
          </cell>
          <cell r="B57">
            <v>6</v>
          </cell>
        </row>
        <row r="58">
          <cell r="A58" t="str">
            <v>Producto: 2106002225010101 / BISA BUDINERA 20 NAVY</v>
          </cell>
          <cell r="B58">
            <v>18</v>
          </cell>
        </row>
        <row r="59">
          <cell r="A59" t="str">
            <v>Producto: 2106002252010101 / BISA BUDINERA 20 A/T C/ARILLO</v>
          </cell>
          <cell r="B59">
            <v>18</v>
          </cell>
        </row>
        <row r="60">
          <cell r="A60" t="str">
            <v>Producto: 2106002402010101 / BISA BUDINERA 22 A/T</v>
          </cell>
          <cell r="B60">
            <v>12</v>
          </cell>
        </row>
        <row r="61">
          <cell r="A61" t="str">
            <v>Producto: 2106002402010104 / BISA BUDINERA 22 A/T 12PZ/1 TG</v>
          </cell>
          <cell r="B61">
            <v>1</v>
          </cell>
        </row>
        <row r="62">
          <cell r="A62" t="str">
            <v>Producto: 2106002502010101 / BISA BUDINERA 24 A/T</v>
          </cell>
          <cell r="B62">
            <v>12</v>
          </cell>
        </row>
        <row r="63">
          <cell r="A63" t="str">
            <v>Producto: 2106002502010102 / BISA BUDINERA 24 A/T 4PZ/1 CF 746169032413</v>
          </cell>
          <cell r="B63">
            <v>1</v>
          </cell>
        </row>
        <row r="64">
          <cell r="A64" t="str">
            <v>Producto: 2106002502010104 / BISA BUDINERA 24 A/T 12PZ/1 TG</v>
          </cell>
          <cell r="B64">
            <v>1</v>
          </cell>
        </row>
        <row r="65">
          <cell r="A65" t="str">
            <v>Producto: 2106002510010101 / BISA BUDINERA 24 BICOLOR AZUL</v>
          </cell>
          <cell r="B65">
            <v>4</v>
          </cell>
        </row>
        <row r="66">
          <cell r="A66" t="str">
            <v>Producto: 2106002510010102 / BISA BUDINERA 24 BIC AZUL 4PZ/1 CF 746169032437</v>
          </cell>
          <cell r="B66">
            <v>1</v>
          </cell>
        </row>
        <row r="67">
          <cell r="A67" t="str">
            <v>Producto: 2106002512010101 / BISA BUDINERA 24 BICOLOR NARANJA</v>
          </cell>
          <cell r="B67">
            <v>4</v>
          </cell>
        </row>
        <row r="68">
          <cell r="A68" t="str">
            <v>Producto: 2106002512010102 / BISA BUDINERA 24 BIC NARANJA4PZ/1 CF 746169032420</v>
          </cell>
          <cell r="B68">
            <v>1</v>
          </cell>
        </row>
        <row r="69">
          <cell r="A69" t="str">
            <v>Producto: 2106002512010104 / BISA BUDINERA 24 BICOLOR NARANJA   12PZ/1</v>
          </cell>
          <cell r="B69">
            <v>1</v>
          </cell>
        </row>
        <row r="70">
          <cell r="A70" t="str">
            <v>Producto: 2106002514010101 / BISA BUDINERA 24 BICOLOR ROJO</v>
          </cell>
          <cell r="B70">
            <v>4</v>
          </cell>
        </row>
        <row r="71">
          <cell r="A71" t="str">
            <v>Producto: 2106002514010102 / BISA BUDINERA 24 BIC ROJO 4PZ/1 CF 746169032444</v>
          </cell>
          <cell r="B71">
            <v>1</v>
          </cell>
        </row>
        <row r="72">
          <cell r="A72" t="str">
            <v>Producto: 2106002514010104 / BISA BUDINERA 24 BICOLOR ROJO   12PZ/1</v>
          </cell>
          <cell r="B72">
            <v>1</v>
          </cell>
        </row>
        <row r="73">
          <cell r="A73" t="str">
            <v>Producto: 2106002515010101 / BISA BUDINERA 24 BICOLOR VERDE</v>
          </cell>
          <cell r="B73">
            <v>4</v>
          </cell>
        </row>
        <row r="74">
          <cell r="A74" t="str">
            <v>Producto: 2106002515010102 / BISA BUDINERA 24 BICOLOR VERDE   4PZ/1</v>
          </cell>
          <cell r="B74">
            <v>1</v>
          </cell>
        </row>
        <row r="75">
          <cell r="A75" t="str">
            <v>Producto: 2106002525010101 / BISA BUDINERA 24 NAVY</v>
          </cell>
          <cell r="B75">
            <v>12</v>
          </cell>
        </row>
        <row r="76">
          <cell r="A76" t="str">
            <v>Producto: 2106002602010101 / BISA BUDINERA 26 A/T</v>
          </cell>
          <cell r="B76">
            <v>12</v>
          </cell>
        </row>
        <row r="77">
          <cell r="A77" t="str">
            <v>Producto: 2106002602010104 / BISA BUDINERA 26 A/T 12PZ/1 TG</v>
          </cell>
          <cell r="B77">
            <v>1</v>
          </cell>
        </row>
        <row r="78">
          <cell r="A78" t="str">
            <v>Producto: 2106002661011501 / BISA BUDINERA 26 ENCORE TAPA CRISTAL</v>
          </cell>
          <cell r="B78">
            <v>12</v>
          </cell>
        </row>
        <row r="79">
          <cell r="A79" t="str">
            <v>Producto: 2106002902010101 / BISA BUDINERA 30 A/T</v>
          </cell>
          <cell r="B79">
            <v>4</v>
          </cell>
        </row>
        <row r="80">
          <cell r="A80" t="str">
            <v>Producto: 2106003102010101 / BISA BUDINERA 34 A/T</v>
          </cell>
          <cell r="B80">
            <v>4</v>
          </cell>
        </row>
        <row r="81">
          <cell r="A81" t="str">
            <v>Producto: 2106003302010101 / BISA BUDINERA 42 A/T</v>
          </cell>
          <cell r="B81">
            <v>2</v>
          </cell>
        </row>
        <row r="82">
          <cell r="A82" t="str">
            <v>Producto: 2107001502010101 / BISA CAZO 14 A/T</v>
          </cell>
          <cell r="B82">
            <v>12</v>
          </cell>
        </row>
        <row r="83">
          <cell r="A83" t="str">
            <v>Producto: 2107001502010103 / BISA CAZO 14 A/T 6PZ/1 TG</v>
          </cell>
          <cell r="B83">
            <v>1</v>
          </cell>
        </row>
        <row r="84">
          <cell r="A84" t="str">
            <v>Producto: 2107001502010104 / BISA CAZO 14 A/T 12PZ/1 TG</v>
          </cell>
          <cell r="B84">
            <v>1</v>
          </cell>
        </row>
        <row r="85">
          <cell r="A85" t="str">
            <v>Producto: 2107001525010101 / BISA CAZO 14 NAVY</v>
          </cell>
          <cell r="B85">
            <v>12</v>
          </cell>
        </row>
        <row r="86">
          <cell r="A86" t="str">
            <v>Producto: 2107001561010101 / BISA CAZO 14 ENCORE</v>
          </cell>
          <cell r="B86">
            <v>12</v>
          </cell>
        </row>
        <row r="87">
          <cell r="A87" t="str">
            <v>Producto: 2107001702010101 / BISA CAZO 16 A/T</v>
          </cell>
          <cell r="B87">
            <v>12</v>
          </cell>
        </row>
        <row r="88">
          <cell r="A88" t="str">
            <v>Producto: 2107001702010104 / BISA CAZO 16 A/T 12PZ/1 TG</v>
          </cell>
          <cell r="B88">
            <v>1</v>
          </cell>
        </row>
        <row r="89">
          <cell r="A89" t="str">
            <v>Producto: 2108002101010101 / CAZUELA CON ASAS 18</v>
          </cell>
          <cell r="B89">
            <v>12</v>
          </cell>
        </row>
        <row r="90">
          <cell r="A90" t="str">
            <v>Producto: 2108002102010101 / BISA CAZUELA 18 A/T</v>
          </cell>
          <cell r="B90">
            <v>12</v>
          </cell>
        </row>
        <row r="91">
          <cell r="A91" t="str">
            <v>Producto: 2108002116050101 / BISA CAZUELA 18 BLANCO C/F NEGRO</v>
          </cell>
          <cell r="B91">
            <v>12</v>
          </cell>
        </row>
        <row r="92">
          <cell r="A92" t="str">
            <v>Producto: 2108002117010101 / BISA CAZUELA 18 COBALTO</v>
          </cell>
          <cell r="B92">
            <v>12</v>
          </cell>
        </row>
        <row r="93">
          <cell r="A93" t="str">
            <v>Producto: 2108002121010101 / BISA CAZUELA 18 GRIS</v>
          </cell>
          <cell r="B93">
            <v>12</v>
          </cell>
        </row>
        <row r="94">
          <cell r="A94" t="str">
            <v>Producto: 2108002126010101 / BISA CAZUELA 18 NEGRO</v>
          </cell>
          <cell r="B94">
            <v>12</v>
          </cell>
        </row>
        <row r="95">
          <cell r="A95" t="str">
            <v>Producto: 2108002127010101 / BISA CAZUELA 18 NEGRO MOTAS</v>
          </cell>
          <cell r="B95">
            <v>12</v>
          </cell>
        </row>
        <row r="96">
          <cell r="A96" t="str">
            <v>Producto: 2108002129010101 / BISA CAZUELA 18 ROJO</v>
          </cell>
          <cell r="B96">
            <v>12</v>
          </cell>
        </row>
        <row r="97">
          <cell r="A97" t="str">
            <v>Producto: 2108002133010101 / BISA CAZUELA 18 TITANIO</v>
          </cell>
          <cell r="B97">
            <v>12</v>
          </cell>
        </row>
        <row r="98">
          <cell r="A98" t="str">
            <v>Producto: 2108002154010101 / BISA CAZUELA 18 BICOLOR ROJO MOTAS</v>
          </cell>
          <cell r="B98">
            <v>12</v>
          </cell>
        </row>
        <row r="99">
          <cell r="A99" t="str">
            <v>Producto: 2108002501010101 / BISA CAZUELA CON ASAS 24</v>
          </cell>
          <cell r="B99">
            <v>12</v>
          </cell>
        </row>
        <row r="100">
          <cell r="A100" t="str">
            <v>Producto: 2108002501010701 / BISA CAZUELA 24 DECORADO</v>
          </cell>
          <cell r="B100">
            <v>12</v>
          </cell>
        </row>
        <row r="101">
          <cell r="A101" t="str">
            <v>Producto: 2108002502010101 / BISA CAZUELA 24 A/T</v>
          </cell>
          <cell r="B101">
            <v>12</v>
          </cell>
        </row>
        <row r="102">
          <cell r="A102" t="str">
            <v>Producto: 2108002517010101 / BISA CAZUELA 24 COBALTO</v>
          </cell>
          <cell r="B102">
            <v>12</v>
          </cell>
        </row>
        <row r="103">
          <cell r="A103" t="str">
            <v>Producto: 2108002521010101 / BISA CAZUELA 24 GRIS</v>
          </cell>
          <cell r="B103">
            <v>12</v>
          </cell>
        </row>
        <row r="104">
          <cell r="A104" t="str">
            <v>Producto: 2108002526010101 / BISA CAZUELA 24 NEGRO</v>
          </cell>
          <cell r="B104">
            <v>12</v>
          </cell>
        </row>
        <row r="105">
          <cell r="A105" t="str">
            <v>Producto: 2108002529010101 / BISA CAZUELA 24 ROJO</v>
          </cell>
          <cell r="B105">
            <v>12</v>
          </cell>
        </row>
        <row r="106">
          <cell r="A106" t="str">
            <v>Producto: 2108002533010101 / BISA CAZUELA 24 TITANIO</v>
          </cell>
          <cell r="B106">
            <v>12</v>
          </cell>
        </row>
        <row r="107">
          <cell r="A107" t="str">
            <v>Producto: 2109002401010101 / COMAL 22</v>
          </cell>
          <cell r="B107">
            <v>24</v>
          </cell>
        </row>
        <row r="108">
          <cell r="A108" t="str">
            <v>Producto: 2109003401010101 / BISA CHAROLA DE SERVICIO 45</v>
          </cell>
          <cell r="B108">
            <v>6</v>
          </cell>
        </row>
        <row r="109">
          <cell r="A109" t="str">
            <v xml:space="preserve">Producto: 2109003401010701 / BISA CHAROLA DE SERVICIO 45   DECORADO </v>
          </cell>
          <cell r="B109">
            <v>6</v>
          </cell>
        </row>
        <row r="110">
          <cell r="A110" t="str">
            <v>Producto: 2109003402010101 / BISA CHAROLA DE SERVICIO 45 A/T</v>
          </cell>
          <cell r="B110">
            <v>6</v>
          </cell>
        </row>
        <row r="111">
          <cell r="A111" t="str">
            <v>Producto: 2109003416010401 / BISA CHAROLA DE SERVICIO 45 BLANCO LE COQ PH</v>
          </cell>
          <cell r="B111">
            <v>1</v>
          </cell>
        </row>
        <row r="112">
          <cell r="A112" t="str">
            <v>Producto: 2109003416030101 / BISA CHAROLA DE SERVICIO 45 BLANCO C/F COBALTO</v>
          </cell>
          <cell r="B112">
            <v>6</v>
          </cell>
        </row>
        <row r="113">
          <cell r="A113" t="str">
            <v>Producto: 2109003416040101 / BISA CHAROLA DE SERVICIO 45 BLANCO C/F GRIS</v>
          </cell>
          <cell r="B113">
            <v>6</v>
          </cell>
        </row>
        <row r="114">
          <cell r="A114" t="str">
            <v>Producto: 2109003416050101 / BISA CHAROLA DE SERVICIO 45 BLANCO C/F NEGRO</v>
          </cell>
          <cell r="B114">
            <v>6</v>
          </cell>
        </row>
        <row r="115">
          <cell r="A115" t="str">
            <v>Producto: 2109003421010101 / BISA CHAROLA DE SERVICIO 45 GRIS</v>
          </cell>
          <cell r="B115">
            <v>6</v>
          </cell>
        </row>
        <row r="116">
          <cell r="A116" t="str">
            <v>Producto: 2109003427010101 / BISA CHAROLA DE SERVICIO 45 NEGRO MOTAS</v>
          </cell>
          <cell r="B116">
            <v>6</v>
          </cell>
        </row>
        <row r="117">
          <cell r="A117" t="str">
            <v>Producto: 2109003430010101 / BISA CHAROLA DE SERVICIO 45 ROJO MOTAS</v>
          </cell>
          <cell r="B117">
            <v>6</v>
          </cell>
        </row>
        <row r="118">
          <cell r="A118" t="str">
            <v>Producto: 2109003433010101 / BISA CHAROLA DE SERVICIO 45 TITANIO</v>
          </cell>
          <cell r="B118">
            <v>6</v>
          </cell>
        </row>
        <row r="119">
          <cell r="A119" t="str">
            <v>Producto: 2109008501010101 / BISA CHAROLA DE SERVICIO 20X8</v>
          </cell>
          <cell r="B119">
            <v>6</v>
          </cell>
        </row>
        <row r="120">
          <cell r="A120" t="str">
            <v>Producto: 2110002421010101 / BISA COMAL 22 GRIS</v>
          </cell>
          <cell r="B120">
            <v>24</v>
          </cell>
        </row>
        <row r="121">
          <cell r="A121" t="str">
            <v>Producto: 2110002427010101 / BISA COMAL 22 NEGRO MOTAS</v>
          </cell>
          <cell r="B121">
            <v>24</v>
          </cell>
        </row>
        <row r="122">
          <cell r="A122" t="str">
            <v>Producto: 2110002427010701 / BISA COMAL 22 NEGRO MOTAS DECORADO</v>
          </cell>
          <cell r="B122">
            <v>24</v>
          </cell>
        </row>
        <row r="123">
          <cell r="A123" t="str">
            <v>Producto: 2110002801010101 / COMAL BISA 28</v>
          </cell>
          <cell r="B123">
            <v>12</v>
          </cell>
        </row>
        <row r="124">
          <cell r="A124" t="str">
            <v>Producto: 2110002826010104 / BISA COMAL 28 NEGRO 12PZ/1 CF 746169002874</v>
          </cell>
          <cell r="B124">
            <v>1</v>
          </cell>
        </row>
        <row r="125">
          <cell r="A125" t="str">
            <v>Producto: 2110002827010101 / BISA COMAL 28 NEGRO MOTAS</v>
          </cell>
          <cell r="B125">
            <v>12</v>
          </cell>
        </row>
        <row r="126">
          <cell r="A126" t="str">
            <v>Producto: 2110002827010103 / BISA COMAL 28 NEGRO MOTAS 6PZ/1 PH</v>
          </cell>
          <cell r="B126">
            <v>1</v>
          </cell>
        </row>
        <row r="127">
          <cell r="A127" t="str">
            <v>Producto: 2110002827010104 / BISA COMAL 28 NEGRO MOTAS 12PZ/1 TG</v>
          </cell>
          <cell r="B127">
            <v>1</v>
          </cell>
        </row>
        <row r="128">
          <cell r="A128" t="str">
            <v>Producto: 2110002827010701 / BISA COMAL 28 NEGRO MOTAS DECORADO</v>
          </cell>
          <cell r="B128">
            <v>12</v>
          </cell>
        </row>
        <row r="129">
          <cell r="A129" t="str">
            <v>Producto: 2110003201010101 / COMAL BISA 36</v>
          </cell>
          <cell r="B129">
            <v>12</v>
          </cell>
        </row>
        <row r="130">
          <cell r="A130" t="str">
            <v>Producto: 2110003227010101 / BISA COMAL 36 NEGRO MOTAS</v>
          </cell>
          <cell r="B130">
            <v>12</v>
          </cell>
        </row>
        <row r="131">
          <cell r="A131" t="str">
            <v>Producto: 2110003227010701 / BISA COMAL 36 NEGRO MOTAS DECORADO</v>
          </cell>
          <cell r="B131">
            <v>12</v>
          </cell>
        </row>
        <row r="132">
          <cell r="A132" t="str">
            <v>Producto: 2111000802010101 / BISA CUBETA 4 A/T</v>
          </cell>
          <cell r="B132">
            <v>12</v>
          </cell>
        </row>
        <row r="133">
          <cell r="A133" t="str">
            <v>Producto: 2111000827010101 / BISA CUBETA 4 NEGRO MOTAS</v>
          </cell>
          <cell r="B133">
            <v>12</v>
          </cell>
        </row>
        <row r="134">
          <cell r="A134" t="str">
            <v>Producto: 2111000830010101 / BISA CUBETA 4 ROJO MOTAS</v>
          </cell>
          <cell r="B134">
            <v>12</v>
          </cell>
        </row>
        <row r="135">
          <cell r="A135" t="str">
            <v xml:space="preserve">Producto: 2111000859010101 / BISA CUBETA 4 ARENA </v>
          </cell>
          <cell r="B135">
            <v>12</v>
          </cell>
        </row>
        <row r="136">
          <cell r="A136" t="str">
            <v>Producto: 2111000927010101 / BISA CUBETA 5 NEGRO MOTAS</v>
          </cell>
          <cell r="B136">
            <v>12</v>
          </cell>
        </row>
        <row r="137">
          <cell r="A137" t="str">
            <v>Producto: 2111001027010101 / BISA CUBETA 6 NEGRO MOTAS</v>
          </cell>
          <cell r="B137">
            <v>12</v>
          </cell>
        </row>
        <row r="138">
          <cell r="A138" t="str">
            <v>Producto: 2111001227010101 / BISA CUBETA 8 NEGRO MOTAS</v>
          </cell>
          <cell r="B138">
            <v>12</v>
          </cell>
        </row>
        <row r="139">
          <cell r="A139" t="str">
            <v>Producto: 2111001320010101 / BISA CUBETA 10 PORCELANIZADA GENERICO</v>
          </cell>
          <cell r="B139">
            <v>12</v>
          </cell>
        </row>
        <row r="140">
          <cell r="A140" t="str">
            <v>Producto: 2111001327010101 / BISA CUBETA 10 NEGRO MOTAS</v>
          </cell>
          <cell r="B140">
            <v>12</v>
          </cell>
        </row>
        <row r="141">
          <cell r="A141" t="str">
            <v>Producto: 2111001427010101 / BISA CUBETA 12 NEGRO MOTAS</v>
          </cell>
          <cell r="B141">
            <v>12</v>
          </cell>
        </row>
        <row r="142">
          <cell r="A142" t="str">
            <v>Producto: 2111001527010101 / BISA CUBETA 14 NEGRO MOTAS</v>
          </cell>
          <cell r="B142">
            <v>12</v>
          </cell>
        </row>
        <row r="143">
          <cell r="A143" t="str">
            <v>Producto: 2111001727010101 / BISA CUBETA 16 NEGRO MOTAS</v>
          </cell>
          <cell r="B143">
            <v>12</v>
          </cell>
        </row>
        <row r="144">
          <cell r="A144" t="str">
            <v>Producto: 2112004902010101 / BISA CUCHARA  CAFÉ A/T</v>
          </cell>
          <cell r="B144">
            <v>6</v>
          </cell>
        </row>
        <row r="145">
          <cell r="A145" t="str">
            <v>Producto: 2112004916010101 / BISA CUCHARA  CAFÉ BLANCO</v>
          </cell>
          <cell r="B145">
            <v>6</v>
          </cell>
        </row>
        <row r="146">
          <cell r="A146" t="str">
            <v>Producto: 2112004916060101 / BISA CUCHARA  CAFÉ BLANCO C/F NEVADO</v>
          </cell>
          <cell r="B146">
            <v>6</v>
          </cell>
        </row>
        <row r="147">
          <cell r="A147" t="str">
            <v>Producto: 2112004921010101 / BISA CUCHARA  CAFÉ GRIS</v>
          </cell>
          <cell r="B147">
            <v>6</v>
          </cell>
        </row>
        <row r="148">
          <cell r="A148" t="str">
            <v>Producto: 2112004926010101 / BISA CUCHARA  CAFÉ NEGRO</v>
          </cell>
          <cell r="B148">
            <v>6</v>
          </cell>
        </row>
        <row r="149">
          <cell r="A149" t="str">
            <v>Producto: 2112004927010101 / BISA CUCHARA  CAFÉ NEGRO MOTAS</v>
          </cell>
          <cell r="B149">
            <v>6</v>
          </cell>
        </row>
        <row r="150">
          <cell r="A150" t="str">
            <v>Producto: 2112004927010701 / BISA CUCHARA CAFÉ NEGRO MOTAS DECORADO</v>
          </cell>
          <cell r="B150">
            <v>6</v>
          </cell>
        </row>
        <row r="151">
          <cell r="A151" t="str">
            <v>Producto: 2112004928010101 / BISA CUCHARA  CAFÉ NEVADO</v>
          </cell>
          <cell r="B151">
            <v>6</v>
          </cell>
        </row>
        <row r="152">
          <cell r="A152" t="str">
            <v>Producto: 2112004929010101 / BISA CUCHARA  CAFÉ ROJO</v>
          </cell>
          <cell r="B152">
            <v>6</v>
          </cell>
        </row>
        <row r="153">
          <cell r="A153" t="str">
            <v>Producto: 2112004946010101 / BISA CUCHARA CAFE TRIGO</v>
          </cell>
          <cell r="B153">
            <v>6</v>
          </cell>
        </row>
        <row r="154">
          <cell r="A154" t="str">
            <v xml:space="preserve">Producto: 2112004951010101 / CUCHARA CAFE   </v>
          </cell>
          <cell r="B154">
            <v>6</v>
          </cell>
        </row>
        <row r="155">
          <cell r="A155" t="str">
            <v xml:space="preserve">Producto: 2112004959010101 / BISA CUCHARA CAFÉ ARENA </v>
          </cell>
          <cell r="B155">
            <v>6</v>
          </cell>
        </row>
        <row r="156">
          <cell r="A156" t="str">
            <v>Producto: 2112005002010101 / BISA CUCHARA MOKA A/T</v>
          </cell>
          <cell r="B156">
            <v>6</v>
          </cell>
        </row>
        <row r="157">
          <cell r="A157" t="str">
            <v>Producto: 2112005005010101 / BISA CUCHARA MOKA AQUA</v>
          </cell>
          <cell r="B157">
            <v>6</v>
          </cell>
        </row>
        <row r="158">
          <cell r="A158" t="str">
            <v>Producto: 2112005016010101 / BISA CUCHARA MOKA BLANCO</v>
          </cell>
          <cell r="B158">
            <v>6</v>
          </cell>
        </row>
        <row r="159">
          <cell r="A159" t="str">
            <v>Producto: 2112005016010103 / BISA CUCHARA MOKA BLANCO 6PZ/1 PH</v>
          </cell>
          <cell r="B159">
            <v>1</v>
          </cell>
        </row>
        <row r="160">
          <cell r="A160" t="str">
            <v>Producto: 2112005016010701 / BISA CUCHARA MOKA BLANCO DECORADO</v>
          </cell>
          <cell r="B160">
            <v>6</v>
          </cell>
        </row>
        <row r="161">
          <cell r="A161" t="str">
            <v>Producto: 2112005016040101 / BISA CUCHARA MOKA BLANCO C/F GRIS</v>
          </cell>
          <cell r="B161">
            <v>6</v>
          </cell>
        </row>
        <row r="162">
          <cell r="A162" t="str">
            <v>Producto: 2112005016040103 / BISA CUCHARA MOKA BLANCO C/F GRIS 6PZ/1 PH</v>
          </cell>
          <cell r="B162">
            <v>1</v>
          </cell>
        </row>
        <row r="163">
          <cell r="A163" t="str">
            <v>Producto: 2112005021010101 / BISA CUCHARA MOKA GRIS</v>
          </cell>
          <cell r="B163">
            <v>6</v>
          </cell>
        </row>
        <row r="164">
          <cell r="A164" t="str">
            <v>Producto: 2112005021010103 / BISA CUCHARA MOKA GRIS 6PZ/1 PH</v>
          </cell>
          <cell r="B164">
            <v>1</v>
          </cell>
        </row>
        <row r="165">
          <cell r="A165" t="str">
            <v>Producto: 2112005026010101 / BISA CUCHARA MOKA NEGRO</v>
          </cell>
          <cell r="B165">
            <v>6</v>
          </cell>
        </row>
        <row r="166">
          <cell r="A166" t="str">
            <v>Producto: 2112005027010101 / BISA CUCHARA MOKA NEGRO MOTAS</v>
          </cell>
          <cell r="B166">
            <v>6</v>
          </cell>
        </row>
        <row r="167">
          <cell r="A167" t="str">
            <v>Producto: 2112005027010103 / BISA CUCHARA MOKA NEGRO MOTAS 6PZ/1 PH</v>
          </cell>
          <cell r="B167">
            <v>1</v>
          </cell>
        </row>
        <row r="168">
          <cell r="A168" t="str">
            <v>Producto: 2112005033010101 / BISA CUCHARA MOKA TITANIO</v>
          </cell>
          <cell r="B168">
            <v>6</v>
          </cell>
        </row>
        <row r="169">
          <cell r="A169" t="str">
            <v>Producto: 2112005033010103 / BISA CUCHARA MOKA TITANIO 6PZ/1 PH</v>
          </cell>
          <cell r="B169">
            <v>1</v>
          </cell>
        </row>
        <row r="170">
          <cell r="A170" t="str">
            <v>Producto: 2112005046010101 / BISA CUCHARA MOKA TRIGO</v>
          </cell>
          <cell r="B170">
            <v>6</v>
          </cell>
        </row>
        <row r="171">
          <cell r="A171" t="str">
            <v>Producto: 2112005051010101 / CUCHARA MOKA</v>
          </cell>
          <cell r="B171">
            <v>6</v>
          </cell>
        </row>
        <row r="172">
          <cell r="A172" t="str">
            <v>Producto: 2112005102010101 / BISA CUCHARA SOPERA A/T</v>
          </cell>
          <cell r="B172">
            <v>6</v>
          </cell>
        </row>
        <row r="173">
          <cell r="A173" t="str">
            <v>Producto: 2112005114010101 / BISA CUCHARA SOPERA BICOLOR ROJO</v>
          </cell>
          <cell r="B173">
            <v>6</v>
          </cell>
        </row>
        <row r="174">
          <cell r="A174" t="str">
            <v>Producto: 2112005116010101 / BISA CUCHARA SOPERA BLANCO</v>
          </cell>
          <cell r="B174">
            <v>6</v>
          </cell>
        </row>
        <row r="175">
          <cell r="A175" t="str">
            <v>Producto: 2112005117010101 / BISA CUCHARA SOPERA COBALTO</v>
          </cell>
          <cell r="B175">
            <v>6</v>
          </cell>
        </row>
        <row r="176">
          <cell r="A176" t="str">
            <v>Producto: 2112005121010101 / BISA CUCHARA SOPERA GRIS</v>
          </cell>
          <cell r="B176">
            <v>6</v>
          </cell>
        </row>
        <row r="177">
          <cell r="A177" t="str">
            <v>Producto: 2112005126010101 / BISA CUCHARA SOPERA NEGRO</v>
          </cell>
          <cell r="B177">
            <v>6</v>
          </cell>
        </row>
        <row r="178">
          <cell r="A178" t="str">
            <v>Producto: 2112005127010101 / BISA CUCHARA SOPERA NEGRO MOTAS</v>
          </cell>
          <cell r="B178">
            <v>6</v>
          </cell>
        </row>
        <row r="179">
          <cell r="A179" t="str">
            <v xml:space="preserve">Producto: 2112005151010101 / BISA CUCHARA SOPERA ESMALTADO   </v>
          </cell>
          <cell r="B179">
            <v>6</v>
          </cell>
        </row>
        <row r="180">
          <cell r="A180" t="str">
            <v xml:space="preserve">Producto: 2112005159010101 / BISA CUCHARA SOPERA ARENA </v>
          </cell>
          <cell r="B180">
            <v>6</v>
          </cell>
        </row>
        <row r="181">
          <cell r="A181" t="str">
            <v>Producto: 2113000102010101 / BISA CUCHILLO   A/T</v>
          </cell>
          <cell r="B181">
            <v>6</v>
          </cell>
        </row>
        <row r="182">
          <cell r="A182" t="str">
            <v>Producto: 2113000116010101 / BISA CUCHILLO   BLANCO</v>
          </cell>
          <cell r="B182">
            <v>6</v>
          </cell>
        </row>
        <row r="183">
          <cell r="A183" t="str">
            <v>Producto: 2113000121010101 / BISA CUCHILLO   GRIS</v>
          </cell>
          <cell r="B183">
            <v>6</v>
          </cell>
        </row>
        <row r="184">
          <cell r="A184" t="str">
            <v>Producto: 2113000126010101 / BISA CUCHILLO   NEGRO</v>
          </cell>
          <cell r="B184">
            <v>6</v>
          </cell>
        </row>
        <row r="185">
          <cell r="A185" t="str">
            <v>Producto: 2113000127010101 / BISA CUCHILLO   NEGRO MOTAS</v>
          </cell>
          <cell r="B185">
            <v>6</v>
          </cell>
        </row>
        <row r="186">
          <cell r="A186" t="str">
            <v xml:space="preserve">Producto: 2113000151010101 / BISA CUCHILLO ESMALTADO   </v>
          </cell>
          <cell r="B186">
            <v>6</v>
          </cell>
        </row>
        <row r="187">
          <cell r="A187" t="str">
            <v>Producto: 2113000159010101 / BISA CUCHILLO ARENA</v>
          </cell>
          <cell r="B187">
            <v>6</v>
          </cell>
        </row>
        <row r="188">
          <cell r="A188" t="str">
            <v>Producto: 2114000101010101 / BISA DESPACAHADOR DE AGUA</v>
          </cell>
          <cell r="B188">
            <v>1</v>
          </cell>
        </row>
        <row r="189">
          <cell r="A189" t="str">
            <v>Producto: 2114003802010101 / BISA DESPACHADOR AGUA 19LTS A/T</v>
          </cell>
          <cell r="B189">
            <v>1</v>
          </cell>
        </row>
        <row r="190">
          <cell r="A190" t="str">
            <v>Producto: 2114003816050101 / BISA DESPACHADOR AGUA 19LTS BLANCO C/F NEGRO</v>
          </cell>
          <cell r="B190">
            <v>1</v>
          </cell>
        </row>
        <row r="191">
          <cell r="A191" t="str">
            <v>Producto: 2114003817010101 / BISA DESPACHADOR AGUA 19LTS COBALTO</v>
          </cell>
          <cell r="B191">
            <v>1</v>
          </cell>
        </row>
        <row r="192">
          <cell r="A192" t="str">
            <v>Producto: 2114003821010101 / BISA DESPACHADOR AGUA 19LTS GRIS PH</v>
          </cell>
          <cell r="B192">
            <v>1</v>
          </cell>
        </row>
        <row r="193">
          <cell r="A193" t="str">
            <v>Producto: 2114003826010101 / BISA DESPACHADOR AGUA 19LTS NEGRO</v>
          </cell>
          <cell r="B193">
            <v>1</v>
          </cell>
        </row>
        <row r="194">
          <cell r="A194" t="str">
            <v>Producto: 2114003827010101 / BISA DESPACHADOR AGUA 19LTS NEGRO MOTAS PH</v>
          </cell>
          <cell r="B194">
            <v>1</v>
          </cell>
        </row>
        <row r="195">
          <cell r="A195" t="str">
            <v>Producto: 2114003847010101 / BISA DESPACHADOR AGUA 19LTS VERDE</v>
          </cell>
          <cell r="B195">
            <v>1</v>
          </cell>
        </row>
        <row r="196">
          <cell r="A196" t="str">
            <v>Producto: 2114003860010101 / BISA DESPACHADOR AGUA 19LTS NEGRO PIEDRA</v>
          </cell>
          <cell r="B196">
            <v>1</v>
          </cell>
        </row>
        <row r="197">
          <cell r="A197" t="str">
            <v>Producto: 2115002702010101 / BISA ENSALADERA 27 TURQUESA</v>
          </cell>
          <cell r="B197">
            <v>1</v>
          </cell>
        </row>
        <row r="198">
          <cell r="A198" t="str">
            <v>Producto: 2115002713010101 / BISA ENSALADERA 27 BICOLOR NEGRO MOTAS PH</v>
          </cell>
          <cell r="B198">
            <v>1</v>
          </cell>
        </row>
        <row r="199">
          <cell r="A199" t="str">
            <v>Producto: 2115002714010101 / BISA ENSALADERA 27 BICOLOR ROJO</v>
          </cell>
          <cell r="B199">
            <v>1</v>
          </cell>
        </row>
        <row r="200">
          <cell r="A200" t="str">
            <v>Producto: 2115002718010101 / BISA ENSALADERA 27 COBALTO MOTAS</v>
          </cell>
          <cell r="B200">
            <v>1</v>
          </cell>
        </row>
        <row r="201">
          <cell r="A201" t="str">
            <v>Producto: 2115002733010101 / BISA ENSALADERA 27 TITANIO</v>
          </cell>
          <cell r="B201">
            <v>1</v>
          </cell>
        </row>
        <row r="202">
          <cell r="A202" t="str">
            <v>Producto: 2115002753010101 / BISA ENSALADERA 27 BICOLOR COBALTO MOTAS</v>
          </cell>
          <cell r="B202">
            <v>1</v>
          </cell>
        </row>
        <row r="203">
          <cell r="A203" t="str">
            <v>Producto: 2115002754010101 / BISA ENSALADERA 27 BICOLOR ROJO MOTAS</v>
          </cell>
          <cell r="B203">
            <v>1</v>
          </cell>
        </row>
        <row r="204">
          <cell r="A204" t="str">
            <v xml:space="preserve">Producto: 2115002757010101 / BISA ENSALADERA 27 BICOLOR GRIS </v>
          </cell>
          <cell r="B204">
            <v>1</v>
          </cell>
        </row>
        <row r="205">
          <cell r="A205" t="str">
            <v xml:space="preserve">Producto: 2118004501010701 / BISA FUENTE P/HORNO 30X20 DECORADO </v>
          </cell>
          <cell r="B205">
            <v>10</v>
          </cell>
        </row>
        <row r="206">
          <cell r="A206" t="str">
            <v>Producto: 2118004502010101 / BISA FUENTE P/HORNO 30X20 A/T</v>
          </cell>
          <cell r="B206">
            <v>10</v>
          </cell>
        </row>
        <row r="207">
          <cell r="A207" t="str">
            <v>Producto: 2118004516030101 / BISA FUENTE P/HORNO 30X20 BLANCO C/F COBALTO</v>
          </cell>
          <cell r="B207">
            <v>10</v>
          </cell>
        </row>
        <row r="208">
          <cell r="A208" t="str">
            <v>Producto: 2118004516040101 / BISA FUENTE P/HORNO 30X20 BLANCO C/F GRIS</v>
          </cell>
          <cell r="B208">
            <v>10</v>
          </cell>
        </row>
        <row r="209">
          <cell r="A209" t="str">
            <v>Producto: 2118004516040108 / BISA FUENTE P/HORNO 30X20 BLANCO C/F GRIS 2PZ/1 PH</v>
          </cell>
          <cell r="B209">
            <v>1</v>
          </cell>
        </row>
        <row r="210">
          <cell r="A210" t="str">
            <v>Producto: 2118004516050101 / BISA FUENTE P/HORNO 30X20 BLANCO C/F NEGRO</v>
          </cell>
          <cell r="B210">
            <v>10</v>
          </cell>
        </row>
        <row r="211">
          <cell r="A211" t="str">
            <v>Producto: 2118004516070101 / BISA FUENTE P/HORNO 30X20 BLANCO C/F ROJO</v>
          </cell>
          <cell r="B211">
            <v>10</v>
          </cell>
        </row>
        <row r="212">
          <cell r="A212" t="str">
            <v>Producto: 2118004516100101 / BISA FUENTE P/HORNO 30X20 BLANCO C/F AZUL</v>
          </cell>
          <cell r="B212">
            <v>10</v>
          </cell>
        </row>
        <row r="213">
          <cell r="A213" t="str">
            <v>Producto: 2118004517010101 / BISA FUENTE P/HORNO 30X20 COBALTO</v>
          </cell>
          <cell r="B213">
            <v>10</v>
          </cell>
        </row>
        <row r="214">
          <cell r="A214" t="str">
            <v>Producto: 2118004521010101 / BISA FUENTE P/HORNO 30X20 GRIS</v>
          </cell>
          <cell r="B214">
            <v>10</v>
          </cell>
        </row>
        <row r="215">
          <cell r="A215" t="str">
            <v>Producto: 2118004526010101 / BISA FUENTE P/HORNO 30X20 NEGRO</v>
          </cell>
          <cell r="B215">
            <v>10</v>
          </cell>
        </row>
        <row r="216">
          <cell r="A216" t="str">
            <v>Producto: 2118004527010101 / BISA FUENTE P/HORNO 30X20 NEGRO MOTAS</v>
          </cell>
          <cell r="B216">
            <v>10</v>
          </cell>
        </row>
        <row r="217">
          <cell r="A217" t="str">
            <v>Producto: 2118004527010108 / BISA FUENTE P/HORNO 30X20 NEGRO MOTAS 2PZ/1 PH</v>
          </cell>
          <cell r="B217">
            <v>1</v>
          </cell>
        </row>
        <row r="218">
          <cell r="A218" t="str">
            <v>Producto: 2118004528010101 / BISA FUENTE P/HORNO 30X20 NEVADO</v>
          </cell>
          <cell r="B218">
            <v>10</v>
          </cell>
        </row>
        <row r="219">
          <cell r="A219" t="str">
            <v xml:space="preserve">Producto: 2118004601010701 / BISA FUENTE P/HORNO 40X30   DECORADO </v>
          </cell>
          <cell r="B219">
            <v>10</v>
          </cell>
        </row>
        <row r="220">
          <cell r="A220" t="str">
            <v>Producto: 2118004602010101 / BISA FUENTE P/HORNO 40X30 A/T</v>
          </cell>
          <cell r="B220">
            <v>10</v>
          </cell>
        </row>
        <row r="221">
          <cell r="A221" t="str">
            <v>Producto: 2118004616030101 / BISA FUENTE P/HORNO 40X30 BLANCO C/F COBALTO</v>
          </cell>
          <cell r="B221">
            <v>10</v>
          </cell>
        </row>
        <row r="222">
          <cell r="A222" t="str">
            <v>Producto: 2118004616040101 / BISA FUENTE P/HORNO 40X30 BLANCO C/F GRIS</v>
          </cell>
          <cell r="B222">
            <v>10</v>
          </cell>
        </row>
        <row r="223">
          <cell r="A223" t="str">
            <v>Producto: 2118004616050101 / BISA FUENTE P/HORNO 40X30 BLANCO C/F NEGRO</v>
          </cell>
          <cell r="B223">
            <v>10</v>
          </cell>
        </row>
        <row r="224">
          <cell r="A224" t="str">
            <v>Producto: 2118004616070101 / BISA FUENTE P/HORNO 40X30 BLANCO C/F ROJO</v>
          </cell>
          <cell r="B224">
            <v>10</v>
          </cell>
        </row>
        <row r="225">
          <cell r="A225" t="str">
            <v>Producto: 2118004617010101 / BISA FUENTE P/HORNO 40X30 COBALTO</v>
          </cell>
          <cell r="B225">
            <v>10</v>
          </cell>
        </row>
        <row r="226">
          <cell r="A226" t="str">
            <v>Producto: 2118004621010101 / BISA FUENTE P/HORNO 40X30 GRIS</v>
          </cell>
          <cell r="B226">
            <v>10</v>
          </cell>
        </row>
        <row r="227">
          <cell r="A227" t="str">
            <v>Producto: 2118004626010101 / BISA FUENTE P/HORNO 40X30 NEGRO</v>
          </cell>
          <cell r="B227">
            <v>10</v>
          </cell>
        </row>
        <row r="228">
          <cell r="A228" t="str">
            <v>Producto: 2118004627010101 / BISA FUENTE P/HORNO 40X30 NEGRO MOTAS</v>
          </cell>
          <cell r="B228">
            <v>10</v>
          </cell>
        </row>
        <row r="229">
          <cell r="A229" t="str">
            <v>Producto: 2118004628010101 / BISA FUENTE P/HORNO 40X30 NEVADO</v>
          </cell>
          <cell r="B229">
            <v>10</v>
          </cell>
        </row>
        <row r="230">
          <cell r="A230" t="str">
            <v>Producto: 2118005201010101 / FUENTE PARA HORNO CH</v>
          </cell>
          <cell r="B230">
            <v>10</v>
          </cell>
        </row>
        <row r="231">
          <cell r="A231" t="str">
            <v>Producto: 2118005401010101 / FUENTE PARA HORNO GDE</v>
          </cell>
          <cell r="B231">
            <v>10</v>
          </cell>
        </row>
        <row r="232">
          <cell r="A232" t="str">
            <v>Producto: 2119003701010101 / BISA JARRA RECTA 2.5LTS</v>
          </cell>
          <cell r="B232">
            <v>6</v>
          </cell>
        </row>
        <row r="233">
          <cell r="A233" t="str">
            <v xml:space="preserve">Producto: 2119003701010701 / BISA JARRA RECTA 2.5 LTS DECORADO </v>
          </cell>
          <cell r="B233">
            <v>6</v>
          </cell>
        </row>
        <row r="234">
          <cell r="A234" t="str">
            <v>Producto: 2119003716010101 / BISA JARRA RECTA 2.5LTS BLANCO</v>
          </cell>
          <cell r="B234">
            <v>6</v>
          </cell>
        </row>
        <row r="235">
          <cell r="A235" t="str">
            <v>Producto: 2119003717010101 / BISA JARRA RECTA 2.5LTS COBALTO</v>
          </cell>
          <cell r="B235">
            <v>6</v>
          </cell>
        </row>
        <row r="236">
          <cell r="A236" t="str">
            <v>Producto: 2119003721010101 / BISA JARRA RECTA 2.5LTS GRIS</v>
          </cell>
          <cell r="B236">
            <v>6</v>
          </cell>
        </row>
        <row r="237">
          <cell r="A237" t="str">
            <v>Producto: 2119003725010101 / BISA JARRA RECTA 2.5LTS NAVY</v>
          </cell>
          <cell r="B237">
            <v>6</v>
          </cell>
        </row>
        <row r="238">
          <cell r="A238" t="str">
            <v>Producto: 2119003726010101 / BISA JARRA RECTA 2.5LTS NEGRO</v>
          </cell>
          <cell r="B238">
            <v>6</v>
          </cell>
        </row>
        <row r="239">
          <cell r="A239" t="str">
            <v>Producto: 2119003727010101 / BISA JARRA RECTA 2.5LTS NEGRO MOTAS</v>
          </cell>
          <cell r="B239">
            <v>6</v>
          </cell>
        </row>
        <row r="240">
          <cell r="A240" t="str">
            <v>Producto: 2119003727010108 / BISA JARRA RECTA 2.5LTS NEGRO MOTAS 2PZ/1 PH</v>
          </cell>
          <cell r="B240">
            <v>1</v>
          </cell>
        </row>
        <row r="241">
          <cell r="A241" t="str">
            <v>Producto: 2119003728010101 / BISA JARRA RECTA 2.5LTS NEVADO</v>
          </cell>
          <cell r="B241">
            <v>6</v>
          </cell>
        </row>
        <row r="242">
          <cell r="A242" t="str">
            <v>Producto: 2121000901010303 / BISA JUEGO TEQUILERO 5   CALACA 6PZ/1</v>
          </cell>
          <cell r="B242">
            <v>1</v>
          </cell>
        </row>
        <row r="243">
          <cell r="A243" t="str">
            <v>Producto: 2121001216050501 / BISA JUEGO POCILLO  8 BLANCO C/F NEGRO CALACA U</v>
          </cell>
          <cell r="B243">
            <v>1</v>
          </cell>
        </row>
        <row r="244">
          <cell r="A244" t="str">
            <v>Producto: 2121001226010501 / BISA JUEGO POCILLO  8 NEGRO  CALACA U</v>
          </cell>
          <cell r="B244">
            <v>1</v>
          </cell>
        </row>
        <row r="245">
          <cell r="A245" t="str">
            <v>Producto: 2121001701010303 / BISA JUEGO PLATO 16   CALACA 6PZ/1</v>
          </cell>
          <cell r="B245">
            <v>1</v>
          </cell>
        </row>
        <row r="246">
          <cell r="A246" t="str">
            <v>Producto: 2121002201010303 / BISA JUEGO PLATO 20   CALACA 6PZ/1</v>
          </cell>
          <cell r="B246">
            <v>1</v>
          </cell>
        </row>
        <row r="247">
          <cell r="A247" t="str">
            <v>Producto: 2121004301010101 / BISA JUEGO 3+3</v>
          </cell>
          <cell r="B247">
            <v>1</v>
          </cell>
        </row>
        <row r="248">
          <cell r="A248" t="str">
            <v>Producto: 2121004308010101 / BISA JUEGO 3+3 BICOLOR</v>
          </cell>
          <cell r="B248">
            <v>1</v>
          </cell>
        </row>
        <row r="249">
          <cell r="A249" t="str">
            <v>Producto: 2121004401010101 / BISA JUEGO 5+5</v>
          </cell>
          <cell r="B249">
            <v>1</v>
          </cell>
        </row>
        <row r="250">
          <cell r="A250" t="str">
            <v>Producto: 2121005801010110 / BISA JUEGO AZULEJO    5PZ/1</v>
          </cell>
          <cell r="B250">
            <v>1</v>
          </cell>
        </row>
        <row r="251">
          <cell r="A251" t="str">
            <v>Producto: 2121006001010101 / BISA JUEGO BODEGON</v>
          </cell>
          <cell r="B251">
            <v>1</v>
          </cell>
        </row>
        <row r="252">
          <cell r="A252" t="str">
            <v>Producto: 2121007301010102 / BISA JUEGO TERNO BISTRO    4PZ/1</v>
          </cell>
          <cell r="B252">
            <v>1</v>
          </cell>
        </row>
        <row r="253">
          <cell r="A253" t="str">
            <v>Producto: 2121007314010101 / BISA JUEGO TERNO BISTRO BICOLOR ROJO</v>
          </cell>
          <cell r="B253">
            <v>1</v>
          </cell>
        </row>
        <row r="254">
          <cell r="A254" t="str">
            <v>Producto: 2121007316070101 / BISA JUEGO TERNO BISTRO BLANCO C/F ROJO</v>
          </cell>
          <cell r="B254">
            <v>1</v>
          </cell>
        </row>
        <row r="255">
          <cell r="A255" t="str">
            <v>Producto: 2121007354010101 / BISA JUEGO TERNO BISTRO BICOLOR ROJO MOTAS</v>
          </cell>
          <cell r="B255">
            <v>1</v>
          </cell>
        </row>
        <row r="256">
          <cell r="A256" t="str">
            <v>Producto: 2121007357010101 / BISA JUEGO TERNO BISTRO BICOLOR GRIS</v>
          </cell>
          <cell r="B256">
            <v>1</v>
          </cell>
        </row>
        <row r="257">
          <cell r="A257" t="str">
            <v>Producto: 2121007901010203 / BISA JUEGO TEQUILERO   CRANEO 6PZ/1</v>
          </cell>
          <cell r="B257">
            <v>1</v>
          </cell>
        </row>
        <row r="258">
          <cell r="A258" t="str">
            <v>Producto: 2121008001010209 / BISA JUEGO POCILLO 8   CRANEO 1PZ/1</v>
          </cell>
          <cell r="B258">
            <v>1</v>
          </cell>
        </row>
        <row r="259">
          <cell r="A259" t="str">
            <v>Producto: 2121008101010102 / BISA JUEGO PORTAVASOS    4PZ/1</v>
          </cell>
          <cell r="B259">
            <v>1</v>
          </cell>
        </row>
        <row r="260">
          <cell r="A260" t="str">
            <v>Producto: 2121008101010702 / BISA JUEGO PORTAVASOS   DECORADO 4PZ/1</v>
          </cell>
          <cell r="B260">
            <v>1</v>
          </cell>
        </row>
        <row r="261">
          <cell r="A261" t="str">
            <v>Producto: 2121008216050209 / BISA JUEGO TAZON INCLINADO 22 BCO C/F N CRANEO 1PZ</v>
          </cell>
          <cell r="B261">
            <v>1</v>
          </cell>
        </row>
        <row r="262">
          <cell r="A262" t="str">
            <v>Producto: 2121008226010209 / BISA JUEGO TAZON INCLINADO 22 NEGRO  CRANEO 1PZ/1</v>
          </cell>
          <cell r="B262">
            <v>1</v>
          </cell>
        </row>
        <row r="263">
          <cell r="A263" t="str">
            <v>Producto: 2121008301010203 / BISA JUEGO PLATO 16   CRANEO 6PZ/1</v>
          </cell>
          <cell r="B263">
            <v>1</v>
          </cell>
        </row>
        <row r="264">
          <cell r="A264" t="str">
            <v>Producto: 2121008401010203 / BISA JUEGO PLATO 20   CRANEO 6PZ/1</v>
          </cell>
          <cell r="B264">
            <v>1</v>
          </cell>
        </row>
        <row r="265">
          <cell r="A265" t="str">
            <v>Producto: 2121008601010101 / BISA JUEGO MARIMAR</v>
          </cell>
          <cell r="B265">
            <v>1</v>
          </cell>
        </row>
        <row r="266">
          <cell r="A266" t="str">
            <v>Producto: 2122000101010101 / RECIPIENTE MULTIUSOS BISA</v>
          </cell>
          <cell r="B266">
            <v>36</v>
          </cell>
        </row>
        <row r="267">
          <cell r="A267" t="str">
            <v xml:space="preserve">Producto: 2122000101010701 / BISA MULTIUSOS DECORADO </v>
          </cell>
          <cell r="B267">
            <v>36</v>
          </cell>
        </row>
        <row r="268">
          <cell r="A268" t="str">
            <v>Producto: 2122000102010101 / BISA MULTIUSOS   A/T</v>
          </cell>
          <cell r="B268">
            <v>36</v>
          </cell>
        </row>
        <row r="269">
          <cell r="A269" t="str">
            <v>Producto: 2122000105010101 / BISA MULTIUSOS   AQUA</v>
          </cell>
          <cell r="B269">
            <v>36</v>
          </cell>
        </row>
        <row r="270">
          <cell r="A270" t="str">
            <v>Producto: 2122000116030101 / BISA MULTIUSOS BLANCO C/F COBALTO</v>
          </cell>
          <cell r="B270">
            <v>36</v>
          </cell>
        </row>
        <row r="271">
          <cell r="A271" t="str">
            <v>Producto: 2122000116040101 / BISA MULTIUSOS BLANCO C/F GRIS</v>
          </cell>
          <cell r="B271">
            <v>36</v>
          </cell>
        </row>
        <row r="272">
          <cell r="A272" t="str">
            <v>Producto: 2122000116040103 / BISA MULTIUSOS BLANCO C/F GRIS 6PZ/1 PH</v>
          </cell>
          <cell r="B272">
            <v>1</v>
          </cell>
        </row>
        <row r="273">
          <cell r="A273" t="str">
            <v xml:space="preserve">Producto: 2122000116040701 / BISA MULTIUSOS BLANCO C/F GRIS DECORADO </v>
          </cell>
          <cell r="B273">
            <v>36</v>
          </cell>
        </row>
        <row r="274">
          <cell r="A274" t="str">
            <v>Producto: 2122000116050101 / BISA MULTIUSOS BLANCO C/F NEGRO</v>
          </cell>
          <cell r="B274">
            <v>36</v>
          </cell>
        </row>
        <row r="275">
          <cell r="A275" t="str">
            <v>Producto: 2122000116060101 / BISA MULTIUSOS BLANCO C/F NEVADO</v>
          </cell>
          <cell r="B275">
            <v>36</v>
          </cell>
        </row>
        <row r="276">
          <cell r="A276" t="str">
            <v>Producto: 2122000116060701 / BISA MULTIUSOS BLANCO C/F NEGRO DECORADO</v>
          </cell>
          <cell r="B276">
            <v>36</v>
          </cell>
        </row>
        <row r="277">
          <cell r="A277" t="str">
            <v>Producto: 2122000116070101 / BISA MULTIUSOS BLANCO C/F ROJO</v>
          </cell>
          <cell r="B277">
            <v>36</v>
          </cell>
        </row>
        <row r="278">
          <cell r="A278" t="str">
            <v>Producto: 2122000116090101 / BISA MULTIUSOS BLANCO C/F VERDE</v>
          </cell>
          <cell r="B278">
            <v>36</v>
          </cell>
        </row>
        <row r="279">
          <cell r="A279" t="str">
            <v>Producto: 2122000116100101 / BISA MULTIUSOS BLANCO C/F AZUL</v>
          </cell>
          <cell r="B279">
            <v>36</v>
          </cell>
        </row>
        <row r="280">
          <cell r="A280" t="str">
            <v>Producto: 2122000117010101 / BISA MULTIUSOS   COBALTO</v>
          </cell>
          <cell r="B280">
            <v>36</v>
          </cell>
        </row>
        <row r="281">
          <cell r="A281" t="str">
            <v>Producto: 2122000121010101 / BISA MULTIUSOS GRIS</v>
          </cell>
          <cell r="B281">
            <v>36</v>
          </cell>
        </row>
        <row r="282">
          <cell r="A282" t="str">
            <v>Producto: 2122000121010103 / BISA MULTIUSOS GRIS 6PZ/1 PH</v>
          </cell>
          <cell r="B282">
            <v>1</v>
          </cell>
        </row>
        <row r="283">
          <cell r="A283" t="str">
            <v>Producto: 2122000126010101 / BISA MULTIUSOS   NEGRO</v>
          </cell>
          <cell r="B283">
            <v>36</v>
          </cell>
        </row>
        <row r="284">
          <cell r="A284" t="str">
            <v>Producto: 2122000127010101 / BISA MULTIUSOS   NEGRO MOTAS</v>
          </cell>
          <cell r="B284">
            <v>36</v>
          </cell>
        </row>
        <row r="285">
          <cell r="A285" t="str">
            <v>Producto: 2122000128010101 / BISA MULTIUSOS   NEVADO</v>
          </cell>
          <cell r="B285">
            <v>36</v>
          </cell>
        </row>
        <row r="286">
          <cell r="A286" t="str">
            <v>Producto: 2122000133010101 / BISA MULTIUSOS TITANIO</v>
          </cell>
          <cell r="B286">
            <v>36</v>
          </cell>
        </row>
        <row r="287">
          <cell r="A287" t="str">
            <v>Producto: 2122000147010101 / BISA MULTIUSOS   VERDE</v>
          </cell>
          <cell r="B287">
            <v>36</v>
          </cell>
        </row>
        <row r="288">
          <cell r="A288" t="str">
            <v xml:space="preserve">Producto: 2122001216070701 / BISA MULTIUSOS BLANCO F/ROJO DECORADO </v>
          </cell>
          <cell r="B288">
            <v>36</v>
          </cell>
        </row>
        <row r="289">
          <cell r="A289" t="str">
            <v xml:space="preserve">Producto: 2123001616040101 / BISA MULTIUSOS RAYADO 15.5 BLANCO C/F GRIS </v>
          </cell>
          <cell r="B289">
            <v>6</v>
          </cell>
        </row>
        <row r="290">
          <cell r="A290" t="str">
            <v>Producto: 2123001616070101 / BISA MULTIUSOS RAYADO 15.5 BLANCO C/F ROJO</v>
          </cell>
          <cell r="B290">
            <v>6</v>
          </cell>
        </row>
        <row r="291">
          <cell r="A291" t="str">
            <v>Producto: 2123001618010101 / BISA MULTIUSOS RAYADO 15.5 COBALTO MOTAS</v>
          </cell>
          <cell r="B291">
            <v>6</v>
          </cell>
        </row>
        <row r="292">
          <cell r="A292" t="str">
            <v>Producto: 2123001801010101 / JICARA BISA ESMALTADA CH</v>
          </cell>
          <cell r="B292">
            <v>6</v>
          </cell>
        </row>
        <row r="293">
          <cell r="A293" t="str">
            <v>Producto: 2123001802010101 / BISA MULTIUSOS RAYADO 15.5 A/T</v>
          </cell>
          <cell r="B293">
            <v>6</v>
          </cell>
        </row>
        <row r="294">
          <cell r="A294" t="str">
            <v>Producto: 2123001816030101 / BISA MULTIUSOS RAYADO 15.5 BLANCO C/F COBALTO</v>
          </cell>
          <cell r="B294">
            <v>6</v>
          </cell>
        </row>
        <row r="295">
          <cell r="A295" t="str">
            <v>Producto: 2123001816050101 / RECIPIENTE MULTIUSOS RAYADO 15.5 BLANCO C/F NEGRO</v>
          </cell>
          <cell r="B295">
            <v>6</v>
          </cell>
        </row>
        <row r="296">
          <cell r="A296" t="str">
            <v>Producto: 2123001817010101 / BISA MULTIUSOS RAYADO 15.5 COBALTO</v>
          </cell>
          <cell r="B296">
            <v>6</v>
          </cell>
        </row>
        <row r="297">
          <cell r="A297" t="str">
            <v>Producto: 2123001827010101 / BISA MULTIUSOS RAYADO 15.5 NEGRO MOTAS</v>
          </cell>
          <cell r="B297">
            <v>6</v>
          </cell>
        </row>
        <row r="298">
          <cell r="A298" t="str">
            <v>Producto: 2123001829010101 / BISA MULTIUSOS RAYADO 15.5 ROJO</v>
          </cell>
          <cell r="B298">
            <v>6</v>
          </cell>
        </row>
        <row r="299">
          <cell r="A299" t="str">
            <v>Producto: 2123002001010101 / JICARA BISA ESMALTADA MEDIANA</v>
          </cell>
          <cell r="B299">
            <v>6</v>
          </cell>
        </row>
        <row r="300">
          <cell r="A300" t="str">
            <v>Producto: 2123002002010101 / BISA MULTIUSOS RAYADO 17.5 A/T</v>
          </cell>
          <cell r="B300">
            <v>6</v>
          </cell>
        </row>
        <row r="301">
          <cell r="A301" t="str">
            <v>Producto: 2123002016010101 / BISA MULTIUSOS RAYADO 17.5 BLANCO</v>
          </cell>
          <cell r="B301">
            <v>6</v>
          </cell>
        </row>
        <row r="302">
          <cell r="A302" t="str">
            <v>Producto: 2123002016030101 / BISA MULTIUSOS RAYADO 17.5 BLANCO C/F COBALTO</v>
          </cell>
          <cell r="B302">
            <v>6</v>
          </cell>
        </row>
        <row r="303">
          <cell r="A303" t="str">
            <v>Producto: 2123002016050101 / RECIPIENTE MULTIUSOS RAYADO 17.5 BLANCO C/F NEGRO</v>
          </cell>
          <cell r="B303">
            <v>6</v>
          </cell>
        </row>
        <row r="304">
          <cell r="A304" t="str">
            <v>Producto: 2123002016050103 / BISA MULTIUSOS RAYADO 17.5 BLANCO C/F NEGRO 6PZ/1</v>
          </cell>
          <cell r="B304">
            <v>1</v>
          </cell>
        </row>
        <row r="305">
          <cell r="A305" t="str">
            <v>Producto: 2123002017010101 / BISA MULTIUSOS RAYADO 17.5 COBALTO</v>
          </cell>
          <cell r="B305">
            <v>6</v>
          </cell>
        </row>
        <row r="306">
          <cell r="A306" t="str">
            <v>Producto: 2123002021010101 / BISA MULTIUSOS RAYADO 17.5 GRIS</v>
          </cell>
          <cell r="B306">
            <v>6</v>
          </cell>
        </row>
        <row r="307">
          <cell r="A307" t="str">
            <v>Producto: 2123002026010101 / BISA MULTIUSOS RAYADO 17.5 NEGRO</v>
          </cell>
          <cell r="B307">
            <v>6</v>
          </cell>
        </row>
        <row r="308">
          <cell r="A308" t="str">
            <v>Producto: 2123002027010101 / BISA MULTIUSOS RAYADO 17.5 NEGRO MOTAS</v>
          </cell>
          <cell r="B308">
            <v>6</v>
          </cell>
        </row>
        <row r="309">
          <cell r="A309" t="str">
            <v>Producto: 2123002027010103 / BISA MULTIUSOS RAYADO 17.5 NEGRO MOTAS 6PZ/1 PH</v>
          </cell>
          <cell r="B309">
            <v>1</v>
          </cell>
        </row>
        <row r="310">
          <cell r="A310" t="str">
            <v>Producto: 2123002029010101 / BISA MULTIUSOS RAYADO 17.5 ROJO</v>
          </cell>
          <cell r="B310">
            <v>6</v>
          </cell>
        </row>
        <row r="311">
          <cell r="A311" t="str">
            <v>Producto: 2123002030010101 / BISA MULTIUSOS RAYADO 17.5 ROJO MOTAS</v>
          </cell>
          <cell r="B311">
            <v>6</v>
          </cell>
        </row>
        <row r="312">
          <cell r="A312" t="str">
            <v>Producto: 2123002301010101 / JICARA BISA ESMALTADA GRANDE</v>
          </cell>
          <cell r="B312">
            <v>6</v>
          </cell>
        </row>
        <row r="313">
          <cell r="A313" t="str">
            <v>Producto: 2123002302010101 / BISA MULTIUSOS RAYADO 20.5 A/T</v>
          </cell>
          <cell r="B313">
            <v>6</v>
          </cell>
        </row>
        <row r="314">
          <cell r="A314" t="str">
            <v>Producto: 2123002316030101 / BISA MULTIUSOS RAYADO 20.5 BLANCO C/F COBALTO</v>
          </cell>
          <cell r="B314">
            <v>6</v>
          </cell>
        </row>
        <row r="315">
          <cell r="A315" t="str">
            <v>Producto: 2123002316050101 / RECIPIENTE MULTIUSOS RAYADO 20.5 BLANCO C/F NEGRO</v>
          </cell>
          <cell r="B315">
            <v>6</v>
          </cell>
        </row>
        <row r="316">
          <cell r="A316" t="str">
            <v>Producto: 2123002317010101 / BISA MULTIUSOS RAYADO 20.5 COBALTO</v>
          </cell>
          <cell r="B316">
            <v>6</v>
          </cell>
        </row>
        <row r="317">
          <cell r="A317" t="str">
            <v>Producto: 2123002329010101 / BISA MULTIUSOS RAYADO 20.5 ROJO</v>
          </cell>
          <cell r="B317">
            <v>6</v>
          </cell>
        </row>
        <row r="318">
          <cell r="A318" t="str">
            <v xml:space="preserve">Producto: 2124001401010101 / OLLA CONVEXA BISA 12  </v>
          </cell>
          <cell r="B318">
            <v>18</v>
          </cell>
        </row>
        <row r="319">
          <cell r="A319" t="str">
            <v>Producto: 2124001402010101 / BISA OLLA CONVEXA 12 A/T</v>
          </cell>
          <cell r="B319">
            <v>18</v>
          </cell>
        </row>
        <row r="320">
          <cell r="A320" t="str">
            <v xml:space="preserve">Producto: 2124001501010101 / OLLA CONVEXA BISA 14    </v>
          </cell>
          <cell r="B320">
            <v>18</v>
          </cell>
        </row>
        <row r="321">
          <cell r="A321" t="str">
            <v>Producto: 2124001502010101 / BISA OLLA CONVEXA 14 A/T</v>
          </cell>
          <cell r="B321">
            <v>18</v>
          </cell>
        </row>
        <row r="322">
          <cell r="A322" t="str">
            <v>Producto: 2124001701010101 / OLLA CONVEXA BISA 16</v>
          </cell>
          <cell r="B322">
            <v>12</v>
          </cell>
        </row>
        <row r="323">
          <cell r="A323" t="str">
            <v>Producto: 2124001702010101 / BISA OLLA CONVEXA 16 A/T</v>
          </cell>
          <cell r="B323">
            <v>12</v>
          </cell>
        </row>
        <row r="324">
          <cell r="A324" t="str">
            <v xml:space="preserve">Producto: 2124001702010701 / BISA OLLA CONVEXA 16 A/T DECORADO </v>
          </cell>
          <cell r="B324">
            <v>12</v>
          </cell>
        </row>
        <row r="325">
          <cell r="A325" t="str">
            <v xml:space="preserve">Producto: 2124002101010101 / OLLA CONVEXA BISA 18    </v>
          </cell>
          <cell r="B325">
            <v>12</v>
          </cell>
        </row>
        <row r="326">
          <cell r="A326" t="str">
            <v>Producto: 2124002102010101 / BISA OLLA CONVEXA 18 A/T</v>
          </cell>
          <cell r="B326">
            <v>12</v>
          </cell>
        </row>
        <row r="327">
          <cell r="A327" t="str">
            <v>Producto: 2124002102010103 / BISA OLLA CONVEXA 18 A/T 6PZ/1 CF 746169011814</v>
          </cell>
          <cell r="B327">
            <v>1</v>
          </cell>
        </row>
        <row r="328">
          <cell r="A328" t="str">
            <v>Producto: 2124002102010104 / BISA OLLA CONVEXA 18 A/T 12PZ/1 TG</v>
          </cell>
          <cell r="B328">
            <v>1</v>
          </cell>
        </row>
        <row r="329">
          <cell r="A329" t="str">
            <v>Producto: 2124002201010701 / BISA OLLA CONVEXA 20 DECORADO</v>
          </cell>
          <cell r="B329">
            <v>12</v>
          </cell>
        </row>
        <row r="330">
          <cell r="A330" t="str">
            <v>Producto: 2124002202010101 / BISA OLLA CONVEXA 20 A/T</v>
          </cell>
          <cell r="B330">
            <v>12</v>
          </cell>
        </row>
        <row r="331">
          <cell r="A331" t="str">
            <v>Producto: 2124002202010104 / BISA OLLA CONVEXA 20 A/T 12PZ/1 TG</v>
          </cell>
          <cell r="B331">
            <v>1</v>
          </cell>
        </row>
        <row r="332">
          <cell r="A332" t="str">
            <v>Producto: 2124002402010101 / BISA OLLA CONVEXA 22 A/T</v>
          </cell>
          <cell r="B332">
            <v>6</v>
          </cell>
        </row>
        <row r="333">
          <cell r="A333" t="str">
            <v>Producto: 2124002402010102 / BISA OLLA CONVEXA 22 A/T 4PZ/1 CF 746169012217</v>
          </cell>
          <cell r="B333">
            <v>1</v>
          </cell>
        </row>
        <row r="334">
          <cell r="A334" t="str">
            <v>Producto: 2124002402010103 / BISA OLLA CONVEXA 22 A/T 6PZ/1 TG</v>
          </cell>
          <cell r="B334">
            <v>1</v>
          </cell>
        </row>
        <row r="335">
          <cell r="A335" t="str">
            <v>Producto: 2124002502010101 / BISA OLLA CONVEXA 24 A/T</v>
          </cell>
          <cell r="B335">
            <v>6</v>
          </cell>
        </row>
        <row r="336">
          <cell r="A336" t="str">
            <v>Producto: 2124002502010103 / BISA OLLA CONVEXA 24 A/T 6PZ/1 TG</v>
          </cell>
          <cell r="B336">
            <v>1</v>
          </cell>
        </row>
        <row r="337">
          <cell r="A337" t="str">
            <v>Producto: 2124002602010101 / BISA OLLA CONVEXA 26 A/T</v>
          </cell>
          <cell r="B337">
            <v>6</v>
          </cell>
        </row>
        <row r="338">
          <cell r="A338" t="str">
            <v>Producto: 2124002602010103 / BISA OLLA CONVEXA 26 A/T 6PZ/1 TG</v>
          </cell>
          <cell r="B338">
            <v>1</v>
          </cell>
        </row>
        <row r="339">
          <cell r="A339" t="str">
            <v>Producto: 2124002902010101 / BISA OLLA CONVEXA 30 A/T</v>
          </cell>
          <cell r="B339">
            <v>2</v>
          </cell>
        </row>
        <row r="340">
          <cell r="A340" t="str">
            <v>Producto: 2124003102010101 / BISA OLLA CONVEXA 34 A/T</v>
          </cell>
          <cell r="B340">
            <v>2</v>
          </cell>
        </row>
        <row r="341">
          <cell r="A341" t="str">
            <v xml:space="preserve">Producto: 2125001401010101 / OLLA RECTA BISA 12    </v>
          </cell>
          <cell r="B341">
            <v>18</v>
          </cell>
        </row>
        <row r="342">
          <cell r="A342" t="str">
            <v>Producto: 2125001402010101 / BISA OLLA RECTA 12 A/T</v>
          </cell>
          <cell r="B342">
            <v>18</v>
          </cell>
        </row>
        <row r="343">
          <cell r="A343" t="str">
            <v xml:space="preserve">Producto: 2125001501010101 / OLLA RECTA BISA 14    </v>
          </cell>
          <cell r="B343">
            <v>18</v>
          </cell>
        </row>
        <row r="344">
          <cell r="A344" t="str">
            <v>Producto: 2125001502010101 / BISA OLLA RECTA 14 A/T</v>
          </cell>
          <cell r="B344">
            <v>18</v>
          </cell>
        </row>
        <row r="345">
          <cell r="A345" t="str">
            <v xml:space="preserve">Producto: 2125001701010101 / OLLA RECTA BISA 16    </v>
          </cell>
          <cell r="B345">
            <v>12</v>
          </cell>
        </row>
        <row r="346">
          <cell r="A346" t="str">
            <v>Producto: 2125001702010101 / BISA OLLA RECTA 16 A/T</v>
          </cell>
          <cell r="B346">
            <v>12</v>
          </cell>
        </row>
        <row r="347">
          <cell r="A347" t="str">
            <v xml:space="preserve">Producto: 2125002101010101 / OLLA RECTA BISA 18    </v>
          </cell>
          <cell r="B347">
            <v>12</v>
          </cell>
        </row>
        <row r="348">
          <cell r="A348" t="str">
            <v>Producto: 2125002102010101 / BISA OLLA RECTA 18 A/T</v>
          </cell>
          <cell r="B348">
            <v>12</v>
          </cell>
        </row>
        <row r="349">
          <cell r="A349" t="str">
            <v>Producto: 2125002102010104 / BISA OLLA RECTA 18 A/T 12PZ/1 TG</v>
          </cell>
          <cell r="B349">
            <v>1</v>
          </cell>
        </row>
        <row r="350">
          <cell r="A350" t="str">
            <v>Producto: 2125002202010101 / BISA OLLA RECTA 20 A/T</v>
          </cell>
          <cell r="B350">
            <v>12</v>
          </cell>
        </row>
        <row r="351">
          <cell r="A351" t="str">
            <v>Producto: 2125002202010103 / BISA OLLA RECTA 20 A/T 6PZ/1 CF 746169022018</v>
          </cell>
          <cell r="B351">
            <v>1</v>
          </cell>
        </row>
        <row r="352">
          <cell r="A352" t="str">
            <v>Producto: 2125002202010104 / BISA OLLA RECTA 20 A/T 12PZ/1 TG</v>
          </cell>
          <cell r="B352">
            <v>1</v>
          </cell>
        </row>
        <row r="353">
          <cell r="A353" t="str">
            <v>Producto: 2125002210010101 / BISA OLLA RECTA 20 BICOLOR AZUL</v>
          </cell>
          <cell r="B353">
            <v>6</v>
          </cell>
        </row>
        <row r="354">
          <cell r="A354" t="str">
            <v>Producto: 2125002210010103 / BISA OLLA RECTA 20 BIC AZUL6PZ/1 CF 746169022032</v>
          </cell>
          <cell r="B354">
            <v>1</v>
          </cell>
        </row>
        <row r="355">
          <cell r="A355" t="str">
            <v>Producto: 2125002212010101 / BISA OLLA RECTA 20 BICOLOR NARANJA</v>
          </cell>
          <cell r="B355">
            <v>6</v>
          </cell>
        </row>
        <row r="356">
          <cell r="A356" t="str">
            <v>Producto: 2125002212010103 / BISA OLLA RECTA 20 BIC NARANJ6PZ/1 CF 746169022025</v>
          </cell>
          <cell r="B356">
            <v>1</v>
          </cell>
        </row>
        <row r="357">
          <cell r="A357" t="str">
            <v>Producto: 2125002214010101 / BISA OLLA RECTA 20 BICOLOR ROJO</v>
          </cell>
          <cell r="B357">
            <v>6</v>
          </cell>
        </row>
        <row r="358">
          <cell r="A358" t="str">
            <v>Producto: 2125002214010103 / BISA OLLA RECTA 20 BIC ROJO6PZ/1 CF 746169022049</v>
          </cell>
          <cell r="B358">
            <v>1</v>
          </cell>
        </row>
        <row r="359">
          <cell r="A359" t="str">
            <v>Producto: 2125002215010101 / BISA OLLA RECTA 20 BICOLOR VERDE</v>
          </cell>
          <cell r="B359">
            <v>6</v>
          </cell>
        </row>
        <row r="360">
          <cell r="A360" t="str">
            <v>Producto: 2125002225010101 / BISA OLLA RECTA 20 NAVY</v>
          </cell>
          <cell r="B360">
            <v>12</v>
          </cell>
        </row>
        <row r="361">
          <cell r="A361" t="str">
            <v xml:space="preserve">Producto: 2125002259010101 / BISA OLLA RECTA 20 ARENA </v>
          </cell>
          <cell r="B361">
            <v>12</v>
          </cell>
        </row>
        <row r="362">
          <cell r="A362" t="str">
            <v>Producto: 2125002402010101 / BISA OLLA RECTA 22 A/T</v>
          </cell>
          <cell r="B362">
            <v>6</v>
          </cell>
        </row>
        <row r="363">
          <cell r="A363" t="str">
            <v>Producto: 2125002402010103 / BISA OLLA RECTA 22 A/T 6PZ/1 TG</v>
          </cell>
          <cell r="B363">
            <v>1</v>
          </cell>
        </row>
        <row r="364">
          <cell r="A364" t="str">
            <v>Producto: 2125002402010104 / BISA OLLA RECTA 22 A/T 12PZ/1 TG</v>
          </cell>
          <cell r="B364">
            <v>1</v>
          </cell>
        </row>
        <row r="365">
          <cell r="A365" t="str">
            <v>Producto: 2125002425010101 / BISA OLLA RECTA 22 NAVY</v>
          </cell>
          <cell r="B365">
            <v>6</v>
          </cell>
        </row>
        <row r="366">
          <cell r="A366" t="str">
            <v>Producto: 2125002502010101 / BISA OLLA RECTA 24 A/T</v>
          </cell>
          <cell r="B366">
            <v>6</v>
          </cell>
        </row>
        <row r="367">
          <cell r="A367" t="str">
            <v>Producto: 2125002502010103 / BISA OLLA RECTA 24 A/T   6PZ/1</v>
          </cell>
          <cell r="B367">
            <v>1</v>
          </cell>
        </row>
        <row r="368">
          <cell r="A368" t="str">
            <v>Producto: 2125002508010101 / BISA OLLA RECTA 24 BICOLOR</v>
          </cell>
          <cell r="B368">
            <v>4</v>
          </cell>
        </row>
        <row r="369">
          <cell r="A369" t="str">
            <v>Producto: 2125002510010101 / BISA OLLA RECTA 24 BICOLOR AZUL</v>
          </cell>
          <cell r="B369">
            <v>4</v>
          </cell>
        </row>
        <row r="370">
          <cell r="A370" t="str">
            <v>Producto: 2125002510010102 / BISA OLLA RECTA 24 BIC AZUL 4PZ/1 CF 746169022438</v>
          </cell>
          <cell r="B370">
            <v>1</v>
          </cell>
        </row>
        <row r="371">
          <cell r="A371" t="str">
            <v>Producto: 2125002512010101 / BISA OLLA RECTA 24 BICOLOR NARANJA</v>
          </cell>
          <cell r="B371">
            <v>4</v>
          </cell>
        </row>
        <row r="372">
          <cell r="A372" t="str">
            <v>Producto: 2125002512010102 / BISA OLLA RECTA 24 BIC NARANJ4PZ/1 CF 746169022421</v>
          </cell>
          <cell r="B372">
            <v>1</v>
          </cell>
        </row>
        <row r="373">
          <cell r="A373" t="str">
            <v>Producto: 2125002512010103 / BISA OLLA RECTA 24 BICOLOR NARANJA 6PZ/1 TG</v>
          </cell>
          <cell r="B373">
            <v>1</v>
          </cell>
        </row>
        <row r="374">
          <cell r="A374" t="str">
            <v>Producto: 2125002514010101 / BISA OLLA RECTA 24 BICOLOR ROJO</v>
          </cell>
          <cell r="B374">
            <v>4</v>
          </cell>
        </row>
        <row r="375">
          <cell r="A375" t="str">
            <v>Producto: 2125002514010102 / BISA OLLA RECTA 24 BIC ROJO 4PZ/1 CF 746169022445</v>
          </cell>
          <cell r="B375">
            <v>1</v>
          </cell>
        </row>
        <row r="376">
          <cell r="A376" t="str">
            <v>Producto: 2125002514010103 / BISA OLLA RECTA 24 BICOLOR ROJO 6PZ/1 TG</v>
          </cell>
          <cell r="B376">
            <v>1</v>
          </cell>
        </row>
        <row r="377">
          <cell r="A377" t="str">
            <v>Producto: 2125002515010102 / BISA OLLA RECTA 24 BICOLOR VERDE 4PZ/1 TG</v>
          </cell>
          <cell r="B377">
            <v>1</v>
          </cell>
        </row>
        <row r="378">
          <cell r="A378" t="str">
            <v>Producto: 2125002515010103 / BISA OLLA RECTA 24 BICOLOR VERDE   6PZ/1</v>
          </cell>
          <cell r="B378">
            <v>1</v>
          </cell>
        </row>
        <row r="379">
          <cell r="A379" t="str">
            <v>Producto: 2125002525010101 / BISA OLLA RECTA 24 NAVY</v>
          </cell>
          <cell r="B379">
            <v>6</v>
          </cell>
        </row>
        <row r="380">
          <cell r="A380" t="str">
            <v xml:space="preserve">Producto: 2125002559010101 / BISA OLLA RECTA 24 ARENA </v>
          </cell>
          <cell r="B380">
            <v>6</v>
          </cell>
        </row>
        <row r="381">
          <cell r="A381" t="str">
            <v>Producto: 2125002601010701 / BISA OLLA RECTA 26 DECORADO</v>
          </cell>
          <cell r="B381">
            <v>6</v>
          </cell>
        </row>
        <row r="382">
          <cell r="A382" t="str">
            <v>Producto: 2125002602010101 / BISA OLLA RECTA 26 A/T</v>
          </cell>
          <cell r="B382">
            <v>6</v>
          </cell>
        </row>
        <row r="383">
          <cell r="A383" t="str">
            <v>Producto: 2125002602010103 / BISA OLLA RECTA 26 A/T 6PZ/1 TG</v>
          </cell>
          <cell r="B383">
            <v>1</v>
          </cell>
        </row>
        <row r="384">
          <cell r="A384" t="str">
            <v>Producto: 2125002661011501 / BISA OLLA RECTA 26 ENCORE TAPA CRISTAL</v>
          </cell>
          <cell r="B384">
            <v>6</v>
          </cell>
        </row>
        <row r="385">
          <cell r="A385" t="str">
            <v>Producto: 2125002801010701 / BISA OLLA RECTA 28 DECORADO</v>
          </cell>
          <cell r="B385">
            <v>2</v>
          </cell>
        </row>
        <row r="386">
          <cell r="A386" t="str">
            <v>Producto: 2125002802010101 / BISA OLLA RECTA 28 A/T</v>
          </cell>
          <cell r="B386">
            <v>2</v>
          </cell>
        </row>
        <row r="387">
          <cell r="A387" t="str">
            <v>Producto: 2125002802010108 / BISA OLLA RECTA 28 A/T 2PZ/1 CF 746169022810</v>
          </cell>
          <cell r="B387">
            <v>1</v>
          </cell>
        </row>
        <row r="388">
          <cell r="A388" t="str">
            <v>Producto: 2125002902010101 / BISA OLLA RECTA 30 A/T</v>
          </cell>
          <cell r="B388">
            <v>2</v>
          </cell>
        </row>
        <row r="389">
          <cell r="A389" t="str">
            <v>Producto: 2125002925010101 / BISA OLLA RECTA 30 NAVY</v>
          </cell>
          <cell r="B389">
            <v>2</v>
          </cell>
        </row>
        <row r="390">
          <cell r="A390" t="str">
            <v>Producto: 2125003102010101 / BISA OLLA RECTA 34 A/T</v>
          </cell>
          <cell r="B390">
            <v>2</v>
          </cell>
        </row>
        <row r="391">
          <cell r="A391" t="str">
            <v>Producto: 2125003125010101 / BISA OLLA RECTA 34 NAVY</v>
          </cell>
          <cell r="B391">
            <v>2</v>
          </cell>
        </row>
        <row r="392">
          <cell r="A392" t="str">
            <v>Producto: 2125003302010101 / BISA OLLA RECTA 42 A/T</v>
          </cell>
          <cell r="B392">
            <v>1</v>
          </cell>
        </row>
        <row r="393">
          <cell r="A393" t="str">
            <v>Producto: 2125009902010101 / BISA OLLA RECTA 38 A/T</v>
          </cell>
          <cell r="B393">
            <v>1</v>
          </cell>
        </row>
        <row r="394">
          <cell r="A394" t="str">
            <v>Producto: 2125102252010101 / BISA OLLA RECTA 20 C/T CRISTAL BICOLOR ROJO N</v>
          </cell>
          <cell r="B394">
            <v>12</v>
          </cell>
        </row>
        <row r="395">
          <cell r="A395" t="str">
            <v xml:space="preserve">Producto: 2126002201010101 / BISA PLATO AVENERO 20    </v>
          </cell>
          <cell r="B395">
            <v>24</v>
          </cell>
        </row>
        <row r="396">
          <cell r="A396" t="str">
            <v xml:space="preserve">Producto: 2126002201010701 / BISA PLATO AVENERO 20 DECORADO </v>
          </cell>
          <cell r="B396">
            <v>24</v>
          </cell>
        </row>
        <row r="397">
          <cell r="A397" t="str">
            <v>Producto: 2126002202010101 / BISA PLATO AVENERO 20 A/T</v>
          </cell>
          <cell r="B397">
            <v>24</v>
          </cell>
        </row>
        <row r="398">
          <cell r="A398" t="str">
            <v>Producto: 2126002216030101 / BISA PLATO AVENERO 20 BLANCO C/F COBALTO</v>
          </cell>
          <cell r="B398">
            <v>24</v>
          </cell>
        </row>
        <row r="399">
          <cell r="A399" t="str">
            <v xml:space="preserve">Producto: 2126002216040101 / BISA PLATO AVENERO 20 BLANCO C/F GRIS  </v>
          </cell>
          <cell r="B399">
            <v>24</v>
          </cell>
        </row>
        <row r="400">
          <cell r="A400" t="str">
            <v>Producto: 2126002216040103 / BISA PLATO AVENERO 20 BLANCO C/F GRIS 6PZ/1 PH</v>
          </cell>
          <cell r="B400">
            <v>1</v>
          </cell>
        </row>
        <row r="401">
          <cell r="A401" t="str">
            <v>Producto: 2126002216050101 / BISA PLATO AVENERO 20 BLANCO C/F NEGRO</v>
          </cell>
          <cell r="B401">
            <v>24</v>
          </cell>
        </row>
        <row r="402">
          <cell r="A402" t="str">
            <v>Producto: 2126002216050103 / BISA PLATO AVENERO 20 BLANCO C/F NEGRO 6PZ/1 PH</v>
          </cell>
          <cell r="B402">
            <v>1</v>
          </cell>
        </row>
        <row r="403">
          <cell r="A403" t="str">
            <v>Producto: 2126002216050701 / BISA PLATO AVENERO 20 BLANCO C/F NEGRO DECORADO</v>
          </cell>
          <cell r="B403">
            <v>24</v>
          </cell>
        </row>
        <row r="404">
          <cell r="A404" t="str">
            <v>Producto: 2126002218010101 / BISA PLATO AVENERO 20 COBALTO MOTAS</v>
          </cell>
          <cell r="B404">
            <v>24</v>
          </cell>
        </row>
        <row r="405">
          <cell r="A405" t="str">
            <v xml:space="preserve">Producto: 2126002226010101 / BISA PLATO AVENERO 20 NEGRO </v>
          </cell>
          <cell r="B405">
            <v>24</v>
          </cell>
        </row>
        <row r="406">
          <cell r="A406" t="str">
            <v>Producto: 2126002227010101 / BISA PLATO AVENERO 20 NEGRO MOTAS</v>
          </cell>
          <cell r="B406">
            <v>24</v>
          </cell>
        </row>
        <row r="407">
          <cell r="A407" t="str">
            <v>Producto: 2126002227010103 / BISA PLATO AVENERO NEGRO MOTAS 6PZS/1</v>
          </cell>
          <cell r="B407">
            <v>1</v>
          </cell>
        </row>
        <row r="408">
          <cell r="A408" t="str">
            <v>Producto: 2126002233010101 / BISA PLATO AVENERO 20 TITANIO</v>
          </cell>
          <cell r="B408">
            <v>24</v>
          </cell>
        </row>
        <row r="409">
          <cell r="A409" t="str">
            <v>Producto: 2128001702010101 / BISA PLATO BISTRO 16 A/T</v>
          </cell>
          <cell r="B409">
            <v>12</v>
          </cell>
        </row>
        <row r="410">
          <cell r="A410" t="str">
            <v>Producto: 2128001716050101 / BISA PLATO BISTRO 16 BLANCO C/F NEGRO</v>
          </cell>
          <cell r="B410">
            <v>12</v>
          </cell>
        </row>
        <row r="411">
          <cell r="A411" t="str">
            <v>Producto: 2128001716050701 / BISA PLATO BISTRO BLANCO C/F NEGRO DECORADO</v>
          </cell>
          <cell r="B411">
            <v>12</v>
          </cell>
        </row>
        <row r="412">
          <cell r="A412" t="str">
            <v>Producto: 2128001716090101 / BISA PLATO BISTRO 16 BLANCO C/F VERDE</v>
          </cell>
          <cell r="B412">
            <v>12</v>
          </cell>
        </row>
        <row r="413">
          <cell r="A413" t="str">
            <v>Producto: 2128001717010101 / BISA PLATO BISTRO 16 COBALTO</v>
          </cell>
          <cell r="B413">
            <v>12</v>
          </cell>
        </row>
        <row r="414">
          <cell r="A414" t="str">
            <v>Producto: 2128001721010101 / BISA PLATO BISTRO 16 GRIS</v>
          </cell>
          <cell r="B414">
            <v>12</v>
          </cell>
        </row>
        <row r="415">
          <cell r="A415" t="str">
            <v>Producto: 2128001726010101 / BISA PLATO BISTRO 16 NEGRO</v>
          </cell>
          <cell r="B415">
            <v>12</v>
          </cell>
        </row>
        <row r="416">
          <cell r="A416" t="str">
            <v>Producto: 2128001727010101 / BISA PLATO BISTRO 16 NEGRO MOTAS</v>
          </cell>
          <cell r="B416">
            <v>12</v>
          </cell>
        </row>
        <row r="417">
          <cell r="A417" t="str">
            <v>Producto: 2128001730010101 / BISA PLATO BISTRO 16 ROJO MOTAS</v>
          </cell>
          <cell r="B417">
            <v>12</v>
          </cell>
        </row>
        <row r="418">
          <cell r="A418" t="str">
            <v>Producto: 2128001747010101 / BISA PLATO BISTRO 16 VERDE</v>
          </cell>
          <cell r="B418">
            <v>12</v>
          </cell>
        </row>
        <row r="419">
          <cell r="A419" t="str">
            <v xml:space="preserve">Producto: 2129002601010101 / BISA PLATO PASTA/SOPA 26    </v>
          </cell>
          <cell r="B419">
            <v>6</v>
          </cell>
        </row>
        <row r="420">
          <cell r="A420" t="str">
            <v xml:space="preserve">Producto: 2129002701010701 / BISA PLATO HONDO 27 DECORADO </v>
          </cell>
          <cell r="B420">
            <v>6</v>
          </cell>
        </row>
        <row r="421">
          <cell r="A421" t="str">
            <v>Producto: 2129002702010101 / BISA PLATO HONDO 27 A/T</v>
          </cell>
          <cell r="B421">
            <v>6</v>
          </cell>
        </row>
        <row r="422">
          <cell r="A422" t="str">
            <v>Producto: 2129002714010101 / BISA PLATO HONDO 27 BICOLOR ROJO</v>
          </cell>
          <cell r="B422">
            <v>6</v>
          </cell>
        </row>
        <row r="423">
          <cell r="A423" t="str">
            <v>Producto: 2129002716030101 / BISA PLATO HONDO 27 BLANCO C/F COBALTO</v>
          </cell>
          <cell r="B423">
            <v>6</v>
          </cell>
        </row>
        <row r="424">
          <cell r="A424" t="str">
            <v>Producto: 2129002716040101 / BISA PLATO HONDO 27 BLANCO C/F GRIS</v>
          </cell>
          <cell r="B424">
            <v>6</v>
          </cell>
        </row>
        <row r="425">
          <cell r="A425" t="str">
            <v>Producto: 2129002716040103 / BISA PLATO HONDO 27 BLANCO C/F GRIS 6PZ/1 PH</v>
          </cell>
          <cell r="B425">
            <v>1</v>
          </cell>
        </row>
        <row r="426">
          <cell r="A426" t="str">
            <v>Producto: 2129002716040701 / BISA PLATO HONDO 27 BLANCO C/F GRIS DECORADO</v>
          </cell>
          <cell r="B426">
            <v>6</v>
          </cell>
        </row>
        <row r="427">
          <cell r="A427" t="str">
            <v>Producto: 2129002716050101 / BISA PLATO HONDO 27 BLANCO C/F NEGRO</v>
          </cell>
          <cell r="B427">
            <v>6</v>
          </cell>
        </row>
        <row r="428">
          <cell r="A428" t="str">
            <v>Producto: 2129002716050103 / BISA PLATO HONDO 27 BLANCO C/F NEGRO 6PZ/1 PH</v>
          </cell>
          <cell r="B428">
            <v>1</v>
          </cell>
        </row>
        <row r="429">
          <cell r="A429" t="str">
            <v>Producto: 2129002716050701 / BISA PLATO HONDO 27 BLANCO C/F NEGRO DECORADO</v>
          </cell>
          <cell r="B429">
            <v>6</v>
          </cell>
        </row>
        <row r="430">
          <cell r="A430" t="str">
            <v>Producto: 2129002716070101 / BISA PLATO HONDO 27 BLANCO C/F ROJO</v>
          </cell>
          <cell r="B430">
            <v>6</v>
          </cell>
        </row>
        <row r="431">
          <cell r="A431" t="str">
            <v>Producto: 2129002716070701 / BISA PLATO HONDO 27 BLANCO C/F ROJO DECORADO</v>
          </cell>
          <cell r="B431">
            <v>6</v>
          </cell>
        </row>
        <row r="432">
          <cell r="A432" t="str">
            <v>Producto: 2129002716090101 / BISA PLATO HONDO 27 BLANCO C/F VERDE</v>
          </cell>
          <cell r="B432">
            <v>6</v>
          </cell>
        </row>
        <row r="433">
          <cell r="A433" t="str">
            <v xml:space="preserve">Producto: 2129002717010101 / BISA PLATO HONDO 27 COBALTO   </v>
          </cell>
          <cell r="B433">
            <v>6</v>
          </cell>
        </row>
        <row r="434">
          <cell r="A434" t="str">
            <v>Producto: 2129002720010101 / BISA PLATO HONDO 27 GENERICO</v>
          </cell>
          <cell r="B434">
            <v>6</v>
          </cell>
        </row>
        <row r="435">
          <cell r="A435" t="str">
            <v xml:space="preserve">Producto: 2129002721010101 / BISA PLATO HONDO 27 GRIS   </v>
          </cell>
          <cell r="B435">
            <v>6</v>
          </cell>
        </row>
        <row r="436">
          <cell r="A436" t="str">
            <v xml:space="preserve">Producto: 2129002726010101 / BISA PLATO HONDO 27 NEGRO   </v>
          </cell>
          <cell r="B436">
            <v>6</v>
          </cell>
        </row>
        <row r="437">
          <cell r="A437" t="str">
            <v>Producto: 2129002727010101 / BISA PLATO HONDO 27 NEGRO MOTAS</v>
          </cell>
          <cell r="B437">
            <v>6</v>
          </cell>
        </row>
        <row r="438">
          <cell r="A438" t="str">
            <v>Producto: 2129002727010103 / BISA PLATO HONDO 27 NEGRO MOTAS 6PZ/1 PH</v>
          </cell>
          <cell r="B438">
            <v>1</v>
          </cell>
        </row>
        <row r="439">
          <cell r="A439" t="str">
            <v>Producto: 2129002733010101 / BISA PLATO HONDO 27 TITANIO</v>
          </cell>
          <cell r="B439">
            <v>6</v>
          </cell>
        </row>
        <row r="440">
          <cell r="A440" t="str">
            <v>Producto: 2129002733010103 / BISA PLATO HONDO 27 TITANIO 6PZ/1 PH</v>
          </cell>
          <cell r="B440">
            <v>1</v>
          </cell>
        </row>
        <row r="441">
          <cell r="A441" t="str">
            <v xml:space="preserve">Producto: 2129002759010101 / BISA PLATO HONDO 27 ARENA </v>
          </cell>
          <cell r="B441">
            <v>6</v>
          </cell>
        </row>
        <row r="442">
          <cell r="A442" t="str">
            <v>Producto: 2130001401010101 / BISA PLATO LISO 12</v>
          </cell>
          <cell r="B442">
            <v>6</v>
          </cell>
        </row>
        <row r="443">
          <cell r="A443" t="str">
            <v xml:space="preserve">Producto: 2130001401010701 / BISA PLATO LISO 12 DECORADO </v>
          </cell>
          <cell r="B443">
            <v>6</v>
          </cell>
        </row>
        <row r="444">
          <cell r="A444" t="str">
            <v>Producto: 2130001402010101 / BISA PLATO LISO 12 A/T</v>
          </cell>
          <cell r="B444">
            <v>6</v>
          </cell>
        </row>
        <row r="445">
          <cell r="A445" t="str">
            <v>Producto: 2130001416030101 / BISA PLATO LISO 12 BLANCO C/F COBALTO</v>
          </cell>
          <cell r="B445">
            <v>6</v>
          </cell>
        </row>
        <row r="446">
          <cell r="A446" t="str">
            <v xml:space="preserve">Producto: 2130001416030701 / BISA PLATO LISO 12 BLANCO C/F COBALTO DECORADO </v>
          </cell>
          <cell r="B446">
            <v>6</v>
          </cell>
        </row>
        <row r="447">
          <cell r="A447" t="str">
            <v>Producto: 2130001416040101 / BISA PLATO LISO 12 BLANCO C/F GRIS</v>
          </cell>
          <cell r="B447">
            <v>6</v>
          </cell>
        </row>
        <row r="448">
          <cell r="A448" t="str">
            <v>Producto: 2130001416050101 / BISA PLATO LISO 12 BLANCO C/F NEGRO</v>
          </cell>
          <cell r="B448">
            <v>6</v>
          </cell>
        </row>
        <row r="449">
          <cell r="A449" t="str">
            <v>Producto: 2130001416050103 / BISA PLATO LISO 12 BLANCO C/F NEGRO 6PZ/1 PH</v>
          </cell>
          <cell r="B449">
            <v>1</v>
          </cell>
        </row>
        <row r="450">
          <cell r="A450" t="str">
            <v xml:space="preserve">Producto: 2130001416050701 / BISA PLATO LISO 12 BLANCO C/F NEGRO DECORADO </v>
          </cell>
          <cell r="B450">
            <v>6</v>
          </cell>
        </row>
        <row r="451">
          <cell r="A451" t="str">
            <v>Producto: 2130001416070101 / BISA PLATO LISO 12 BLANCO C/F ROJO</v>
          </cell>
          <cell r="B451">
            <v>6</v>
          </cell>
        </row>
        <row r="452">
          <cell r="A452" t="str">
            <v>Producto: 2130001416090101 / BISA PLATO LISO 12 BLANCO C/F VERDE</v>
          </cell>
          <cell r="B452">
            <v>6</v>
          </cell>
        </row>
        <row r="453">
          <cell r="A453" t="str">
            <v>Producto: 2130001417010101 / BISA PLATO LISO 12 COBALTO</v>
          </cell>
          <cell r="B453">
            <v>6</v>
          </cell>
        </row>
        <row r="454">
          <cell r="A454" t="str">
            <v>Producto: 2130001421010101 / BISA PLATO LISO 12 GRIS</v>
          </cell>
          <cell r="B454">
            <v>6</v>
          </cell>
        </row>
        <row r="455">
          <cell r="A455" t="str">
            <v>Producto: 2130001426010101 / BISA PLATO LISO 12 NEGRO</v>
          </cell>
          <cell r="B455">
            <v>6</v>
          </cell>
        </row>
        <row r="456">
          <cell r="A456" t="str">
            <v>Producto: 2130001427010101 / BISA PLATO LISO 12 NEGRO MOTAS</v>
          </cell>
          <cell r="B456">
            <v>6</v>
          </cell>
        </row>
        <row r="457">
          <cell r="A457" t="str">
            <v>Producto: 2130001429010101 / BISA PLATO LISO 12 ROJO</v>
          </cell>
          <cell r="B457">
            <v>6</v>
          </cell>
        </row>
        <row r="458">
          <cell r="A458" t="str">
            <v xml:space="preserve">Producto: 2130001460010101 / BISA PLATO LISO 12 NEGRO PIEDRA </v>
          </cell>
          <cell r="B458">
            <v>6</v>
          </cell>
        </row>
        <row r="459">
          <cell r="A459" t="str">
            <v>Producto: 2130001701010101 / BISA PLATO PAN 16</v>
          </cell>
          <cell r="B459">
            <v>6</v>
          </cell>
        </row>
        <row r="460">
          <cell r="A460" t="str">
            <v xml:space="preserve">Producto: 2130001701010701 / BISA PLATO LISO 16 DECORADO </v>
          </cell>
          <cell r="B460">
            <v>6</v>
          </cell>
        </row>
        <row r="461">
          <cell r="A461" t="str">
            <v>Producto: 2130001702010101 / BISA PLATO LISO 16 A/T</v>
          </cell>
          <cell r="B461">
            <v>6</v>
          </cell>
        </row>
        <row r="462">
          <cell r="A462" t="str">
            <v>Producto: 2130001702010114 / BISA PLATO LISO 16 A/T LV</v>
          </cell>
          <cell r="B462">
            <v>6</v>
          </cell>
        </row>
        <row r="463">
          <cell r="A463" t="str">
            <v>Producto: 2130001702030101 / BISA PLATO LISO 16 A/T C/F COBALTO</v>
          </cell>
          <cell r="B463">
            <v>6</v>
          </cell>
        </row>
        <row r="464">
          <cell r="A464" t="str">
            <v>Producto: 2130001705010114 / BISA PLATO LISO 16 AQUA LV</v>
          </cell>
          <cell r="B464">
            <v>6</v>
          </cell>
        </row>
        <row r="465">
          <cell r="A465" t="str">
            <v>Producto: 2130001705050101 / BISA PLATO LISO 16 AQUA C/F NEGRO</v>
          </cell>
          <cell r="B465">
            <v>6</v>
          </cell>
        </row>
        <row r="466">
          <cell r="A466" t="str">
            <v>Producto: 2130001706010101 / BISA PLATO LISO 16 AZUL</v>
          </cell>
          <cell r="B466">
            <v>6</v>
          </cell>
        </row>
        <row r="467">
          <cell r="A467" t="str">
            <v>Producto: 2130001716010101 / BISA PLATO LISO 16 BLANCO</v>
          </cell>
          <cell r="B467">
            <v>6</v>
          </cell>
        </row>
        <row r="468">
          <cell r="A468" t="str">
            <v xml:space="preserve">Producto: 2130001716030101 / BISA PLATO LISO 16 BLANCO C/F COBALTO  </v>
          </cell>
          <cell r="B468">
            <v>6</v>
          </cell>
        </row>
        <row r="469">
          <cell r="A469" t="str">
            <v xml:space="preserve">Producto: 2130001716030701 / BISA PLATO LISO 16 BLANCO C/F COBALTO DECORADO </v>
          </cell>
          <cell r="B469">
            <v>6</v>
          </cell>
        </row>
        <row r="470">
          <cell r="A470" t="str">
            <v>Producto: 2130001716040101 / BISA PLATO LISO 16 BLANCO C/F GRIS</v>
          </cell>
          <cell r="B470">
            <v>6</v>
          </cell>
        </row>
        <row r="471">
          <cell r="A471" t="str">
            <v xml:space="preserve">Producto: 2130001716040701 / BISA PLATO LISO 16 BLANCO C/F GRIS DECORADO </v>
          </cell>
          <cell r="B471">
            <v>6</v>
          </cell>
        </row>
        <row r="472">
          <cell r="A472" t="str">
            <v>Producto: 2130001716050101 / BISA PLATO LISO 16 BLANCO C/F NEGRO</v>
          </cell>
          <cell r="B472">
            <v>6</v>
          </cell>
        </row>
        <row r="473">
          <cell r="A473" t="str">
            <v>Producto: 2130001716050103 / BISA PLATO LISO 16 BLANCO C/F NEGRO 6PZ/1 PH</v>
          </cell>
          <cell r="B473">
            <v>1</v>
          </cell>
        </row>
        <row r="474">
          <cell r="A474" t="str">
            <v>Producto: 2130001716050701 / BISA PLATO LISO 16 BLANCO C/F NEGRO DECORADO</v>
          </cell>
          <cell r="B474">
            <v>6</v>
          </cell>
        </row>
        <row r="475">
          <cell r="A475" t="str">
            <v>Producto: 2130001716070101 / BISA PLATO LISO 16 BLANCO C/F ROJO</v>
          </cell>
          <cell r="B475">
            <v>6</v>
          </cell>
        </row>
        <row r="476">
          <cell r="A476" t="str">
            <v>Producto: 2130001716090101 / BISA PLATO LISO 16 BLANCO C/F VERDE</v>
          </cell>
          <cell r="B476">
            <v>6</v>
          </cell>
        </row>
        <row r="477">
          <cell r="A477" t="str">
            <v>Producto: 2130001716100101 / BISA PLATO LISO 16 BLANCO C/F AZUL</v>
          </cell>
          <cell r="B477">
            <v>6</v>
          </cell>
        </row>
        <row r="478">
          <cell r="A478" t="str">
            <v>Producto: 2130001717010101 / BISA PLATO LISO 16 COBALTO</v>
          </cell>
          <cell r="B478">
            <v>6</v>
          </cell>
        </row>
        <row r="479">
          <cell r="A479" t="str">
            <v>Producto: 2130001721010101 / BISA PLATO LISO 16 GRIS</v>
          </cell>
          <cell r="B479">
            <v>6</v>
          </cell>
        </row>
        <row r="480">
          <cell r="A480" t="str">
            <v xml:space="preserve">Producto: 2130001721010701 / BISA PLATO LISO 16 GRIS DECORADO </v>
          </cell>
          <cell r="B480">
            <v>6</v>
          </cell>
        </row>
        <row r="481">
          <cell r="A481" t="str">
            <v>Producto: 2130001723010101 / BISA PLATO LISO 16 NARANJA</v>
          </cell>
          <cell r="B481">
            <v>6</v>
          </cell>
        </row>
        <row r="482">
          <cell r="A482" t="str">
            <v>Producto: 2130001724010101 / BISA PLATO LISO 16 NARANJA MOTAS</v>
          </cell>
          <cell r="B482">
            <v>6</v>
          </cell>
        </row>
        <row r="483">
          <cell r="A483" t="str">
            <v>Producto: 2130001724010103 / BISA PLATO LISO 16 NARANJA MOTAS 6PZ/1</v>
          </cell>
          <cell r="B483">
            <v>1</v>
          </cell>
        </row>
        <row r="484">
          <cell r="A484" t="str">
            <v>Producto: 2130001726010101 / BISA PLATO LISO 16 NEGRO</v>
          </cell>
          <cell r="B484">
            <v>6</v>
          </cell>
        </row>
        <row r="485">
          <cell r="A485" t="str">
            <v>Producto: 2130001727010101 / BISA PLATO LISO 16 NEGRO MOTAS</v>
          </cell>
          <cell r="B485">
            <v>6</v>
          </cell>
        </row>
        <row r="486">
          <cell r="A486" t="str">
            <v>Producto: 2130001727010103 / BISA PLATO LISO 16 NEGRO MOTAS 6PZ/1 PH</v>
          </cell>
          <cell r="B486">
            <v>1</v>
          </cell>
        </row>
        <row r="487">
          <cell r="A487" t="str">
            <v>Producto: 2130001728010101 / BISA PLATO LISO 16 NEVADO</v>
          </cell>
          <cell r="B487">
            <v>6</v>
          </cell>
        </row>
        <row r="488">
          <cell r="A488" t="str">
            <v>Producto: 2130001729010101 / BISA PLATO LISO 16 ROJO</v>
          </cell>
          <cell r="B488">
            <v>6</v>
          </cell>
        </row>
        <row r="489">
          <cell r="A489" t="str">
            <v>Producto: 2130001730010101 / BISA PLATO LISO 16 ROJO MOTAS</v>
          </cell>
          <cell r="B489">
            <v>6</v>
          </cell>
        </row>
        <row r="490">
          <cell r="A490" t="str">
            <v>Producto: 2130001733010101 / BISA PLATO LISO 16 TITANIO</v>
          </cell>
          <cell r="B490">
            <v>6</v>
          </cell>
        </row>
        <row r="491">
          <cell r="A491" t="str">
            <v>Producto: 2130001746090101 / BISA PLATO LISO 16 TRIGO C/F VERDE</v>
          </cell>
          <cell r="B491">
            <v>6</v>
          </cell>
        </row>
        <row r="492">
          <cell r="A492" t="str">
            <v>Producto: 2130001747010101 / BISA PLATO LISO 16 VERDE</v>
          </cell>
          <cell r="B492">
            <v>6</v>
          </cell>
        </row>
        <row r="493">
          <cell r="A493" t="str">
            <v>Producto: 2130001760010101 / BISA PLATO LISO 16 NEGRO PIEDRA</v>
          </cell>
          <cell r="B493">
            <v>6</v>
          </cell>
        </row>
        <row r="494">
          <cell r="A494" t="str">
            <v>Producto: 2130002201010101 / PLATO TRINCHE 20 CM ESMALTADO</v>
          </cell>
          <cell r="B494">
            <v>6</v>
          </cell>
        </row>
        <row r="495">
          <cell r="A495" t="str">
            <v>Producto: 2130002202010101 / BISA PLATO LISO 20 A/T</v>
          </cell>
          <cell r="B495">
            <v>6</v>
          </cell>
        </row>
        <row r="496">
          <cell r="A496" t="str">
            <v>Producto: 2130002202010114 / BISA PLATO LISO 20 A/T LV</v>
          </cell>
          <cell r="B496">
            <v>6</v>
          </cell>
        </row>
        <row r="497">
          <cell r="A497" t="str">
            <v>Producto: 2130002202030101 / BISA PLATO LISO 20 A/T C/F COBALTO</v>
          </cell>
          <cell r="B497">
            <v>6</v>
          </cell>
        </row>
        <row r="498">
          <cell r="A498" t="str">
            <v>Producto: 2130002205010101 / BISA PLATO LISO 20 AQUA</v>
          </cell>
          <cell r="B498">
            <v>6</v>
          </cell>
        </row>
        <row r="499">
          <cell r="A499" t="str">
            <v>Producto: 2130002216020114 / BISA PLATO LISO 20 BLANCO C/F AQUA LV</v>
          </cell>
          <cell r="B499">
            <v>6</v>
          </cell>
        </row>
        <row r="500">
          <cell r="A500" t="str">
            <v>Producto: 2130002216030101 / BISA PLATO LISO 20 BLANCO C/F COBALTO</v>
          </cell>
          <cell r="B500">
            <v>6</v>
          </cell>
        </row>
        <row r="501">
          <cell r="A501" t="str">
            <v>Producto: 2130002216040101 / BISA PLATO LISO 20 BLANCO C/F GRIS</v>
          </cell>
          <cell r="B501">
            <v>6</v>
          </cell>
        </row>
        <row r="502">
          <cell r="A502" t="str">
            <v xml:space="preserve">Producto: 2130002216040701 / BISA PLATO LISO 20 BLANCO C/F GRIS DECORADO </v>
          </cell>
          <cell r="B502">
            <v>6</v>
          </cell>
        </row>
        <row r="503">
          <cell r="A503" t="str">
            <v>Producto: 2130002216050101 / BISA PLATO LISO 20 BLANCO C/F NEGRO</v>
          </cell>
          <cell r="B503">
            <v>6</v>
          </cell>
        </row>
        <row r="504">
          <cell r="A504" t="str">
            <v>Producto: 2130002216050103 / BISA PLATO LISO 20 BLANCO C/F NEGRO 6PZ/1 PH</v>
          </cell>
          <cell r="B504">
            <v>1</v>
          </cell>
        </row>
        <row r="505">
          <cell r="A505" t="str">
            <v>Producto: 2130002216050701 / BISA PLATO LISO 20 BLANCO C/F NEGRO DECORADO</v>
          </cell>
          <cell r="B505">
            <v>6</v>
          </cell>
        </row>
        <row r="506">
          <cell r="A506" t="str">
            <v>Producto: 2130002216060101 / BISA PLATO LISO 20 BLANCO C/F NEVADO</v>
          </cell>
          <cell r="B506">
            <v>6</v>
          </cell>
        </row>
        <row r="507">
          <cell r="A507" t="str">
            <v>Producto: 2130002216070101 / BISA PLATO LISO 20 BLANCO C/F ROJO</v>
          </cell>
          <cell r="B507">
            <v>6</v>
          </cell>
        </row>
        <row r="508">
          <cell r="A508" t="str">
            <v>Producto: 2130002216070701 / BISA PLATO LISO 20 BLANCO C/F ROJO DECORADO</v>
          </cell>
          <cell r="B508">
            <v>6</v>
          </cell>
        </row>
        <row r="509">
          <cell r="A509" t="str">
            <v>Producto: 2130002216090101 / BISA PLATO LISO 20 BLANCO C/F VERDE</v>
          </cell>
          <cell r="B509">
            <v>6</v>
          </cell>
        </row>
        <row r="510">
          <cell r="A510" t="str">
            <v>Producto: 2130002216100101 / BISA PLATO LISO 20 BLANCO C/F AZUL</v>
          </cell>
          <cell r="B510">
            <v>6</v>
          </cell>
        </row>
        <row r="511">
          <cell r="A511" t="str">
            <v>Producto: 2130002218010101 / BISA PLATO LISO 20 COBALTO MOTAS</v>
          </cell>
          <cell r="B511">
            <v>6</v>
          </cell>
        </row>
        <row r="512">
          <cell r="A512" t="str">
            <v>Producto: 2130002220010101 / BISA PLATO LISO 20 GENERICO</v>
          </cell>
          <cell r="B512">
            <v>6</v>
          </cell>
        </row>
        <row r="513">
          <cell r="A513" t="str">
            <v>Producto: 2130002221010101 / BISA PLATO LISO 20 GRIS</v>
          </cell>
          <cell r="B513">
            <v>6</v>
          </cell>
        </row>
        <row r="514">
          <cell r="A514" t="str">
            <v>Producto: 2130002226010101 / BISA PLATO LISO 20 NEGRO</v>
          </cell>
          <cell r="B514">
            <v>6</v>
          </cell>
        </row>
        <row r="515">
          <cell r="A515" t="str">
            <v>Producto: 2130002227010101 / BISA PLATO LISO 20 NEGRO MOTAS</v>
          </cell>
          <cell r="B515">
            <v>6</v>
          </cell>
        </row>
        <row r="516">
          <cell r="A516" t="str">
            <v>Producto: 2130002227010103 / BISA PLATO LISO 20 NEGRO MOTAS 6PZ/1 PH</v>
          </cell>
          <cell r="B516">
            <v>1</v>
          </cell>
        </row>
        <row r="517">
          <cell r="A517" t="str">
            <v>Producto: 2130002227010701 / BISA PLATO LISO 20 NEGRO MOTAS DECORADO</v>
          </cell>
          <cell r="B517">
            <v>6</v>
          </cell>
        </row>
        <row r="518">
          <cell r="A518" t="str">
            <v>Producto: 2130002228010101 / BISA PLATO LISO 20 NEVADO</v>
          </cell>
          <cell r="B518">
            <v>6</v>
          </cell>
        </row>
        <row r="519">
          <cell r="A519" t="str">
            <v>Producto: 2130002233010101 / BISA PLATO LISO 20 TITANIO</v>
          </cell>
          <cell r="B519">
            <v>6</v>
          </cell>
        </row>
        <row r="520">
          <cell r="A520" t="str">
            <v>Producto: 2130002246090101 / BISA PLATO LISO 20 TRIGO C/F VERDE</v>
          </cell>
          <cell r="B520">
            <v>6</v>
          </cell>
        </row>
        <row r="521">
          <cell r="A521" t="str">
            <v>Producto: 2130002247010101 / BISA PLATO LISO 20 VERDE</v>
          </cell>
          <cell r="B521">
            <v>6</v>
          </cell>
        </row>
        <row r="522">
          <cell r="A522" t="str">
            <v>Producto: 2130002251010101 / BISA PLATO TRINCHE 20 ESMALTADO</v>
          </cell>
          <cell r="B522">
            <v>6</v>
          </cell>
        </row>
        <row r="523">
          <cell r="A523" t="str">
            <v xml:space="preserve">Producto: 2130002260010101 / BISA PLATO LISO 20 NEGRO PIEDRA </v>
          </cell>
          <cell r="B523">
            <v>6</v>
          </cell>
        </row>
        <row r="524">
          <cell r="A524" t="str">
            <v xml:space="preserve">Producto: 2130002316030701 / BISA PLATO LISO 20 BLANCO C/F COBALTO DECORADO </v>
          </cell>
          <cell r="B524">
            <v>6</v>
          </cell>
        </row>
        <row r="525">
          <cell r="A525" t="str">
            <v>Producto: 2130002501010101 / PLATO 24 ESMALTADO</v>
          </cell>
          <cell r="B525">
            <v>6</v>
          </cell>
        </row>
        <row r="526">
          <cell r="A526" t="str">
            <v xml:space="preserve">Producto: 2130002501010701 / BISA PLATO LISO 24   DECORADO </v>
          </cell>
          <cell r="B526">
            <v>6</v>
          </cell>
        </row>
        <row r="527">
          <cell r="A527" t="str">
            <v>Producto: 2130002502010101 / BISA PLATO LISO 24 A/T</v>
          </cell>
          <cell r="B527">
            <v>6</v>
          </cell>
        </row>
        <row r="528">
          <cell r="A528" t="str">
            <v>Producto: 2130002502030101 / BISA PLATO LISO 24 A/T C/F COBALTO</v>
          </cell>
          <cell r="B528">
            <v>6</v>
          </cell>
        </row>
        <row r="529">
          <cell r="A529" t="str">
            <v>Producto: 2130002516030101 / BISA PLATO LISO 24 BLANCO C/F COBALTO</v>
          </cell>
          <cell r="B529">
            <v>6</v>
          </cell>
        </row>
        <row r="530">
          <cell r="A530" t="str">
            <v xml:space="preserve">Producto: 2130002516030701 / BISA PLATO LISO 24 BLANCO C/F COBALTO DECORADO </v>
          </cell>
          <cell r="B530">
            <v>6</v>
          </cell>
        </row>
        <row r="531">
          <cell r="A531" t="str">
            <v>Producto: 2130002516040101 / BISA PLATO LISO 24 BLANCO C/F GRIS</v>
          </cell>
          <cell r="B531">
            <v>6</v>
          </cell>
        </row>
        <row r="532">
          <cell r="A532" t="str">
            <v>Producto: 2130002516040103 / BISA PLATO LISO 24 BLANCO C/F GRIS 6PZ/1 PH</v>
          </cell>
          <cell r="B532">
            <v>1</v>
          </cell>
        </row>
        <row r="533">
          <cell r="A533" t="str">
            <v>Producto: 2130002516040701 / BISA PLATO LISO 24 BLANCO C/F GRIS DECORADO</v>
          </cell>
          <cell r="B533">
            <v>6</v>
          </cell>
        </row>
        <row r="534">
          <cell r="A534" t="str">
            <v>Producto: 2130002516050101 / BISA PLATO LISO 24 BLANCO C/F NEGRO</v>
          </cell>
          <cell r="B534">
            <v>6</v>
          </cell>
        </row>
        <row r="535">
          <cell r="A535" t="str">
            <v>Producto: 2130002516050103 / BISA PLATO LISO 24 BLANCO C/F NEGRO 6PZ/1 PH</v>
          </cell>
          <cell r="B535">
            <v>1</v>
          </cell>
        </row>
        <row r="536">
          <cell r="A536" t="str">
            <v>Producto: 2130002516050701 / BISA PLATO LISO 24 BLANCO C/F NEGRO DECORADO</v>
          </cell>
          <cell r="B536">
            <v>6</v>
          </cell>
        </row>
        <row r="537">
          <cell r="A537" t="str">
            <v>Producto: 2130002516070101 / BISA PLATO LISO 24 BLANCO C/F ROJO</v>
          </cell>
          <cell r="B537">
            <v>6</v>
          </cell>
        </row>
        <row r="538">
          <cell r="A538" t="str">
            <v xml:space="preserve">Producto: 2130002516070701 / BISA PLATO LISO 24 BLANCO C/F ROJO DECORADO </v>
          </cell>
          <cell r="B538">
            <v>6</v>
          </cell>
        </row>
        <row r="539">
          <cell r="A539" t="str">
            <v>Producto: 2130002516090101 / BISA PLATO LISO 24 BLANCO C/F VERDE</v>
          </cell>
          <cell r="B539">
            <v>6</v>
          </cell>
        </row>
        <row r="540">
          <cell r="A540" t="str">
            <v>Producto: 2130002521010101 / BISA PLATO LISO 24 GRIS</v>
          </cell>
          <cell r="B540">
            <v>6</v>
          </cell>
        </row>
        <row r="541">
          <cell r="A541" t="str">
            <v>Producto: 2130002521010103 / BISA PLATO LISO 24 GRIS 6PZ/1 PH</v>
          </cell>
          <cell r="B541">
            <v>1</v>
          </cell>
        </row>
        <row r="542">
          <cell r="A542" t="str">
            <v>Producto: 2130002526010101 / BISA PLATO LISO 24 NEGRO</v>
          </cell>
          <cell r="B542">
            <v>6</v>
          </cell>
        </row>
        <row r="543">
          <cell r="A543" t="str">
            <v>Producto: 2130002527010101 / BISA PLATO LISO 24 NEGRO MOTAS</v>
          </cell>
          <cell r="B543">
            <v>6</v>
          </cell>
        </row>
        <row r="544">
          <cell r="A544" t="str">
            <v>Producto: 2130002527010103 / BISA PLATO LISO 24 NEGRO MOTAS 6PZ/1 PH</v>
          </cell>
          <cell r="B544">
            <v>1</v>
          </cell>
        </row>
        <row r="545">
          <cell r="A545" t="str">
            <v>Producto: 2130002527010701 / BISA PLATO LISO 24 NEGRO MOTAS DECORADO</v>
          </cell>
          <cell r="B545">
            <v>6</v>
          </cell>
        </row>
        <row r="546">
          <cell r="A546" t="str">
            <v>Producto: 2130002533010101 / BISA PLATO LISO 24 TITANIO</v>
          </cell>
          <cell r="B546">
            <v>6</v>
          </cell>
        </row>
        <row r="547">
          <cell r="A547" t="str">
            <v xml:space="preserve">Producto: 2130002547010101 / BISA PLATO LISO 24 VERDE </v>
          </cell>
          <cell r="B547">
            <v>6</v>
          </cell>
        </row>
        <row r="548">
          <cell r="A548" t="str">
            <v xml:space="preserve">Producto: 2130002551010101 / BISA PLATO 24 ESMALTADO   </v>
          </cell>
          <cell r="B548">
            <v>6</v>
          </cell>
        </row>
        <row r="549">
          <cell r="A549" t="str">
            <v>Producto: 2130002560010101 / BISA PLATO LISO 24 NEGRO PIEDRA</v>
          </cell>
          <cell r="B549">
            <v>6</v>
          </cell>
        </row>
        <row r="550">
          <cell r="A550" t="str">
            <v>Producto: 2130002701010101 / BISA PLATO LISO 27</v>
          </cell>
          <cell r="B550">
            <v>6</v>
          </cell>
        </row>
        <row r="551">
          <cell r="A551" t="str">
            <v xml:space="preserve">Producto: 2130002701010701 / BISA PLATO LISO 27 DECORADO </v>
          </cell>
          <cell r="B551">
            <v>6</v>
          </cell>
        </row>
        <row r="552">
          <cell r="A552" t="str">
            <v>Producto: 2130002702010101 / BISA PLATO LISO 27 A/T</v>
          </cell>
          <cell r="B552">
            <v>6</v>
          </cell>
        </row>
        <row r="553">
          <cell r="A553" t="str">
            <v>Producto: 2130002702010114 / BISA PLATO LISO 27 A/T LV</v>
          </cell>
          <cell r="B553">
            <v>6</v>
          </cell>
        </row>
        <row r="554">
          <cell r="A554" t="str">
            <v>Producto: 2130002705010114 / BISA PLATO LISO 27 AQUA LV</v>
          </cell>
          <cell r="B554">
            <v>6</v>
          </cell>
        </row>
        <row r="555">
          <cell r="A555" t="str">
            <v>Producto: 2130002716020101 / BISA PLATO LISO 27 BLANCO C/F AQUA</v>
          </cell>
          <cell r="B555">
            <v>6</v>
          </cell>
        </row>
        <row r="556">
          <cell r="A556" t="str">
            <v>Producto: 2130002716030101 / BISA PLATO LISO 27 BLANCO C/F COBALTO</v>
          </cell>
          <cell r="B556">
            <v>6</v>
          </cell>
        </row>
        <row r="557">
          <cell r="A557" t="str">
            <v>Producto: 2130002716040101 / BISA PLATO LISO 27 BLANCO C/F GRIS</v>
          </cell>
          <cell r="B557">
            <v>6</v>
          </cell>
        </row>
        <row r="558">
          <cell r="A558" t="str">
            <v>Producto: 2130002716040103 / BISA PLATO LISO 27 BLANCO C/F GRIS 6PZ/1 PH</v>
          </cell>
          <cell r="B558">
            <v>1</v>
          </cell>
        </row>
        <row r="559">
          <cell r="A559" t="str">
            <v xml:space="preserve">Producto: 2130002716040701 / BISA PLATO LISO 27 BLANCO C/F GRIS DECORADO </v>
          </cell>
          <cell r="B559">
            <v>6</v>
          </cell>
        </row>
        <row r="560">
          <cell r="A560" t="str">
            <v>Producto: 2130002716050101 / BISA PLATO LISO 27 BLANCO C/F NEGRO</v>
          </cell>
          <cell r="B560">
            <v>6</v>
          </cell>
        </row>
        <row r="561">
          <cell r="A561" t="str">
            <v>Producto: 2130002716050103 / BISA PLATO LISO 27 BLANCO C/F NEGRO 6PZ/1 PH</v>
          </cell>
          <cell r="B561">
            <v>1</v>
          </cell>
        </row>
        <row r="562">
          <cell r="A562" t="str">
            <v>Producto: 2130002716050701 / BISA PLATO LISO 27 BLANCO C/F NEGRO DECORADO</v>
          </cell>
          <cell r="B562">
            <v>6</v>
          </cell>
        </row>
        <row r="563">
          <cell r="A563" t="str">
            <v>Producto: 2130002716060101 / BISA PLATO LISO 27 BLANCO C/F NEVADO</v>
          </cell>
          <cell r="B563">
            <v>6</v>
          </cell>
        </row>
        <row r="564">
          <cell r="A564" t="str">
            <v>Producto: 2130002716070101 / BISA PLATO LISO 27 BLANCO C/F ROJO</v>
          </cell>
          <cell r="B564">
            <v>6</v>
          </cell>
        </row>
        <row r="565">
          <cell r="A565" t="str">
            <v>Producto: 2130002716070701 / BISA PLATO LISO 27 BLANCO C/F ROJO DECORADO</v>
          </cell>
          <cell r="B565">
            <v>6</v>
          </cell>
        </row>
        <row r="566">
          <cell r="A566" t="str">
            <v>Producto: 2130002716090101 / BISA PLATO LISO 27 BLANCO C/F VERDE</v>
          </cell>
          <cell r="B566">
            <v>6</v>
          </cell>
        </row>
        <row r="567">
          <cell r="A567" t="str">
            <v>Producto: 2130002716100101 / BISA PLATO LISO 27 BLANCO C/F AZUL</v>
          </cell>
          <cell r="B567">
            <v>6</v>
          </cell>
        </row>
        <row r="568">
          <cell r="A568" t="str">
            <v>Producto: 2130002716110101 / BISA PLATO LISO 27 BLANCO C/F CAFÉ</v>
          </cell>
          <cell r="B568">
            <v>6</v>
          </cell>
        </row>
        <row r="569">
          <cell r="A569" t="str">
            <v>Producto: 2130002717010101 / BISA PLATO LISO 27 COBALTO</v>
          </cell>
          <cell r="B569">
            <v>6</v>
          </cell>
        </row>
        <row r="570">
          <cell r="A570" t="str">
            <v>Producto: 2130002718010101 / BISA PLATO LISO 27 COBALTO MOTAS</v>
          </cell>
          <cell r="B570">
            <v>6</v>
          </cell>
        </row>
        <row r="571">
          <cell r="A571" t="str">
            <v>Producto: 2130002720010101 / BISA PLATO LISO 27 GENERICO</v>
          </cell>
          <cell r="B571">
            <v>6</v>
          </cell>
        </row>
        <row r="572">
          <cell r="A572" t="str">
            <v>Producto: 2130002721010101 / BISA PLATO LISO 27 GRIS</v>
          </cell>
          <cell r="B572">
            <v>6</v>
          </cell>
        </row>
        <row r="573">
          <cell r="A573" t="str">
            <v>Producto: 2130002721010103 / BISA PLATO LISO 27 GRIS 6PZ/1 PH</v>
          </cell>
          <cell r="B573">
            <v>1</v>
          </cell>
        </row>
        <row r="574">
          <cell r="A574" t="str">
            <v>Producto: 2130002726010101 / BISA PLATO LISO 27 NEGRO</v>
          </cell>
          <cell r="B574">
            <v>6</v>
          </cell>
        </row>
        <row r="575">
          <cell r="A575" t="str">
            <v>Producto: 2130002727010101 / BISA PLATO LISO 27 NEGRO MOTAS</v>
          </cell>
          <cell r="B575">
            <v>6</v>
          </cell>
        </row>
        <row r="576">
          <cell r="A576" t="str">
            <v>Producto: 2130002727010103 / BISA PLATO LISO 27 NEGRO MOTAS 6PZ/1 PH</v>
          </cell>
          <cell r="B576">
            <v>1</v>
          </cell>
        </row>
        <row r="577">
          <cell r="A577" t="str">
            <v>Producto: 2130002727010701 / BISA PLATO LISO 27 NEGRO MOTAS DECORADO</v>
          </cell>
          <cell r="B577">
            <v>6</v>
          </cell>
        </row>
        <row r="578">
          <cell r="A578" t="str">
            <v>Producto: 2130002733010101 / BISA PLATO LISO 27 TITANIO</v>
          </cell>
          <cell r="B578">
            <v>6</v>
          </cell>
        </row>
        <row r="579">
          <cell r="A579" t="str">
            <v>Producto: 2130002747010101 / BISA PLATO LISO 27 VERDE</v>
          </cell>
          <cell r="B579">
            <v>6</v>
          </cell>
        </row>
        <row r="580">
          <cell r="A580" t="str">
            <v>Producto: 2130002751010101 / BISA PLATO TRINCHE 27 ESMALTADO</v>
          </cell>
          <cell r="B580">
            <v>6</v>
          </cell>
        </row>
        <row r="581">
          <cell r="A581" t="str">
            <v xml:space="preserve">Producto: 2130002760010101 / BISA PLATO LISO 27 NEGRO PIEDRA </v>
          </cell>
          <cell r="B581">
            <v>6</v>
          </cell>
        </row>
        <row r="582">
          <cell r="A582" t="str">
            <v>Producto: 2130003001010101 / PLATO BASE BISA 32</v>
          </cell>
          <cell r="B582">
            <v>6</v>
          </cell>
        </row>
        <row r="583">
          <cell r="A583" t="str">
            <v>Producto: 2130003001010701 / BISA PLATO LISO 32 DECORADO</v>
          </cell>
          <cell r="B583">
            <v>6</v>
          </cell>
        </row>
        <row r="584">
          <cell r="A584" t="str">
            <v>Producto: 2130003002010101 / BISA PLATO LISO 32 A/T</v>
          </cell>
          <cell r="B584">
            <v>6</v>
          </cell>
        </row>
        <row r="585">
          <cell r="A585" t="str">
            <v>Producto: 2130003003010101 / BISA PLATO LISO 32 AMARILLO</v>
          </cell>
          <cell r="B585">
            <v>6</v>
          </cell>
        </row>
        <row r="586">
          <cell r="A586" t="str">
            <v>Producto: 2130003005010101 / BISA PLATO LISO 32 AQUA</v>
          </cell>
          <cell r="B586">
            <v>6</v>
          </cell>
        </row>
        <row r="587">
          <cell r="A587" t="str">
            <v>Producto: 2130003006010101 / BISA PLATO LISO 32 AZUL</v>
          </cell>
          <cell r="B587">
            <v>6</v>
          </cell>
        </row>
        <row r="588">
          <cell r="A588" t="str">
            <v>Producto: 2130003016010101 / BISA PLATO LISO 32 BLANCO</v>
          </cell>
          <cell r="B588">
            <v>6</v>
          </cell>
        </row>
        <row r="589">
          <cell r="A589" t="str">
            <v>Producto: 2130003016030101 / BISA PLATO LISO 32 BLANCO C/F COBALTO</v>
          </cell>
          <cell r="B589">
            <v>6</v>
          </cell>
        </row>
        <row r="590">
          <cell r="A590" t="str">
            <v xml:space="preserve">Producto: 2130003016030701 / BISA PLATO LISO 32 BLANCO C/F COBALTO DECORADO </v>
          </cell>
          <cell r="B590">
            <v>6</v>
          </cell>
        </row>
        <row r="591">
          <cell r="A591" t="str">
            <v>Producto: 2130003016040101 / BISA PLATO LISO 32 BLANCO C/F GRIS</v>
          </cell>
          <cell r="B591">
            <v>6</v>
          </cell>
        </row>
        <row r="592">
          <cell r="A592" t="str">
            <v>Producto: 2130003016050101 / BISA PLATO LISO 32 BLANCO C/F NEGRO</v>
          </cell>
          <cell r="B592">
            <v>6</v>
          </cell>
        </row>
        <row r="593">
          <cell r="A593" t="str">
            <v>Producto: 2130003016060101 / BISA PLATO LISO 32 BLANCO C/F NEVADO</v>
          </cell>
          <cell r="B593">
            <v>6</v>
          </cell>
        </row>
        <row r="594">
          <cell r="A594" t="str">
            <v>Producto: 2130003016070101 / BISA PLATO LISO 32 BLANCO C/F ROJO</v>
          </cell>
          <cell r="B594">
            <v>6</v>
          </cell>
        </row>
        <row r="595">
          <cell r="A595" t="str">
            <v>Producto: 2130003016090101 / BISA PLATO LISO 32 BLANCO C/F VERDE</v>
          </cell>
          <cell r="B595">
            <v>6</v>
          </cell>
        </row>
        <row r="596">
          <cell r="A596" t="str">
            <v>Producto: 2130003017010101 / BISA PLATO LISO 32 COBALTO</v>
          </cell>
          <cell r="B596">
            <v>6</v>
          </cell>
        </row>
        <row r="597">
          <cell r="A597" t="str">
            <v>Producto: 2130003021010101 / BISA PLATO LISO 32 GRIS</v>
          </cell>
          <cell r="B597">
            <v>6</v>
          </cell>
        </row>
        <row r="598">
          <cell r="A598" t="str">
            <v>Producto: 2130003021010701 / BISA PLATO LISO 32 GRIS DECORADO</v>
          </cell>
          <cell r="B598">
            <v>6</v>
          </cell>
        </row>
        <row r="599">
          <cell r="A599" t="str">
            <v>Producto: 2130003023010101 / BISA PLATO LISO 32 NARANJA</v>
          </cell>
          <cell r="B599">
            <v>6</v>
          </cell>
        </row>
        <row r="600">
          <cell r="A600" t="str">
            <v>Producto: 2130003023010103 / BISA PLATO LISO 32 NARANJA 6PZ/1</v>
          </cell>
          <cell r="B600">
            <v>1</v>
          </cell>
        </row>
        <row r="601">
          <cell r="A601" t="str">
            <v>Producto: 2130003024010101 / BISA PLATO LISO 32 NARANJA MOTAS</v>
          </cell>
          <cell r="B601">
            <v>6</v>
          </cell>
        </row>
        <row r="602">
          <cell r="A602" t="str">
            <v>Producto: 2130003026010101 / BISA PLATO LISO 32 NEGRO</v>
          </cell>
          <cell r="B602">
            <v>6</v>
          </cell>
        </row>
        <row r="603">
          <cell r="A603" t="str">
            <v>Producto: 2130003027010101 / BISA PLATO LISO 32 NEGRO MOTAS</v>
          </cell>
          <cell r="B603">
            <v>6</v>
          </cell>
        </row>
        <row r="604">
          <cell r="A604" t="str">
            <v>Producto: 2130003027010103 / BISA PLATO LISO 32 NEGRO MOTAS 6PZ/1 PH</v>
          </cell>
          <cell r="B604">
            <v>1</v>
          </cell>
        </row>
        <row r="605">
          <cell r="A605" t="str">
            <v>Producto: 2130003029010101 / BISA PLATO LISO 32 ROJO</v>
          </cell>
          <cell r="B605">
            <v>6</v>
          </cell>
        </row>
        <row r="606">
          <cell r="A606" t="str">
            <v>Producto: 2130003030010101 / BISA PLATO LISO 32 ROJO MOTAS</v>
          </cell>
          <cell r="B606">
            <v>6</v>
          </cell>
        </row>
        <row r="607">
          <cell r="A607" t="str">
            <v>Producto: 2130003033010101 / BISA PLATO LISO 32 TITANIO</v>
          </cell>
          <cell r="B607">
            <v>6</v>
          </cell>
        </row>
        <row r="608">
          <cell r="A608" t="str">
            <v>Producto: 2130003047010101 / BISA PLATO LISO 32 VERDE</v>
          </cell>
          <cell r="B608">
            <v>6</v>
          </cell>
        </row>
        <row r="609">
          <cell r="A609" t="str">
            <v xml:space="preserve">Producto: 2130003059010101 / BISA PLATO LISO 32 ARENA </v>
          </cell>
          <cell r="B609">
            <v>6</v>
          </cell>
        </row>
        <row r="610">
          <cell r="A610" t="str">
            <v>Producto: 2130003060010101 / BISA PLATO LISO 32 NEGRO PIEDRA</v>
          </cell>
          <cell r="B610">
            <v>6</v>
          </cell>
        </row>
        <row r="611">
          <cell r="A611" t="str">
            <v>Producto: 2131001701010101 / BISA PLATO ROYAL 16</v>
          </cell>
          <cell r="B611">
            <v>6</v>
          </cell>
        </row>
        <row r="612">
          <cell r="A612" t="str">
            <v xml:space="preserve">Producto: 2131001701010701 / BISA PLATO ROYAL 16   DECORADO </v>
          </cell>
          <cell r="B612">
            <v>6</v>
          </cell>
        </row>
        <row r="613">
          <cell r="A613" t="str">
            <v>Producto: 2131001717010101 / BISA PLATO ROYAL 16 COBALTO</v>
          </cell>
          <cell r="B613">
            <v>6</v>
          </cell>
        </row>
        <row r="614">
          <cell r="A614" t="str">
            <v>Producto: 2131001721010101 / BISA PLATO ROYAL 16 GRIS</v>
          </cell>
          <cell r="B614">
            <v>6</v>
          </cell>
        </row>
        <row r="615">
          <cell r="A615" t="str">
            <v>Producto: 2131001726010101 / BISA PLATO ROYAL 16 NEGRO</v>
          </cell>
          <cell r="B615">
            <v>6</v>
          </cell>
        </row>
        <row r="616">
          <cell r="A616" t="str">
            <v>Producto: 2131001733010101 / BISA PLATO ROYAL 16 TITANIO</v>
          </cell>
          <cell r="B616">
            <v>6</v>
          </cell>
        </row>
        <row r="617">
          <cell r="A617" t="str">
            <v>Producto: 2131003001010101 / BISA PLATO ROYAL 32</v>
          </cell>
          <cell r="B617">
            <v>6</v>
          </cell>
        </row>
        <row r="618">
          <cell r="A618" t="str">
            <v xml:space="preserve">Producto: 2131003001010701 / BISA PLATO ROYAL 32 DECORADO </v>
          </cell>
          <cell r="B618">
            <v>6</v>
          </cell>
        </row>
        <row r="619">
          <cell r="A619" t="str">
            <v>Producto: 2131003017010101 / BISA PLATO ROYAL 32 COBALTO</v>
          </cell>
          <cell r="B619">
            <v>6</v>
          </cell>
        </row>
        <row r="620">
          <cell r="A620" t="str">
            <v>Producto: 2131003021010101 / BISA PLATO ROYAL 32 GRIS</v>
          </cell>
          <cell r="B620">
            <v>6</v>
          </cell>
        </row>
        <row r="621">
          <cell r="A621" t="str">
            <v>Producto: 2131003026010101 / BISA PLATO ROYAL 32 NEGRO</v>
          </cell>
          <cell r="B621">
            <v>6</v>
          </cell>
        </row>
        <row r="622">
          <cell r="A622" t="str">
            <v>Producto: 2131003026010103 / BISA PLATO ROYAL 32 NEGRO 6PZ/1</v>
          </cell>
          <cell r="B622">
            <v>1</v>
          </cell>
        </row>
        <row r="623">
          <cell r="A623" t="str">
            <v>Producto: 2131003033010101 / BISA PLATO ROYAL 32 TITANIO</v>
          </cell>
          <cell r="B623">
            <v>6</v>
          </cell>
        </row>
        <row r="624">
          <cell r="A624" t="str">
            <v>Producto: 2132001701010101 / BISA PLATO TROQUELADO 16</v>
          </cell>
          <cell r="B624">
            <v>6</v>
          </cell>
        </row>
        <row r="625">
          <cell r="A625" t="str">
            <v xml:space="preserve">Producto: 2132001701010701 / BISA PLATO TROQUELADO 16   DECORADO </v>
          </cell>
          <cell r="B625">
            <v>6</v>
          </cell>
        </row>
        <row r="626">
          <cell r="A626" t="str">
            <v>Producto: 2132001702010101 / BISA PLATO TROQUELADO 16 A/T</v>
          </cell>
          <cell r="B626">
            <v>6</v>
          </cell>
        </row>
        <row r="627">
          <cell r="A627" t="str">
            <v>Producto: 2132001702030101 / BISA PLATO TROQUELADO 16 A/T C/F COBALTO</v>
          </cell>
          <cell r="B627">
            <v>6</v>
          </cell>
        </row>
        <row r="628">
          <cell r="A628" t="str">
            <v>Producto: 2132001706010101 / BISA PLATO TROQUELADO 16 AZUL</v>
          </cell>
          <cell r="B628">
            <v>6</v>
          </cell>
        </row>
        <row r="629">
          <cell r="A629" t="str">
            <v>Producto: 2132001716010101 / BISA PLATO TROQUELADO 16 BLANCO</v>
          </cell>
          <cell r="B629">
            <v>6</v>
          </cell>
        </row>
        <row r="630">
          <cell r="A630" t="str">
            <v>Producto: 2132001717010101 / BISA PLATO TROQUELADO 16 COBALTO</v>
          </cell>
          <cell r="B630">
            <v>6</v>
          </cell>
        </row>
        <row r="631">
          <cell r="A631" t="str">
            <v>Producto: 2132001721010101 / BISA PLATO TROQUELADO 16 GRIS</v>
          </cell>
          <cell r="B631">
            <v>6</v>
          </cell>
        </row>
        <row r="632">
          <cell r="A632" t="str">
            <v>Producto: 2132001721010103 / BISA PLATO TROQUELADO 16 GRIS 6PZ/1 PH</v>
          </cell>
          <cell r="B632">
            <v>1</v>
          </cell>
        </row>
        <row r="633">
          <cell r="A633" t="str">
            <v>Producto: 2132001723010101 / BISA PLATO TROQUELADO 16 NARANJA</v>
          </cell>
          <cell r="B633">
            <v>6</v>
          </cell>
        </row>
        <row r="634">
          <cell r="A634" t="str">
            <v>Producto: 2132001726010101 / BISA PLATO TROQUELADO 16 NEGRO</v>
          </cell>
          <cell r="B634">
            <v>6</v>
          </cell>
        </row>
        <row r="635">
          <cell r="A635" t="str">
            <v>Producto: 2132001726010103 / BISA PLATO TROQUELADO 16 TITANIO 6PZ/1 PH</v>
          </cell>
          <cell r="B635">
            <v>1</v>
          </cell>
        </row>
        <row r="636">
          <cell r="A636" t="str">
            <v>Producto: 2132001727010101 / BISA PLATO TROQUELADO 16 NEGRO MOTAS</v>
          </cell>
          <cell r="B636">
            <v>6</v>
          </cell>
        </row>
        <row r="637">
          <cell r="A637" t="str">
            <v>Producto: 2132001728010101 / BISA PLATO TROQUELADO 16 NEVADO</v>
          </cell>
          <cell r="B637">
            <v>6</v>
          </cell>
        </row>
        <row r="638">
          <cell r="A638" t="str">
            <v>Producto: 2132001729010101 / BISA PLATO TROQUELADO 16 ROJO</v>
          </cell>
          <cell r="B638">
            <v>6</v>
          </cell>
        </row>
        <row r="639">
          <cell r="A639" t="str">
            <v>Producto: 2132001730010101 / BISA PLATO TROQUELADO 16 ROJO MOTAS</v>
          </cell>
          <cell r="B639">
            <v>6</v>
          </cell>
        </row>
        <row r="640">
          <cell r="A640" t="str">
            <v>Producto: 2132001733010101 / BISA PLATO TROQUELADO 16 TITANIO</v>
          </cell>
          <cell r="B640">
            <v>6</v>
          </cell>
        </row>
        <row r="641">
          <cell r="A641" t="str">
            <v>Producto: 2132001747010101 / BISA PLATO TROQUELADO 16 VERDE</v>
          </cell>
          <cell r="B641">
            <v>6</v>
          </cell>
        </row>
        <row r="642">
          <cell r="A642" t="str">
            <v>Producto: 2132001760010101 / BISA PLATO TROQUELADO 16 NEGRO PIEDRA</v>
          </cell>
          <cell r="B642">
            <v>6</v>
          </cell>
        </row>
        <row r="643">
          <cell r="A643" t="str">
            <v>Producto: 2132003001010101 / BISA PLATO TROQUELADO 32</v>
          </cell>
          <cell r="B643">
            <v>6</v>
          </cell>
        </row>
        <row r="644">
          <cell r="A644" t="str">
            <v xml:space="preserve">Producto: 2132003001010701 / BISA PLATO TROQUELADO 32 DECORADO </v>
          </cell>
          <cell r="B644">
            <v>6</v>
          </cell>
        </row>
        <row r="645">
          <cell r="A645" t="str">
            <v>Producto: 2132003002010101 / BISA PLATO TROQUELADO 32 A/T</v>
          </cell>
          <cell r="B645">
            <v>6</v>
          </cell>
        </row>
        <row r="646">
          <cell r="A646" t="str">
            <v>Producto: 2132003003010101 / BISA PLATO TROQUELADO 32 AMARILLO</v>
          </cell>
          <cell r="B646">
            <v>6</v>
          </cell>
        </row>
        <row r="647">
          <cell r="A647" t="str">
            <v>Producto: 2132003006010101 / BISA PLATO TROQUELADO 32 AZUL</v>
          </cell>
          <cell r="B647">
            <v>6</v>
          </cell>
        </row>
        <row r="648">
          <cell r="A648" t="str">
            <v>Producto: 2132003016010101 / BISA PLATO TROQUELADO 32 BLANCO</v>
          </cell>
          <cell r="B648">
            <v>6</v>
          </cell>
        </row>
        <row r="649">
          <cell r="A649" t="str">
            <v>Producto: 2132003017010101 / BISA PLATO TROQUELADO 32 COBALTO</v>
          </cell>
          <cell r="B649">
            <v>6</v>
          </cell>
        </row>
        <row r="650">
          <cell r="A650" t="str">
            <v>Producto: 2132003021010101 / BISA PLATO TROQUELADO 32 GRIS</v>
          </cell>
          <cell r="B650">
            <v>6</v>
          </cell>
        </row>
        <row r="651">
          <cell r="A651" t="str">
            <v xml:space="preserve">Producto: 2132003021010103 / BISA PLATO TROQUELADO 32 GRIS 6PZ/1 PH </v>
          </cell>
          <cell r="B651">
            <v>1</v>
          </cell>
        </row>
        <row r="652">
          <cell r="A652" t="str">
            <v>Producto: 2132003023010101 / BISA PLATO TROQUELADO 32 NARANJA</v>
          </cell>
          <cell r="B652">
            <v>6</v>
          </cell>
        </row>
        <row r="653">
          <cell r="A653" t="str">
            <v xml:space="preserve">Producto: 2132003024010101 / BISA PLATO TROQUELADO 32 NARANJA MOTAS   </v>
          </cell>
          <cell r="B653">
            <v>6</v>
          </cell>
        </row>
        <row r="654">
          <cell r="A654" t="str">
            <v>Producto: 2132003027010101 / BISA PLATO TROQUELADO 32 NEGRO MOTAS</v>
          </cell>
          <cell r="B654">
            <v>6</v>
          </cell>
        </row>
        <row r="655">
          <cell r="A655" t="str">
            <v>Producto: 2132003028010101 / BISA PLATO TROQUELADO 32 NEVADO</v>
          </cell>
          <cell r="B655">
            <v>6</v>
          </cell>
        </row>
        <row r="656">
          <cell r="A656" t="str">
            <v>Producto: 2132003029010101 / BISA PLATO TROQUELADO 32 ROJO</v>
          </cell>
          <cell r="B656">
            <v>6</v>
          </cell>
        </row>
        <row r="657">
          <cell r="A657" t="str">
            <v>Producto: 2132003033010101 / BISA PLATO TROQUELADO 32 TITANIO</v>
          </cell>
          <cell r="B657">
            <v>6</v>
          </cell>
        </row>
        <row r="658">
          <cell r="A658" t="str">
            <v>Producto: 2132003033010103 / BISA PLATO TROQUELADO 32 TITANIO 6PZ/1 PH</v>
          </cell>
          <cell r="B658">
            <v>1</v>
          </cell>
        </row>
        <row r="659">
          <cell r="A659" t="str">
            <v>Producto: 2132003047010101 / BISA PLATO TROQUELADO 32 VERDE</v>
          </cell>
          <cell r="B659">
            <v>6</v>
          </cell>
        </row>
        <row r="660">
          <cell r="A660" t="str">
            <v>Producto: 2132003060010101 / BISA PLATO TROQUELADO 32 NEGRO PIEDRA</v>
          </cell>
          <cell r="B660">
            <v>6</v>
          </cell>
        </row>
        <row r="661">
          <cell r="A661" t="str">
            <v>Producto: 2133000901010101 / BISA POCILLO 5</v>
          </cell>
          <cell r="B661">
            <v>24</v>
          </cell>
        </row>
        <row r="662">
          <cell r="A662" t="str">
            <v xml:space="preserve">Producto: 2133000901010701 / BISA POCILLO 5   DECORADO </v>
          </cell>
          <cell r="B662">
            <v>24</v>
          </cell>
        </row>
        <row r="663">
          <cell r="A663" t="str">
            <v>Producto: 2133000902010101 / BISA POCILLO 5 A/T</v>
          </cell>
          <cell r="B663">
            <v>24</v>
          </cell>
        </row>
        <row r="664">
          <cell r="A664" t="str">
            <v>Producto: 2133000902010701 / BISA POCILLO 5 A/T DECORADO</v>
          </cell>
          <cell r="B664">
            <v>24</v>
          </cell>
        </row>
        <row r="665">
          <cell r="A665" t="str">
            <v>Producto: 2133000905010101 / BISA POCILLO 5 AQUA</v>
          </cell>
          <cell r="B665">
            <v>24</v>
          </cell>
        </row>
        <row r="666">
          <cell r="A666" t="str">
            <v>Producto: 2133000916030101 / BISA POCILLO 5 BLANCO C/F COBALTO</v>
          </cell>
          <cell r="B666">
            <v>24</v>
          </cell>
        </row>
        <row r="667">
          <cell r="A667" t="str">
            <v>Producto: 2133000916030115 / BISA POCILLO 5 BLANCO C/F COBALTO S</v>
          </cell>
          <cell r="B667">
            <v>24</v>
          </cell>
        </row>
        <row r="668">
          <cell r="A668" t="str">
            <v xml:space="preserve">Producto: 2133000916030701 / BISA POCILLO 5 BLANCO C/F COBALTO DECORADO </v>
          </cell>
          <cell r="B668">
            <v>24</v>
          </cell>
        </row>
        <row r="669">
          <cell r="A669" t="str">
            <v>Producto: 2133000916040101 / BISA POCILLO 5 BLANCO C/F GRIS</v>
          </cell>
          <cell r="B669">
            <v>24</v>
          </cell>
        </row>
        <row r="670">
          <cell r="A670" t="str">
            <v>Producto: 2133000916040103 / BISA POCILLO 5 BLANCO C/F GRIS 6PZ/1 PH</v>
          </cell>
          <cell r="B670">
            <v>1</v>
          </cell>
        </row>
        <row r="671">
          <cell r="A671" t="str">
            <v>Producto: 2133000916040115 / BISA POCILLO 5 BLANCO C/F GRIS S</v>
          </cell>
          <cell r="B671">
            <v>24</v>
          </cell>
        </row>
        <row r="672">
          <cell r="A672" t="str">
            <v xml:space="preserve">Producto: 2133000916040701 / BISA POCILLO 5 BLANCO C/F GRIS DECORADO </v>
          </cell>
          <cell r="B672">
            <v>24</v>
          </cell>
        </row>
        <row r="673">
          <cell r="A673" t="str">
            <v>Producto: 2133000916050101 / BISA POCILLO 5 BLANCO C/F NEGRO</v>
          </cell>
          <cell r="B673">
            <v>24</v>
          </cell>
        </row>
        <row r="674">
          <cell r="A674" t="str">
            <v>Producto: 2133000916050103 / BISA POCILLO 5 BLANCO C/F NEGRO 6PZ/1 PH</v>
          </cell>
          <cell r="B674">
            <v>1</v>
          </cell>
        </row>
        <row r="675">
          <cell r="A675" t="str">
            <v>Producto: 2133000916050115 / BISA POCILLO 5 BLANCO C/F NEGRO S</v>
          </cell>
          <cell r="B675">
            <v>24</v>
          </cell>
        </row>
        <row r="676">
          <cell r="A676" t="str">
            <v>Producto: 2133000916050701 / BISA POCILLO 5 BLANCO C/F NEGRO DECORADO</v>
          </cell>
          <cell r="B676">
            <v>24</v>
          </cell>
        </row>
        <row r="677">
          <cell r="A677" t="str">
            <v>Producto: 2133000916060101 / BISA POCILLO 5 BLANCO C/F NEVADO</v>
          </cell>
          <cell r="B677">
            <v>24</v>
          </cell>
        </row>
        <row r="678">
          <cell r="A678" t="str">
            <v>Producto: 2133000916070101 / BISA POCILLO 5 BLANCO C/F ROJO</v>
          </cell>
          <cell r="B678">
            <v>24</v>
          </cell>
        </row>
        <row r="679">
          <cell r="A679" t="str">
            <v>Producto: 2133000916070115 / BISA POCILLO 5 BLANCO C/F ROJO S</v>
          </cell>
          <cell r="B679">
            <v>24</v>
          </cell>
        </row>
        <row r="680">
          <cell r="A680" t="str">
            <v>Producto: 2133000916070701 / BISA POCILLO 5 BLANCO C/F ROJO DECORADO</v>
          </cell>
          <cell r="B680">
            <v>24</v>
          </cell>
        </row>
        <row r="681">
          <cell r="A681" t="str">
            <v>Producto: 2133000916090101 / BISA POCILLO 5 BLANCO C/F VERDE</v>
          </cell>
          <cell r="B681">
            <v>24</v>
          </cell>
        </row>
        <row r="682">
          <cell r="A682" t="str">
            <v>Producto: 2133000917010101 / BISA POCILLO 5 COBALTO</v>
          </cell>
          <cell r="B682">
            <v>24</v>
          </cell>
        </row>
        <row r="683">
          <cell r="A683" t="str">
            <v>Producto: 2133000918010101 / BISA POCILLO 5 COBALTO MOTAS BBB</v>
          </cell>
          <cell r="B683">
            <v>6</v>
          </cell>
        </row>
        <row r="684">
          <cell r="A684" t="str">
            <v>Producto: 2133000920010101 / BISA POCILLO 5 GENERICO</v>
          </cell>
          <cell r="B684">
            <v>24</v>
          </cell>
        </row>
        <row r="685">
          <cell r="A685" t="str">
            <v>Producto: 2133000921010101 / BISA POCILLO 5 GRIS</v>
          </cell>
          <cell r="B685">
            <v>24</v>
          </cell>
        </row>
        <row r="686">
          <cell r="A686" t="str">
            <v>Producto: 2133000921010115 / BISA POCILLO 5 GRIS S</v>
          </cell>
          <cell r="B686">
            <v>24</v>
          </cell>
        </row>
        <row r="687">
          <cell r="A687" t="str">
            <v>Producto: 2133000921010701 / BISA POCILLO 5 GRIS DECORADO</v>
          </cell>
          <cell r="B687">
            <v>24</v>
          </cell>
        </row>
        <row r="688">
          <cell r="A688" t="str">
            <v>Producto: 2133000926010101 / BISA POCILLO 5 NEGRO</v>
          </cell>
          <cell r="B688">
            <v>24</v>
          </cell>
        </row>
        <row r="689">
          <cell r="A689" t="str">
            <v>Producto: 2133000926010115 / BISA POCILLO 5 NEGRO S</v>
          </cell>
          <cell r="B689">
            <v>24</v>
          </cell>
        </row>
        <row r="690">
          <cell r="A690" t="str">
            <v>Producto: 2133000926010701 / BISA POCILLO 5 NEGRO DECORADO</v>
          </cell>
          <cell r="B690">
            <v>24</v>
          </cell>
        </row>
        <row r="691">
          <cell r="A691" t="str">
            <v>Producto: 2133000927010101 / BISA POCILLO 5 NEGRO MOTAS</v>
          </cell>
          <cell r="B691">
            <v>24</v>
          </cell>
        </row>
        <row r="692">
          <cell r="A692" t="str">
            <v>Producto: 2133000927010103 / BISA POCILLO 5 NEGRO MOTAS 6PZ/1 PH</v>
          </cell>
          <cell r="B692">
            <v>1</v>
          </cell>
        </row>
        <row r="693">
          <cell r="A693" t="str">
            <v>Producto: 2133000927010115 / BISA POCILLO 5 NEGRO MOTAS S</v>
          </cell>
          <cell r="B693">
            <v>24</v>
          </cell>
        </row>
        <row r="694">
          <cell r="A694" t="str">
            <v>Producto: 2133000927010701 / BISA POCILLO 5 NEGRO MOTAS DECORADO</v>
          </cell>
          <cell r="B694">
            <v>24</v>
          </cell>
        </row>
        <row r="695">
          <cell r="A695" t="str">
            <v>Producto: 2133000932010101 / BISA POCILLO 5 ROSA MOTAS</v>
          </cell>
          <cell r="B695">
            <v>24</v>
          </cell>
        </row>
        <row r="696">
          <cell r="A696" t="str">
            <v>Producto: 2133000932010115 / BISA POCILLO 5 ROSA MOTAS S</v>
          </cell>
          <cell r="B696">
            <v>24</v>
          </cell>
        </row>
        <row r="697">
          <cell r="A697" t="str">
            <v>Producto: 2133000933010101 / BISA POCILLO 5 TITANIO</v>
          </cell>
          <cell r="B697">
            <v>24</v>
          </cell>
        </row>
        <row r="698">
          <cell r="A698" t="str">
            <v>Producto: 2133000933010103 / BISA POCILLO 5 TITANIO 6PZ/1 PH</v>
          </cell>
          <cell r="B698">
            <v>1</v>
          </cell>
        </row>
        <row r="699">
          <cell r="A699" t="str">
            <v>Producto: 2133000947010101 / BISA POCILLO 5 VERDE</v>
          </cell>
          <cell r="B699">
            <v>24</v>
          </cell>
        </row>
        <row r="700">
          <cell r="A700" t="str">
            <v>Producto: 2133000960010101 / BISA POCILLO 5 NEGRO PIEDRA</v>
          </cell>
          <cell r="B700">
            <v>24</v>
          </cell>
        </row>
        <row r="701">
          <cell r="A701" t="str">
            <v>Producto: 2133001001010101 / BISA POCILLO 6</v>
          </cell>
          <cell r="B701">
            <v>24</v>
          </cell>
        </row>
        <row r="702">
          <cell r="A702" t="str">
            <v xml:space="preserve">Producto: 2133001001010701 / BISA POCILLO 6   DECORADO </v>
          </cell>
          <cell r="B702">
            <v>24</v>
          </cell>
        </row>
        <row r="703">
          <cell r="A703" t="str">
            <v>Producto: 2133001002010101 / BISA POCILLO 6 A/T</v>
          </cell>
          <cell r="B703">
            <v>24</v>
          </cell>
        </row>
        <row r="704">
          <cell r="A704" t="str">
            <v>Producto: 2133001016010101 / BISA POCILLO 6 BLANCO</v>
          </cell>
          <cell r="B704">
            <v>24</v>
          </cell>
        </row>
        <row r="705">
          <cell r="A705" t="str">
            <v xml:space="preserve">Producto: 2133001016030101 / BISA POCILLO 6 BLANCO C/F COBALTO  </v>
          </cell>
          <cell r="B705">
            <v>24</v>
          </cell>
        </row>
        <row r="706">
          <cell r="A706" t="str">
            <v xml:space="preserve">Producto: 2133001016040101 / BISA POCILLO 6 BLANCO C/F GRIS  </v>
          </cell>
          <cell r="B706">
            <v>24</v>
          </cell>
        </row>
        <row r="707">
          <cell r="A707" t="str">
            <v xml:space="preserve">Producto: 2133001016050101 / BISA POCILLO 6 BLANCO C/F NEGRO  </v>
          </cell>
          <cell r="B707">
            <v>24</v>
          </cell>
        </row>
        <row r="708">
          <cell r="A708" t="str">
            <v xml:space="preserve">Producto: 2133001016070101 / BISA POCILLO 6 BLANCO C/F ROJO  </v>
          </cell>
          <cell r="B708">
            <v>24</v>
          </cell>
        </row>
        <row r="709">
          <cell r="A709" t="str">
            <v xml:space="preserve">Producto: 2133001016070701 / BISA POCILLO 6 BLANCO FILO ROJO DECORADO </v>
          </cell>
          <cell r="B709">
            <v>24</v>
          </cell>
        </row>
        <row r="710">
          <cell r="A710" t="str">
            <v>Producto: 2133001017010101 / BISA POCILLO 6 COBALTO</v>
          </cell>
          <cell r="B710">
            <v>24</v>
          </cell>
        </row>
        <row r="711">
          <cell r="A711" t="str">
            <v>Producto: 2133001018010101 / BISA POCILLO 6 COBALTO MOTAS</v>
          </cell>
          <cell r="B711">
            <v>24</v>
          </cell>
        </row>
        <row r="712">
          <cell r="A712" t="str">
            <v>Producto: 2133001021010101 / BISA POCILLO 6 GRIS</v>
          </cell>
          <cell r="B712">
            <v>24</v>
          </cell>
        </row>
        <row r="713">
          <cell r="A713" t="str">
            <v>Producto: 2133001026010101 / BISA POCILLO 6 NEGRO</v>
          </cell>
          <cell r="B713">
            <v>24</v>
          </cell>
        </row>
        <row r="714">
          <cell r="A714" t="str">
            <v xml:space="preserve">Producto: 2133001027010101 / BISA POCILLO 6 NEGRO MOTAS </v>
          </cell>
          <cell r="B714">
            <v>24</v>
          </cell>
        </row>
        <row r="715">
          <cell r="A715" t="str">
            <v>Producto: 2133001033010101 / BISA POCILLO 6 TITANIO</v>
          </cell>
          <cell r="B715">
            <v>24</v>
          </cell>
        </row>
        <row r="716">
          <cell r="A716" t="str">
            <v xml:space="preserve">Producto: 2133001046090701 / BISA POCILLO 6 TRIGO C/F VERDE DECORADO </v>
          </cell>
          <cell r="B716">
            <v>24</v>
          </cell>
        </row>
        <row r="717">
          <cell r="A717" t="str">
            <v>Producto: 2133001201010101 / BISA POCILLO 8</v>
          </cell>
          <cell r="B717">
            <v>24</v>
          </cell>
        </row>
        <row r="718">
          <cell r="A718" t="str">
            <v xml:space="preserve">Producto: 2133001201010701 / BISA POCILLO 8 DECORADO </v>
          </cell>
          <cell r="B718">
            <v>24</v>
          </cell>
        </row>
        <row r="719">
          <cell r="A719" t="str">
            <v>Producto: 2133001202010101 / BISA POCILLO 8 A/T</v>
          </cell>
          <cell r="B719">
            <v>24</v>
          </cell>
        </row>
        <row r="720">
          <cell r="A720" t="str">
            <v>Producto: 2133001202010107 / BISA POCILLO 8 A/T 24PZ/1 TG</v>
          </cell>
          <cell r="B720">
            <v>1</v>
          </cell>
        </row>
        <row r="721">
          <cell r="A721" t="str">
            <v>Producto: 2133001202010114 / BISA POCILLO 8 A/T LV</v>
          </cell>
          <cell r="B721">
            <v>6</v>
          </cell>
        </row>
        <row r="722">
          <cell r="A722" t="str">
            <v>Producto: 2133001205010101 / BISA POCILLO 8 AQUA</v>
          </cell>
          <cell r="B722">
            <v>24</v>
          </cell>
        </row>
        <row r="723">
          <cell r="A723" t="str">
            <v xml:space="preserve">Producto: 2133001208010101 / BISA POCILLO 8 BICOLOR   </v>
          </cell>
          <cell r="B723">
            <v>24</v>
          </cell>
        </row>
        <row r="724">
          <cell r="A724" t="str">
            <v>Producto: 2133001210010101 / BISA POCILLO 8 BICOLOR AZUL</v>
          </cell>
          <cell r="B724">
            <v>24</v>
          </cell>
        </row>
        <row r="725">
          <cell r="A725" t="str">
            <v>Producto: 2133001211010101 / BISA POCILLO 8 BICOLOR COBALTO</v>
          </cell>
          <cell r="B725">
            <v>24</v>
          </cell>
        </row>
        <row r="726">
          <cell r="A726" t="str">
            <v>Producto: 2133001212010101 / BISA POCILLO 8 BICOLOR NARANJA</v>
          </cell>
          <cell r="B726">
            <v>24</v>
          </cell>
        </row>
        <row r="727">
          <cell r="A727" t="str">
            <v>Producto: 2133001214010101 / BISA POCILLO 8 BICOLOR ROJO</v>
          </cell>
          <cell r="B727">
            <v>24</v>
          </cell>
        </row>
        <row r="728">
          <cell r="A728" t="str">
            <v>Producto: 2133001215010101 / BISA POCILLO 8 BICOLOR VERDE</v>
          </cell>
          <cell r="B728">
            <v>24</v>
          </cell>
        </row>
        <row r="729">
          <cell r="A729" t="str">
            <v xml:space="preserve">Producto: 2133001216010201 / BISA POCILLO 8 BLANCO CRANEO </v>
          </cell>
          <cell r="B729">
            <v>24</v>
          </cell>
        </row>
        <row r="730">
          <cell r="A730" t="str">
            <v>Producto: 2133001216020114 / BISA POCILLO 8 BLANCO C/F AQUA LV</v>
          </cell>
          <cell r="B730">
            <v>6</v>
          </cell>
        </row>
        <row r="731">
          <cell r="A731" t="str">
            <v xml:space="preserve">Producto: 2133001216030101 / BISA POCILLO 8 BLANCO C/F COBALTO  </v>
          </cell>
          <cell r="B731">
            <v>24</v>
          </cell>
        </row>
        <row r="732">
          <cell r="A732" t="str">
            <v>Producto: 2133001216030701 / BISA POCILLO 8 BLANCO C/F COBALTO DECORADO</v>
          </cell>
          <cell r="B732">
            <v>24</v>
          </cell>
        </row>
        <row r="733">
          <cell r="A733" t="str">
            <v xml:space="preserve">Producto: 2133001216040101 / BISA POCILLO 8 BLANCO C/F GRIS  </v>
          </cell>
          <cell r="B733">
            <v>24</v>
          </cell>
        </row>
        <row r="734">
          <cell r="A734" t="str">
            <v>Producto: 2133001216040701 / BISA POCILLO 8 BLANCO C/F GRIS DECORADO</v>
          </cell>
          <cell r="B734">
            <v>24</v>
          </cell>
        </row>
        <row r="735">
          <cell r="A735" t="str">
            <v>Producto: 2133001216050101 / BISA POCILLO 8 BLANCO C/F NEGRO</v>
          </cell>
          <cell r="B735">
            <v>24</v>
          </cell>
        </row>
        <row r="736">
          <cell r="A736" t="str">
            <v>Producto: 2133001216050103 / BISA POCILLO 8 BLANCO C/F NEGRO 6PZ/1 PH</v>
          </cell>
          <cell r="B736">
            <v>1</v>
          </cell>
        </row>
        <row r="737">
          <cell r="A737" t="str">
            <v>Producto: 2133001216050115 / BISA POCILLO 8 BLANCO C/F NEGRO S</v>
          </cell>
          <cell r="B737">
            <v>24</v>
          </cell>
        </row>
        <row r="738">
          <cell r="A738" t="str">
            <v xml:space="preserve">Producto: 2133001216050701 / BISA POCILLO 8 BLANCO C/F NEGRO DECORADO </v>
          </cell>
          <cell r="B738">
            <v>24</v>
          </cell>
        </row>
        <row r="739">
          <cell r="A739" t="str">
            <v>Producto: 2133001216060101 / BISA POCILLO 8 BLANCO C/F NEVADO</v>
          </cell>
          <cell r="B739">
            <v>24</v>
          </cell>
        </row>
        <row r="740">
          <cell r="A740" t="str">
            <v xml:space="preserve">Producto: 2133001216070101 / BISA POCILLO 8 BLANCO C/F ROJO  </v>
          </cell>
          <cell r="B740">
            <v>24</v>
          </cell>
        </row>
        <row r="741">
          <cell r="A741" t="str">
            <v xml:space="preserve">Producto: 2133001216070701 / BISA POCILLO 8 BLANCO C/F ROJO DECORADO </v>
          </cell>
          <cell r="B741">
            <v>24</v>
          </cell>
        </row>
        <row r="742">
          <cell r="A742" t="str">
            <v xml:space="preserve">Producto: 2133001216090101 / BISA POCILLO 8 BLANCO C/F VERDE  </v>
          </cell>
          <cell r="B742">
            <v>24</v>
          </cell>
        </row>
        <row r="743">
          <cell r="A743" t="str">
            <v xml:space="preserve">Producto: 2133001216110701 / BISA POCILLO 8 BLANCO C/F CAFÉ DECORADO </v>
          </cell>
          <cell r="B743">
            <v>24</v>
          </cell>
        </row>
        <row r="744">
          <cell r="A744" t="str">
            <v>Producto: 2133001217010101 / BISA POCILLO 8 COBALTO</v>
          </cell>
          <cell r="B744">
            <v>24</v>
          </cell>
        </row>
        <row r="745">
          <cell r="A745" t="str">
            <v>Producto: 2133001220010101 / BISA POCILLO 8 GENERICO</v>
          </cell>
          <cell r="B745">
            <v>24</v>
          </cell>
        </row>
        <row r="746">
          <cell r="A746" t="str">
            <v>Producto: 2133001221010101 / BISA POCILLO 8 GRIS</v>
          </cell>
          <cell r="B746">
            <v>24</v>
          </cell>
        </row>
        <row r="747">
          <cell r="A747" t="str">
            <v>Producto: 2133001221010103 / BISA POCILLO 8 GRIS 6PZ/1 PH</v>
          </cell>
          <cell r="B747">
            <v>1</v>
          </cell>
        </row>
        <row r="748">
          <cell r="A748" t="str">
            <v>Producto: 2133001221010115 / BISA POCILLO 8 GRIS S</v>
          </cell>
          <cell r="B748">
            <v>24</v>
          </cell>
        </row>
        <row r="749">
          <cell r="A749" t="str">
            <v>Producto: 2133001221010701 / BISA POCILLO 8 GRIS DECORADO</v>
          </cell>
          <cell r="B749">
            <v>24</v>
          </cell>
        </row>
        <row r="750">
          <cell r="A750" t="str">
            <v>Producto: 2133001226010101 / BISA POCILLO 8 NEGRO</v>
          </cell>
          <cell r="B750">
            <v>24</v>
          </cell>
        </row>
        <row r="751">
          <cell r="A751" t="str">
            <v>Producto: 2133001226010115 / BISA POCILLO 8 NEGRO S</v>
          </cell>
          <cell r="B751">
            <v>24</v>
          </cell>
        </row>
        <row r="752">
          <cell r="A752" t="str">
            <v>Producto: 2133001226010201 / BISA POCILLO 8 NEGRO CRANEO</v>
          </cell>
          <cell r="B752">
            <v>1</v>
          </cell>
        </row>
        <row r="753">
          <cell r="A753" t="str">
            <v>Producto: 2133001226010701 / BISA POCILLO 8 NEGRO DECORADO</v>
          </cell>
          <cell r="B753">
            <v>24</v>
          </cell>
        </row>
        <row r="754">
          <cell r="A754" t="str">
            <v>Producto: 2133001227010101 / BISA POCILLO 8 NEGRO MOTAS</v>
          </cell>
          <cell r="B754">
            <v>24</v>
          </cell>
        </row>
        <row r="755">
          <cell r="A755" t="str">
            <v>Producto: 2133001227010103 / BISA POCILLO 8 NEGRO MOTAS 6PZ/1 PH</v>
          </cell>
          <cell r="B755">
            <v>1</v>
          </cell>
        </row>
        <row r="756">
          <cell r="A756" t="str">
            <v>Producto: 2133001227010115 / BISA POCILLO 8 NEGRO MOTAS S</v>
          </cell>
          <cell r="B756">
            <v>24</v>
          </cell>
        </row>
        <row r="757">
          <cell r="A757" t="str">
            <v>Producto: 2133001227010701 / BISA POCILLO 8 NEGRO MOTAS DECORADO</v>
          </cell>
          <cell r="B757">
            <v>24</v>
          </cell>
        </row>
        <row r="758">
          <cell r="A758" t="str">
            <v>Producto: 2133001228010101 / BISA POCILLO 8 NEVADO</v>
          </cell>
          <cell r="B758">
            <v>24</v>
          </cell>
        </row>
        <row r="759">
          <cell r="A759" t="str">
            <v>Producto: 2133001233010101 / BISA POCILLO 8 TITANIO</v>
          </cell>
          <cell r="B759">
            <v>24</v>
          </cell>
        </row>
        <row r="760">
          <cell r="A760" t="str">
            <v>Producto: 2133001233010103 / BISA POCILLO 8 TITANIO 6PZ/1 PH</v>
          </cell>
          <cell r="B760">
            <v>1</v>
          </cell>
        </row>
        <row r="761">
          <cell r="A761" t="str">
            <v>Producto: 2133001246090701 / BISA POCILLO 8 TRIGO C/F VERDE DECORADO</v>
          </cell>
          <cell r="B761">
            <v>24</v>
          </cell>
        </row>
        <row r="762">
          <cell r="A762" t="str">
            <v>Producto: 2133001247010101 / BISA POCILLO 8 VERDE</v>
          </cell>
          <cell r="B762">
            <v>24</v>
          </cell>
        </row>
        <row r="763">
          <cell r="A763" t="str">
            <v>Producto: 2133001254010101 / BISA POCILLO 8 BICOLOR ROJO MOTAS</v>
          </cell>
          <cell r="B763">
            <v>24</v>
          </cell>
        </row>
        <row r="764">
          <cell r="A764" t="str">
            <v>Producto: 2133001257010101 / BISA POCILLO 8 BICOLOR GRIS</v>
          </cell>
          <cell r="B764">
            <v>24</v>
          </cell>
        </row>
        <row r="765">
          <cell r="A765" t="str">
            <v xml:space="preserve">Producto: 2133001259010101 / BISA POCILLO 8 ARENA </v>
          </cell>
          <cell r="B765">
            <v>24</v>
          </cell>
        </row>
        <row r="766">
          <cell r="A766" t="str">
            <v>Producto: 2133001260010101 / BISA POCILLO 8 ROSA MOTAS</v>
          </cell>
          <cell r="B766">
            <v>24</v>
          </cell>
        </row>
        <row r="767">
          <cell r="A767" t="str">
            <v>Producto: 2133001260010115 / BISA POCILLO 8 ROSA MOTAS S</v>
          </cell>
          <cell r="B767">
            <v>24</v>
          </cell>
        </row>
        <row r="768">
          <cell r="A768" t="str">
            <v xml:space="preserve">Producto: 2133001301010101 / BISA POCILLO 10    </v>
          </cell>
          <cell r="B768">
            <v>24</v>
          </cell>
        </row>
        <row r="769">
          <cell r="A769" t="str">
            <v>Producto: 2133001302010101 / BISA POCILLO 10 A/T</v>
          </cell>
          <cell r="B769">
            <v>24</v>
          </cell>
        </row>
        <row r="770">
          <cell r="A770" t="str">
            <v>Producto: 2133001302010107 / BISA POCILLO 10 A/T 24PZ/1 TG</v>
          </cell>
          <cell r="B770">
            <v>1</v>
          </cell>
        </row>
        <row r="771">
          <cell r="A771" t="str">
            <v xml:space="preserve">Producto: 2133001316050101 / BISA POCILLO 10 BLANCO C/F NEGRO  </v>
          </cell>
          <cell r="B771">
            <v>24</v>
          </cell>
        </row>
        <row r="772">
          <cell r="A772" t="str">
            <v>Producto: 2133001401010701 / BISA POCILLO 12 DECORADO PRIMAVERA</v>
          </cell>
          <cell r="B772">
            <v>12</v>
          </cell>
        </row>
        <row r="773">
          <cell r="A773" t="str">
            <v>Producto: 2133001402010101 / BISA POCILLO 12 A/T</v>
          </cell>
          <cell r="B773">
            <v>12</v>
          </cell>
        </row>
        <row r="774">
          <cell r="A774" t="str">
            <v>Producto: 2133001402010104 / BISA POCILLO 12 A/T 12PZ/1 TG</v>
          </cell>
          <cell r="B774">
            <v>1</v>
          </cell>
        </row>
        <row r="775">
          <cell r="A775" t="str">
            <v>Producto: 2133001425010101 / BISA POCILLO 12 NAVY</v>
          </cell>
          <cell r="B775">
            <v>12</v>
          </cell>
        </row>
        <row r="776">
          <cell r="A776" t="str">
            <v>Producto: 2133001501010101 / BISA POCILLO 14</v>
          </cell>
          <cell r="B776">
            <v>6</v>
          </cell>
        </row>
        <row r="777">
          <cell r="A777" t="str">
            <v>Producto: 2133001501010103 / BISA POCILLO 14 6PZ/1 TG</v>
          </cell>
          <cell r="B777">
            <v>1</v>
          </cell>
        </row>
        <row r="778">
          <cell r="A778" t="str">
            <v xml:space="preserve">Producto: 2133001501010701 / BISA POCILLO 14   DECORADO </v>
          </cell>
          <cell r="B778">
            <v>6</v>
          </cell>
        </row>
        <row r="779">
          <cell r="A779" t="str">
            <v>Producto: 2133001501010703 / BISA POCILLO 14 DECORADO 6PZ/1 CF 746169141481</v>
          </cell>
          <cell r="B779">
            <v>1</v>
          </cell>
        </row>
        <row r="780">
          <cell r="A780" t="str">
            <v>Producto: 2133001502010101 / BISA POCILLO 14 A/T</v>
          </cell>
          <cell r="B780">
            <v>6</v>
          </cell>
        </row>
        <row r="781">
          <cell r="A781" t="str">
            <v>Producto: 2133001502010103 / BISA POCILLO 14 A/T 6PZ/1 CF 746169041514</v>
          </cell>
          <cell r="B781">
            <v>1</v>
          </cell>
        </row>
        <row r="782">
          <cell r="A782" t="str">
            <v>Producto: 2133001508010101 / BISA POCILLO 14 BICOLOR</v>
          </cell>
          <cell r="B782">
            <v>6</v>
          </cell>
        </row>
        <row r="783">
          <cell r="A783" t="str">
            <v>Producto: 2133001509010101 / BISA POCILLO 14 BICOLOR AMARILLO</v>
          </cell>
          <cell r="B783">
            <v>6</v>
          </cell>
        </row>
        <row r="784">
          <cell r="A784" t="str">
            <v>Producto: 2133001510010101 / BISA POCILLO 14 BICOLOR AZUL</v>
          </cell>
          <cell r="B784">
            <v>6</v>
          </cell>
        </row>
        <row r="785">
          <cell r="A785" t="str">
            <v>Producto: 2133001510010103 / BISA POCILLO 14 BICOLOR AZUL 6PZ/1 CF 746169041439</v>
          </cell>
          <cell r="B785">
            <v>1</v>
          </cell>
        </row>
        <row r="786">
          <cell r="A786" t="str">
            <v>Producto: 2133001512010101 / BISA POCILLO 14 BICOLOR NARANJA</v>
          </cell>
          <cell r="B786">
            <v>6</v>
          </cell>
        </row>
        <row r="787">
          <cell r="A787" t="str">
            <v>Producto: 2133001512010103 / BISA POCILLO 14 BIC NARANJA 6PZ/1 CF 746169041422</v>
          </cell>
          <cell r="B787">
            <v>1</v>
          </cell>
        </row>
        <row r="788">
          <cell r="A788" t="str">
            <v>Producto: 2133001512010104 / BISA POCILLO 14 BICOLOR NARANJA 12PZ/1</v>
          </cell>
          <cell r="B788">
            <v>1</v>
          </cell>
        </row>
        <row r="789">
          <cell r="A789" t="str">
            <v>Producto: 2133001514010101 / BISA POCILLO 14 BICOLOR ROJO</v>
          </cell>
          <cell r="B789">
            <v>6</v>
          </cell>
        </row>
        <row r="790">
          <cell r="A790" t="str">
            <v>Producto: 2133001514010103 / BISA POCILLO 14 BICOLOR ROJO 6PZ/1 CF 746169041446</v>
          </cell>
          <cell r="B790">
            <v>1</v>
          </cell>
        </row>
        <row r="791">
          <cell r="A791" t="str">
            <v>Producto: 2133001514010104 / BISA POCILLO 14 BICOLOR ROJO 12PZ/1</v>
          </cell>
          <cell r="B791">
            <v>1</v>
          </cell>
        </row>
        <row r="792">
          <cell r="A792" t="str">
            <v>Producto: 2133001515010101 / BISA POCILLO 14 BICOLOR VERDE</v>
          </cell>
          <cell r="B792">
            <v>6</v>
          </cell>
        </row>
        <row r="793">
          <cell r="A793" t="str">
            <v>Producto: 2133001515010103 / BISA POCILLO 14 BICOLOR VERDE 6PZ/1</v>
          </cell>
          <cell r="B793">
            <v>1</v>
          </cell>
        </row>
        <row r="794">
          <cell r="A794" t="str">
            <v>Producto: 2133001515010104 / BISA POCILLO 14 BICOLOR VERDE 12PZ/1</v>
          </cell>
          <cell r="B794">
            <v>1</v>
          </cell>
        </row>
        <row r="795">
          <cell r="A795" t="str">
            <v>Producto: 2133001521010101 / BISA POCILLO 14 GRIS</v>
          </cell>
          <cell r="B795">
            <v>6</v>
          </cell>
        </row>
        <row r="796">
          <cell r="A796" t="str">
            <v>Producto: 2133001525010101 / BISA POCILLO 14 NAVY</v>
          </cell>
          <cell r="B796">
            <v>6</v>
          </cell>
        </row>
        <row r="797">
          <cell r="A797" t="str">
            <v>Producto: 2133001527010101 / BISA POCILLO 14 NEGRO MOTAS</v>
          </cell>
          <cell r="B797">
            <v>6</v>
          </cell>
        </row>
        <row r="798">
          <cell r="A798" t="str">
            <v>Producto: 2133001531050101 / BISA POCILLO 14 ROSA C/F NEGRO</v>
          </cell>
          <cell r="B798">
            <v>6</v>
          </cell>
        </row>
        <row r="799">
          <cell r="A799" t="str">
            <v>Producto: 2133001552010101 / BISA POCILLO 14 BICOLOR ROJO NEGRO</v>
          </cell>
          <cell r="B799">
            <v>6</v>
          </cell>
        </row>
        <row r="800">
          <cell r="A800" t="str">
            <v>Producto: 2134001501010101 / BISA POCILLO HERVIDOR 14</v>
          </cell>
          <cell r="B800">
            <v>12</v>
          </cell>
        </row>
        <row r="801">
          <cell r="A801" t="str">
            <v>Producto: 2135000101010101 / BISA PORTAVASOS</v>
          </cell>
          <cell r="B801">
            <v>48</v>
          </cell>
        </row>
        <row r="802">
          <cell r="A802" t="str">
            <v xml:space="preserve">Producto: 2135000101010701 / BISA PORTAVASOS DECORADO </v>
          </cell>
          <cell r="B802">
            <v>48</v>
          </cell>
        </row>
        <row r="803">
          <cell r="A803" t="str">
            <v>Producto: 2135000102010101 / BISA PORTAVASOS A/T</v>
          </cell>
          <cell r="B803">
            <v>48</v>
          </cell>
        </row>
        <row r="804">
          <cell r="A804" t="str">
            <v>Producto: 2135000116040101 / BISA PORTAVASOS BLANCO C/F GRIS</v>
          </cell>
          <cell r="B804">
            <v>48</v>
          </cell>
        </row>
        <row r="805">
          <cell r="A805" t="str">
            <v>Producto: 2135000116040701 / BISA PORTAVASOS BLANCO C/F GRIS DECORADO</v>
          </cell>
          <cell r="B805">
            <v>48</v>
          </cell>
        </row>
        <row r="806">
          <cell r="A806" t="str">
            <v>Producto: 2135000116050101 / BISA PORTAVASOS  BLANCO C/F NEGRO</v>
          </cell>
          <cell r="B806">
            <v>48</v>
          </cell>
        </row>
        <row r="807">
          <cell r="A807" t="str">
            <v xml:space="preserve">Producto: 2135000116050701 / BISA PORTAVASOS BLANCO C/F NEGRO DECORADO </v>
          </cell>
          <cell r="B807">
            <v>48</v>
          </cell>
        </row>
        <row r="808">
          <cell r="A808" t="str">
            <v>Producto: 2135000117010101 / BISA PORTAVASOS  COBALTO</v>
          </cell>
          <cell r="B808">
            <v>48</v>
          </cell>
        </row>
        <row r="809">
          <cell r="A809" t="str">
            <v>Producto: 2135000121010101 / BISA PORTAVASOS  GRIS</v>
          </cell>
          <cell r="B809">
            <v>48</v>
          </cell>
        </row>
        <row r="810">
          <cell r="A810" t="str">
            <v>Producto: 2135000124010101 / BISA PORTAVASOS  NARANJA MOTAS</v>
          </cell>
          <cell r="B810">
            <v>48</v>
          </cell>
        </row>
        <row r="811">
          <cell r="A811" t="str">
            <v xml:space="preserve">Producto: 2135000126010101 / BISA PORTAVASOS NEGRO </v>
          </cell>
          <cell r="B811">
            <v>48</v>
          </cell>
        </row>
        <row r="812">
          <cell r="A812" t="str">
            <v>Producto: 2135000127010101 / BISA PORTAVASOS  NEGRO MOTAS</v>
          </cell>
          <cell r="B812">
            <v>48</v>
          </cell>
        </row>
        <row r="813">
          <cell r="A813" t="str">
            <v>Producto: 2135000130010101 / BISA PORTAVASOS  ROJO MOTAS</v>
          </cell>
          <cell r="B813">
            <v>48</v>
          </cell>
        </row>
        <row r="814">
          <cell r="A814" t="str">
            <v>Producto: 2135000149010101 / BISA PORTAVASOS  VERDE MOTAS</v>
          </cell>
          <cell r="B814">
            <v>48</v>
          </cell>
        </row>
        <row r="815">
          <cell r="A815" t="str">
            <v xml:space="preserve">Producto: 2135001501010101 / BISA POCILLO HERVIDOR CON TAPA    </v>
          </cell>
          <cell r="B815">
            <v>12</v>
          </cell>
        </row>
        <row r="816">
          <cell r="A816" t="str">
            <v xml:space="preserve">Producto: 2136002201010101 / BISA SARTEN 20    </v>
          </cell>
          <cell r="B816">
            <v>12</v>
          </cell>
        </row>
        <row r="817">
          <cell r="A817" t="str">
            <v>Producto: 2136002202010101 / BISA SARTEN 20 A/T</v>
          </cell>
          <cell r="B817">
            <v>12</v>
          </cell>
        </row>
        <row r="818">
          <cell r="A818" t="str">
            <v>Producto: 2136002402010101 / BISA SARTEN 22 A/T</v>
          </cell>
          <cell r="B818">
            <v>12</v>
          </cell>
        </row>
        <row r="819">
          <cell r="A819" t="str">
            <v>Producto: 2136002502010101 / BISA SARTEN 24 A/T</v>
          </cell>
          <cell r="B819">
            <v>12</v>
          </cell>
        </row>
        <row r="820">
          <cell r="A820" t="str">
            <v>Producto: 2136002602010101 / BISA SARTEN 26 A/T</v>
          </cell>
          <cell r="B820">
            <v>12</v>
          </cell>
        </row>
        <row r="821">
          <cell r="A821" t="str">
            <v>Producto: 2138000102010101 / BISA TAZA BISTRO  A/T</v>
          </cell>
          <cell r="B821">
            <v>12</v>
          </cell>
        </row>
        <row r="822">
          <cell r="A822" t="str">
            <v>Producto: 2138000114010101 / BISA TAZA BISTRO BICOLOR ROJO</v>
          </cell>
          <cell r="B822">
            <v>12</v>
          </cell>
        </row>
        <row r="823">
          <cell r="A823" t="str">
            <v>Producto: 2138000116050101 / BISA TAZA BISTRO  BLANCO C/F NEGRO</v>
          </cell>
          <cell r="B823">
            <v>12</v>
          </cell>
        </row>
        <row r="824">
          <cell r="A824" t="str">
            <v>Producto: 2138000116050701 / BISA TAZA BISTRO BLANCO C/F NEGRO DECORADO</v>
          </cell>
          <cell r="B824">
            <v>12</v>
          </cell>
        </row>
        <row r="825">
          <cell r="A825" t="str">
            <v>Producto: 2138000116070101 / BISA TAZA BISTRO BLANCO C/F ROJO</v>
          </cell>
          <cell r="B825">
            <v>12</v>
          </cell>
        </row>
        <row r="826">
          <cell r="A826" t="str">
            <v>Producto: 2138000116090101 / BISA TAZA BISTRO  BLANCO C/F VERDE</v>
          </cell>
          <cell r="B826">
            <v>12</v>
          </cell>
        </row>
        <row r="827">
          <cell r="A827" t="str">
            <v>Producto: 2138000117010101 / BISA TAZA BISTRO  COBALTO</v>
          </cell>
          <cell r="B827">
            <v>12</v>
          </cell>
        </row>
        <row r="828">
          <cell r="A828" t="str">
            <v>Producto: 2138000121010101 / BISA TAZA BISTRO  GRIS</v>
          </cell>
          <cell r="B828">
            <v>12</v>
          </cell>
        </row>
        <row r="829">
          <cell r="A829" t="str">
            <v>Producto: 2138000126010101 / BISA TAZA BISTRO  NEGRO</v>
          </cell>
          <cell r="B829">
            <v>12</v>
          </cell>
        </row>
        <row r="830">
          <cell r="A830" t="str">
            <v>Producto: 2138000147010101 / BISA TAZA BISTRO  VERDE</v>
          </cell>
          <cell r="B830">
            <v>12</v>
          </cell>
        </row>
        <row r="831">
          <cell r="A831" t="str">
            <v>Producto: 2138000154010101 / BISA TAZA BISTRO BICOLOR ROJO MOTAS</v>
          </cell>
          <cell r="B831">
            <v>12</v>
          </cell>
        </row>
        <row r="832">
          <cell r="A832" t="str">
            <v xml:space="preserve">Producto: 2138000157010101 / BISA TAZA BISTRO BICOLOR GRIS </v>
          </cell>
          <cell r="B832">
            <v>12</v>
          </cell>
        </row>
        <row r="833">
          <cell r="A833" t="str">
            <v>Producto: 2139001201010101 / BISA TAZON 8</v>
          </cell>
          <cell r="B833">
            <v>36</v>
          </cell>
        </row>
        <row r="834">
          <cell r="A834" t="str">
            <v>Producto: 2139001201010701 / BISA TAZON 8 DECORADO</v>
          </cell>
          <cell r="B834">
            <v>36</v>
          </cell>
        </row>
        <row r="835">
          <cell r="A835" t="str">
            <v>Producto: 2139001202010101 / BISA TAZON 8 A/T</v>
          </cell>
          <cell r="B835">
            <v>36</v>
          </cell>
        </row>
        <row r="836">
          <cell r="A836" t="str">
            <v>Producto: 2139001216030101 / BISA TAZON 8 BLANCO C/F COBALTO BBB</v>
          </cell>
          <cell r="B836">
            <v>6</v>
          </cell>
        </row>
        <row r="837">
          <cell r="A837" t="str">
            <v>Producto: 2139001216040101 / BISA TAZON 8 BLANCO C/F GRIS</v>
          </cell>
          <cell r="B837">
            <v>36</v>
          </cell>
        </row>
        <row r="838">
          <cell r="A838" t="str">
            <v>Producto: 2139001216050101 / BISA TAZON 8 BLANCO C/F NEGRO</v>
          </cell>
          <cell r="B838">
            <v>36</v>
          </cell>
        </row>
        <row r="839">
          <cell r="A839" t="str">
            <v>Producto: 2139001216050701 / BISA TAZON 8 BLANCO C/F NEGRO DECORADO</v>
          </cell>
          <cell r="B839">
            <v>36</v>
          </cell>
        </row>
        <row r="840">
          <cell r="A840" t="str">
            <v>Producto: 2139001216070101 / BISA TAZON 8 BLANCO C/F ROJO</v>
          </cell>
          <cell r="B840">
            <v>36</v>
          </cell>
        </row>
        <row r="841">
          <cell r="A841" t="str">
            <v>Producto: 2139001216090101 / BISA TAZON 8 BLANCO C/F VERDE</v>
          </cell>
          <cell r="B841">
            <v>36</v>
          </cell>
        </row>
        <row r="842">
          <cell r="A842" t="str">
            <v>Producto: 2139001216100101 / BISA TAZON 8 BLANCO C/F AZUL</v>
          </cell>
          <cell r="B842">
            <v>36</v>
          </cell>
        </row>
        <row r="843">
          <cell r="A843" t="str">
            <v>Producto: 2139001217010101 / BISA TAZON 8 COBALTO</v>
          </cell>
          <cell r="B843">
            <v>36</v>
          </cell>
        </row>
        <row r="844">
          <cell r="A844" t="str">
            <v>Producto: 2139001221010101 / BISA TAZON 8 GRIS</v>
          </cell>
          <cell r="B844">
            <v>36</v>
          </cell>
        </row>
        <row r="845">
          <cell r="A845" t="str">
            <v>Producto: 2139001226010101 / BISA TAZON 8 NEGRO</v>
          </cell>
          <cell r="B845">
            <v>36</v>
          </cell>
        </row>
        <row r="846">
          <cell r="A846" t="str">
            <v>Producto: 2139001227010101 / BISA TAZON 8 NEGRO MOTAS</v>
          </cell>
          <cell r="B846">
            <v>36</v>
          </cell>
        </row>
        <row r="847">
          <cell r="A847" t="str">
            <v>Producto: 2139001227010103 / BISA TAZON 8 NEGRO MOTAS 6PZ/1 PH</v>
          </cell>
          <cell r="B847">
            <v>1</v>
          </cell>
        </row>
        <row r="848">
          <cell r="A848" t="str">
            <v>Producto: 2139001228010101 / BISA TAZON 8 NEVADO</v>
          </cell>
          <cell r="B848">
            <v>36</v>
          </cell>
        </row>
        <row r="849">
          <cell r="A849" t="str">
            <v>Producto: 2139001233010101 / BISA TAZON 8 TITANIO</v>
          </cell>
          <cell r="B849">
            <v>36</v>
          </cell>
        </row>
        <row r="850">
          <cell r="A850" t="str">
            <v>Producto: 2139001247010101 / BISA TAZON 8 VERDE</v>
          </cell>
          <cell r="B850">
            <v>36</v>
          </cell>
        </row>
        <row r="851">
          <cell r="A851" t="str">
            <v xml:space="preserve">Producto: 2139001259010101 / BISA TAZON 8 ARENA </v>
          </cell>
          <cell r="B851">
            <v>36</v>
          </cell>
        </row>
        <row r="852">
          <cell r="A852" t="str">
            <v xml:space="preserve">Producto: 2139001601010101 / TAZON 15.5 BISA </v>
          </cell>
          <cell r="B852">
            <v>12</v>
          </cell>
        </row>
        <row r="853">
          <cell r="A853" t="str">
            <v xml:space="preserve">Producto: 2139001601010701 / BISA TAZON 15.5 DECORADO </v>
          </cell>
          <cell r="B853">
            <v>12</v>
          </cell>
        </row>
        <row r="854">
          <cell r="A854" t="str">
            <v>Producto: 2139001602010101 / BISA TAZON 15.5 A/T</v>
          </cell>
          <cell r="B854">
            <v>12</v>
          </cell>
        </row>
        <row r="855">
          <cell r="A855" t="str">
            <v>Producto: 2139001602010114 / BISA TAZON 15.5 A/T LV</v>
          </cell>
          <cell r="B855">
            <v>6</v>
          </cell>
        </row>
        <row r="856">
          <cell r="A856" t="str">
            <v>Producto: 2139001605010114 / BISA TAZON 15.5 AQUA LV</v>
          </cell>
          <cell r="B856">
            <v>6</v>
          </cell>
        </row>
        <row r="857">
          <cell r="A857" t="str">
            <v>Producto: 2139001610010101 / BISA TAZON 15.5 BICOLOR AZUL</v>
          </cell>
          <cell r="B857">
            <v>12</v>
          </cell>
        </row>
        <row r="858">
          <cell r="A858" t="str">
            <v>Producto: 2139001612010101 / BISA TAZON 15.5 BICOLOR NARANJA</v>
          </cell>
          <cell r="B858">
            <v>12</v>
          </cell>
        </row>
        <row r="859">
          <cell r="A859" t="str">
            <v>Producto: 2139001614010101 / BISA TAZON 15.5 BICOLOR ROJO</v>
          </cell>
          <cell r="B859">
            <v>12</v>
          </cell>
        </row>
        <row r="860">
          <cell r="A860" t="str">
            <v>Producto: 2139001615010101 / BISA TAZON 15.5 BICOLOR VERDE</v>
          </cell>
          <cell r="B860">
            <v>12</v>
          </cell>
        </row>
        <row r="861">
          <cell r="A861" t="str">
            <v>Producto: 2139001616020101 / BISA TAZON 15.5 BLANCO C/F AQUA</v>
          </cell>
          <cell r="B861">
            <v>12</v>
          </cell>
        </row>
        <row r="862">
          <cell r="A862" t="str">
            <v>Producto: 2139001616030101 / BISA TAZON 15.5 BLANCO C/F COBALTO</v>
          </cell>
          <cell r="B862">
            <v>12</v>
          </cell>
        </row>
        <row r="863">
          <cell r="A863" t="str">
            <v xml:space="preserve">Producto: 2139001616030701 / BISA TAZON 15.5 BLANCO C/F COBALTO DECORADO </v>
          </cell>
          <cell r="B863">
            <v>12</v>
          </cell>
        </row>
        <row r="864">
          <cell r="A864" t="str">
            <v>Producto: 2139001616040101 / BISA TAZON 15.5 BLANCO C/F GRIS</v>
          </cell>
          <cell r="B864">
            <v>12</v>
          </cell>
        </row>
        <row r="865">
          <cell r="A865" t="str">
            <v>Producto: 2139001616040103 / BISA TAZON 15.5 BLANCO C/F GRIS 6PZ/1 PH</v>
          </cell>
          <cell r="B865">
            <v>1</v>
          </cell>
        </row>
        <row r="866">
          <cell r="A866" t="str">
            <v>Producto: 2139001616040701 / BISA TAZON 15.5 BLANCO C/F GRIS DECORADO</v>
          </cell>
          <cell r="B866">
            <v>12</v>
          </cell>
        </row>
        <row r="867">
          <cell r="A867" t="str">
            <v>Producto: 2139001616050101 / BISA TAZON 15.5 BLANCO C/F NEGRO</v>
          </cell>
          <cell r="B867">
            <v>12</v>
          </cell>
        </row>
        <row r="868">
          <cell r="A868" t="str">
            <v>Producto: 2139001616050103 / BISA TAZON 15.5 BLANCO C/F NEGRO 6PZ/1 PH</v>
          </cell>
          <cell r="B868">
            <v>1</v>
          </cell>
        </row>
        <row r="869">
          <cell r="A869" t="str">
            <v>Producto: 2139001616050701 / BISA TAZON 15.5 BLANCO C/F NEGRO DECORADO</v>
          </cell>
          <cell r="B869">
            <v>12</v>
          </cell>
        </row>
        <row r="870">
          <cell r="A870" t="str">
            <v>Producto: 2139001616060101 / BISA TAZON 15.5 BLANCO C/F NEVADO</v>
          </cell>
          <cell r="B870">
            <v>12</v>
          </cell>
        </row>
        <row r="871">
          <cell r="A871" t="str">
            <v>Producto: 2139001616070101 / BISA TAZON 15.5 BLANCO C/F ROJO</v>
          </cell>
          <cell r="B871">
            <v>12</v>
          </cell>
        </row>
        <row r="872">
          <cell r="A872" t="str">
            <v>Producto: 2139001616070701 / BISA TAZON 15.5 BLANCO C/F ROJO DECORADO</v>
          </cell>
          <cell r="B872">
            <v>12</v>
          </cell>
        </row>
        <row r="873">
          <cell r="A873" t="str">
            <v>Producto: 2139001616090101 / BISA TAZON 15.5 BLANCO C/F VERDE</v>
          </cell>
          <cell r="B873">
            <v>12</v>
          </cell>
        </row>
        <row r="874">
          <cell r="A874" t="str">
            <v>Producto: 2139001616100101 / BISA TAZON 15.5 BLANCO C/F AZUL</v>
          </cell>
          <cell r="B874">
            <v>12</v>
          </cell>
        </row>
        <row r="875">
          <cell r="A875" t="str">
            <v>Producto: 2139001617010101 / BISA TAZON 15.5 COBALTO</v>
          </cell>
          <cell r="B875">
            <v>12</v>
          </cell>
        </row>
        <row r="876">
          <cell r="A876" t="str">
            <v>Producto: 2139001620010101 / BISA TAZON 15.5 GENERICO</v>
          </cell>
          <cell r="B876">
            <v>12</v>
          </cell>
        </row>
        <row r="877">
          <cell r="A877" t="str">
            <v>Producto: 2139001621010101 / BISA TAZON 15.5 GRIS</v>
          </cell>
          <cell r="B877">
            <v>12</v>
          </cell>
        </row>
        <row r="878">
          <cell r="A878" t="str">
            <v>Producto: 2139001621010103 / BISA TAZON 15.5 GRIS 6PZ/1 PH</v>
          </cell>
          <cell r="B878">
            <v>1</v>
          </cell>
        </row>
        <row r="879">
          <cell r="A879" t="str">
            <v>Producto: 2139001626010101 / BISA TAZON 15.5 NEGRO</v>
          </cell>
          <cell r="B879">
            <v>12</v>
          </cell>
        </row>
        <row r="880">
          <cell r="A880" t="str">
            <v>Producto: 2139001627010101 / BISA TAZON 15.5 NEGRO MOTAS</v>
          </cell>
          <cell r="B880">
            <v>12</v>
          </cell>
        </row>
        <row r="881">
          <cell r="A881" t="str">
            <v>Producto: 2139001627010103 / BISA TAZON 15.5 NEGRO MOTAS 6PZ/1 PH</v>
          </cell>
          <cell r="B881">
            <v>1</v>
          </cell>
        </row>
        <row r="882">
          <cell r="A882" t="str">
            <v>Producto: 2139001627010701 / BISA TAZON 15 5 NEGRO MOTAS DECORADO</v>
          </cell>
          <cell r="B882">
            <v>12</v>
          </cell>
        </row>
        <row r="883">
          <cell r="A883" t="str">
            <v>Producto: 2139001628010101 / BISA TAZON 15.5 NEVADO</v>
          </cell>
          <cell r="B883">
            <v>12</v>
          </cell>
        </row>
        <row r="884">
          <cell r="A884" t="str">
            <v>Producto: 2139001633010101 / BISA TAZON 15.5 TITANIO</v>
          </cell>
          <cell r="B884">
            <v>12</v>
          </cell>
        </row>
        <row r="885">
          <cell r="A885" t="str">
            <v>Producto: 2139001647010101 / BISA TAZON 15.5 VERDE</v>
          </cell>
          <cell r="B885">
            <v>12</v>
          </cell>
        </row>
        <row r="886">
          <cell r="A886" t="str">
            <v xml:space="preserve">Producto: 2139001659010101 / BISA TAZON 15.5 ARENA </v>
          </cell>
          <cell r="B886">
            <v>12</v>
          </cell>
        </row>
        <row r="887">
          <cell r="A887" t="str">
            <v xml:space="preserve">Producto: 2139001901010101 / BISA TAZON INCLINADO 17 </v>
          </cell>
          <cell r="B887">
            <v>6</v>
          </cell>
        </row>
        <row r="888">
          <cell r="A888" t="str">
            <v>Producto: 2139002201010101 / BISA TAZON 20</v>
          </cell>
          <cell r="B888">
            <v>6</v>
          </cell>
        </row>
        <row r="889">
          <cell r="A889" t="str">
            <v xml:space="preserve">Producto: 2139002201010701 / BISA TAZON 20 DECORADO </v>
          </cell>
          <cell r="B889">
            <v>6</v>
          </cell>
        </row>
        <row r="890">
          <cell r="A890" t="str">
            <v>Producto: 2139002202010101 / BISA TAZON 20 A/T</v>
          </cell>
          <cell r="B890">
            <v>6</v>
          </cell>
        </row>
        <row r="891">
          <cell r="A891" t="str">
            <v xml:space="preserve">Producto: 2139002208010101 / BISA TAZON 20 BICOLOR   </v>
          </cell>
          <cell r="B891">
            <v>6</v>
          </cell>
        </row>
        <row r="892">
          <cell r="A892" t="str">
            <v>Producto: 2139002210010101 / BISA TAZON 20 BICOLOR AZUL</v>
          </cell>
          <cell r="B892">
            <v>6</v>
          </cell>
        </row>
        <row r="893">
          <cell r="A893" t="str">
            <v>Producto: 2139002212010101 / BISA TAZON 20 BICOLOR NARANJA</v>
          </cell>
          <cell r="B893">
            <v>6</v>
          </cell>
        </row>
        <row r="894">
          <cell r="A894" t="str">
            <v>Producto: 2139002214010101 / BISA TAZON 20 BICOLOR ROJO</v>
          </cell>
          <cell r="B894">
            <v>6</v>
          </cell>
        </row>
        <row r="895">
          <cell r="A895" t="str">
            <v>Producto: 2139002215010101 / BISA TAZON 20 BICOLOR VERDE</v>
          </cell>
          <cell r="B895">
            <v>6</v>
          </cell>
        </row>
        <row r="896">
          <cell r="A896" t="str">
            <v>Producto: 2139002216030101 / BISA TAZON 20 BLANCO C/F COBALTO</v>
          </cell>
          <cell r="B896">
            <v>6</v>
          </cell>
        </row>
        <row r="897">
          <cell r="A897" t="str">
            <v>Producto: 2139002216040101 / BISA TAZON 20 BLANCO C/F GRIS</v>
          </cell>
          <cell r="B897">
            <v>6</v>
          </cell>
        </row>
        <row r="898">
          <cell r="A898" t="str">
            <v>Producto: 2139002216050101 / BISA TAZON 20 BLANCO C/F NEGRO</v>
          </cell>
          <cell r="B898">
            <v>6</v>
          </cell>
        </row>
        <row r="899">
          <cell r="A899" t="str">
            <v>Producto: 2139002216050701 / BISA TAZON 20 BLANCO C/F NEGRO DECORADO</v>
          </cell>
          <cell r="B899">
            <v>6</v>
          </cell>
        </row>
        <row r="900">
          <cell r="A900" t="str">
            <v>Producto: 2139002216070101 / BISA TAZON 20 BLANCO C/F ROJO</v>
          </cell>
          <cell r="B900">
            <v>6</v>
          </cell>
        </row>
        <row r="901">
          <cell r="A901" t="str">
            <v>Producto: 2139002216090101 / BISA TAZON 20 BLANCO C/F VERDE</v>
          </cell>
          <cell r="B901">
            <v>6</v>
          </cell>
        </row>
        <row r="902">
          <cell r="A902" t="str">
            <v>Producto: 2139002216100101 / BISA TAZON 20 BLANCO C/F AZUL</v>
          </cell>
          <cell r="B902">
            <v>6</v>
          </cell>
        </row>
        <row r="903">
          <cell r="A903" t="str">
            <v>Producto: 2139002226010701 / BISA TAZON 20 NEGRO DECORADO</v>
          </cell>
          <cell r="B903">
            <v>6</v>
          </cell>
        </row>
        <row r="904">
          <cell r="A904" t="str">
            <v xml:space="preserve">Producto: 2139002227010101 / BISA TAZON 20 NEGRO MOTAS   </v>
          </cell>
          <cell r="B904">
            <v>6</v>
          </cell>
        </row>
        <row r="905">
          <cell r="A905" t="str">
            <v>Producto: 2139002227010701 / BISA TAZON 20 NEGRO MOTAS DECORADO</v>
          </cell>
          <cell r="B905">
            <v>6</v>
          </cell>
        </row>
        <row r="906">
          <cell r="A906" t="str">
            <v>Producto: 2139002228010101 / BISA TAZON 20 NEVADO</v>
          </cell>
          <cell r="B906">
            <v>6</v>
          </cell>
        </row>
        <row r="907">
          <cell r="A907" t="str">
            <v xml:space="preserve">Producto: 2139002233010101 / BISA TAZON 20 TITANIO </v>
          </cell>
          <cell r="B907">
            <v>6</v>
          </cell>
        </row>
        <row r="908">
          <cell r="A908" t="str">
            <v xml:space="preserve">Producto: 2139002259010101 / BISA TAZON 20 ARENA </v>
          </cell>
          <cell r="B908">
            <v>6</v>
          </cell>
        </row>
        <row r="909">
          <cell r="A909" t="str">
            <v>Producto: 2139002421010101 / BISA TAZON 20 GRIS</v>
          </cell>
          <cell r="B909">
            <v>6</v>
          </cell>
        </row>
        <row r="910">
          <cell r="A910" t="str">
            <v>Producto: 2140001201010101 / BISA TAZON INCLINADO 8</v>
          </cell>
          <cell r="B910">
            <v>36</v>
          </cell>
        </row>
        <row r="911">
          <cell r="A911" t="str">
            <v xml:space="preserve">Producto: 2140001201010701 / BISA TAZON INCLINADO 8   DECORADO </v>
          </cell>
          <cell r="B911">
            <v>36</v>
          </cell>
        </row>
        <row r="912">
          <cell r="A912" t="str">
            <v>Producto: 2140001202010101 / BISA TAZON INCLINADO 8 A/T</v>
          </cell>
          <cell r="B912">
            <v>36</v>
          </cell>
        </row>
        <row r="913">
          <cell r="A913" t="str">
            <v>Producto: 2140001216030101 / BISA TAZON INCLINADO 8 BLANCO C/F COBALTO</v>
          </cell>
          <cell r="B913">
            <v>36</v>
          </cell>
        </row>
        <row r="914">
          <cell r="A914" t="str">
            <v>Producto: 2140001216040101 / BISA TAZON INCLINADO 8 BLANCO C/F GRIS</v>
          </cell>
          <cell r="B914">
            <v>36</v>
          </cell>
        </row>
        <row r="915">
          <cell r="A915" t="str">
            <v>Producto: 2140001216050101 / BISA TAZON INCLINADO 8 BLANCO C/F NEGRO</v>
          </cell>
          <cell r="B915">
            <v>36</v>
          </cell>
        </row>
        <row r="916">
          <cell r="A916" t="str">
            <v>Producto: 2140001216050103 / BISA TAZON INCLINADO 8 BLANCO C/F NEGRO 6PZ/1 PH</v>
          </cell>
          <cell r="B916">
            <v>1</v>
          </cell>
        </row>
        <row r="917">
          <cell r="A917" t="str">
            <v>Producto: 2140001216070101 / BISA TAZON INCLINADO 8 BLANCO C/F ROJO</v>
          </cell>
          <cell r="B917">
            <v>36</v>
          </cell>
        </row>
        <row r="918">
          <cell r="A918" t="str">
            <v xml:space="preserve">Producto: 2140001216070701 / BISA TAZON INCLINADO 8 BLANCO F/ROJO DECORADO </v>
          </cell>
          <cell r="B918">
            <v>36</v>
          </cell>
        </row>
        <row r="919">
          <cell r="A919" t="str">
            <v xml:space="preserve">Producto: 2140001216090101 / BISA TAZON INCLINADO 8 BLANCO C/F VERDE  </v>
          </cell>
          <cell r="B919">
            <v>36</v>
          </cell>
        </row>
        <row r="920">
          <cell r="A920" t="str">
            <v>Producto: 2140001217010101 / BISA TAZON INCLINADO 8 COBALTO</v>
          </cell>
          <cell r="B920">
            <v>36</v>
          </cell>
        </row>
        <row r="921">
          <cell r="A921" t="str">
            <v>Producto: 2140001221010101 / BISA TAZON INCLINADO 8 GRIS</v>
          </cell>
          <cell r="B921">
            <v>36</v>
          </cell>
        </row>
        <row r="922">
          <cell r="A922" t="str">
            <v>Producto: 2140001226010101 / BISA TAZON INCLINADO 8 NEGRO</v>
          </cell>
          <cell r="B922">
            <v>36</v>
          </cell>
        </row>
        <row r="923">
          <cell r="A923" t="str">
            <v>Producto: 2140001227010101 / BISA TAZON INCLINADO 8 NEGRO MOTAS</v>
          </cell>
          <cell r="B923">
            <v>36</v>
          </cell>
        </row>
        <row r="924">
          <cell r="A924" t="str">
            <v>Producto: 2140001227010701 / BISA TAZON INCLINADO 8 NEGRO MOTAS DECORADO</v>
          </cell>
          <cell r="B924">
            <v>36</v>
          </cell>
        </row>
        <row r="925">
          <cell r="A925" t="str">
            <v>Producto: 2140001228010101 / BISA TAZON INCLINADO 8 NEVADO</v>
          </cell>
          <cell r="B925">
            <v>36</v>
          </cell>
        </row>
        <row r="926">
          <cell r="A926" t="str">
            <v>Producto: 2140001233010101 / BISA TAZON INCLINADO 8 TITANIO</v>
          </cell>
          <cell r="B926">
            <v>36</v>
          </cell>
        </row>
        <row r="927">
          <cell r="A927" t="str">
            <v>Producto: 2140001233010103 / BISA TAZON INCLINADO 8 TITANIO 6PZ/1</v>
          </cell>
          <cell r="B927">
            <v>1</v>
          </cell>
        </row>
        <row r="928">
          <cell r="A928" t="str">
            <v>Producto: 2140001902010101 / BISA TAZON INCLINADO 17 A/T</v>
          </cell>
          <cell r="B928">
            <v>6</v>
          </cell>
        </row>
        <row r="929">
          <cell r="A929" t="str">
            <v xml:space="preserve">Producto: 2140001916040101 / BISA TAZON INCLINADO 17 BLANCO C/F GRIS </v>
          </cell>
          <cell r="B929">
            <v>6</v>
          </cell>
        </row>
        <row r="930">
          <cell r="A930" t="str">
            <v>Producto: 2140001916050101 / BISA TAZON INCLINADO 17 BLANCO C/F NEGRO</v>
          </cell>
          <cell r="B930">
            <v>6</v>
          </cell>
        </row>
        <row r="931">
          <cell r="A931" t="str">
            <v>Producto: 2140001916050103 / BISA TAZON INCLINADO 17 BLANCO C/F NEGRO 6PZ/1 PH</v>
          </cell>
          <cell r="B931">
            <v>1</v>
          </cell>
        </row>
        <row r="932">
          <cell r="A932" t="str">
            <v>Producto: 2140001916050701 / BISA TAZON INCLINADO 17 BLANCO C/F NEGRO DECORADO</v>
          </cell>
          <cell r="B932">
            <v>6</v>
          </cell>
        </row>
        <row r="933">
          <cell r="A933" t="str">
            <v>Producto: 2140001916070101 / BISA TAZON INCLINADO 17 BLANCO C/F ROJO</v>
          </cell>
          <cell r="B933">
            <v>6</v>
          </cell>
        </row>
        <row r="934">
          <cell r="A934" t="str">
            <v xml:space="preserve">Producto: 2140001921010101 / BISA TAZON INCLINADO 17 GRIS </v>
          </cell>
          <cell r="B934">
            <v>6</v>
          </cell>
        </row>
        <row r="935">
          <cell r="A935" t="str">
            <v>Producto: 2140001927010101 / BISA TAZON INCLINADO 17 NEGRO MOTAS</v>
          </cell>
          <cell r="B935">
            <v>6</v>
          </cell>
        </row>
        <row r="936">
          <cell r="A936" t="str">
            <v>Producto: 2140001927010103 / BISA TAZON INCLINADO 17 NEGRO MOTAS 6PZ/1 PH</v>
          </cell>
          <cell r="B936">
            <v>1</v>
          </cell>
        </row>
        <row r="937">
          <cell r="A937" t="str">
            <v>Producto: 2140001927010701 / BISA TAZON INCLINADO 17 NEGRO MOTAS DECORADO</v>
          </cell>
          <cell r="B937">
            <v>6</v>
          </cell>
        </row>
        <row r="938">
          <cell r="A938" t="str">
            <v>Producto: 2140001933010101 / BISA TAZON INCLINADO 17 TITANIO</v>
          </cell>
          <cell r="B938">
            <v>6</v>
          </cell>
        </row>
        <row r="939">
          <cell r="A939" t="str">
            <v>Producto: 2140002401010201 / BISA TAZON INCLINADO 22</v>
          </cell>
          <cell r="B939">
            <v>6</v>
          </cell>
        </row>
        <row r="940">
          <cell r="A940" t="str">
            <v xml:space="preserve">Producto: 2140002401010701 / BISA TAZON INCLINADO 22 DECORADO </v>
          </cell>
          <cell r="B940">
            <v>6</v>
          </cell>
        </row>
        <row r="941">
          <cell r="A941" t="str">
            <v>Producto: 2140002402030101 / BISA TAZON INCLINADO 22 A/T C/F COBALTO</v>
          </cell>
          <cell r="B941">
            <v>6</v>
          </cell>
        </row>
        <row r="942">
          <cell r="A942" t="str">
            <v>Producto: 2140002405010101 / BISA TAZON INCLINADO 22 AQUA</v>
          </cell>
          <cell r="B942">
            <v>6</v>
          </cell>
        </row>
        <row r="943">
          <cell r="A943" t="str">
            <v xml:space="preserve">Producto: 2140002416010101 / BISA TAZON INCLINADO 22 BLANCO   </v>
          </cell>
          <cell r="B943">
            <v>6</v>
          </cell>
        </row>
        <row r="944">
          <cell r="A944" t="str">
            <v xml:space="preserve">Producto: 2140002416030101 / BISA TAZON INCLINADO 22 BLANCO C/F COBALTO  </v>
          </cell>
          <cell r="B944">
            <v>6</v>
          </cell>
        </row>
        <row r="945">
          <cell r="A945" t="str">
            <v>Producto: 2140002416040101 / BISA TAZON INCLINADO 22 BLANCO C/F GRIS</v>
          </cell>
          <cell r="B945">
            <v>6</v>
          </cell>
        </row>
        <row r="946">
          <cell r="A946" t="str">
            <v>Producto: 2140002416040111 / BISA TAZON INCLINADO 22 BLANCO C/F GRIS 3PZ/1 PH</v>
          </cell>
          <cell r="B946">
            <v>1</v>
          </cell>
        </row>
        <row r="947">
          <cell r="A947" t="str">
            <v>Producto: 2140002416050101 / BISA TAZON INCLINADO 22 BLANCO C/F NEGRO</v>
          </cell>
          <cell r="B947">
            <v>6</v>
          </cell>
        </row>
        <row r="948">
          <cell r="A948" t="str">
            <v>Producto: 2140002416050103 / BISA TAZON INCLINADO 22 BLANCO C/F NEGRO 6PZ/1 PH</v>
          </cell>
          <cell r="B948">
            <v>1</v>
          </cell>
        </row>
        <row r="949">
          <cell r="A949" t="str">
            <v>Producto: 2140002416050701 / BISA TAZON INCLINADO 22 BLANCO C/F NEGRO DECORADO</v>
          </cell>
          <cell r="B949">
            <v>6</v>
          </cell>
        </row>
        <row r="950">
          <cell r="A950" t="str">
            <v>Producto: 2140002416070101 / BISA TAZON INCLINADO 22 BLANCO C/F ROJO</v>
          </cell>
          <cell r="B950">
            <v>6</v>
          </cell>
        </row>
        <row r="951">
          <cell r="A951" t="str">
            <v xml:space="preserve">Producto: 2140002416090101 / BISA TAZON INCLINADO 22 BLANCO C/F VERDE  </v>
          </cell>
          <cell r="B951">
            <v>6</v>
          </cell>
        </row>
        <row r="952">
          <cell r="A952" t="str">
            <v>Producto: 2140002417010101 / BISA TAZON INCLINADO 22 COBALTO</v>
          </cell>
          <cell r="B952">
            <v>6</v>
          </cell>
        </row>
        <row r="953">
          <cell r="A953" t="str">
            <v>Producto: 2140002421010101 / BISA TAZON INCLINADO 22 GRIS</v>
          </cell>
          <cell r="B953">
            <v>6</v>
          </cell>
        </row>
        <row r="954">
          <cell r="A954" t="str">
            <v>Producto: 2140002421010701 / BISA TAZON INCLINADO 22 GRIS DECORADO</v>
          </cell>
          <cell r="B954">
            <v>6</v>
          </cell>
        </row>
        <row r="955">
          <cell r="A955" t="str">
            <v>Producto: 2140002426010101 / BISA TAZON INCLINADO 22 NEGRO</v>
          </cell>
          <cell r="B955">
            <v>6</v>
          </cell>
        </row>
        <row r="956">
          <cell r="A956" t="str">
            <v>Producto: 2140002427010101 / BISA TAZON INCLINADO 22 NEGRO MOTAS</v>
          </cell>
          <cell r="B956">
            <v>6</v>
          </cell>
        </row>
        <row r="957">
          <cell r="A957" t="str">
            <v>Producto: 2140002427010701 / BISA TAZON INCLINADO 22 NEGRO MOTAS DECORADO</v>
          </cell>
          <cell r="B957">
            <v>6</v>
          </cell>
        </row>
        <row r="958">
          <cell r="A958" t="str">
            <v>Producto: 2140002428010101 / BISA TAZON INCLINADO 22 NEVADO</v>
          </cell>
          <cell r="B958">
            <v>6</v>
          </cell>
        </row>
        <row r="959">
          <cell r="A959" t="str">
            <v xml:space="preserve">Producto: 2140002433010101 / BISA TAZON INCLINADO 22 TITANIO </v>
          </cell>
          <cell r="B959">
            <v>6</v>
          </cell>
        </row>
        <row r="960">
          <cell r="A960" t="str">
            <v>Producto: 2141000101010101 / TENEDOR ESMALTADO</v>
          </cell>
          <cell r="B960">
            <v>6</v>
          </cell>
        </row>
        <row r="961">
          <cell r="A961" t="str">
            <v>Producto: 2141000102010101 / BISA TENEDOR A/T</v>
          </cell>
          <cell r="B961">
            <v>6</v>
          </cell>
        </row>
        <row r="962">
          <cell r="A962" t="str">
            <v>Producto: 2141000116010101 / BISA TENEDOR BLANCO</v>
          </cell>
          <cell r="B962">
            <v>6</v>
          </cell>
        </row>
        <row r="963">
          <cell r="A963" t="str">
            <v>Producto: 2141000116030101 / BISA TENEDOR BLANCO C/F COBALTO</v>
          </cell>
          <cell r="B963">
            <v>6</v>
          </cell>
        </row>
        <row r="964">
          <cell r="A964" t="str">
            <v>Producto: 2141000121010101 / BISA TENEDOR GRIS</v>
          </cell>
          <cell r="B964">
            <v>6</v>
          </cell>
        </row>
        <row r="965">
          <cell r="A965" t="str">
            <v>Producto: 2141000126010101 / BISA TENEDOR NEGRO</v>
          </cell>
          <cell r="B965">
            <v>6</v>
          </cell>
        </row>
        <row r="966">
          <cell r="A966" t="str">
            <v>Producto: 2141000127010101 / BISA TENEDOR NEGRO MOTAS</v>
          </cell>
          <cell r="B966">
            <v>6</v>
          </cell>
        </row>
        <row r="967">
          <cell r="A967" t="str">
            <v xml:space="preserve">Producto: 2141000159010101 / BISA TENEDOR ARENA </v>
          </cell>
          <cell r="B967">
            <v>6</v>
          </cell>
        </row>
        <row r="968">
          <cell r="A968" t="str">
            <v>Producto: 2142002101010101 / BISA TORTILLERO 18</v>
          </cell>
          <cell r="B968">
            <v>6</v>
          </cell>
        </row>
        <row r="969">
          <cell r="A969" t="str">
            <v>Producto: 2142002102010101 / BISA TORTILLERO 18 A/T</v>
          </cell>
          <cell r="B969">
            <v>6</v>
          </cell>
        </row>
        <row r="970">
          <cell r="A970" t="str">
            <v>Producto: 2142002105010101 / BISA TORTILLERO 18 AQUA</v>
          </cell>
          <cell r="B970">
            <v>6</v>
          </cell>
        </row>
        <row r="971">
          <cell r="A971" t="str">
            <v>Producto: 2142002117010101 / BISA TORTILLERO 18 COBALTO</v>
          </cell>
          <cell r="B971">
            <v>6</v>
          </cell>
        </row>
        <row r="972">
          <cell r="A972" t="str">
            <v>Producto: 2142002121010101 / BISA TORTILLERO 18 GRIS</v>
          </cell>
          <cell r="B972">
            <v>6</v>
          </cell>
        </row>
        <row r="973">
          <cell r="A973" t="str">
            <v>Producto: 2142002121010103 / BISA TORTILLERO 18 GRIS 6PZ/1 PH</v>
          </cell>
          <cell r="B973">
            <v>1</v>
          </cell>
        </row>
        <row r="974">
          <cell r="A974" t="str">
            <v>Producto: 2142002126010101 / BISA TORTILLERO 18 NEGRO</v>
          </cell>
          <cell r="B974">
            <v>6</v>
          </cell>
        </row>
        <row r="975">
          <cell r="A975" t="str">
            <v>Producto: 2142002127010101 / BISA TORTILLERO 18 NEGRO MOTAS</v>
          </cell>
          <cell r="B975">
            <v>6</v>
          </cell>
        </row>
        <row r="976">
          <cell r="A976" t="str">
            <v>Producto: 2142002127010103 / BISA TORTILLERO 18 NEGRO MOTAS 6PZ/1 PH</v>
          </cell>
          <cell r="B976">
            <v>1</v>
          </cell>
        </row>
        <row r="977">
          <cell r="A977" t="str">
            <v xml:space="preserve">Producto: 2142002127010701 / BISA TORTILLERO NEGRO MOTAS DECORADO </v>
          </cell>
          <cell r="B977">
            <v>6</v>
          </cell>
        </row>
        <row r="978">
          <cell r="A978" t="str">
            <v>Producto: 2142002128010101 / BISA TORTILLERO 18 NEVADO</v>
          </cell>
          <cell r="B978">
            <v>6</v>
          </cell>
        </row>
        <row r="979">
          <cell r="A979" t="str">
            <v>Producto: 2142002129010101 / BISA TORTILLERO 18 ROJO</v>
          </cell>
          <cell r="B979">
            <v>6</v>
          </cell>
        </row>
        <row r="980">
          <cell r="A980" t="str">
            <v xml:space="preserve">Producto: 2142002129010701 / BISA TORTILLERO ROJO DECORADO </v>
          </cell>
          <cell r="B980">
            <v>6</v>
          </cell>
        </row>
        <row r="981">
          <cell r="A981" t="str">
            <v>Producto: 2142002130010101 / BISA TORTILLERO 18 ROJO MOTAS</v>
          </cell>
          <cell r="B981">
            <v>6</v>
          </cell>
        </row>
        <row r="982">
          <cell r="A982" t="str">
            <v>Producto: 2142002133010101 / BISA TORTILLERO 18 TITANIO</v>
          </cell>
          <cell r="B982">
            <v>6</v>
          </cell>
        </row>
        <row r="983">
          <cell r="A983" t="str">
            <v>Producto: 2142002133010103 / BISA TORTILLERO 18 TITANIO 6PZ/1</v>
          </cell>
          <cell r="B983">
            <v>1</v>
          </cell>
        </row>
        <row r="984">
          <cell r="A984" t="str">
            <v>Producto: 2142002153010101 / BISA TORTILLERO 18 BICOLOR COBALTO MOTAS BBB</v>
          </cell>
          <cell r="B984">
            <v>6</v>
          </cell>
        </row>
        <row r="985">
          <cell r="A985" t="str">
            <v>Producto: 2142002160010101 / BISA TORTILLERO 18 NEGRO PIEDRA</v>
          </cell>
          <cell r="B985">
            <v>6</v>
          </cell>
        </row>
        <row r="986">
          <cell r="A986" t="str">
            <v>Producto: 2143000101010101 / BISA VAJILLA MONICA FERNANDEZ</v>
          </cell>
          <cell r="B986">
            <v>1</v>
          </cell>
        </row>
        <row r="987">
          <cell r="A987" t="str">
            <v>Producto: 2143000101010105 / BISA VAJILLA 16 PZAS COBALTO MOTAS BBB</v>
          </cell>
          <cell r="B987">
            <v>1</v>
          </cell>
        </row>
        <row r="988">
          <cell r="A988" t="str">
            <v>Producto: 2143000117010112 / BISA VAJILLA 31 PZAS AZUL PH</v>
          </cell>
          <cell r="B988">
            <v>1</v>
          </cell>
        </row>
        <row r="989">
          <cell r="A989" t="str">
            <v>Producto: 2143000126010113 / BISA VAJILLA 20 PZAS NEGRA PH</v>
          </cell>
          <cell r="B989">
            <v>1</v>
          </cell>
        </row>
        <row r="990">
          <cell r="A990" t="str">
            <v>Producto: 2143006301010101 / BISA VAJILLA LAVANDA</v>
          </cell>
          <cell r="B990">
            <v>1</v>
          </cell>
        </row>
        <row r="991">
          <cell r="A991" t="str">
            <v xml:space="preserve">Producto: 2143006401010101 / BISA VAJILLA LE COQ PH </v>
          </cell>
          <cell r="B991">
            <v>1</v>
          </cell>
        </row>
        <row r="992">
          <cell r="A992" t="str">
            <v xml:space="preserve">Producto: 2143006701010101 / BISA VAJILLA MOSCA EN EL PLATO  PH </v>
          </cell>
          <cell r="B992">
            <v>1</v>
          </cell>
        </row>
        <row r="993">
          <cell r="A993" t="str">
            <v>Producto: 2143006901010101 / BISA VAJILLA VELO</v>
          </cell>
          <cell r="B993">
            <v>1</v>
          </cell>
        </row>
        <row r="994">
          <cell r="A994" t="str">
            <v>Producto: 2143007401010101 / BISA VAJILLA CERRADO MARINO</v>
          </cell>
          <cell r="B994">
            <v>1</v>
          </cell>
        </row>
        <row r="995">
          <cell r="A995" t="str">
            <v>Producto: 2143007401010104 / BISA VAJILLA 12 PZAS MARINA PH</v>
          </cell>
          <cell r="B995">
            <v>1</v>
          </cell>
        </row>
        <row r="996">
          <cell r="A996" t="str">
            <v>Producto: 2143007901010701 / BISA JUEGO POCILLO 5   DECORADO</v>
          </cell>
          <cell r="B996">
            <v>1</v>
          </cell>
        </row>
        <row r="997">
          <cell r="A997" t="str">
            <v>Producto: 2144002502010101 / BISA VAPORERA 24 A/T</v>
          </cell>
          <cell r="B997">
            <v>6</v>
          </cell>
        </row>
        <row r="998">
          <cell r="A998" t="str">
            <v>Producto: 2144002602010101 / BISA VAPORERA 26 A/T</v>
          </cell>
          <cell r="B998">
            <v>6</v>
          </cell>
        </row>
        <row r="999">
          <cell r="A999" t="str">
            <v>Producto: 2144002902010101 / BISA VAPORERA 30 A/T</v>
          </cell>
          <cell r="B999">
            <v>2</v>
          </cell>
        </row>
        <row r="1000">
          <cell r="A1000" t="str">
            <v>Producto: 2144003102010101 / BISA VAPORERA 34 A/T</v>
          </cell>
          <cell r="B1000">
            <v>2</v>
          </cell>
        </row>
        <row r="1001">
          <cell r="A1001" t="str">
            <v>Producto: 2144003302010101 / BISA VAPORERA 42 A/T</v>
          </cell>
          <cell r="B1001">
            <v>1</v>
          </cell>
        </row>
        <row r="1002">
          <cell r="A1002" t="str">
            <v>Producto: 2145000901010101 / BISA VASO 5</v>
          </cell>
          <cell r="B1002">
            <v>24</v>
          </cell>
        </row>
        <row r="1003">
          <cell r="A1003" t="str">
            <v xml:space="preserve">Producto: 2145000901010701 / BISA VASO 5 DECORADO </v>
          </cell>
          <cell r="B1003">
            <v>24</v>
          </cell>
        </row>
        <row r="1004">
          <cell r="A1004" t="str">
            <v>Producto: 2145000902010101 / BISA VASO 5 A/T</v>
          </cell>
          <cell r="B1004">
            <v>24</v>
          </cell>
        </row>
        <row r="1005">
          <cell r="A1005" t="str">
            <v>Producto: 2145000916030101 / BISA VASO 5 BLANCO C/F COBALTO</v>
          </cell>
          <cell r="B1005">
            <v>24</v>
          </cell>
        </row>
        <row r="1006">
          <cell r="A1006" t="str">
            <v>Producto: 2145000916040101 / BISA VASO 5 BLANCO C/F GRIS</v>
          </cell>
          <cell r="B1006">
            <v>24</v>
          </cell>
        </row>
        <row r="1007">
          <cell r="A1007" t="str">
            <v>Producto: 2145000916050101 / BISA VASO 5 BLANCO C/F NEGRO</v>
          </cell>
          <cell r="B1007">
            <v>24</v>
          </cell>
        </row>
        <row r="1008">
          <cell r="A1008" t="str">
            <v>Producto: 2145000916050701 / BISA VASO 5 BLANCO C/F NEGRO DECORADO</v>
          </cell>
          <cell r="B1008">
            <v>24</v>
          </cell>
        </row>
        <row r="1009">
          <cell r="A1009" t="str">
            <v>Producto: 2145000916070101 / BISA VASO 5 BLANCO C/F ROJO</v>
          </cell>
          <cell r="B1009">
            <v>24</v>
          </cell>
        </row>
        <row r="1010">
          <cell r="A1010" t="str">
            <v>Producto: 2145000916090101 / BISA VASO 5 BLANCO C/F VERDE</v>
          </cell>
          <cell r="B1010">
            <v>24</v>
          </cell>
        </row>
        <row r="1011">
          <cell r="A1011" t="str">
            <v>Producto: 2145000921010101 / BISA VASO 5 GRIS</v>
          </cell>
          <cell r="B1011">
            <v>24</v>
          </cell>
        </row>
        <row r="1012">
          <cell r="A1012" t="str">
            <v xml:space="preserve">Producto: 2145000926010101 / BISA VASO 5 NEGRO </v>
          </cell>
          <cell r="B1012">
            <v>24</v>
          </cell>
        </row>
        <row r="1013">
          <cell r="A1013" t="str">
            <v>Producto: 2145000926010701 / BISA VASO 5 NEGRO DECORADO</v>
          </cell>
          <cell r="B1013">
            <v>24</v>
          </cell>
        </row>
        <row r="1014">
          <cell r="A1014" t="str">
            <v>Producto: 2145000927010101 / BISA VASO 5 NEGRO MOTAS</v>
          </cell>
          <cell r="B1014">
            <v>24</v>
          </cell>
        </row>
        <row r="1015">
          <cell r="A1015" t="str">
            <v>Producto: 2145000960010101 / BISA VASO 5 NEGRO PIEDRA</v>
          </cell>
          <cell r="B1015">
            <v>24</v>
          </cell>
        </row>
        <row r="1016">
          <cell r="A1016" t="str">
            <v>Producto: 2145001016030101 / BISA VASO 6 BLANCO C/F COBALTO</v>
          </cell>
          <cell r="B1016">
            <v>24</v>
          </cell>
        </row>
        <row r="1017">
          <cell r="A1017" t="str">
            <v>Producto: 2145001016070101 / BISA VASO 6 BLANCO C/F ROJO</v>
          </cell>
          <cell r="B1017">
            <v>24</v>
          </cell>
        </row>
        <row r="1018">
          <cell r="A1018" t="str">
            <v>Producto: 2145001016090101 / BISA VASO 6 BLANCO C/F VERDE</v>
          </cell>
          <cell r="B1018">
            <v>24</v>
          </cell>
        </row>
        <row r="1019">
          <cell r="A1019" t="str">
            <v xml:space="preserve">Producto: 2145001026010101 / BISA VASO 6 NEGRO </v>
          </cell>
          <cell r="B1019">
            <v>24</v>
          </cell>
        </row>
        <row r="1020">
          <cell r="A1020" t="str">
            <v>Producto: 2145001201010101 / BISA VASO 8</v>
          </cell>
          <cell r="B1020">
            <v>24</v>
          </cell>
        </row>
        <row r="1021">
          <cell r="A1021" t="str">
            <v>Producto: 2145001202010101 / BISA VASO 8 A/T</v>
          </cell>
          <cell r="B1021">
            <v>24</v>
          </cell>
        </row>
        <row r="1022">
          <cell r="A1022" t="str">
            <v>Producto: 2145001216050101 / BISA VASO 8 BLANCO C/F NEGRO</v>
          </cell>
          <cell r="B1022">
            <v>24</v>
          </cell>
        </row>
        <row r="1023">
          <cell r="A1023" t="str">
            <v>Producto: 2145001216050701 / BISA VASO 8 BLANCO C/F NEGRO DECORADO</v>
          </cell>
          <cell r="B1023">
            <v>24</v>
          </cell>
        </row>
        <row r="1024">
          <cell r="A1024" t="str">
            <v>Producto: 2145001216100101 / BISA VASO 8 BLANCO C/F AZUL</v>
          </cell>
          <cell r="B1024">
            <v>24</v>
          </cell>
        </row>
        <row r="1025">
          <cell r="A1025" t="str">
            <v>Producto: 2145001221010101 / BISA VASO 8 GRIS</v>
          </cell>
          <cell r="B1025">
            <v>24</v>
          </cell>
        </row>
        <row r="1026">
          <cell r="A1026" t="str">
            <v xml:space="preserve">Producto: 2145001226010101 / BISA VASO 8 NEGRO   </v>
          </cell>
          <cell r="B1026">
            <v>24</v>
          </cell>
        </row>
        <row r="1027">
          <cell r="A1027" t="str">
            <v>Producto: 2145001227010101 / BISA VASO 8 NEGRO MOTAS</v>
          </cell>
          <cell r="B1027">
            <v>24</v>
          </cell>
        </row>
        <row r="1028">
          <cell r="A1028" t="str">
            <v>Producto: 2148001502010104 / BISA VASO RECTO 14 A/T 12PZ/1 TG</v>
          </cell>
          <cell r="B1028">
            <v>1</v>
          </cell>
        </row>
        <row r="1029">
          <cell r="A1029" t="str">
            <v>Producto: 2148001571010101 / BISA VASO RECTO 14 CON ASA</v>
          </cell>
          <cell r="B1029">
            <v>12</v>
          </cell>
        </row>
        <row r="1030">
          <cell r="A1030" t="str">
            <v>Producto: 2148001572010101 / BISA VASO RECTO 14 CON TAPA</v>
          </cell>
          <cell r="B1030">
            <v>12</v>
          </cell>
        </row>
        <row r="1031">
          <cell r="A1031" t="str">
            <v xml:space="preserve">Producto: 2149010101010101 / BISA CUCHARA DE SERVICIO     </v>
          </cell>
          <cell r="B1031">
            <v>6</v>
          </cell>
        </row>
        <row r="1032">
          <cell r="A1032" t="str">
            <v>Producto: 2150000101010101 / BISA JUEGO TAPA ESMALTADA</v>
          </cell>
          <cell r="B1032">
            <v>1</v>
          </cell>
        </row>
        <row r="1033">
          <cell r="A1033" t="str">
            <v>Producto: 2151002902030101 / BISA OLLA PROFUNDA RAYADA 30 A/T</v>
          </cell>
          <cell r="B1033">
            <v>1</v>
          </cell>
        </row>
        <row r="1034">
          <cell r="A1034" t="str">
            <v>Producto: 2152002801010101 / BISA PLATO OVAL 28</v>
          </cell>
          <cell r="B1034">
            <v>6</v>
          </cell>
        </row>
        <row r="1035">
          <cell r="A1035" t="str">
            <v>Producto: 2152002802010101 / BISA PLATO OVAL 28 A/T</v>
          </cell>
          <cell r="B1035">
            <v>6</v>
          </cell>
        </row>
        <row r="1036">
          <cell r="A1036" t="str">
            <v xml:space="preserve">Producto: 2152002816040101 / BISA PLATO OVAL 28 BLANCO C/F GRIS </v>
          </cell>
          <cell r="B1036">
            <v>6</v>
          </cell>
        </row>
        <row r="1037">
          <cell r="A1037" t="str">
            <v>Producto: 2152002816050101 / BISA PLATO OVAL 28 BLANCO C/F NEGRO</v>
          </cell>
          <cell r="B1037">
            <v>6</v>
          </cell>
        </row>
        <row r="1038">
          <cell r="A1038" t="str">
            <v>Producto: 2152002816070101 / BISA PLATO OVAL 28 BLANCO C/F ROJO</v>
          </cell>
          <cell r="B1038">
            <v>6</v>
          </cell>
        </row>
        <row r="1039">
          <cell r="A1039" t="str">
            <v>Producto: 2152002821010101 / BISA PLATO OVAL 28 GRIS</v>
          </cell>
          <cell r="B1039">
            <v>6</v>
          </cell>
        </row>
        <row r="1040">
          <cell r="A1040" t="str">
            <v>Producto: 2152002827010101 / BISA PLATO OVAL 28 NEGRO MOTAS</v>
          </cell>
          <cell r="B1040">
            <v>6</v>
          </cell>
        </row>
        <row r="1041">
          <cell r="A1041" t="str">
            <v>Producto: 2152002827010701 / BISA PLATO OVAL 28 NEGRO MOTAS DECORADO</v>
          </cell>
          <cell r="B1041">
            <v>6</v>
          </cell>
        </row>
        <row r="1042">
          <cell r="A1042" t="str">
            <v>Producto: 2152002833010101 / BISA PLATO OVAL 28 TITANIO</v>
          </cell>
          <cell r="B1042">
            <v>6</v>
          </cell>
        </row>
        <row r="1043">
          <cell r="A1043" t="str">
            <v>Producto: 2152002860010101 / BISA PLATO OVAL 28 NEGRO PIEDRA</v>
          </cell>
          <cell r="B1043">
            <v>6</v>
          </cell>
        </row>
        <row r="1044">
          <cell r="A1044" t="str">
            <v>Producto: 2152003001010101 / BISA PLATO OVAL 32</v>
          </cell>
          <cell r="B1044">
            <v>6</v>
          </cell>
        </row>
        <row r="1045">
          <cell r="A1045" t="str">
            <v>Producto: 2152003002010101 / BISA PLATO OVAL 32 A/T</v>
          </cell>
          <cell r="B1045">
            <v>6</v>
          </cell>
        </row>
        <row r="1046">
          <cell r="A1046" t="str">
            <v>Producto: 2152003016030101 / BISA PLATO OVAL 32 BLANCO C/F COBALTO BBB</v>
          </cell>
          <cell r="B1046">
            <v>6</v>
          </cell>
        </row>
        <row r="1047">
          <cell r="A1047" t="str">
            <v xml:space="preserve">Producto: 2152003016040101 / BISA PLATO OVAL 32 BLANCO C/F GRIS </v>
          </cell>
          <cell r="B1047">
            <v>6</v>
          </cell>
        </row>
        <row r="1048">
          <cell r="A1048" t="str">
            <v>Producto: 2152003016050101 / BISA PLATO OVAL 32 BLANCO C/F NEGRO</v>
          </cell>
          <cell r="B1048">
            <v>6</v>
          </cell>
        </row>
        <row r="1049">
          <cell r="A1049" t="str">
            <v>Producto: 2152003018010101 / BISA PLATO OVAL 32 COBALTO MOTAS</v>
          </cell>
          <cell r="B1049">
            <v>6</v>
          </cell>
        </row>
        <row r="1050">
          <cell r="A1050" t="str">
            <v>Producto: 2152003021010101 / BISA PLATO OVAL 32 GRIS</v>
          </cell>
          <cell r="B1050">
            <v>6</v>
          </cell>
        </row>
        <row r="1051">
          <cell r="A1051" t="str">
            <v>Producto: 2152003027010101 / BISA PLATO OVAL 32 NEGRO MOTAS</v>
          </cell>
          <cell r="B1051">
            <v>6</v>
          </cell>
        </row>
        <row r="1052">
          <cell r="A1052" t="str">
            <v>Producto: 2152003027010701 / BISA PLATO OVAL 32 NEGRO MOTAS DECORADO</v>
          </cell>
          <cell r="B1052">
            <v>6</v>
          </cell>
        </row>
        <row r="1053">
          <cell r="A1053" t="str">
            <v>Producto: 2152003033010101 / BISA PLATO OVAL 32 TITANIO</v>
          </cell>
          <cell r="B1053">
            <v>6</v>
          </cell>
        </row>
        <row r="1054">
          <cell r="A1054" t="str">
            <v>Producto: 2152003060010101 / BISA PLATO OVAL 32 NEGRO PIEDRA</v>
          </cell>
          <cell r="B1054">
            <v>6</v>
          </cell>
        </row>
        <row r="1055">
          <cell r="A1055" t="str">
            <v>Producto: 2152003201010101 / BISA PLATO OVAL 36</v>
          </cell>
          <cell r="B1055">
            <v>6</v>
          </cell>
        </row>
        <row r="1056">
          <cell r="A1056" t="str">
            <v>Producto: 2152003202010101 / BISA PLATO OVAL 36 A/T</v>
          </cell>
          <cell r="B1056">
            <v>6</v>
          </cell>
        </row>
        <row r="1057">
          <cell r="A1057" t="str">
            <v>Producto: 2152003216030101 / BISA PLATO OVAL 36 BLANCO C/F COBALTO</v>
          </cell>
          <cell r="B1057">
            <v>6</v>
          </cell>
        </row>
        <row r="1058">
          <cell r="A1058" t="str">
            <v>Producto: 2152003216050101 / BISA PLATO OVAL 36 BLANCO C/F NEGRO</v>
          </cell>
          <cell r="B1058">
            <v>6</v>
          </cell>
        </row>
        <row r="1059">
          <cell r="A1059" t="str">
            <v xml:space="preserve">Producto: 2152003227010101 / BISA PLATO OVAL 36 NEGRO MOTAS </v>
          </cell>
          <cell r="B1059">
            <v>6</v>
          </cell>
        </row>
        <row r="1060">
          <cell r="A1060" t="str">
            <v xml:space="preserve">Producto: 2152003233010101 / BISA PLATO OVAL 36 TITANIO </v>
          </cell>
          <cell r="B1060">
            <v>6</v>
          </cell>
        </row>
        <row r="1061">
          <cell r="A1061" t="str">
            <v>Producto: 2152003260010101 / BISA PLATO OVAL 36 NEGRO PIEDRA</v>
          </cell>
          <cell r="B1061">
            <v>6</v>
          </cell>
        </row>
        <row r="1062">
          <cell r="A1062" t="str">
            <v xml:space="preserve">Producto: 2153000120010101 / BISA ADORNO GENERICO </v>
          </cell>
          <cell r="B1062">
            <v>1</v>
          </cell>
        </row>
        <row r="1063">
          <cell r="A1063" t="str">
            <v>Producto: 2153000120010103 / BISA ADORNO GENERICO 6PZ</v>
          </cell>
          <cell r="B1063">
            <v>1</v>
          </cell>
        </row>
        <row r="1064">
          <cell r="A1064" t="str">
            <v>Producto: 2153000120010701 / BISA ADORNO GENERICO DECORADO</v>
          </cell>
          <cell r="B1064">
            <v>1</v>
          </cell>
        </row>
        <row r="1065">
          <cell r="A1065" t="str">
            <v>Producto: 2153000120010703 / BISA ADORNO GENERICO DECORADO 6PZ</v>
          </cell>
          <cell r="B1065">
            <v>1</v>
          </cell>
        </row>
        <row r="1066">
          <cell r="A1066" t="str">
            <v>Producto: 2153008716010903 / BISA ADORNO TROMPO PARTITURA BLANCA 6PZ</v>
          </cell>
          <cell r="B1066">
            <v>1</v>
          </cell>
        </row>
        <row r="1067">
          <cell r="A1067" t="str">
            <v>Producto: 2153008716011003 / BISA ADORNO TROMPO PARTITURA VINTAGE 6PZ</v>
          </cell>
          <cell r="B1067">
            <v>1</v>
          </cell>
        </row>
        <row r="1068">
          <cell r="A1068" t="str">
            <v>Producto: 2153008718010103 / BISA ADORNO TROMPO COBALTO MOTAS 6PZ</v>
          </cell>
          <cell r="B1068">
            <v>1</v>
          </cell>
        </row>
        <row r="1069">
          <cell r="A1069" t="str">
            <v>Producto: 2153008730010103 / BISA ADORNO TROMPO ROJO MOTAS 6PZ</v>
          </cell>
          <cell r="B1069">
            <v>1</v>
          </cell>
        </row>
        <row r="1070">
          <cell r="A1070" t="str">
            <v>Producto: 2153008818010103 / BISA ADORNO MOÑO COBALTO MOTAS 6PZ</v>
          </cell>
          <cell r="B1070">
            <v>1</v>
          </cell>
        </row>
        <row r="1071">
          <cell r="A1071" t="str">
            <v>Producto: 2153008830010103 / BISA ADORNO MOÑO ROJO MOTAS 6PZ</v>
          </cell>
          <cell r="B1071">
            <v>1</v>
          </cell>
        </row>
        <row r="1072">
          <cell r="A1072" t="str">
            <v>Producto: 2153008916010903 / BISA ADORNO ARBOL PARTITURA BLANCA 6PZ</v>
          </cell>
          <cell r="B1072">
            <v>1</v>
          </cell>
        </row>
        <row r="1073">
          <cell r="A1073" t="str">
            <v>Producto: 2153008916011303 / BISA ADORNO ARBOL DECORADO 6PZ</v>
          </cell>
          <cell r="B1073">
            <v>1</v>
          </cell>
        </row>
        <row r="1074">
          <cell r="A1074" t="str">
            <v>Producto: 2153008918010103 / BISA ADORNO ARBOL COBALTO MOTAS 6PZS</v>
          </cell>
          <cell r="B1074">
            <v>1</v>
          </cell>
        </row>
        <row r="1075">
          <cell r="A1075" t="str">
            <v>Producto: 2153008930010103 / BISA ADORNO ARBOL ROJO MOTAS 6PZ</v>
          </cell>
          <cell r="B1075">
            <v>1</v>
          </cell>
        </row>
        <row r="1076">
          <cell r="A1076" t="str">
            <v>Producto: 2153009016010903 / BISA ADORNO ESFERA PARTITURA BLANCA 6PZ</v>
          </cell>
          <cell r="B1076">
            <v>1</v>
          </cell>
        </row>
        <row r="1077">
          <cell r="A1077" t="str">
            <v>Producto: 2153009016011003 / BISA ADORNO ESFERA PARTITURA VINTAGE 6PZ</v>
          </cell>
          <cell r="B1077">
            <v>1</v>
          </cell>
        </row>
        <row r="1078">
          <cell r="A1078" t="str">
            <v>Producto: 2153009016011103 / BISA ADORNO ESFERA RELOJ 1 6PZ</v>
          </cell>
          <cell r="B1078">
            <v>1</v>
          </cell>
        </row>
        <row r="1079">
          <cell r="A1079" t="str">
            <v>Producto: 2153009016011203 / BISA ADORNO ESFERA RELOJ 2 6PZ</v>
          </cell>
          <cell r="B1079">
            <v>1</v>
          </cell>
        </row>
        <row r="1080">
          <cell r="A1080" t="str">
            <v>Producto: 2153009018010103 / BISA ADORNO ESFERA COBALTO MOTAS 6PZ</v>
          </cell>
          <cell r="B1080">
            <v>1</v>
          </cell>
        </row>
        <row r="1081">
          <cell r="A1081" t="str">
            <v>Producto: 2153009030010103 / BISA ADORNO ESFERA ROJO MOTAS 6PZ</v>
          </cell>
          <cell r="B1081">
            <v>1</v>
          </cell>
        </row>
        <row r="1082">
          <cell r="A1082" t="str">
            <v>Producto: 2153009216010803 / BISA ADORNO CASCANUECES DECORADO 6PZ</v>
          </cell>
          <cell r="B1082">
            <v>1</v>
          </cell>
        </row>
        <row r="1083">
          <cell r="A1083" t="str">
            <v>Producto: 2153009316010903 / BISA ADORNO CAMPANA PARTITURA BLANCA 6PZ</v>
          </cell>
          <cell r="B1083">
            <v>1</v>
          </cell>
        </row>
        <row r="1084">
          <cell r="A1084" t="str">
            <v>Producto: 2153009330010103 / BISA ADORNO CAMPANA ROJO MOTAS 6PZ</v>
          </cell>
          <cell r="B1084">
            <v>1</v>
          </cell>
        </row>
        <row r="1085">
          <cell r="A1085" t="str">
            <v>Producto: 2153009418010103 / BISA ADORNO ESTRELLA COBALTO MOTAS 6PZ</v>
          </cell>
          <cell r="B1085">
            <v>1</v>
          </cell>
        </row>
        <row r="1086">
          <cell r="A1086" t="str">
            <v>Producto: 2153009430010103 / BISA ADORNO ESTRELLA ROJO MOTAS 6PZS</v>
          </cell>
          <cell r="B1086">
            <v>1</v>
          </cell>
        </row>
        <row r="1087">
          <cell r="A1087" t="str">
            <v>Producto: 2153009518010103 / BISA ADORNO COPO COBALTO MOTAS 6PZ</v>
          </cell>
          <cell r="B1087">
            <v>1</v>
          </cell>
        </row>
        <row r="1088">
          <cell r="A1088" t="str">
            <v>Producto: 2153009530010103 / BISA ADORNO COPO ROJO MOTAS 6PZ</v>
          </cell>
          <cell r="B1088">
            <v>1</v>
          </cell>
        </row>
        <row r="1089">
          <cell r="A1089" t="str">
            <v>Producto: 2153009630010103 / BISA ADORNO BASTÓN ROJO MOTAS 6PZ</v>
          </cell>
          <cell r="B1089">
            <v>1</v>
          </cell>
        </row>
        <row r="1090">
          <cell r="A1090" t="str">
            <v>Producto: 2154009701010101 / BISA JARRA ABOMBADA 3L</v>
          </cell>
          <cell r="B1090">
            <v>1</v>
          </cell>
        </row>
        <row r="1091">
          <cell r="A1091" t="str">
            <v>Producto: 2154009702010101 / BISA JARRA ABOMBADA 3 L A/T</v>
          </cell>
          <cell r="B1091">
            <v>1</v>
          </cell>
        </row>
        <row r="1092">
          <cell r="A1092" t="str">
            <v xml:space="preserve">Producto: 2154009713010101 / BISA JARRA ABOMBADA 3L. BICOLOR NEGRO MOTAS </v>
          </cell>
          <cell r="B1092">
            <v>1</v>
          </cell>
        </row>
        <row r="1093">
          <cell r="A1093" t="str">
            <v>Producto: 2154009714010101 / BISA JARRA ABOMBADA 3L BICOLOR ROJO</v>
          </cell>
          <cell r="B1093">
            <v>1</v>
          </cell>
        </row>
        <row r="1094">
          <cell r="A1094" t="str">
            <v>Producto: 2154009716050101 / BISA JARRA ABOMBADA 3L BLANCO C/F NEGRO</v>
          </cell>
          <cell r="B1094">
            <v>1</v>
          </cell>
        </row>
        <row r="1095">
          <cell r="A1095" t="str">
            <v>Producto: 2154009717010101 / BISA JARRA ABOMBADA 3L. COBALTO</v>
          </cell>
          <cell r="B1095">
            <v>1</v>
          </cell>
        </row>
        <row r="1096">
          <cell r="A1096" t="str">
            <v xml:space="preserve">Producto: 2154009718010101 / BISA JARRA ABOMBADA 3L. COBALTO MOTAS </v>
          </cell>
          <cell r="B1096">
            <v>1</v>
          </cell>
        </row>
        <row r="1097">
          <cell r="A1097" t="str">
            <v>Producto: 2154009752010101 / BISA JARRA ABOMBADA 3 L BICOLOR ROJO MOTAS</v>
          </cell>
          <cell r="B1097">
            <v>1</v>
          </cell>
        </row>
        <row r="1098">
          <cell r="A1098" t="str">
            <v>Producto: 2154009755010101 / BISA JARRA ABOMBADA 3 L BICOLOR TITANIO</v>
          </cell>
          <cell r="B1098">
            <v>1</v>
          </cell>
        </row>
        <row r="1099">
          <cell r="A1099" t="str">
            <v>Producto: 2154009756010101 / BISA JARRA ABOMBADA 3 L BICOLOR A/T</v>
          </cell>
          <cell r="B1099">
            <v>1</v>
          </cell>
        </row>
        <row r="1100">
          <cell r="A1100" t="str">
            <v>Producto: 2154009757010101 / BISA JARRA ABOMBADA 3L. BICOLOR GRIS</v>
          </cell>
          <cell r="B1100">
            <v>1</v>
          </cell>
        </row>
        <row r="1101">
          <cell r="A1101" t="str">
            <v>Producto: 2154009760010101 / BISA JARRA ABOMBADA 3L. NEGRO PIEDRA</v>
          </cell>
          <cell r="B1101">
            <v>1</v>
          </cell>
        </row>
        <row r="1102">
          <cell r="A1102" t="str">
            <v>Producto: 2155009827010101 / BISA PAVERA 45.7  NEGRO MOTAS</v>
          </cell>
          <cell r="B1102">
            <v>2</v>
          </cell>
        </row>
        <row r="1103">
          <cell r="A1103" t="str">
            <v>Producto: 2155009850010101 / BISA PAVERA 45.7  NAVY</v>
          </cell>
          <cell r="B1103">
            <v>2</v>
          </cell>
        </row>
        <row r="1104">
          <cell r="A1104" t="str">
            <v>Producto: 2155010025010101 / BISA PAVERA 38 NAVY</v>
          </cell>
          <cell r="B1104">
            <v>2</v>
          </cell>
        </row>
        <row r="1105">
          <cell r="A1105" t="str">
            <v>Producto: 2155010027010101 / BISA PAVERA 38 NEGRO MOTAS</v>
          </cell>
          <cell r="B1105">
            <v>2</v>
          </cell>
        </row>
        <row r="1106">
          <cell r="A1106" t="str">
            <v>Producto: 2180001701010101 / BISA PLATO BISTRO 16</v>
          </cell>
          <cell r="B1106">
            <v>12</v>
          </cell>
        </row>
        <row r="1107">
          <cell r="A1107" t="str">
            <v>Producto: 2301002201010101 / SANSON  BACINICA 20</v>
          </cell>
          <cell r="B1107">
            <v>12</v>
          </cell>
        </row>
        <row r="1108">
          <cell r="A1108" t="str">
            <v>Producto: 2301002501010101 / SANSON  BACINICA 24</v>
          </cell>
          <cell r="B1108">
            <v>12</v>
          </cell>
        </row>
        <row r="1109">
          <cell r="A1109" t="str">
            <v>Producto: 2306001401010101 / SANSON  BUDINERA  12</v>
          </cell>
          <cell r="B1109">
            <v>12</v>
          </cell>
        </row>
        <row r="1110">
          <cell r="A1110" t="str">
            <v>Producto: 2306001402010101 / SANSON BUDINERA 12 A/T</v>
          </cell>
          <cell r="B1110">
            <v>18</v>
          </cell>
        </row>
        <row r="1111">
          <cell r="A1111" t="str">
            <v xml:space="preserve">Producto: 2306001405010101 / SANSON BUDINERA 12 AQUA  </v>
          </cell>
          <cell r="B1111">
            <v>18</v>
          </cell>
        </row>
        <row r="1112">
          <cell r="A1112" t="str">
            <v>Producto: 2306001410010101 / SANSON BUDINERA 12 BICOLOR AZUL</v>
          </cell>
          <cell r="B1112">
            <v>18</v>
          </cell>
        </row>
        <row r="1113">
          <cell r="A1113" t="str">
            <v xml:space="preserve">Producto: 2306001412010101 / SANSON BUDINERA 12 BICOLOR NARANJA  </v>
          </cell>
          <cell r="B1113">
            <v>18</v>
          </cell>
        </row>
        <row r="1114">
          <cell r="A1114" t="str">
            <v xml:space="preserve">Producto: 2306001414010101 / SANSON BUDINERA 12 BICOLOR ROJO  </v>
          </cell>
          <cell r="B1114">
            <v>18</v>
          </cell>
        </row>
        <row r="1115">
          <cell r="A1115" t="str">
            <v xml:space="preserve">Producto: 2306001416040101 / SANSON BUDINERA 12 BLANCO C/F GRIS </v>
          </cell>
          <cell r="B1115">
            <v>18</v>
          </cell>
        </row>
        <row r="1116">
          <cell r="A1116" t="str">
            <v xml:space="preserve">Producto: 2306001416050101 / SANSON BUDINERA 12 BLANCO C/F NEGRO </v>
          </cell>
          <cell r="B1116">
            <v>18</v>
          </cell>
        </row>
        <row r="1117">
          <cell r="A1117" t="str">
            <v xml:space="preserve">Producto: 2306001416070101 / SANSON BUDINERA 12 BLANCO C/F ROJO </v>
          </cell>
          <cell r="B1117">
            <v>18</v>
          </cell>
        </row>
        <row r="1118">
          <cell r="A1118" t="str">
            <v xml:space="preserve">Producto: 2306001416070701 / SANSON BUDINERA 12 BLANCO F/ROJO DECORADO </v>
          </cell>
          <cell r="B1118">
            <v>18</v>
          </cell>
        </row>
        <row r="1119">
          <cell r="A1119" t="str">
            <v>Producto: 2306001416090101 / SANSON BUDINERA 12 BLANCO C/F VERDE</v>
          </cell>
          <cell r="B1119">
            <v>18</v>
          </cell>
        </row>
        <row r="1120">
          <cell r="A1120" t="str">
            <v xml:space="preserve">Producto: 2306001417010101 / SANSON BUDINERA 12 COBALTO  </v>
          </cell>
          <cell r="B1120">
            <v>18</v>
          </cell>
        </row>
        <row r="1121">
          <cell r="A1121" t="str">
            <v xml:space="preserve">Producto: 2306001420010101 / SANSON BUDINERA 12 GENERICO  </v>
          </cell>
          <cell r="B1121">
            <v>18</v>
          </cell>
        </row>
        <row r="1122">
          <cell r="A1122" t="str">
            <v>Producto: 2306001421010101 / SANSON BUDINERA 12 GRIS</v>
          </cell>
          <cell r="B1122">
            <v>18</v>
          </cell>
        </row>
        <row r="1123">
          <cell r="A1123" t="str">
            <v>Producto: 2306001421010701 / SANSON BUDINERA 12 GRIS DECORADO</v>
          </cell>
          <cell r="B1123">
            <v>18</v>
          </cell>
        </row>
        <row r="1124">
          <cell r="A1124" t="str">
            <v xml:space="preserve">Producto: 2306001426010101 / SANSON BUDINERA 12 NEGRO  </v>
          </cell>
          <cell r="B1124">
            <v>18</v>
          </cell>
        </row>
        <row r="1125">
          <cell r="A1125" t="str">
            <v>Producto: 2306001427010101 / SANSON BUDINERA 12 NEGRO MOTAS</v>
          </cell>
          <cell r="B1125">
            <v>18</v>
          </cell>
        </row>
        <row r="1126">
          <cell r="A1126" t="str">
            <v xml:space="preserve">Producto: 2306001428010101 / SANSON BUDINERA 12 NEVADO  </v>
          </cell>
          <cell r="B1126">
            <v>18</v>
          </cell>
        </row>
        <row r="1127">
          <cell r="A1127" t="str">
            <v>Producto: 2306001430010101 / SANSON BUDINERA 12 ROJO MOTAS</v>
          </cell>
          <cell r="B1127">
            <v>18</v>
          </cell>
        </row>
        <row r="1128">
          <cell r="A1128" t="str">
            <v>Producto: 2306001432010101 / SANSON BUDINERA 12 ROSA MOTAS</v>
          </cell>
          <cell r="B1128">
            <v>18</v>
          </cell>
        </row>
        <row r="1129">
          <cell r="A1129" t="str">
            <v>Producto: 2306001433010101 / SANSON BUDINERA 12 TITANIO</v>
          </cell>
          <cell r="B1129">
            <v>18</v>
          </cell>
        </row>
        <row r="1130">
          <cell r="A1130" t="str">
            <v xml:space="preserve">Producto: 2306001447010101 / SANSON BUDINERA 12 VERDE  </v>
          </cell>
          <cell r="B1130">
            <v>18</v>
          </cell>
        </row>
        <row r="1131">
          <cell r="A1131" t="str">
            <v>Producto: 2306001454010101 / SANSON BUDINERA 12 BICOLOR ROJO MOTAS</v>
          </cell>
          <cell r="B1131">
            <v>18</v>
          </cell>
        </row>
        <row r="1132">
          <cell r="A1132" t="str">
            <v xml:space="preserve">Producto: 2306001467010101 / SANSON BUDINERA 12 BICOLOR GRIS </v>
          </cell>
          <cell r="B1132">
            <v>18</v>
          </cell>
        </row>
        <row r="1133">
          <cell r="A1133" t="str">
            <v>Producto: 2306001501010101 / SANSON  BUDINERA  14</v>
          </cell>
          <cell r="B1133">
            <v>18</v>
          </cell>
        </row>
        <row r="1134">
          <cell r="A1134" t="str">
            <v>Producto: 2306001701010101 / SANSON  BUDINERA  16</v>
          </cell>
          <cell r="B1134">
            <v>18</v>
          </cell>
        </row>
        <row r="1135">
          <cell r="A1135" t="str">
            <v>Producto: 2306002101010101 / SANSON  BUDINERA  18</v>
          </cell>
          <cell r="B1135">
            <v>18</v>
          </cell>
        </row>
        <row r="1136">
          <cell r="A1136" t="str">
            <v>Producto: 2306002201010101 / SANSON  BUDINERA  20</v>
          </cell>
          <cell r="B1136">
            <v>18</v>
          </cell>
        </row>
        <row r="1137">
          <cell r="A1137" t="str">
            <v>Producto: 2306002202010101 / SANSON BUDINERA 20 A/T</v>
          </cell>
          <cell r="B1137">
            <v>18</v>
          </cell>
        </row>
        <row r="1138">
          <cell r="A1138" t="str">
            <v>Producto: 2306002208010101 / SANSON  BUDINERA  20 BICOLOR</v>
          </cell>
          <cell r="B1138">
            <v>6</v>
          </cell>
        </row>
        <row r="1139">
          <cell r="A1139" t="str">
            <v>Producto: 2306002210010101 / SANSON BUDINERA 20 BICOLOR AZUL</v>
          </cell>
          <cell r="B1139">
            <v>6</v>
          </cell>
        </row>
        <row r="1140">
          <cell r="A1140" t="str">
            <v>Producto: 2306002212010101 / SANSON BUDINERA 20 BICOLOR NARANJA</v>
          </cell>
          <cell r="B1140">
            <v>6</v>
          </cell>
        </row>
        <row r="1141">
          <cell r="A1141" t="str">
            <v>Producto: 2306002214010101 / SANSON BUDINERA 20 BICOLOR ROJO</v>
          </cell>
          <cell r="B1141">
            <v>6</v>
          </cell>
        </row>
        <row r="1142">
          <cell r="A1142" t="str">
            <v>Producto: 2306002215010101 / SANSON BUDINERA 20 BICOLOR VERDE</v>
          </cell>
          <cell r="B1142">
            <v>6</v>
          </cell>
        </row>
        <row r="1143">
          <cell r="A1143" t="str">
            <v>Producto: 2306002220010101 / SANSON BUDINERA 20 GENERICO</v>
          </cell>
          <cell r="B1143">
            <v>18</v>
          </cell>
        </row>
        <row r="1144">
          <cell r="A1144" t="str">
            <v>Producto: 2306002247010101 / SANSON BUDINERA 20 VERDE</v>
          </cell>
          <cell r="B1144">
            <v>18</v>
          </cell>
        </row>
        <row r="1145">
          <cell r="A1145" t="str">
            <v>Producto: 2306002401010101 / SANSON  BUDINERA  22</v>
          </cell>
          <cell r="B1145">
            <v>12</v>
          </cell>
        </row>
        <row r="1146">
          <cell r="A1146" t="str">
            <v>Producto: 2306002501010101 / SANSON  BUDINERA  24</v>
          </cell>
          <cell r="B1146">
            <v>12</v>
          </cell>
        </row>
        <row r="1147">
          <cell r="A1147" t="str">
            <v>Producto: 2306002508010101 / SANSON  BUDINERA  24 BICOLOR</v>
          </cell>
          <cell r="B1147">
            <v>12</v>
          </cell>
        </row>
        <row r="1148">
          <cell r="A1148" t="str">
            <v>Producto: 2306002510010101 / SANSON BUDINERA 24 BICOLOR AZUL</v>
          </cell>
          <cell r="B1148">
            <v>12</v>
          </cell>
        </row>
        <row r="1149">
          <cell r="A1149" t="str">
            <v>Producto: 2306002512010101 / SANSON BUDINERA 24 BICOLOR NARANJA</v>
          </cell>
          <cell r="B1149">
            <v>12</v>
          </cell>
        </row>
        <row r="1150">
          <cell r="A1150" t="str">
            <v>Producto: 2306002514010101 / SANSON BUDINERA 24 BICOLOR ROJO</v>
          </cell>
          <cell r="B1150">
            <v>12</v>
          </cell>
        </row>
        <row r="1151">
          <cell r="A1151" t="str">
            <v>Producto: 2306002515010101 / SANSON BUDINERA 24 BICOLOR VERDE</v>
          </cell>
          <cell r="B1151">
            <v>12</v>
          </cell>
        </row>
        <row r="1152">
          <cell r="A1152" t="str">
            <v>Producto: 2306002520010101 / SANSON BUDINERA 24 GENERICO</v>
          </cell>
          <cell r="B1152">
            <v>12</v>
          </cell>
        </row>
        <row r="1153">
          <cell r="A1153" t="str">
            <v>Producto: 2306002525010101 / SANSON BUDINERA 24 NAVY</v>
          </cell>
          <cell r="B1153">
            <v>12</v>
          </cell>
        </row>
        <row r="1154">
          <cell r="A1154" t="str">
            <v>Producto: 2306002601010101 / SANSON BUDINERA 26</v>
          </cell>
          <cell r="B1154">
            <v>12</v>
          </cell>
        </row>
        <row r="1155">
          <cell r="A1155" t="str">
            <v>Producto: 2306002901010101 / SANSON  BUDINERA  30</v>
          </cell>
          <cell r="B1155">
            <v>4</v>
          </cell>
        </row>
        <row r="1156">
          <cell r="A1156" t="str">
            <v>Producto: 2306003101010101 / SANSON  BUDINERA  34</v>
          </cell>
          <cell r="B1156">
            <v>4</v>
          </cell>
        </row>
        <row r="1157">
          <cell r="A1157" t="str">
            <v>Producto: 2306003301010101 / SANSON  BUDINERA  42</v>
          </cell>
          <cell r="B1157">
            <v>2</v>
          </cell>
        </row>
        <row r="1158">
          <cell r="A1158" t="str">
            <v>Producto: 2307001501010101 / SANSON  CAZO 14</v>
          </cell>
          <cell r="B1158">
            <v>12</v>
          </cell>
        </row>
        <row r="1159">
          <cell r="A1159" t="str">
            <v>Producto: 2307001525010101 / SANSON CAZO 14 NAVY</v>
          </cell>
          <cell r="B1159">
            <v>12</v>
          </cell>
        </row>
        <row r="1160">
          <cell r="A1160" t="str">
            <v>Producto: 2307001549010101 / SANSON CAZO 14 VERDE MOTAS</v>
          </cell>
          <cell r="B1160">
            <v>12</v>
          </cell>
        </row>
        <row r="1161">
          <cell r="A1161" t="str">
            <v>Producto: 2307001561010101 / SANSON CAZO 14 ENCORE</v>
          </cell>
          <cell r="B1161">
            <v>12</v>
          </cell>
        </row>
        <row r="1162">
          <cell r="A1162" t="str">
            <v>Producto: 2307001701010101 / SANSON  CAZO 16</v>
          </cell>
          <cell r="B1162">
            <v>12</v>
          </cell>
        </row>
        <row r="1163">
          <cell r="A1163" t="str">
            <v>Producto: 2307001728010101 / SANSON CAZO 16 NEVADO</v>
          </cell>
          <cell r="B1163">
            <v>12</v>
          </cell>
        </row>
        <row r="1164">
          <cell r="A1164" t="str">
            <v>Producto: 2308002101010101 / SANSON  CAZUELA 18</v>
          </cell>
          <cell r="B1164">
            <v>12</v>
          </cell>
        </row>
        <row r="1165">
          <cell r="A1165" t="str">
            <v>Producto: 2308002102010101 / SANSON CAZUELA 18 A/T</v>
          </cell>
          <cell r="B1165">
            <v>12</v>
          </cell>
        </row>
        <row r="1166">
          <cell r="A1166" t="str">
            <v>Producto: 2308002105010101 / SANSON CAZUELA 18 AQUA</v>
          </cell>
          <cell r="B1166">
            <v>12</v>
          </cell>
        </row>
        <row r="1167">
          <cell r="A1167" t="str">
            <v>Producto: 2308002106010101 / SANSON CAZUELA 18 AZUL</v>
          </cell>
          <cell r="B1167">
            <v>12</v>
          </cell>
        </row>
        <row r="1168">
          <cell r="A1168" t="str">
            <v>Producto: 2308002116050101 / SANSON CAZUELA 18 BLANCO C/F NEGRO</v>
          </cell>
          <cell r="B1168">
            <v>12</v>
          </cell>
        </row>
        <row r="1169">
          <cell r="A1169" t="str">
            <v>Producto: 2308002117010101 / SANSON CAZUELA 18 COBALTO</v>
          </cell>
          <cell r="B1169">
            <v>12</v>
          </cell>
        </row>
        <row r="1170">
          <cell r="A1170" t="str">
            <v>Producto: 2308002120010101 / SANSON CAZUELA 18 GENERICO</v>
          </cell>
          <cell r="B1170">
            <v>12</v>
          </cell>
        </row>
        <row r="1171">
          <cell r="A1171" t="str">
            <v>Producto: 2308002121010101 / SANSON CAZUELA 18 GRIS</v>
          </cell>
          <cell r="B1171">
            <v>12</v>
          </cell>
        </row>
        <row r="1172">
          <cell r="A1172" t="str">
            <v>Producto: 2308002126010101 / SANSON CAZUELA 18 NEGRO</v>
          </cell>
          <cell r="B1172">
            <v>12</v>
          </cell>
        </row>
        <row r="1173">
          <cell r="A1173" t="str">
            <v>Producto: 2308002127010101 / SANSON CAZUELA 18 NEGRO MOTAS</v>
          </cell>
          <cell r="B1173">
            <v>12</v>
          </cell>
        </row>
        <row r="1174">
          <cell r="A1174" t="str">
            <v>Producto: 2308002128010101 / SANSON CAZUELA 18 NEVADO</v>
          </cell>
          <cell r="B1174">
            <v>12</v>
          </cell>
        </row>
        <row r="1175">
          <cell r="A1175" t="str">
            <v>Producto: 2308002129010101 / SANSON CAZUELA 18 ROJO</v>
          </cell>
          <cell r="B1175">
            <v>12</v>
          </cell>
        </row>
        <row r="1176">
          <cell r="A1176" t="str">
            <v>Producto: 2308002130010101 / SANSON CAZUELA 18 ROJO MOTAS</v>
          </cell>
          <cell r="B1176">
            <v>12</v>
          </cell>
        </row>
        <row r="1177">
          <cell r="A1177" t="str">
            <v>Producto: 2308002133010101 / SANSON CAZUELA 18 TITANIO</v>
          </cell>
          <cell r="B1177">
            <v>12</v>
          </cell>
        </row>
        <row r="1178">
          <cell r="A1178" t="str">
            <v>Producto: 2308002147010101 / SANSON CAZUELA 18 VERDE</v>
          </cell>
          <cell r="B1178">
            <v>12</v>
          </cell>
        </row>
        <row r="1179">
          <cell r="A1179" t="str">
            <v>Producto: 2308002155010101 / SANSON CAZUELA 18 BICOLOR TITANIO</v>
          </cell>
          <cell r="B1179">
            <v>12</v>
          </cell>
        </row>
        <row r="1180">
          <cell r="A1180" t="str">
            <v>Producto: 2308002501010101 / SANSON  CAZUELA 24</v>
          </cell>
          <cell r="B1180">
            <v>12</v>
          </cell>
        </row>
        <row r="1181">
          <cell r="A1181" t="str">
            <v>Producto: 2308002502010101 / SANSON CAZUELA 24 A/T</v>
          </cell>
          <cell r="B1181">
            <v>12</v>
          </cell>
        </row>
        <row r="1182">
          <cell r="A1182" t="str">
            <v>Producto: 2308002506010101 / SANSON CAZUELA 24 AZUL</v>
          </cell>
          <cell r="B1182">
            <v>12</v>
          </cell>
        </row>
        <row r="1183">
          <cell r="A1183" t="str">
            <v>Producto: 2308002517010101 / SANSON CAZUELA 24 COBALTO</v>
          </cell>
          <cell r="B1183">
            <v>12</v>
          </cell>
        </row>
        <row r="1184">
          <cell r="A1184" t="str">
            <v>Producto: 2308002520010101 / SANSON CAZUELA 24 GENERICO</v>
          </cell>
          <cell r="B1184">
            <v>12</v>
          </cell>
        </row>
        <row r="1185">
          <cell r="A1185" t="str">
            <v>Producto: 2308002521010101 / SANSON CAZUELA 24 GRIS</v>
          </cell>
          <cell r="B1185">
            <v>12</v>
          </cell>
        </row>
        <row r="1186">
          <cell r="A1186" t="str">
            <v>Producto: 2308002529010101 / SANSON CAZUELA 24 ROJO</v>
          </cell>
          <cell r="B1186">
            <v>12</v>
          </cell>
        </row>
        <row r="1187">
          <cell r="A1187" t="str">
            <v xml:space="preserve">Producto: 2308002533010101 / SANSON CAZUELA 24 TITANIO </v>
          </cell>
          <cell r="B1187">
            <v>12</v>
          </cell>
        </row>
        <row r="1188">
          <cell r="A1188" t="str">
            <v>Producto: 2308002701010101 / SANSON  CAZUELA 27</v>
          </cell>
          <cell r="B1188">
            <v>6</v>
          </cell>
        </row>
        <row r="1189">
          <cell r="A1189" t="str">
            <v>Producto: 2309003401010101 / SANSON  CHAROLA DE SERVICIO 45</v>
          </cell>
          <cell r="B1189">
            <v>6</v>
          </cell>
        </row>
        <row r="1190">
          <cell r="A1190" t="str">
            <v>Producto: 2309003402010101 / SANSON CHAROLA DE SERVICIO 45 A/T</v>
          </cell>
          <cell r="B1190">
            <v>6</v>
          </cell>
        </row>
        <row r="1191">
          <cell r="A1191" t="str">
            <v>Producto: 2309003416030101 / SANSON CHAROLA DE SERVICIO 45 BLANCO C/F COBALTO</v>
          </cell>
          <cell r="B1191">
            <v>6</v>
          </cell>
        </row>
        <row r="1192">
          <cell r="A1192" t="str">
            <v>Producto: 2309003416030701 / SANSON CHAROLA DE SERVICIO 45 BCO C/F COBALTO DECO</v>
          </cell>
          <cell r="B1192">
            <v>6</v>
          </cell>
        </row>
        <row r="1193">
          <cell r="A1193" t="str">
            <v>Producto: 2309003416040101 / SANSON CHAROLA DE SERVICIO 45 BLANCO C/F GRIS</v>
          </cell>
          <cell r="B1193">
            <v>6</v>
          </cell>
        </row>
        <row r="1194">
          <cell r="A1194" t="str">
            <v>Producto: 2309003416050101 / SANSON CHAROLA DE SERVICIO 45 BLANCO C/F NEGRO</v>
          </cell>
          <cell r="B1194">
            <v>6</v>
          </cell>
        </row>
        <row r="1195">
          <cell r="A1195" t="str">
            <v>Producto: 2309003416070101 / SANSON CHAROLA DE SERVICIO 45 BLANCO C/F ROJO</v>
          </cell>
          <cell r="B1195">
            <v>6</v>
          </cell>
        </row>
        <row r="1196">
          <cell r="A1196" t="str">
            <v>Producto: 2309003417010101 / SANSON CHAROLA DE SERVICIO 45 COBALTO</v>
          </cell>
          <cell r="B1196">
            <v>6</v>
          </cell>
        </row>
        <row r="1197">
          <cell r="A1197" t="str">
            <v>Producto: 2309003420010101 / SANSON CHAROLA DE SERVICIO 45 GENERICO</v>
          </cell>
          <cell r="B1197">
            <v>6</v>
          </cell>
        </row>
        <row r="1198">
          <cell r="A1198" t="str">
            <v>Producto: 2309003421010101 / SANSON CHAROLA DE SERVICIO 45 GRIS</v>
          </cell>
          <cell r="B1198">
            <v>6</v>
          </cell>
        </row>
        <row r="1199">
          <cell r="A1199" t="str">
            <v>Producto: 2309003427010101 / SANSON CHAROLA DE SERVICIO 45 NEGRO MOTAS</v>
          </cell>
          <cell r="B1199">
            <v>6</v>
          </cell>
        </row>
        <row r="1200">
          <cell r="A1200" t="str">
            <v>Producto: 2309003428010101 / SANSON CHAROLA DE SERVICIO 45 NEVADO</v>
          </cell>
          <cell r="B1200">
            <v>6</v>
          </cell>
        </row>
        <row r="1201">
          <cell r="A1201" t="str">
            <v>Producto: 2309003430010101 / SANSON CHAROLA DE SERVICIO 45 ROJO MOTAS</v>
          </cell>
          <cell r="B1201">
            <v>6</v>
          </cell>
        </row>
        <row r="1202">
          <cell r="A1202" t="str">
            <v>Producto: 2310002401010101 / SANSON  COMAL  22</v>
          </cell>
          <cell r="B1202">
            <v>24</v>
          </cell>
        </row>
        <row r="1203">
          <cell r="A1203" t="str">
            <v>Producto: 2310002427010701 / SANSON COMAL 22 NEGRO MOTAS</v>
          </cell>
          <cell r="B1203">
            <v>24</v>
          </cell>
        </row>
        <row r="1204">
          <cell r="A1204" t="str">
            <v>Producto: 2310002801010101 / SANSON  COMAL  28</v>
          </cell>
          <cell r="B1204">
            <v>12</v>
          </cell>
        </row>
        <row r="1205">
          <cell r="A1205" t="str">
            <v>Producto: 2310002827010701 / SANSON COMAL 28 NEGRO MOTAS DECORADO</v>
          </cell>
          <cell r="B1205">
            <v>12</v>
          </cell>
        </row>
        <row r="1206">
          <cell r="A1206" t="str">
            <v>Producto: 2310003201010101 / SANSON  COMAL  36</v>
          </cell>
          <cell r="B1206">
            <v>12</v>
          </cell>
        </row>
        <row r="1207">
          <cell r="A1207" t="str">
            <v xml:space="preserve">Producto: 2310003227010101 / SANSON COMAL 36 NEGRO MOTAS </v>
          </cell>
          <cell r="B1207">
            <v>12</v>
          </cell>
        </row>
        <row r="1208">
          <cell r="A1208" t="str">
            <v xml:space="preserve">Producto: 2312004901010101 / SANSON CUCHARA CAFÉ </v>
          </cell>
          <cell r="B1208">
            <v>6</v>
          </cell>
        </row>
        <row r="1209">
          <cell r="A1209" t="str">
            <v>Producto: 2312005001010101 / SANSON CUCHARA  MOKA</v>
          </cell>
          <cell r="B1209">
            <v>6</v>
          </cell>
        </row>
        <row r="1210">
          <cell r="A1210" t="str">
            <v>Producto: 2312005016010701 / SANSON CUCHARA MOKA BLANCO DECORADO</v>
          </cell>
          <cell r="B1210">
            <v>6</v>
          </cell>
        </row>
        <row r="1211">
          <cell r="A1211" t="str">
            <v xml:space="preserve">Producto: 2312005101010101 / SANSON CUCHARA SOPERA    </v>
          </cell>
          <cell r="B1211">
            <v>6</v>
          </cell>
        </row>
        <row r="1212">
          <cell r="A1212" t="str">
            <v>Producto: 2313000101010101 / SANSON CUCHILLO</v>
          </cell>
          <cell r="B1212">
            <v>6</v>
          </cell>
        </row>
        <row r="1213">
          <cell r="A1213" t="str">
            <v>Producto: 231400380101 / SANSON DESPACHADOR AGUA 19LTS BLANCO C/F</v>
          </cell>
          <cell r="B1213">
            <v>1</v>
          </cell>
        </row>
        <row r="1214">
          <cell r="A1214" t="str">
            <v>Producto: 2314003801010101 / SANSON  DESPACHADOR AGUA 19LTS</v>
          </cell>
          <cell r="B1214">
            <v>1</v>
          </cell>
        </row>
        <row r="1215">
          <cell r="A1215" t="str">
            <v>Producto: 2314003802010101 / SANSON DESPACHADOR AGUA 19LTS A/T</v>
          </cell>
          <cell r="B1215">
            <v>1</v>
          </cell>
        </row>
        <row r="1216">
          <cell r="A1216" t="str">
            <v>Producto: 2314003806010101 / SANSON DESPACHADOR AGUA 19LTS AZUL</v>
          </cell>
          <cell r="B1216">
            <v>1</v>
          </cell>
        </row>
        <row r="1217">
          <cell r="A1217" t="str">
            <v>Producto: 2314003816050101 / SANSON DESPACHADOR DE AGUA 19L. BLANCO C/F NEGRO</v>
          </cell>
          <cell r="B1217">
            <v>1</v>
          </cell>
        </row>
        <row r="1218">
          <cell r="A1218" t="str">
            <v>Producto: 2314003817010101 / SANSON DESPACHADOR AGUA 19LTS COBALTO</v>
          </cell>
          <cell r="B1218">
            <v>1</v>
          </cell>
        </row>
        <row r="1219">
          <cell r="A1219" t="str">
            <v>Producto: 2314003821010101 / SANSON DESPACHADOR AGUA 19LTS GRIS</v>
          </cell>
          <cell r="B1219">
            <v>1</v>
          </cell>
        </row>
        <row r="1220">
          <cell r="A1220" t="str">
            <v>Producto: 2314003826010101 / SANSON DESPACHADOR AGUA 19LTS NEGRO</v>
          </cell>
          <cell r="B1220">
            <v>1</v>
          </cell>
        </row>
        <row r="1221">
          <cell r="A1221" t="str">
            <v>Producto: 2314003827010101 / SANSON DESPACHADOR AGUA 19LTS. NEGRO MOTAS</v>
          </cell>
          <cell r="B1221">
            <v>1</v>
          </cell>
        </row>
        <row r="1222">
          <cell r="A1222" t="str">
            <v>Producto: 2314003847010101 / SANSON DESPACHADOR AGUA 19LTS VERDE</v>
          </cell>
          <cell r="B1222">
            <v>1</v>
          </cell>
        </row>
        <row r="1223">
          <cell r="A1223" t="str">
            <v>Producto: 2314003860010101 / SANSON DESPACHADOR AGUA 19LTS NEGRO PIEDRA</v>
          </cell>
          <cell r="B1223">
            <v>1</v>
          </cell>
        </row>
        <row r="1224">
          <cell r="A1224" t="str">
            <v>Producto: 2315002702010101 / SANSON ENSALADERA 27 A/T</v>
          </cell>
          <cell r="B1224">
            <v>1</v>
          </cell>
        </row>
        <row r="1225">
          <cell r="A1225" t="str">
            <v>Producto: 2315002713010101 / SANSON ENSALADERA 27 BICOLOR NEGRO MOTAS</v>
          </cell>
          <cell r="B1225">
            <v>1</v>
          </cell>
        </row>
        <row r="1226">
          <cell r="A1226" t="str">
            <v>Producto: 2315002714010101 / SANSON ENSALADERA 27 BICOLOR ROJO</v>
          </cell>
          <cell r="B1226">
            <v>1</v>
          </cell>
        </row>
        <row r="1227">
          <cell r="A1227" t="str">
            <v>Producto: 2315002716050101 / SANSON ENSALADERA 27 BLANCO C/F NEGRO</v>
          </cell>
          <cell r="B1227">
            <v>1</v>
          </cell>
        </row>
        <row r="1228">
          <cell r="A1228" t="str">
            <v>Producto: 2315002717010101 / SANSON ENSALADERA 27 COBALTO</v>
          </cell>
          <cell r="B1228">
            <v>1</v>
          </cell>
        </row>
        <row r="1229">
          <cell r="A1229" t="str">
            <v>Producto: 2315002718010101 / SANSON ENSALADERA 27 COBALTO MOTAS</v>
          </cell>
          <cell r="B1229">
            <v>1</v>
          </cell>
        </row>
        <row r="1230">
          <cell r="A1230" t="str">
            <v>Producto: 2315002727010101 / SANSON ENSALADERA 27 NEGRO MOTAS</v>
          </cell>
          <cell r="B1230">
            <v>1</v>
          </cell>
        </row>
        <row r="1231">
          <cell r="A1231" t="str">
            <v>Producto: 2315002733010101 / SANSON ENSALADERA 27 TITANIO</v>
          </cell>
          <cell r="B1231">
            <v>1</v>
          </cell>
        </row>
        <row r="1232">
          <cell r="A1232" t="str">
            <v>Producto: 2315002754010101 / SANSON ENSALADERA 27 BICOLOR ROJO MOTAS</v>
          </cell>
          <cell r="B1232">
            <v>1</v>
          </cell>
        </row>
        <row r="1233">
          <cell r="A1233" t="str">
            <v xml:space="preserve">Producto: 2315002757010101 / SANSON ENSALADERA 27 BICOLOR GRIS </v>
          </cell>
          <cell r="B1233">
            <v>1</v>
          </cell>
        </row>
        <row r="1234">
          <cell r="A1234" t="str">
            <v>Producto: 2318004501010101 / SANSON  FUENTE P/HORNO 30X20</v>
          </cell>
          <cell r="B1234">
            <v>10</v>
          </cell>
        </row>
        <row r="1235">
          <cell r="A1235" t="str">
            <v>Producto: 2318004502010101 / SANSON FUENTE P/HORNO 30X20 A/T</v>
          </cell>
          <cell r="B1235">
            <v>10</v>
          </cell>
        </row>
        <row r="1236">
          <cell r="A1236" t="str">
            <v>Producto: 2318004516030101 / SANSON FUENTE P/HORNO 30X20 BLANCO C/F COBALTO</v>
          </cell>
          <cell r="B1236">
            <v>10</v>
          </cell>
        </row>
        <row r="1237">
          <cell r="A1237" t="str">
            <v>Producto: 2318004516040101 / SANSON FUENTE P/HORNO 30X20 BLANCO C/F GRIS</v>
          </cell>
          <cell r="B1237">
            <v>10</v>
          </cell>
        </row>
        <row r="1238">
          <cell r="A1238" t="str">
            <v>Producto: 2318004516050101 / SANSON FUENTE P/HORNO 30X20 BLANCO C/F NEGRO</v>
          </cell>
          <cell r="B1238">
            <v>10</v>
          </cell>
        </row>
        <row r="1239">
          <cell r="A1239" t="str">
            <v>Producto: 2318004517010101 / SANSON FUENTE P/HORNO 30X20 COBALTO</v>
          </cell>
          <cell r="B1239">
            <v>10</v>
          </cell>
        </row>
        <row r="1240">
          <cell r="A1240" t="str">
            <v>Producto: 2318004520010101 / SANSON FUENTE P/HORNO 30X20 GENERICO</v>
          </cell>
          <cell r="B1240">
            <v>10</v>
          </cell>
        </row>
        <row r="1241">
          <cell r="A1241" t="str">
            <v>Producto: 2318004521010101 / SANSON FUENTE P/HORNO 30X20 GRIS</v>
          </cell>
          <cell r="B1241">
            <v>10</v>
          </cell>
        </row>
        <row r="1242">
          <cell r="A1242" t="str">
            <v>Producto: 2318004526010101 / SANSON FUENTE P/HORNO 30X20 NEGRO</v>
          </cell>
          <cell r="B1242">
            <v>10</v>
          </cell>
        </row>
        <row r="1243">
          <cell r="A1243" t="str">
            <v>Producto: 2318004527010101 / SANSON FUENTE P/HORNO 30X20 NEGRO MOTAS</v>
          </cell>
          <cell r="B1243">
            <v>10</v>
          </cell>
        </row>
        <row r="1244">
          <cell r="A1244" t="str">
            <v>Producto: 2318004528010101 / SANSON FUENTE P/HORNO 30X20 NEVADO</v>
          </cell>
          <cell r="B1244">
            <v>10</v>
          </cell>
        </row>
        <row r="1245">
          <cell r="A1245" t="str">
            <v>Producto: 2318004601010101 / SANSON  FUENTE P/HORNO 40X30</v>
          </cell>
          <cell r="B1245">
            <v>10</v>
          </cell>
        </row>
        <row r="1246">
          <cell r="A1246" t="str">
            <v>Producto: 2318004602010101 / SANSON FUENTE P/HORNO 40X30 A/T</v>
          </cell>
          <cell r="B1246">
            <v>10</v>
          </cell>
        </row>
        <row r="1247">
          <cell r="A1247" t="str">
            <v>Producto: 2318004616030101 / SANSON FUENTE P/HORNO 40X30 BLANCO C/F COBALTO</v>
          </cell>
          <cell r="B1247">
            <v>10</v>
          </cell>
        </row>
        <row r="1248">
          <cell r="A1248" t="str">
            <v>Producto: 2318004616040101 / SANSON FUENTE P/HORNO 40X30 BLANCO C/F GRIS</v>
          </cell>
          <cell r="B1248">
            <v>10</v>
          </cell>
        </row>
        <row r="1249">
          <cell r="A1249" t="str">
            <v>Producto: 2318004616050101 / SANSON FUENTE P/HORNO 40X30 BLANCO C/F NEGRO</v>
          </cell>
          <cell r="B1249">
            <v>10</v>
          </cell>
        </row>
        <row r="1250">
          <cell r="A1250" t="str">
            <v>Producto: 2318004616070101 / SANSON FUENTE P/HORNO 40X30 BLANCO C/F ROJO</v>
          </cell>
          <cell r="B1250">
            <v>10</v>
          </cell>
        </row>
        <row r="1251">
          <cell r="A1251" t="str">
            <v>Producto: 2318004617010101 / SANSON FUENTE P/HORNO 40X30 COBALTO</v>
          </cell>
          <cell r="B1251">
            <v>10</v>
          </cell>
        </row>
        <row r="1252">
          <cell r="A1252" t="str">
            <v>Producto: 2318004620010101 / SANSON FUENTE P/HORNO 40X30 GENERICO</v>
          </cell>
          <cell r="B1252">
            <v>10</v>
          </cell>
        </row>
        <row r="1253">
          <cell r="A1253" t="str">
            <v>Producto: 2318004621010101 / SANSON FUENTE P/HORNO 40X30 GRIS</v>
          </cell>
          <cell r="B1253">
            <v>10</v>
          </cell>
        </row>
        <row r="1254">
          <cell r="A1254" t="str">
            <v>Producto: 2318004625010101 / SANSON FUENTE PARA HORNO 40X30 NAVY</v>
          </cell>
          <cell r="B1254">
            <v>10</v>
          </cell>
        </row>
        <row r="1255">
          <cell r="A1255" t="str">
            <v>Producto: 2318004626010101 / SANSON FUENTE P/HORNO 40X30 NEGRO</v>
          </cell>
          <cell r="B1255">
            <v>10</v>
          </cell>
        </row>
        <row r="1256">
          <cell r="A1256" t="str">
            <v>Producto: 2318004627010101 / SANSON FUENTE P/HORNO 40X30 NEGRO MOTAS</v>
          </cell>
          <cell r="B1256">
            <v>10</v>
          </cell>
        </row>
        <row r="1257">
          <cell r="A1257" t="str">
            <v>Producto: 2318004628010101 / SANSON FUENTE P/HORNO 40X30 NEVADO</v>
          </cell>
          <cell r="B1257">
            <v>10</v>
          </cell>
        </row>
        <row r="1258">
          <cell r="A1258" t="str">
            <v>Producto: 2319003701010101 / SANSON  JARRA RECTA 2.5LTS</v>
          </cell>
          <cell r="B1258">
            <v>6</v>
          </cell>
        </row>
        <row r="1259">
          <cell r="A1259" t="str">
            <v>Producto: 2319003701010701 / SANSON JARRA RECTA 2.5LTS  DECORADO</v>
          </cell>
          <cell r="B1259">
            <v>6</v>
          </cell>
        </row>
        <row r="1260">
          <cell r="A1260" t="str">
            <v>Producto: 2319003716010101 / SANSON JARRA RECTA 2.5LTS BLANCO</v>
          </cell>
          <cell r="B1260">
            <v>6</v>
          </cell>
        </row>
        <row r="1261">
          <cell r="A1261" t="str">
            <v>Producto: 2319003717010101 / SANSON JARRA RECTA 2.5LTS COBALTO</v>
          </cell>
          <cell r="B1261">
            <v>6</v>
          </cell>
        </row>
        <row r="1262">
          <cell r="A1262" t="str">
            <v>Producto: 2319003720010101 / SANSON JARRA RECTA 2.5LTS GENERICO</v>
          </cell>
          <cell r="B1262">
            <v>6</v>
          </cell>
        </row>
        <row r="1263">
          <cell r="A1263" t="str">
            <v>Producto: 2319003721010101 / SANSON JARRA RECTA 2.5LTS GRIS</v>
          </cell>
          <cell r="B1263">
            <v>6</v>
          </cell>
        </row>
        <row r="1264">
          <cell r="A1264" t="str">
            <v>Producto: 2319003725010101 / SANSON JARRA RECTA 2.5LTS NAVY</v>
          </cell>
          <cell r="B1264">
            <v>6</v>
          </cell>
        </row>
        <row r="1265">
          <cell r="A1265" t="str">
            <v>Producto: 2319003726010101 / SANSON JARRA RECTA 2.5LTS NEGRO</v>
          </cell>
          <cell r="B1265">
            <v>6</v>
          </cell>
        </row>
        <row r="1266">
          <cell r="A1266" t="str">
            <v>Producto: 2319003727010101 / SANSON JARRA RECTA 2.5LTS NEGRO MOTAS</v>
          </cell>
          <cell r="B1266">
            <v>6</v>
          </cell>
        </row>
        <row r="1267">
          <cell r="A1267" t="str">
            <v>Producto: 2319003728010101 / SANSON JARRA RECTA 2.5LTS NEVADO</v>
          </cell>
          <cell r="B1267">
            <v>6</v>
          </cell>
        </row>
        <row r="1268">
          <cell r="A1268" t="str">
            <v>Producto: 2319003747010101 / SANSON JARRA RECTA 2.5LTS VERDE</v>
          </cell>
          <cell r="B1268">
            <v>6</v>
          </cell>
        </row>
        <row r="1269">
          <cell r="A1269" t="str">
            <v>Producto: 2321000101010108 / JUEGO DE OLLAS</v>
          </cell>
          <cell r="B1269">
            <v>1</v>
          </cell>
        </row>
        <row r="1270">
          <cell r="A1270" t="str">
            <v>Producto: 2321007357010101 / SANSON JUEGO TERNO BISTRO BICOLOR GRIS</v>
          </cell>
          <cell r="B1270">
            <v>1</v>
          </cell>
        </row>
        <row r="1271">
          <cell r="A1271" t="str">
            <v>Producto: 2322000102010101 / SANSON MULTIUSOS A/T</v>
          </cell>
          <cell r="B1271">
            <v>36</v>
          </cell>
        </row>
        <row r="1272">
          <cell r="A1272" t="str">
            <v>Producto: 2322000105010101 / SANSON MULTIUSOS AQUA</v>
          </cell>
          <cell r="B1272">
            <v>36</v>
          </cell>
        </row>
        <row r="1273">
          <cell r="A1273" t="str">
            <v>Producto: 2322000116030101 / SANSON MULTIUSOS BLANCO C/F COBALTO</v>
          </cell>
          <cell r="B1273">
            <v>36</v>
          </cell>
        </row>
        <row r="1274">
          <cell r="A1274" t="str">
            <v>Producto: 2322000116040101 / SANSON MULTIUSOS BLANCO C/F GRIS</v>
          </cell>
          <cell r="B1274">
            <v>36</v>
          </cell>
        </row>
        <row r="1275">
          <cell r="A1275" t="str">
            <v>Producto: 2322000116040701 / SANSON MULTIUSOS BLANCO C/F GRIS DECORADO</v>
          </cell>
          <cell r="B1275">
            <v>36</v>
          </cell>
        </row>
        <row r="1276">
          <cell r="A1276" t="str">
            <v>Producto: 2322000116050101 / SANSON MULTIUSOS BLANCO C/F NEGRO</v>
          </cell>
          <cell r="B1276">
            <v>36</v>
          </cell>
        </row>
        <row r="1277">
          <cell r="A1277" t="str">
            <v>Producto: 2322000116060101 / SANSON MULTIUSOS BLANCO C/F NEVADO</v>
          </cell>
          <cell r="B1277">
            <v>36</v>
          </cell>
        </row>
        <row r="1278">
          <cell r="A1278" t="str">
            <v>Producto: 2322000116060701 / SANSON MULTIUSOS BLANCO C/F NEGRO DECORADO</v>
          </cell>
          <cell r="B1278">
            <v>36</v>
          </cell>
        </row>
        <row r="1279">
          <cell r="A1279" t="str">
            <v>Producto: 2322000116070101 / SANSON MULTIUSOS BLANCO C/F ROJO</v>
          </cell>
          <cell r="B1279">
            <v>36</v>
          </cell>
        </row>
        <row r="1280">
          <cell r="A1280" t="str">
            <v>Producto: 2322000116090101 / SANSON MULTIUSOS BLANCO C/F VERDE</v>
          </cell>
          <cell r="B1280">
            <v>36</v>
          </cell>
        </row>
        <row r="1281">
          <cell r="A1281" t="str">
            <v>Producto: 2322000117010101 / SANSON MULTIUSOS COBALTO</v>
          </cell>
          <cell r="B1281">
            <v>36</v>
          </cell>
        </row>
        <row r="1282">
          <cell r="A1282" t="str">
            <v>Producto: 2322000120010101 / SANSON MULTIUSOS GENERICO</v>
          </cell>
          <cell r="B1282">
            <v>36</v>
          </cell>
        </row>
        <row r="1283">
          <cell r="A1283" t="str">
            <v>Producto: 2322000121010101 / SANSON MULTIUSOS GRIS</v>
          </cell>
          <cell r="B1283">
            <v>36</v>
          </cell>
        </row>
        <row r="1284">
          <cell r="A1284" t="str">
            <v>Producto: 2322000126010101 / SANSON MULTIUSOS NEGRO</v>
          </cell>
          <cell r="B1284">
            <v>36</v>
          </cell>
        </row>
        <row r="1285">
          <cell r="A1285" t="str">
            <v>Producto: 2322000127010101 / SANSON MULTIUSOS NEGRO MOTAS</v>
          </cell>
          <cell r="B1285">
            <v>36</v>
          </cell>
        </row>
        <row r="1286">
          <cell r="A1286" t="str">
            <v>Producto: 2322000128010101 / SANSON MULTIUSOS NEVADO</v>
          </cell>
          <cell r="B1286">
            <v>36</v>
          </cell>
        </row>
        <row r="1287">
          <cell r="A1287" t="str">
            <v>Producto: 2322000133010101 / SANSON MULTIUSOS TITANIO</v>
          </cell>
          <cell r="B1287">
            <v>36</v>
          </cell>
        </row>
        <row r="1288">
          <cell r="A1288" t="str">
            <v>Producto: 2322000147010101 / SANSON MULTIUSOS VERDE</v>
          </cell>
          <cell r="B1288">
            <v>36</v>
          </cell>
        </row>
        <row r="1289">
          <cell r="A1289" t="str">
            <v xml:space="preserve">Producto: 2322001216070701 / SANSON MULTIUSOS BLANCO F/ROJO DECORADO </v>
          </cell>
          <cell r="B1289">
            <v>36</v>
          </cell>
        </row>
        <row r="1290">
          <cell r="A1290" t="str">
            <v>Producto: 2323001602010101 / SANSON MULTIUSOS RAYADO 15.5 A/T</v>
          </cell>
          <cell r="B1290">
            <v>6</v>
          </cell>
        </row>
        <row r="1291">
          <cell r="A1291" t="str">
            <v xml:space="preserve">Producto: 2323001616040101 / SANSON MULTIUSOS RAYADO 15.5 BLANCO C/F GRIS </v>
          </cell>
          <cell r="B1291">
            <v>6</v>
          </cell>
        </row>
        <row r="1292">
          <cell r="A1292" t="str">
            <v>Producto: 2323001617010101 / SANSON MULTIUSOS RAYADO 15.5 COBALTO</v>
          </cell>
          <cell r="B1292">
            <v>6</v>
          </cell>
        </row>
        <row r="1293">
          <cell r="A1293" t="str">
            <v xml:space="preserve">Producto: 2323001801010101 / SANSON  MULTIUSOS RAYADO 15.5 </v>
          </cell>
          <cell r="B1293">
            <v>6</v>
          </cell>
        </row>
        <row r="1294">
          <cell r="A1294" t="str">
            <v>Producto: 2323001816030101 / SANSON MULTIUSOS RAYADO 15.5 BLANCO C/F COBALTO</v>
          </cell>
          <cell r="B1294">
            <v>6</v>
          </cell>
        </row>
        <row r="1295">
          <cell r="A1295" t="str">
            <v>Producto: 2323001816050101 / SANSON MULTIUSOS RAYADO 15.5 BLANCO C/F NEGRO</v>
          </cell>
          <cell r="B1295">
            <v>6</v>
          </cell>
        </row>
        <row r="1296">
          <cell r="A1296" t="str">
            <v>Producto: 2323001827010101 / SANSON MULTIUSOS RAYADO 15.5 NEGRO MOTAS</v>
          </cell>
          <cell r="B1296">
            <v>6</v>
          </cell>
        </row>
        <row r="1297">
          <cell r="A1297" t="str">
            <v>Producto: 2323001829010101 / SANSON MULTIUSOS RAYADO 15.5 ROJO</v>
          </cell>
          <cell r="B1297">
            <v>6</v>
          </cell>
        </row>
        <row r="1298">
          <cell r="A1298" t="str">
            <v xml:space="preserve">Producto: 2323002001010101 / SANSON  MULTIUSOS RAYADO 17.5    </v>
          </cell>
          <cell r="B1298">
            <v>6</v>
          </cell>
        </row>
        <row r="1299">
          <cell r="A1299" t="str">
            <v>Producto: 2323002002010101 / SANSON MULTIUSOS RAYADO 17.5 A/T</v>
          </cell>
          <cell r="B1299">
            <v>6</v>
          </cell>
        </row>
        <row r="1300">
          <cell r="A1300" t="str">
            <v>Producto: 2323002016030101 / SANSON MULTIUSOS RAYADO 17.5 BLANCO C/F COBALTO</v>
          </cell>
          <cell r="B1300">
            <v>6</v>
          </cell>
        </row>
        <row r="1301">
          <cell r="A1301" t="str">
            <v>Producto: 2323002016050101 / SANSON MULTIUSOS RAYADO 17.5 BLANCO C/F NEGRO</v>
          </cell>
          <cell r="B1301">
            <v>6</v>
          </cell>
        </row>
        <row r="1302">
          <cell r="A1302" t="str">
            <v>Producto: 2323002017010101 / SANSON MULTIUSOS RAYADO 17.5 COBALTO</v>
          </cell>
          <cell r="B1302">
            <v>6</v>
          </cell>
        </row>
        <row r="1303">
          <cell r="A1303" t="str">
            <v>Producto: 2323002020010101 / SANSON MULTIUSOS RAYADO 17.5 GENERICO</v>
          </cell>
          <cell r="B1303">
            <v>6</v>
          </cell>
        </row>
        <row r="1304">
          <cell r="A1304" t="str">
            <v xml:space="preserve">Producto: 2323002021010101 / SANSON MULTIUSOS RAYADO 17.5 GRIS </v>
          </cell>
          <cell r="B1304">
            <v>6</v>
          </cell>
        </row>
        <row r="1305">
          <cell r="A1305" t="str">
            <v>Producto: 2323002027010101 / SANSON MULTIUSOS RAYADO 17.5 NEGRO MOTAS</v>
          </cell>
          <cell r="B1305">
            <v>6</v>
          </cell>
        </row>
        <row r="1306">
          <cell r="A1306" t="str">
            <v>Producto: 2323002029010101 / SANSON MULTIUSOS RAYADO 17.5 ROJO</v>
          </cell>
          <cell r="B1306">
            <v>6</v>
          </cell>
        </row>
        <row r="1307">
          <cell r="A1307" t="str">
            <v>Producto: 2323002030010101 / SANSON MULTIUSOS RAYADO 17.5 ROJO MOTAS</v>
          </cell>
          <cell r="B1307">
            <v>6</v>
          </cell>
        </row>
        <row r="1308">
          <cell r="A1308" t="str">
            <v>Producto: 2323002202010101 / SANSON MULTIUSOS RAYADO 20.5 A/T</v>
          </cell>
          <cell r="B1308">
            <v>6</v>
          </cell>
        </row>
        <row r="1309">
          <cell r="A1309" t="str">
            <v xml:space="preserve">Producto: 2323002301010101 / SANSON  MULTIUSOS RAYADO 20.5    </v>
          </cell>
          <cell r="B1309">
            <v>6</v>
          </cell>
        </row>
        <row r="1310">
          <cell r="A1310" t="str">
            <v>Producto: 2323002316030101 / SANSON MULTIUSOS RAYADO 20.5 BLANCO C/F COBALTO</v>
          </cell>
          <cell r="B1310">
            <v>6</v>
          </cell>
        </row>
        <row r="1311">
          <cell r="A1311" t="str">
            <v>Producto: 2323002316050101 / SANSON MULTIUSOS RAYADO 20.5 BLANCO C/F NEGRO</v>
          </cell>
          <cell r="B1311">
            <v>6</v>
          </cell>
        </row>
        <row r="1312">
          <cell r="A1312" t="str">
            <v>Producto: 2324001401010101 / SANSON  OLLA CONVEXA 12</v>
          </cell>
          <cell r="B1312">
            <v>18</v>
          </cell>
        </row>
        <row r="1313">
          <cell r="A1313" t="str">
            <v>Producto: 2324001501010101 / SANSON  OLLA CONVEXA 14</v>
          </cell>
          <cell r="B1313">
            <v>18</v>
          </cell>
        </row>
        <row r="1314">
          <cell r="A1314" t="str">
            <v>Producto: 2324001701010101 / SANSON  OLLA CONVEXA 16</v>
          </cell>
          <cell r="B1314">
            <v>12</v>
          </cell>
        </row>
        <row r="1315">
          <cell r="A1315" t="str">
            <v>Producto: 2324002101010101 / SANSON  OLLA CONVEXA 18</v>
          </cell>
          <cell r="B1315">
            <v>12</v>
          </cell>
        </row>
        <row r="1316">
          <cell r="A1316" t="str">
            <v>Producto: 2324002201010101 / SANSON  OLLA CONVEXA 20</v>
          </cell>
          <cell r="B1316">
            <v>12</v>
          </cell>
        </row>
        <row r="1317">
          <cell r="A1317" t="str">
            <v>Producto: 2324002401010101 / SANSON  OLLA CONVEXA 22</v>
          </cell>
          <cell r="B1317">
            <v>6</v>
          </cell>
        </row>
        <row r="1318">
          <cell r="A1318" t="str">
            <v>Producto: 2324002401010103 / SANSON  OLLA CONVEXA 22 6PZ/1</v>
          </cell>
          <cell r="B1318">
            <v>1</v>
          </cell>
        </row>
        <row r="1319">
          <cell r="A1319" t="str">
            <v>Producto: 2324002501010101 / SANSON  OLLA CONVEXA 24</v>
          </cell>
          <cell r="B1319">
            <v>6</v>
          </cell>
        </row>
        <row r="1320">
          <cell r="A1320" t="str">
            <v>Producto: 2324002601010101 / SANSON  OLLA CONVEXA 26</v>
          </cell>
          <cell r="B1320">
            <v>6</v>
          </cell>
        </row>
        <row r="1321">
          <cell r="A1321" t="str">
            <v>Producto: 2324002901010101 / SANSON  OLLA CONVEXA 30</v>
          </cell>
          <cell r="B1321">
            <v>2</v>
          </cell>
        </row>
        <row r="1322">
          <cell r="A1322" t="str">
            <v xml:space="preserve">Producto: 2324002917010101 / SANSON CONVEXA 30 COBALTO </v>
          </cell>
          <cell r="B1322">
            <v>2</v>
          </cell>
        </row>
        <row r="1323">
          <cell r="A1323" t="str">
            <v>Producto: 2324003101010101 / SANSON  OLLA CONVEXA 34</v>
          </cell>
          <cell r="B1323">
            <v>2</v>
          </cell>
        </row>
        <row r="1324">
          <cell r="A1324" t="str">
            <v>Producto: 2325001401010101 / SANSON  OLLA RECTA 12</v>
          </cell>
          <cell r="B1324">
            <v>18</v>
          </cell>
        </row>
        <row r="1325">
          <cell r="A1325" t="str">
            <v>Producto: 2325001416050101 / SANSON OLLA RECTA 12 BLANCO C/F NEGRO</v>
          </cell>
          <cell r="B1325">
            <v>18</v>
          </cell>
        </row>
        <row r="1326">
          <cell r="A1326" t="str">
            <v>Producto: 2325001501010101 / SANSON  OLLA RECTA 14</v>
          </cell>
          <cell r="B1326">
            <v>18</v>
          </cell>
        </row>
        <row r="1327">
          <cell r="A1327" t="str">
            <v>Producto: 2325001701010101 / SANSON  OLLA RECTA 16</v>
          </cell>
          <cell r="B1327">
            <v>12</v>
          </cell>
        </row>
        <row r="1328">
          <cell r="A1328" t="str">
            <v>Producto: 2325002101010101 / SANSON  OLLA RECTA 18</v>
          </cell>
          <cell r="B1328">
            <v>12</v>
          </cell>
        </row>
        <row r="1329">
          <cell r="A1329" t="str">
            <v>Producto: 2325002201010101 / SANSON OLLA RECTA 20</v>
          </cell>
          <cell r="B1329">
            <v>12</v>
          </cell>
        </row>
        <row r="1330">
          <cell r="A1330" t="str">
            <v>Producto: 2325002208010101 / SANSON OLLA RECTA 20 BICOLOR</v>
          </cell>
          <cell r="B1330">
            <v>12</v>
          </cell>
        </row>
        <row r="1331">
          <cell r="A1331" t="str">
            <v xml:space="preserve">Producto: 2325002210010101 / SANSON OLLA RECTA 20 BICOLOR AZUL   </v>
          </cell>
          <cell r="B1331">
            <v>12</v>
          </cell>
        </row>
        <row r="1332">
          <cell r="A1332" t="str">
            <v xml:space="preserve">Producto: 2325002212010101 / SANSON OLLA RECTA 20 BICOLOR NARANJA   </v>
          </cell>
          <cell r="B1332">
            <v>12</v>
          </cell>
        </row>
        <row r="1333">
          <cell r="A1333" t="str">
            <v xml:space="preserve">Producto: 2325002214010101 / SANSON OLLA RECTA 20 BICOLOR ROJO   </v>
          </cell>
          <cell r="B1333">
            <v>12</v>
          </cell>
        </row>
        <row r="1334">
          <cell r="A1334" t="str">
            <v xml:space="preserve">Producto: 2325002215010101 / SANSON OLLA RECTA 20 BICOLOR VERDE   </v>
          </cell>
          <cell r="B1334">
            <v>12</v>
          </cell>
        </row>
        <row r="1335">
          <cell r="A1335" t="str">
            <v xml:space="preserve">Producto: 2325002220010101 / SANSON  OLLA RECTA 20 GENERICO   </v>
          </cell>
          <cell r="B1335">
            <v>12</v>
          </cell>
        </row>
        <row r="1336">
          <cell r="A1336" t="str">
            <v>Producto: 2325002225010101 / SANSON RECTA 20 NAVY</v>
          </cell>
          <cell r="B1336">
            <v>12</v>
          </cell>
        </row>
        <row r="1337">
          <cell r="A1337" t="str">
            <v xml:space="preserve">Producto: 2325002259010101 / SANSON OLLA RECTA 20 ARENA </v>
          </cell>
          <cell r="B1337">
            <v>12</v>
          </cell>
        </row>
        <row r="1338">
          <cell r="A1338" t="str">
            <v>Producto: 2325002401010101 / SANSON  OLLA RECTA 22</v>
          </cell>
          <cell r="B1338">
            <v>6</v>
          </cell>
        </row>
        <row r="1339">
          <cell r="A1339" t="str">
            <v>Producto: 2325002401010106 / SANSON  OLLA RECTA 22 18PZ/1</v>
          </cell>
          <cell r="B1339">
            <v>1</v>
          </cell>
        </row>
        <row r="1340">
          <cell r="A1340" t="str">
            <v>Producto: 2325002406010101 / SANSON OLLA RECTA 22 AZUL</v>
          </cell>
          <cell r="B1340">
            <v>6</v>
          </cell>
        </row>
        <row r="1341">
          <cell r="A1341" t="str">
            <v>Producto: 2325002421010101 / SANSON OLLA RECTA 22 GRIS</v>
          </cell>
          <cell r="B1341">
            <v>6</v>
          </cell>
        </row>
        <row r="1342">
          <cell r="A1342" t="str">
            <v>Producto: 2325002425010101 / SANSON RECTA 22 NAVY</v>
          </cell>
          <cell r="B1342">
            <v>6</v>
          </cell>
        </row>
        <row r="1343">
          <cell r="A1343" t="str">
            <v>Producto: 2325002433010101 / SANSON OLLA RECTA 22 TITANIO</v>
          </cell>
          <cell r="B1343">
            <v>6</v>
          </cell>
        </row>
        <row r="1344">
          <cell r="A1344" t="str">
            <v>Producto: 2325002501010101 / SANSON  OLLA RECTA 24</v>
          </cell>
          <cell r="B1344">
            <v>6</v>
          </cell>
        </row>
        <row r="1345">
          <cell r="A1345" t="str">
            <v>Producto: 2325002508010101 / SANSON  OLLA RECTA 24 BICOLOR</v>
          </cell>
          <cell r="B1345">
            <v>6</v>
          </cell>
        </row>
        <row r="1346">
          <cell r="A1346" t="str">
            <v xml:space="preserve">Producto: 2325002510010101 / SANSON  OLLA RECTA 24 BICOLOR AZUL   </v>
          </cell>
          <cell r="B1346">
            <v>6</v>
          </cell>
        </row>
        <row r="1347">
          <cell r="A1347" t="str">
            <v xml:space="preserve">Producto: 2325002512010101 / SANSON OLLA RECTA 24 BICOLOR NARANJA  </v>
          </cell>
          <cell r="B1347">
            <v>6</v>
          </cell>
        </row>
        <row r="1348">
          <cell r="A1348" t="str">
            <v xml:space="preserve">Producto: 2325002514010101 / SANSON OLLA RECTA 24 BICOLOR ROJO  </v>
          </cell>
          <cell r="B1348">
            <v>6</v>
          </cell>
        </row>
        <row r="1349">
          <cell r="A1349" t="str">
            <v xml:space="preserve">Producto: 2325002520010101 / SANSON OLLA RECTA 24 GENERICO  </v>
          </cell>
          <cell r="B1349">
            <v>6</v>
          </cell>
        </row>
        <row r="1350">
          <cell r="A1350" t="str">
            <v>Producto: 2325002525010101 / SANSON RECTA 24 NAVY</v>
          </cell>
          <cell r="B1350">
            <v>6</v>
          </cell>
        </row>
        <row r="1351">
          <cell r="A1351" t="str">
            <v xml:space="preserve">Producto: 2325002559010101 / SANSON OLLA RECTA 24 ARENA </v>
          </cell>
          <cell r="B1351">
            <v>6</v>
          </cell>
        </row>
        <row r="1352">
          <cell r="A1352" t="str">
            <v>Producto: 2325002601010101 / SANSON  OLLA RECTA 26</v>
          </cell>
          <cell r="B1352">
            <v>6</v>
          </cell>
        </row>
        <row r="1353">
          <cell r="A1353" t="str">
            <v>Producto: 2325002628010101 / SANSON OLLA RECTA 26 NEVADO</v>
          </cell>
          <cell r="B1353">
            <v>6</v>
          </cell>
        </row>
        <row r="1354">
          <cell r="A1354" t="str">
            <v>Producto: 2325002649010101 / SANSON OLLA RECTA 26 VERDE MOTAS</v>
          </cell>
          <cell r="B1354">
            <v>6</v>
          </cell>
        </row>
        <row r="1355">
          <cell r="A1355" t="str">
            <v>Producto: 2325002801010101 / SANSON  OLLA RECTA 28</v>
          </cell>
          <cell r="B1355">
            <v>2</v>
          </cell>
        </row>
        <row r="1356">
          <cell r="A1356" t="str">
            <v>Producto: 2325002825010101 / SANSON RECTA 28 NAVY  </v>
          </cell>
          <cell r="B1356">
            <v>2</v>
          </cell>
        </row>
        <row r="1357">
          <cell r="A1357" t="str">
            <v xml:space="preserve">Producto: 2325002828010101 / SANSON OLLA RECTA 28 NEVADO  </v>
          </cell>
          <cell r="B1357">
            <v>2</v>
          </cell>
        </row>
        <row r="1358">
          <cell r="A1358" t="str">
            <v>Producto: 2325002901010101 / SANSON  OLLA RECTA 30</v>
          </cell>
          <cell r="B1358">
            <v>2</v>
          </cell>
        </row>
        <row r="1359">
          <cell r="A1359" t="str">
            <v>Producto: 2325002925010101 / SANSON OLLA RECTA 30 NAVY</v>
          </cell>
          <cell r="B1359">
            <v>2</v>
          </cell>
        </row>
        <row r="1360">
          <cell r="A1360" t="str">
            <v>Producto: 2325003101010101 / SANSON  OLLA RECTA 34</v>
          </cell>
          <cell r="B1360">
            <v>2</v>
          </cell>
        </row>
        <row r="1361">
          <cell r="A1361" t="str">
            <v>Producto: 2325003302010101 / SANSON  OLLA RECTA 42 A/T</v>
          </cell>
          <cell r="B1361">
            <v>1</v>
          </cell>
        </row>
        <row r="1362">
          <cell r="A1362" t="str">
            <v>Producto: 2325009902010101 / SANSON OLLA RECTA 38 A/T</v>
          </cell>
          <cell r="B1362">
            <v>1</v>
          </cell>
        </row>
        <row r="1363">
          <cell r="A1363" t="str">
            <v>Producto: 2325009927010101 / SANSON RECTA 38 NEGRO MOTAS</v>
          </cell>
          <cell r="B1363">
            <v>1</v>
          </cell>
        </row>
        <row r="1364">
          <cell r="A1364" t="str">
            <v>Producto: 2326002201010101 / SANSON  PLATO AVENERO 20</v>
          </cell>
          <cell r="B1364">
            <v>6</v>
          </cell>
        </row>
        <row r="1365">
          <cell r="A1365" t="str">
            <v>Producto: 2326002202010101 / SANSON PLATO AVENERO 20 A/T</v>
          </cell>
          <cell r="B1365">
            <v>24</v>
          </cell>
        </row>
        <row r="1366">
          <cell r="A1366" t="str">
            <v>Producto: 2326002216030101 / SANSON PLATO AVENERO 20 BLANCO C/F COBALTO</v>
          </cell>
          <cell r="B1366">
            <v>24</v>
          </cell>
        </row>
        <row r="1367">
          <cell r="A1367" t="str">
            <v>Producto: 2326002216040101 / SANSON PLATO AVENERO 20 BLANCO C/F GRIS</v>
          </cell>
          <cell r="B1367">
            <v>24</v>
          </cell>
        </row>
        <row r="1368">
          <cell r="A1368" t="str">
            <v>Producto: 2326002216050101 / SANSON PLATO AVENERO 20 BLANCO C/F NEGRO</v>
          </cell>
          <cell r="B1368">
            <v>24</v>
          </cell>
        </row>
        <row r="1369">
          <cell r="A1369" t="str">
            <v>Producto: 2326002220010101 / SANSON PLATO AVENERO 20 GENERICO</v>
          </cell>
          <cell r="B1369">
            <v>24</v>
          </cell>
        </row>
        <row r="1370">
          <cell r="A1370" t="str">
            <v xml:space="preserve">Producto: 2326002226010101 / SANSON PLATO AVENERO 20 NEGRO </v>
          </cell>
          <cell r="B1370">
            <v>24</v>
          </cell>
        </row>
        <row r="1371">
          <cell r="A1371" t="str">
            <v>Producto: 2326002233010101 / SANSON PLATO AVENERO 20 TITANIO</v>
          </cell>
          <cell r="B1371">
            <v>24</v>
          </cell>
        </row>
        <row r="1372">
          <cell r="A1372" t="str">
            <v>Producto: 2328001701010101 / SANSON  PLATO BISTRO 16</v>
          </cell>
          <cell r="B1372">
            <v>12</v>
          </cell>
        </row>
        <row r="1373">
          <cell r="A1373" t="str">
            <v>Producto: 2328001716050101 / SANSON PLATO BISTRO 16 BLANCO C/F NEGRO</v>
          </cell>
          <cell r="B1373">
            <v>12</v>
          </cell>
        </row>
        <row r="1374">
          <cell r="A1374" t="str">
            <v>Producto: 2328001716090101 / SANSON PLATO BISTRO 16 BLANCO C/F VERDE</v>
          </cell>
          <cell r="B1374">
            <v>12</v>
          </cell>
        </row>
        <row r="1375">
          <cell r="A1375" t="str">
            <v>Producto: 2328001717010101 / SANSON PLATO BISTRO 16 COBALTO</v>
          </cell>
          <cell r="B1375">
            <v>12</v>
          </cell>
        </row>
        <row r="1376">
          <cell r="A1376" t="str">
            <v>Producto: 2328001720010101 / SANSON PLATO BISTRO 16 GENERICO</v>
          </cell>
          <cell r="B1376">
            <v>12</v>
          </cell>
        </row>
        <row r="1377">
          <cell r="A1377" t="str">
            <v>Producto: 2328001721010101 / SANSON PLATO BISTRO 16 GRIS</v>
          </cell>
          <cell r="B1377">
            <v>12</v>
          </cell>
        </row>
        <row r="1378">
          <cell r="A1378" t="str">
            <v>Producto: 2328001726010101 / SANSON PLATO BISTRO 16 NEGRO</v>
          </cell>
          <cell r="B1378">
            <v>12</v>
          </cell>
        </row>
        <row r="1379">
          <cell r="A1379" t="str">
            <v>Producto: 2328001730010101 / SANSON PLATO BISTRO 16 ROJO MOTAS</v>
          </cell>
          <cell r="B1379">
            <v>12</v>
          </cell>
        </row>
        <row r="1380">
          <cell r="A1380" t="str">
            <v>Producto: 2328001747010101 / SANSON PLATO BISTRO 16 VERDE</v>
          </cell>
          <cell r="B1380">
            <v>12</v>
          </cell>
        </row>
        <row r="1381">
          <cell r="A1381" t="str">
            <v>Producto: 2329002701010101 / SANSON  PLATO HONDO 27</v>
          </cell>
          <cell r="B1381">
            <v>6</v>
          </cell>
        </row>
        <row r="1382">
          <cell r="A1382" t="str">
            <v>Producto: 2329002701010701 / SANSON PLATO HONDO 27 DECORADO</v>
          </cell>
          <cell r="B1382">
            <v>6</v>
          </cell>
        </row>
        <row r="1383">
          <cell r="A1383" t="str">
            <v>Producto: 2329002702010101 / SANSON PLATO HONDO 27 A/T</v>
          </cell>
          <cell r="B1383">
            <v>6</v>
          </cell>
        </row>
        <row r="1384">
          <cell r="A1384" t="str">
            <v>Producto: 2329002716030101 / SANSON PLATO HONDO 27 BLANCO C/F COBALTO</v>
          </cell>
          <cell r="B1384">
            <v>6</v>
          </cell>
        </row>
        <row r="1385">
          <cell r="A1385" t="str">
            <v>Producto: 2329002716030701 / SANSON PLATO HONDO 27 BCO C/F COBALTO DECORADO</v>
          </cell>
          <cell r="B1385">
            <v>6</v>
          </cell>
        </row>
        <row r="1386">
          <cell r="A1386" t="str">
            <v>Producto: 2329002716040101 / SANSON PLATO HONDO 27 BLANCO C/F GRIS</v>
          </cell>
          <cell r="B1386">
            <v>6</v>
          </cell>
        </row>
        <row r="1387">
          <cell r="A1387" t="str">
            <v>Producto: 2329002716040701 / SANSON PLATO HONDO 27 BLANCO C/F GRIS DECORADO</v>
          </cell>
          <cell r="B1387">
            <v>6</v>
          </cell>
        </row>
        <row r="1388">
          <cell r="A1388" t="str">
            <v>Producto: 2329002716050101 / SANSON PLATO HONDO 27 BLANCO C/F NEGRO</v>
          </cell>
          <cell r="B1388">
            <v>6</v>
          </cell>
        </row>
        <row r="1389">
          <cell r="A1389" t="str">
            <v>Producto: 2329002716050701 / SANSON PLATO HONDO 27 BCO C/F NEGRO DECORADO</v>
          </cell>
          <cell r="B1389">
            <v>6</v>
          </cell>
        </row>
        <row r="1390">
          <cell r="A1390" t="str">
            <v>Producto: 2329002716070101 / SANSON PLATO HONDO 27 BLANCO C/F ROJO</v>
          </cell>
          <cell r="B1390">
            <v>6</v>
          </cell>
        </row>
        <row r="1391">
          <cell r="A1391" t="str">
            <v>Producto: 2329002716070701 / SANSON PLATO HONDO 27 BLANCO C/F ROJO DECORADO</v>
          </cell>
          <cell r="B1391">
            <v>6</v>
          </cell>
        </row>
        <row r="1392">
          <cell r="A1392" t="str">
            <v>Producto: 2329002716090101 / SANSON PLATO HONDO 27 BLANCO C/F VERDE</v>
          </cell>
          <cell r="B1392">
            <v>6</v>
          </cell>
        </row>
        <row r="1393">
          <cell r="A1393" t="str">
            <v>Producto: 2329002717010101 / SANSON PLATO HONDO 27 COBALTO</v>
          </cell>
          <cell r="B1393">
            <v>6</v>
          </cell>
        </row>
        <row r="1394">
          <cell r="A1394" t="str">
            <v>Producto: 2329002720010101 / SANSON PLATO HONDO 27 GENERICO</v>
          </cell>
          <cell r="B1394">
            <v>6</v>
          </cell>
        </row>
        <row r="1395">
          <cell r="A1395" t="str">
            <v>Producto: 2329002721010101 / SANSON PLATO HONDO 27 GRIS</v>
          </cell>
          <cell r="B1395">
            <v>6</v>
          </cell>
        </row>
        <row r="1396">
          <cell r="A1396" t="str">
            <v>Producto: 2329002726010101 / SANSON PLATO HONDO 27 NEGRO</v>
          </cell>
          <cell r="B1396">
            <v>6</v>
          </cell>
        </row>
        <row r="1397">
          <cell r="A1397" t="str">
            <v>Producto: 2329002727010101 / SANSON PLATO HONDO 27 NEGRO MOTAS</v>
          </cell>
          <cell r="B1397">
            <v>6</v>
          </cell>
        </row>
        <row r="1398">
          <cell r="A1398" t="str">
            <v>Producto: 2329002733010101 / SANSON PLATO HONDO 27 TITANIO</v>
          </cell>
          <cell r="B1398">
            <v>6</v>
          </cell>
        </row>
        <row r="1399">
          <cell r="A1399" t="str">
            <v xml:space="preserve">Producto: 2329002759010101 / SANSON PLATO HONDO 27 ARENA </v>
          </cell>
          <cell r="B1399">
            <v>6</v>
          </cell>
        </row>
        <row r="1400">
          <cell r="A1400" t="str">
            <v>Producto: 2330001401010101 / SANSON  PLATO LISO 12</v>
          </cell>
          <cell r="B1400">
            <v>6</v>
          </cell>
        </row>
        <row r="1401">
          <cell r="A1401" t="str">
            <v>Producto: 2330001402010101 / SANSON PLATO LISO 12 A/T</v>
          </cell>
          <cell r="B1401">
            <v>6</v>
          </cell>
        </row>
        <row r="1402">
          <cell r="A1402" t="str">
            <v>Producto: 2330001416030101 / SANSON PLATO LISO 12 BLANCO C/F COBALTO</v>
          </cell>
          <cell r="B1402">
            <v>6</v>
          </cell>
        </row>
        <row r="1403">
          <cell r="A1403" t="str">
            <v>Producto: 2330001416030701 / SANSON PLATO LISO 12 BLANCO C/F COBALTO DECORADO</v>
          </cell>
          <cell r="B1403">
            <v>6</v>
          </cell>
        </row>
        <row r="1404">
          <cell r="A1404" t="str">
            <v>Producto: 2330001416040101 / SANSON PLATO LISO 12 BLANCO C/F GRIS</v>
          </cell>
          <cell r="B1404">
            <v>6</v>
          </cell>
        </row>
        <row r="1405">
          <cell r="A1405" t="str">
            <v>Producto: 2330001416050101 / SANSON PLATO LISO 12 BLANCO C/F NEGRO</v>
          </cell>
          <cell r="B1405">
            <v>6</v>
          </cell>
        </row>
        <row r="1406">
          <cell r="A1406" t="str">
            <v>Producto: 2330001416070101 / SANSON PLATO LISO 12 BLANCO C/F ROJO</v>
          </cell>
          <cell r="B1406">
            <v>6</v>
          </cell>
        </row>
        <row r="1407">
          <cell r="A1407" t="str">
            <v>Producto: 2330001416090101 / SANSON PLATO LISO 12 BLANCO C/F VERDE</v>
          </cell>
          <cell r="B1407">
            <v>6</v>
          </cell>
        </row>
        <row r="1408">
          <cell r="A1408" t="str">
            <v>Producto: 2330001417010101 / SANSON PLATO LISO 12 COBALTO</v>
          </cell>
          <cell r="B1408">
            <v>6</v>
          </cell>
        </row>
        <row r="1409">
          <cell r="A1409" t="str">
            <v>Producto: 2330001420010101 / SANSON PLATO LISO 12 GENERICO</v>
          </cell>
          <cell r="B1409">
            <v>6</v>
          </cell>
        </row>
        <row r="1410">
          <cell r="A1410" t="str">
            <v>Producto: 2330001421010101 / SANSON PLATO LISO 12 GRIS</v>
          </cell>
          <cell r="B1410">
            <v>6</v>
          </cell>
        </row>
        <row r="1411">
          <cell r="A1411" t="str">
            <v>Producto: 2330001426010101 / SANSON PLATO LISO 12 NEGRO</v>
          </cell>
          <cell r="B1411">
            <v>6</v>
          </cell>
        </row>
        <row r="1412">
          <cell r="A1412" t="str">
            <v>Producto: 2330001427010101 / SANSON PLATO LISO 12 NEGRO MOTAS</v>
          </cell>
          <cell r="B1412">
            <v>6</v>
          </cell>
        </row>
        <row r="1413">
          <cell r="A1413" t="str">
            <v>Producto: 2330001429010101 / SANSON PLATO LISO 12 ROJO</v>
          </cell>
          <cell r="B1413">
            <v>6</v>
          </cell>
        </row>
        <row r="1414">
          <cell r="A1414" t="str">
            <v>Producto: 2330001701010101 / SANSON  PLATO LISO 16</v>
          </cell>
          <cell r="B1414">
            <v>6</v>
          </cell>
        </row>
        <row r="1415">
          <cell r="A1415" t="str">
            <v>Producto: 2330001702010101 / SANSON PLATO LISO 16 A/T</v>
          </cell>
          <cell r="B1415">
            <v>6</v>
          </cell>
        </row>
        <row r="1416">
          <cell r="A1416" t="str">
            <v>Producto: 2330001705010101 / SANSON PLATO LISO 16 AQUA</v>
          </cell>
          <cell r="B1416">
            <v>6</v>
          </cell>
        </row>
        <row r="1417">
          <cell r="A1417" t="str">
            <v>Producto: 2330001705050101 / SANSON PLATO LISO 16 AQUA C/F NEGRO</v>
          </cell>
          <cell r="B1417">
            <v>6</v>
          </cell>
        </row>
        <row r="1418">
          <cell r="A1418" t="str">
            <v>Producto: 2330001706010101 / SANSON PLATO LISO 16 AZUL</v>
          </cell>
          <cell r="B1418">
            <v>6</v>
          </cell>
        </row>
        <row r="1419">
          <cell r="A1419" t="str">
            <v>Producto: 2330001716010101 / SANSON PLATO LISO 16 BLANCO</v>
          </cell>
          <cell r="B1419">
            <v>6</v>
          </cell>
        </row>
        <row r="1420">
          <cell r="A1420" t="str">
            <v>Producto: 2330001716010201 / SANSON PLATO LISO 16 BLANCO CRANEO</v>
          </cell>
          <cell r="B1420">
            <v>6</v>
          </cell>
        </row>
        <row r="1421">
          <cell r="A1421" t="str">
            <v>Producto: 2330001716010301 / SANSON PLATO 16 BLANCO CALACA</v>
          </cell>
          <cell r="B1421">
            <v>6</v>
          </cell>
        </row>
        <row r="1422">
          <cell r="A1422" t="str">
            <v>Producto: 2330001716030101 / SANSON PLATO LISO 16 BLANCO C/F COBALTO</v>
          </cell>
          <cell r="B1422">
            <v>6</v>
          </cell>
        </row>
        <row r="1423">
          <cell r="A1423" t="str">
            <v>Producto: 2330001716030701 / SANSON PLATO LISO 16 BLANCO C/F COBALTO DECORADO</v>
          </cell>
          <cell r="B1423">
            <v>6</v>
          </cell>
        </row>
        <row r="1424">
          <cell r="A1424" t="str">
            <v>Producto: 2330001716040101 / SANSON PLATO LISO 16 BLANCO C/F GRIS</v>
          </cell>
          <cell r="B1424">
            <v>6</v>
          </cell>
        </row>
        <row r="1425">
          <cell r="A1425" t="str">
            <v xml:space="preserve">Producto: 2330001716040701 / SANSON PLATO LISO 16 BLANCO C/F GRIS DECORADO </v>
          </cell>
          <cell r="B1425">
            <v>6</v>
          </cell>
        </row>
        <row r="1426">
          <cell r="A1426" t="str">
            <v>Producto: 2330001716050101 / SANSON PLATO LISO 16 BLANCO C/F NEGRO</v>
          </cell>
          <cell r="B1426">
            <v>6</v>
          </cell>
        </row>
        <row r="1427">
          <cell r="A1427" t="str">
            <v xml:space="preserve">Producto: 2330001716050701 / SANSON PLATO LISO 16 BLANCO C/F NEGRO DECORADO </v>
          </cell>
          <cell r="B1427">
            <v>6</v>
          </cell>
        </row>
        <row r="1428">
          <cell r="A1428" t="str">
            <v>Producto: 2330001716060101 / SANSON PLATO LISO 16 BLANCO C/F NEVADO</v>
          </cell>
          <cell r="B1428">
            <v>6</v>
          </cell>
        </row>
        <row r="1429">
          <cell r="A1429" t="str">
            <v>Producto: 2330001716070101 / SANSON PLATO LISO 16 BLANCO C/F ROJO</v>
          </cell>
          <cell r="B1429">
            <v>6</v>
          </cell>
        </row>
        <row r="1430">
          <cell r="A1430" t="str">
            <v>Producto: 2330001716090101 / SANSON PLATO LISO 16 BLANCO C/F VERDE</v>
          </cell>
          <cell r="B1430">
            <v>6</v>
          </cell>
        </row>
        <row r="1431">
          <cell r="A1431" t="str">
            <v>Producto: 2330001716100101 / SANSON PLATO LISO 16 BLANCO C/F AZUL</v>
          </cell>
          <cell r="B1431">
            <v>6</v>
          </cell>
        </row>
        <row r="1432">
          <cell r="A1432" t="str">
            <v>Producto: 2330001717010101 / SANSON PLATO LISO 16 COBALTO</v>
          </cell>
          <cell r="B1432">
            <v>6</v>
          </cell>
        </row>
        <row r="1433">
          <cell r="A1433" t="str">
            <v>Producto: 2330001720010101 / SANSON PLATO LISO 16 GENERICO</v>
          </cell>
          <cell r="B1433">
            <v>6</v>
          </cell>
        </row>
        <row r="1434">
          <cell r="A1434" t="str">
            <v>Producto: 2330001721010101 / SANSON PLATO LISO 16 GRIS</v>
          </cell>
          <cell r="B1434">
            <v>6</v>
          </cell>
        </row>
        <row r="1435">
          <cell r="A1435" t="str">
            <v>Producto: 2330001723010101 / SANSON PLATO LISO 16 NARANJA</v>
          </cell>
          <cell r="B1435">
            <v>6</v>
          </cell>
        </row>
        <row r="1436">
          <cell r="A1436" t="str">
            <v>Producto: 2330001724010101 / SANSON PLATO LISO 16 NARANJA MOTAS</v>
          </cell>
          <cell r="B1436">
            <v>6</v>
          </cell>
        </row>
        <row r="1437">
          <cell r="A1437" t="str">
            <v>Producto: 2330001726010101 / SANSON PLATO LISO 16 NEGRO</v>
          </cell>
          <cell r="B1437">
            <v>6</v>
          </cell>
        </row>
        <row r="1438">
          <cell r="A1438" t="str">
            <v>Producto: 2330001726010201 / SANSON PLATO LISO 16 NEGRO CRANEO</v>
          </cell>
          <cell r="B1438">
            <v>6</v>
          </cell>
        </row>
        <row r="1439">
          <cell r="A1439" t="str">
            <v xml:space="preserve">Producto: 2330001726010701 / SANSON PLATO LISO 16 NEGRO DECORADO </v>
          </cell>
          <cell r="B1439">
            <v>6</v>
          </cell>
        </row>
        <row r="1440">
          <cell r="A1440" t="str">
            <v>Producto: 2330001727010101 / SANSON PLATO LISO 16 NEGRO MOTAS</v>
          </cell>
          <cell r="B1440">
            <v>6</v>
          </cell>
        </row>
        <row r="1441">
          <cell r="A1441" t="str">
            <v>Producto: 2330001728010101 / SANSON PLATO LISO 16 NEVADO</v>
          </cell>
          <cell r="B1441">
            <v>6</v>
          </cell>
        </row>
        <row r="1442">
          <cell r="A1442" t="str">
            <v>Producto: 2330001729010101 / SANSON PLATO LISO 16 ROJO</v>
          </cell>
          <cell r="B1442">
            <v>6</v>
          </cell>
        </row>
        <row r="1443">
          <cell r="A1443" t="str">
            <v>Producto: 2330001730010101 / SANSON PLATO LISO 16 ROJO MOTAS</v>
          </cell>
          <cell r="B1443">
            <v>6</v>
          </cell>
        </row>
        <row r="1444">
          <cell r="A1444" t="str">
            <v>Producto: 2330001733010101 / SANSON PLATO LISO 16 TITANIO</v>
          </cell>
          <cell r="B1444">
            <v>6</v>
          </cell>
        </row>
        <row r="1445">
          <cell r="A1445" t="str">
            <v>Producto: 2330001747010101 / SANSON PLATO LISO 16 VERDE</v>
          </cell>
          <cell r="B1445">
            <v>6</v>
          </cell>
        </row>
        <row r="1446">
          <cell r="A1446" t="str">
            <v>Producto: 2330001760010101 / SANSON PLATO LISO 16 NEGRO PIEDRA</v>
          </cell>
          <cell r="B1446">
            <v>6</v>
          </cell>
        </row>
        <row r="1447">
          <cell r="A1447" t="str">
            <v>Producto: 2330002201010101 / SANSON  PLATO LISO 20</v>
          </cell>
          <cell r="B1447">
            <v>6</v>
          </cell>
        </row>
        <row r="1448">
          <cell r="A1448" t="str">
            <v>Producto: 2330002202010101 / SANSON PLATO LISO 20 A/T</v>
          </cell>
          <cell r="B1448">
            <v>6</v>
          </cell>
        </row>
        <row r="1449">
          <cell r="A1449" t="str">
            <v>Producto: 2330002205010101 / SANSON PLATO LISO 20 AQUA</v>
          </cell>
          <cell r="B1449">
            <v>6</v>
          </cell>
        </row>
        <row r="1450">
          <cell r="A1450" t="str">
            <v>Producto: 2330002216010201 / SANSON PLATO LISO 20 BLANCO CRANEO</v>
          </cell>
          <cell r="B1450">
            <v>6</v>
          </cell>
        </row>
        <row r="1451">
          <cell r="A1451" t="str">
            <v>Producto: 2330002216020101 / SANSON PLATO LISO 20 BLANCO C/F AQUA</v>
          </cell>
          <cell r="B1451">
            <v>6</v>
          </cell>
        </row>
        <row r="1452">
          <cell r="A1452" t="str">
            <v>Producto: 2330002216030101 / SANSON PLATO LISO 20 BLANCO C/F COBALTO</v>
          </cell>
          <cell r="B1452">
            <v>6</v>
          </cell>
        </row>
        <row r="1453">
          <cell r="A1453" t="str">
            <v xml:space="preserve">Producto: 2330002216030701 / SANSON PLATO LISO 20 BLANCO C/F COBALTO DECORADO </v>
          </cell>
          <cell r="B1453">
            <v>6</v>
          </cell>
        </row>
        <row r="1454">
          <cell r="A1454" t="str">
            <v>Producto: 2330002216040101 / SANSON PLATO LISO 20 BLANCO C/F GRIS</v>
          </cell>
          <cell r="B1454">
            <v>6</v>
          </cell>
        </row>
        <row r="1455">
          <cell r="A1455" t="str">
            <v>Producto: 2330002216040701 / SANSON PLATO LISO 20 BLANCO C/F GRIS DECORADO</v>
          </cell>
          <cell r="B1455">
            <v>6</v>
          </cell>
        </row>
        <row r="1456">
          <cell r="A1456" t="str">
            <v>Producto: 2330002216050101 / SANSON PLATO LISO 20 BLANCO C/F NEGRO</v>
          </cell>
          <cell r="B1456">
            <v>6</v>
          </cell>
        </row>
        <row r="1457">
          <cell r="A1457" t="str">
            <v>Producto: 2330002216050701 / SANSON PLATO LISO 20 BLANCO C/F NEGRO DECORADO</v>
          </cell>
          <cell r="B1457">
            <v>6</v>
          </cell>
        </row>
        <row r="1458">
          <cell r="A1458" t="str">
            <v>Producto: 2330002216060101 / SANSON PLATO LISO 20 BLANCO C/F NEVADO</v>
          </cell>
          <cell r="B1458">
            <v>6</v>
          </cell>
        </row>
        <row r="1459">
          <cell r="A1459" t="str">
            <v xml:space="preserve">Producto: 2330002216060701 / SANSON PLATO LISO 20 BLANCO C/F NEVADO DECORADO </v>
          </cell>
          <cell r="B1459">
            <v>6</v>
          </cell>
        </row>
        <row r="1460">
          <cell r="A1460" t="str">
            <v>Producto: 2330002216070101 / SANSON PLATO LISO 20 BLANCO C/F ROJO</v>
          </cell>
          <cell r="B1460">
            <v>6</v>
          </cell>
        </row>
        <row r="1461">
          <cell r="A1461" t="str">
            <v xml:space="preserve">Producto: 2330002216070701 / SANSON PLATO LISO 20 BLANCO C/F ROJO DECORADO </v>
          </cell>
          <cell r="B1461">
            <v>6</v>
          </cell>
        </row>
        <row r="1462">
          <cell r="A1462" t="str">
            <v>Producto: 2330002216090101 / SANSON PLATO LISO 20 BLANCO C/F VERDE</v>
          </cell>
          <cell r="B1462">
            <v>6</v>
          </cell>
        </row>
        <row r="1463">
          <cell r="A1463" t="str">
            <v>Producto: 2330002220010101 / SANSON PLATO LISO 20 GENERICO</v>
          </cell>
          <cell r="B1463">
            <v>6</v>
          </cell>
        </row>
        <row r="1464">
          <cell r="A1464" t="str">
            <v>Producto: 2330002221010101 / SANSON PLATO LISO 20 GRIS</v>
          </cell>
          <cell r="B1464">
            <v>6</v>
          </cell>
        </row>
        <row r="1465">
          <cell r="A1465" t="str">
            <v>Producto: 2330002226010101 / SANSON PLATO LISO 20 NEGRO</v>
          </cell>
          <cell r="B1465">
            <v>6</v>
          </cell>
        </row>
        <row r="1466">
          <cell r="A1466" t="str">
            <v>Producto: 2330002226010701 / SANSON PLATO LISO 20 NEGRO DECORADO</v>
          </cell>
          <cell r="B1466">
            <v>6</v>
          </cell>
        </row>
        <row r="1467">
          <cell r="A1467" t="str">
            <v>Producto: 2330002227010101 / SANSON PLATO LISO 20 NEGRO MOTAS</v>
          </cell>
          <cell r="B1467">
            <v>6</v>
          </cell>
        </row>
        <row r="1468">
          <cell r="A1468" t="str">
            <v>Producto: 2330002228010101 / SANSON PLATO LISO 20 NEVADO</v>
          </cell>
          <cell r="B1468">
            <v>6</v>
          </cell>
        </row>
        <row r="1469">
          <cell r="A1469" t="str">
            <v>Producto: 2330002233010101 / SANSON PLATO LISO 20 TITANIO</v>
          </cell>
          <cell r="B1469">
            <v>6</v>
          </cell>
        </row>
        <row r="1470">
          <cell r="A1470" t="str">
            <v>Producto: 2330002247010101 / SANSON PLATO LISO 20 VERDE</v>
          </cell>
          <cell r="B1470">
            <v>6</v>
          </cell>
        </row>
        <row r="1471">
          <cell r="A1471" t="str">
            <v>Producto: 2330002501010101 / SANSON  PLATO LISO 24</v>
          </cell>
          <cell r="B1471">
            <v>6</v>
          </cell>
        </row>
        <row r="1472">
          <cell r="A1472" t="str">
            <v>Producto: 2330002502010101 / SANSON PLATO LISO 24 A/T</v>
          </cell>
          <cell r="B1472">
            <v>6</v>
          </cell>
        </row>
        <row r="1473">
          <cell r="A1473" t="str">
            <v>Producto: 2330002516030101 / SANSON PLATO LISO 24 BLANCO C/F COBALTO</v>
          </cell>
          <cell r="B1473">
            <v>6</v>
          </cell>
        </row>
        <row r="1474">
          <cell r="A1474" t="str">
            <v>Producto: 2330002516030701 / SANSON PLATO LISO 24 BCO C/F COBALTO DECORADO</v>
          </cell>
          <cell r="B1474">
            <v>6</v>
          </cell>
        </row>
        <row r="1475">
          <cell r="A1475" t="str">
            <v>Producto: 2330002516040101 / SANSON PLATO LISO 24 BLANCO C/F GRIS</v>
          </cell>
          <cell r="B1475">
            <v>6</v>
          </cell>
        </row>
        <row r="1476">
          <cell r="A1476" t="str">
            <v>Producto: 2330002516040701 / SANSON PLATO LISO 24 BLANCO C/F GRIS DECORADO</v>
          </cell>
          <cell r="B1476">
            <v>6</v>
          </cell>
        </row>
        <row r="1477">
          <cell r="A1477" t="str">
            <v>Producto: 2330002516050101 / SANSON PLATO LISO 24 BLANCO C/F NEGRO</v>
          </cell>
          <cell r="B1477">
            <v>6</v>
          </cell>
        </row>
        <row r="1478">
          <cell r="A1478" t="str">
            <v>Producto: 2330002516050701 / SANSON PLATO LISO 24 BLANCO C/F NEGRO DECORADO</v>
          </cell>
          <cell r="B1478">
            <v>6</v>
          </cell>
        </row>
        <row r="1479">
          <cell r="A1479" t="str">
            <v>Producto: 2330002516070101 / SANSON PLATO LISO 24 BLANCO C/F ROJO</v>
          </cell>
          <cell r="B1479">
            <v>6</v>
          </cell>
        </row>
        <row r="1480">
          <cell r="A1480" t="str">
            <v>Producto: 2330002516090101 / SANSON PLATO LISO 24 BLANCO C/F VERDE</v>
          </cell>
          <cell r="B1480">
            <v>6</v>
          </cell>
        </row>
        <row r="1481">
          <cell r="A1481" t="str">
            <v>Producto: 2330002520010101 / SANSON PLATO LISO 24 GENERICO</v>
          </cell>
          <cell r="B1481">
            <v>6</v>
          </cell>
        </row>
        <row r="1482">
          <cell r="A1482" t="str">
            <v>Producto: 2330002521010101 / SANSON PLATO LISO 24 GRIS</v>
          </cell>
          <cell r="B1482">
            <v>6</v>
          </cell>
        </row>
        <row r="1483">
          <cell r="A1483" t="str">
            <v>Producto: 2330002526010101 / SANSON PLATO LISO 24 NEGRO</v>
          </cell>
          <cell r="B1483">
            <v>6</v>
          </cell>
        </row>
        <row r="1484">
          <cell r="A1484" t="str">
            <v>Producto: 2330002527010101 / SANSON PLATO LISO 24 NEGRO MOTAS</v>
          </cell>
          <cell r="B1484">
            <v>6</v>
          </cell>
        </row>
        <row r="1485">
          <cell r="A1485" t="str">
            <v>Producto: 2330002533010101 / SANSON PLATO LISO 24 TITANIO</v>
          </cell>
          <cell r="B1485">
            <v>6</v>
          </cell>
        </row>
        <row r="1486">
          <cell r="A1486" t="str">
            <v>Producto: 2330002547010101 / SANSON PLATO LISO 24 VERDE</v>
          </cell>
          <cell r="B1486">
            <v>6</v>
          </cell>
        </row>
        <row r="1487">
          <cell r="A1487" t="str">
            <v>Producto: 2330002701010101 / SANSON  PLATO LISO 27</v>
          </cell>
          <cell r="B1487">
            <v>6</v>
          </cell>
        </row>
        <row r="1488">
          <cell r="A1488" t="str">
            <v>Producto: 2330002702010101 / SANSON PLATO LISO 27 A/T</v>
          </cell>
          <cell r="B1488">
            <v>6</v>
          </cell>
        </row>
        <row r="1489">
          <cell r="A1489" t="str">
            <v>Producto: 2330002705010101 / SANSON PLATO LISO 27 AQUA</v>
          </cell>
          <cell r="B1489">
            <v>6</v>
          </cell>
        </row>
        <row r="1490">
          <cell r="A1490" t="str">
            <v>Producto: 2330002716020101 / SANSON PLATO LISO 27 BLANCO C/F AQUA</v>
          </cell>
          <cell r="B1490">
            <v>6</v>
          </cell>
        </row>
        <row r="1491">
          <cell r="A1491" t="str">
            <v>Producto: 2330002716030101 / SANSON PLATO LISO 27 BLANCO C/F COBALTO</v>
          </cell>
          <cell r="B1491">
            <v>6</v>
          </cell>
        </row>
        <row r="1492">
          <cell r="A1492" t="str">
            <v>Producto: 2330002716030104 / SANSON PLATO LISO 27 BLANCO C/F COBALTO 12PZ/1</v>
          </cell>
          <cell r="B1492">
            <v>1</v>
          </cell>
        </row>
        <row r="1493">
          <cell r="A1493" t="str">
            <v>Producto: 2330002716030701 / SANSON PLATO LISO 27 BLANCO C/F COBALTO DECORADO</v>
          </cell>
          <cell r="B1493">
            <v>6</v>
          </cell>
        </row>
        <row r="1494">
          <cell r="A1494" t="str">
            <v>Producto: 2330002716040101 / SANSON PLATO LISO 27 BLANCO C/F GRIS</v>
          </cell>
          <cell r="B1494">
            <v>6</v>
          </cell>
        </row>
        <row r="1495">
          <cell r="A1495" t="str">
            <v>Producto: 2330002716040701 / SANSON PLATO LISO 27 BLANCO C/F GRIS DECORADO</v>
          </cell>
          <cell r="B1495">
            <v>6</v>
          </cell>
        </row>
        <row r="1496">
          <cell r="A1496" t="str">
            <v>Producto: 2330002716050101 / SANSON PLATO LISO 27 BLANCO C/F NEGRO</v>
          </cell>
          <cell r="B1496">
            <v>6</v>
          </cell>
        </row>
        <row r="1497">
          <cell r="A1497" t="str">
            <v>Producto: 2330002716050701 / SANSON PLATO LISO 27 BLANCO C/F NEGRO DECORADO</v>
          </cell>
          <cell r="B1497">
            <v>6</v>
          </cell>
        </row>
        <row r="1498">
          <cell r="A1498" t="str">
            <v>Producto: 2330002716060101 / SANSON PLATO LISO 27 BLANCO C/F NEVADO</v>
          </cell>
          <cell r="B1498">
            <v>6</v>
          </cell>
        </row>
        <row r="1499">
          <cell r="A1499" t="str">
            <v>Producto: 2330002716060104 / SANSON PLATO LISO 27 BLANCO C/F NEVADO 12PZ/1</v>
          </cell>
          <cell r="B1499">
            <v>1</v>
          </cell>
        </row>
        <row r="1500">
          <cell r="A1500" t="str">
            <v>Producto: 2330002716060701 / SANSON PLATO LISO 27 BLANCO C/F NEVADO DECORADO</v>
          </cell>
          <cell r="B1500">
            <v>6</v>
          </cell>
        </row>
        <row r="1501">
          <cell r="A1501" t="str">
            <v>Producto: 2330002716070101 / SANSON PLATO LISO 27 BLANCO C/F ROJO</v>
          </cell>
          <cell r="B1501">
            <v>6</v>
          </cell>
        </row>
        <row r="1502">
          <cell r="A1502" t="str">
            <v>Producto: 2330002716070701 / SANSON PLATO LISO 27 BLANCO C/F ROJO DECORADO</v>
          </cell>
          <cell r="B1502">
            <v>6</v>
          </cell>
        </row>
        <row r="1503">
          <cell r="A1503" t="str">
            <v>Producto: 2330002716090101 / SANSON PLATO LISO 27 BLANCO C/F VERDE</v>
          </cell>
          <cell r="B1503">
            <v>6</v>
          </cell>
        </row>
        <row r="1504">
          <cell r="A1504" t="str">
            <v>Producto: 2330002716110101 / SANSON PLATO LISO 27 BLANCO C/F CAFÉ</v>
          </cell>
          <cell r="B1504">
            <v>6</v>
          </cell>
        </row>
        <row r="1505">
          <cell r="A1505" t="str">
            <v>Producto: 2330002717010101 / SANSON PLATO LISO 27 COBALTO</v>
          </cell>
          <cell r="B1505">
            <v>6</v>
          </cell>
        </row>
        <row r="1506">
          <cell r="A1506" t="str">
            <v>Producto: 2330002717010701 / SANSON PLATO LISO 27 COBALTO DECORADO</v>
          </cell>
          <cell r="B1506">
            <v>6</v>
          </cell>
        </row>
        <row r="1507">
          <cell r="A1507" t="str">
            <v>Producto: 2330002718010101 / SANSON PLATO LISO 27 COBALTO MOTAS</v>
          </cell>
          <cell r="B1507">
            <v>6</v>
          </cell>
        </row>
        <row r="1508">
          <cell r="A1508" t="str">
            <v>Producto: 2330002720010101 / SANSON PLATO LISO 27 GENERICO</v>
          </cell>
          <cell r="B1508">
            <v>6</v>
          </cell>
        </row>
        <row r="1509">
          <cell r="A1509" t="str">
            <v>Producto: 2330002720010104 / SANSON PLATO LISO 27 GENERICO  12PZ/1</v>
          </cell>
          <cell r="B1509">
            <v>1</v>
          </cell>
        </row>
        <row r="1510">
          <cell r="A1510" t="str">
            <v>Producto: 2330002721010101 / SANSON PLATO LISO 27 GRIS</v>
          </cell>
          <cell r="B1510">
            <v>6</v>
          </cell>
        </row>
        <row r="1511">
          <cell r="A1511" t="str">
            <v>Producto: 2330002721010104 / SANSON PLATO LISO 27 GRIS  12PZ/1</v>
          </cell>
          <cell r="B1511">
            <v>1</v>
          </cell>
        </row>
        <row r="1512">
          <cell r="A1512" t="str">
            <v>Producto: 2330002726010101 / SANSON PLATO LISO 27 NEGRO</v>
          </cell>
          <cell r="B1512">
            <v>6</v>
          </cell>
        </row>
        <row r="1513">
          <cell r="A1513" t="str">
            <v>Producto: 2330002727010101 / SANSON PLATO LISO 27 NEGRO MOTAS</v>
          </cell>
          <cell r="B1513">
            <v>6</v>
          </cell>
        </row>
        <row r="1514">
          <cell r="A1514" t="str">
            <v>Producto: 2330002727010701 / SANSON PLATO LISO 27 NEGRO MOTAS DECORADO</v>
          </cell>
          <cell r="B1514">
            <v>6</v>
          </cell>
        </row>
        <row r="1515">
          <cell r="A1515" t="str">
            <v>Producto: 2330002733010101 / SANSON PLATO LISO 27 TITANIO</v>
          </cell>
          <cell r="B1515">
            <v>6</v>
          </cell>
        </row>
        <row r="1516">
          <cell r="A1516" t="str">
            <v>Producto: 2330002746010101 / SANSON PLATO LISO 27 TRIGO</v>
          </cell>
          <cell r="B1516">
            <v>6</v>
          </cell>
        </row>
        <row r="1517">
          <cell r="A1517" t="str">
            <v>Producto: 2330002747010101 / SANSON PLATO LISO 27 VERDE</v>
          </cell>
          <cell r="B1517">
            <v>6</v>
          </cell>
        </row>
        <row r="1518">
          <cell r="A1518" t="str">
            <v>Producto: 2330003001010101 / SANSON  PLATO LISO 32</v>
          </cell>
          <cell r="B1518">
            <v>6</v>
          </cell>
        </row>
        <row r="1519">
          <cell r="A1519" t="str">
            <v>Producto: 2330003002010101 / SANSON PLATO LISO 32 A/T</v>
          </cell>
          <cell r="B1519">
            <v>6</v>
          </cell>
        </row>
        <row r="1520">
          <cell r="A1520" t="str">
            <v>Producto: 2330003003010101 / SANSON PLATO LISO 32 AMARILLO</v>
          </cell>
          <cell r="B1520">
            <v>6</v>
          </cell>
        </row>
        <row r="1521">
          <cell r="A1521" t="str">
            <v>Producto: 2330003005010101 / SANSON PLATO LISO 32 AQUA</v>
          </cell>
          <cell r="B1521">
            <v>6</v>
          </cell>
        </row>
        <row r="1522">
          <cell r="A1522" t="str">
            <v>Producto: 2330003006010101 / SANSON PLATO LISO 32 AZUL</v>
          </cell>
          <cell r="B1522">
            <v>6</v>
          </cell>
        </row>
        <row r="1523">
          <cell r="A1523" t="str">
            <v>Producto: 2330003016010101 / SANSON PLATO LISO 32 BLANCO</v>
          </cell>
          <cell r="B1523">
            <v>6</v>
          </cell>
        </row>
        <row r="1524">
          <cell r="A1524" t="str">
            <v>Producto: 2330003016030101 / SANSON PLATO LISO 32 BLANCO C/F COBALTO</v>
          </cell>
          <cell r="B1524">
            <v>6</v>
          </cell>
        </row>
        <row r="1525">
          <cell r="A1525" t="str">
            <v xml:space="preserve">Producto: 2330003016030701 / SANSON PLATO LISO 32 BLANCO C/F COBALTO DECORADO </v>
          </cell>
          <cell r="B1525">
            <v>6</v>
          </cell>
        </row>
        <row r="1526">
          <cell r="A1526" t="str">
            <v>Producto: 2330003016040101 / SANSON PLATO LISO 32 BLANCO C/F GRIS</v>
          </cell>
          <cell r="B1526">
            <v>6</v>
          </cell>
        </row>
        <row r="1527">
          <cell r="A1527" t="str">
            <v>Producto: 2330003016050101 / SANSON PLATO LISO 32 BLANCO C/F NEGRO</v>
          </cell>
          <cell r="B1527">
            <v>6</v>
          </cell>
        </row>
        <row r="1528">
          <cell r="A1528" t="str">
            <v xml:space="preserve">Producto: 2330003016050701 / SANSON PLATO LISO 32 BLANCO C/F NEGRO DECORADO </v>
          </cell>
          <cell r="B1528">
            <v>6</v>
          </cell>
        </row>
        <row r="1529">
          <cell r="A1529" t="str">
            <v>Producto: 2330003016060101 / SANSON PLATO LISO 32 BLANCO C/F NEVADO</v>
          </cell>
          <cell r="B1529">
            <v>6</v>
          </cell>
        </row>
        <row r="1530">
          <cell r="A1530" t="str">
            <v>Producto: 2330003016070101 / SANSON PLATO LISO 32 BLANCO C/F ROJO</v>
          </cell>
          <cell r="B1530">
            <v>6</v>
          </cell>
        </row>
        <row r="1531">
          <cell r="A1531" t="str">
            <v>Producto: 2330003016090101 / SANSON PLATO LISO 32 BLANCO C/F VERDE</v>
          </cell>
          <cell r="B1531">
            <v>6</v>
          </cell>
        </row>
        <row r="1532">
          <cell r="A1532" t="str">
            <v>Producto: 2330003017010101 / SANSON PLATO LISO 32 COBALTO</v>
          </cell>
          <cell r="B1532">
            <v>6</v>
          </cell>
        </row>
        <row r="1533">
          <cell r="A1533" t="str">
            <v>Producto: 2330003020010101 / SANSON PLATO LISO 32 GENERICO</v>
          </cell>
          <cell r="B1533">
            <v>6</v>
          </cell>
        </row>
        <row r="1534">
          <cell r="A1534" t="str">
            <v>Producto: 2330003021010101 / SANSON PLATO LISO 32 GRIS</v>
          </cell>
          <cell r="B1534">
            <v>6</v>
          </cell>
        </row>
        <row r="1535">
          <cell r="A1535" t="str">
            <v>Producto: 2330003023010101 / SANSON PLATO LISO 32 NARANJA</v>
          </cell>
          <cell r="B1535">
            <v>6</v>
          </cell>
        </row>
        <row r="1536">
          <cell r="A1536" t="str">
            <v>Producto: 2330003024010101 / SANSON PLATO LISO 32 NARANJA MOTAS</v>
          </cell>
          <cell r="B1536">
            <v>6</v>
          </cell>
        </row>
        <row r="1537">
          <cell r="A1537" t="str">
            <v>Producto: 2330003026010101 / SANSON PLATO LISO 32 NEGRO</v>
          </cell>
          <cell r="B1537">
            <v>6</v>
          </cell>
        </row>
        <row r="1538">
          <cell r="A1538" t="str">
            <v>Producto: 2330003026010701 / SANSON PLATO LISO 32 NEGRO DECORADO</v>
          </cell>
          <cell r="B1538">
            <v>6</v>
          </cell>
        </row>
        <row r="1539">
          <cell r="A1539" t="str">
            <v>Producto: 2330003027010101 / SANSON PLATO LISO 32 NEGRO MOTAS</v>
          </cell>
          <cell r="B1539">
            <v>6</v>
          </cell>
        </row>
        <row r="1540">
          <cell r="A1540" t="str">
            <v>Producto: 2330003028010101 / SANSON PLATO LISO 32 NEVADO</v>
          </cell>
          <cell r="B1540">
            <v>6</v>
          </cell>
        </row>
        <row r="1541">
          <cell r="A1541" t="str">
            <v>Producto: 2330003029010101 / SANSON PLATO LISO 32 ROJO</v>
          </cell>
          <cell r="B1541">
            <v>6</v>
          </cell>
        </row>
        <row r="1542">
          <cell r="A1542" t="str">
            <v>Producto: 2330003030010101 / SANSON PLATO LISO 32 ROJO MOTAS</v>
          </cell>
          <cell r="B1542">
            <v>6</v>
          </cell>
        </row>
        <row r="1543">
          <cell r="A1543" t="str">
            <v>Producto: 2330003033010101 / SANSON PLATO LISO 32 TITANIO</v>
          </cell>
          <cell r="B1543">
            <v>6</v>
          </cell>
        </row>
        <row r="1544">
          <cell r="A1544" t="str">
            <v>Producto: 2330003047010101 / SANSON PLATO LISO 32 VERDE</v>
          </cell>
          <cell r="B1544">
            <v>6</v>
          </cell>
        </row>
        <row r="1545">
          <cell r="A1545" t="str">
            <v xml:space="preserve">Producto: 2330003059010101 / SANSON PLATO LISO 32 ARENA </v>
          </cell>
          <cell r="B1545">
            <v>6</v>
          </cell>
        </row>
        <row r="1546">
          <cell r="A1546" t="str">
            <v>Producto: 2330003060010101 / SANSON PLATO LISO 32 NEGRO PIEDRA</v>
          </cell>
          <cell r="B1546">
            <v>6</v>
          </cell>
        </row>
        <row r="1547">
          <cell r="A1547" t="str">
            <v>Producto: 2331001701010101 / SANSON  PLATO ROYAL 16</v>
          </cell>
          <cell r="B1547">
            <v>6</v>
          </cell>
        </row>
        <row r="1548">
          <cell r="A1548" t="str">
            <v>Producto: 2331001717010101 / SANSON PLATO ROYAL 16 COBALTO</v>
          </cell>
          <cell r="B1548">
            <v>6</v>
          </cell>
        </row>
        <row r="1549">
          <cell r="A1549" t="str">
            <v>Producto: 2331001720010101 / SANSON PLATO ROYAL 16 GENERICO</v>
          </cell>
          <cell r="B1549">
            <v>6</v>
          </cell>
        </row>
        <row r="1550">
          <cell r="A1550" t="str">
            <v>Producto: 2331001721010101 / SANSON PLATO ROYAL 16 GRIS</v>
          </cell>
          <cell r="B1550">
            <v>6</v>
          </cell>
        </row>
        <row r="1551">
          <cell r="A1551" t="str">
            <v>Producto: 2331001726010101 / SANSON PLATO ROYAL 16 NEGRO</v>
          </cell>
          <cell r="B1551">
            <v>6</v>
          </cell>
        </row>
        <row r="1552">
          <cell r="A1552" t="str">
            <v>Producto: 2331001729010101 / SANSON PLATO ROYAL 16 ROJO</v>
          </cell>
          <cell r="B1552">
            <v>6</v>
          </cell>
        </row>
        <row r="1553">
          <cell r="A1553" t="str">
            <v>Producto: 2331001733010101 / SANSON PLATO ROYAL 16 TITANIO</v>
          </cell>
          <cell r="B1553">
            <v>6</v>
          </cell>
        </row>
        <row r="1554">
          <cell r="A1554" t="str">
            <v>Producto: 2331003001010101 / SANSON  PLATO ROYAL 32</v>
          </cell>
          <cell r="B1554">
            <v>6</v>
          </cell>
        </row>
        <row r="1555">
          <cell r="A1555" t="str">
            <v>Producto: 2331003016010101 / SANSON PLATO ROYAL 32 BLANCO</v>
          </cell>
          <cell r="B1555">
            <v>6</v>
          </cell>
        </row>
        <row r="1556">
          <cell r="A1556" t="str">
            <v>Producto: 2331003017010101 / SANSON PLATO ROYAL 32 COBALTO</v>
          </cell>
          <cell r="B1556">
            <v>6</v>
          </cell>
        </row>
        <row r="1557">
          <cell r="A1557" t="str">
            <v>Producto: 2331003020010101 / SANSON PLATO ROYAL 32 GENERICO</v>
          </cell>
          <cell r="B1557">
            <v>6</v>
          </cell>
        </row>
        <row r="1558">
          <cell r="A1558" t="str">
            <v>Producto: 2331003021010101 / SANSON PLATO ROYAL 32 GRIS</v>
          </cell>
          <cell r="B1558">
            <v>6</v>
          </cell>
        </row>
        <row r="1559">
          <cell r="A1559" t="str">
            <v>Producto: 2331003026010101 / SANSON PLATO ROYAL 32 NEGRO</v>
          </cell>
          <cell r="B1559">
            <v>6</v>
          </cell>
        </row>
        <row r="1560">
          <cell r="A1560" t="str">
            <v>Producto: 2331003029010101 / SANSON PLATO ROYAL 32 ROJO</v>
          </cell>
          <cell r="B1560">
            <v>6</v>
          </cell>
        </row>
        <row r="1561">
          <cell r="A1561" t="str">
            <v>Producto: 2331003033010101 / SANSON PLATO ROYAL 32 TITANIO</v>
          </cell>
          <cell r="B1561">
            <v>6</v>
          </cell>
        </row>
        <row r="1562">
          <cell r="A1562" t="str">
            <v>Producto: 2332001701010101 / SANSON  PLATO TROQUELADO 16</v>
          </cell>
          <cell r="B1562">
            <v>6</v>
          </cell>
        </row>
        <row r="1563">
          <cell r="A1563" t="str">
            <v>Producto: 2332001702010101 / SANSON PLATO TROQUELADO 16 A/T</v>
          </cell>
          <cell r="B1563">
            <v>6</v>
          </cell>
        </row>
        <row r="1564">
          <cell r="A1564" t="str">
            <v>Producto: 2332001706010101 / SANSON PLATO TROQUELADO 16 AZUL</v>
          </cell>
          <cell r="B1564">
            <v>6</v>
          </cell>
        </row>
        <row r="1565">
          <cell r="A1565" t="str">
            <v>Producto: 2332001716010101 / SANSON PLATO TROQUELADO 16 BLANCO</v>
          </cell>
          <cell r="B1565">
            <v>6</v>
          </cell>
        </row>
        <row r="1566">
          <cell r="A1566" t="str">
            <v>Producto: 2332001717010101 / SANSON PLATO TROQUELADO 16 COBALTO</v>
          </cell>
          <cell r="B1566">
            <v>6</v>
          </cell>
        </row>
        <row r="1567">
          <cell r="A1567" t="str">
            <v>Producto: 2332001720010101 / SANSON PLATO TROQUELADO 16 GENERICO</v>
          </cell>
          <cell r="B1567">
            <v>6</v>
          </cell>
        </row>
        <row r="1568">
          <cell r="A1568" t="str">
            <v>Producto: 2332001721010101 / SANSON PLATO TROQUELADO 16 GRIS</v>
          </cell>
          <cell r="B1568">
            <v>6</v>
          </cell>
        </row>
        <row r="1569">
          <cell r="A1569" t="str">
            <v>Producto: 2332001723010101 / SANSON PLATO TROQUELADO 16 NARANJA</v>
          </cell>
          <cell r="B1569">
            <v>6</v>
          </cell>
        </row>
        <row r="1570">
          <cell r="A1570" t="str">
            <v>Producto: 2332001726010101 / SANSON PLATO TROQUELADO 16 NEGRO</v>
          </cell>
          <cell r="B1570">
            <v>6</v>
          </cell>
        </row>
        <row r="1571">
          <cell r="A1571" t="str">
            <v>Producto: 2332001727010101 / SANSON PLATO TROQUELADO 16 NEGRO MOTAS</v>
          </cell>
          <cell r="B1571">
            <v>6</v>
          </cell>
        </row>
        <row r="1572">
          <cell r="A1572" t="str">
            <v>Producto: 2332001728010101 / SANSON PLATO TROQUELADO 16 NEVADO</v>
          </cell>
          <cell r="B1572">
            <v>6</v>
          </cell>
        </row>
        <row r="1573">
          <cell r="A1573" t="str">
            <v>Producto: 2332001729010101 / SANSON PLATO TROQUELADO 16 ROJO</v>
          </cell>
          <cell r="B1573">
            <v>6</v>
          </cell>
        </row>
        <row r="1574">
          <cell r="A1574" t="str">
            <v>Producto: 2332001730010101 / SANSON PLATO TROQUELADO 16 ROJO MOTAS</v>
          </cell>
          <cell r="B1574">
            <v>6</v>
          </cell>
        </row>
        <row r="1575">
          <cell r="A1575" t="str">
            <v>Producto: 2332001733010101 / SANSON PLATO TROQUELADO 16 TITANIO</v>
          </cell>
          <cell r="B1575">
            <v>6</v>
          </cell>
        </row>
        <row r="1576">
          <cell r="A1576" t="str">
            <v>Producto: 2332001747010101 / SANSON PLATO TROQUELADO 16 VERDE</v>
          </cell>
          <cell r="B1576">
            <v>6</v>
          </cell>
        </row>
        <row r="1577">
          <cell r="A1577" t="str">
            <v>Producto: 2332001760010101 / SANSON PLATO TROQUELADO 16 NEGRO PIEDRA</v>
          </cell>
          <cell r="B1577">
            <v>6</v>
          </cell>
        </row>
        <row r="1578">
          <cell r="A1578" t="str">
            <v>Producto: 2332003001010101 / SANSON  PLATO TROQUELADO 32</v>
          </cell>
          <cell r="B1578">
            <v>6</v>
          </cell>
        </row>
        <row r="1579">
          <cell r="A1579" t="str">
            <v>Producto: 2332003002010101 / SANSON PLATO TROQUELADO 32 A/T</v>
          </cell>
          <cell r="B1579">
            <v>6</v>
          </cell>
        </row>
        <row r="1580">
          <cell r="A1580" t="str">
            <v>Producto: 2332003006010101 / SANSON PLATO TROQUELADO 32 AZUL</v>
          </cell>
          <cell r="B1580">
            <v>6</v>
          </cell>
        </row>
        <row r="1581">
          <cell r="A1581" t="str">
            <v>Producto: 2332003016010101 / SANSON PLATO TROQUELADO 32 BLANCO</v>
          </cell>
          <cell r="B1581">
            <v>6</v>
          </cell>
        </row>
        <row r="1582">
          <cell r="A1582" t="str">
            <v>Producto: 2332003016050101 / SANSON PLATO TROQUELADO 32 BLANCO C/F NEGRO</v>
          </cell>
          <cell r="B1582">
            <v>6</v>
          </cell>
        </row>
        <row r="1583">
          <cell r="A1583" t="str">
            <v>Producto: 2332003017010101 / SANSON PLATO TROQUELADO 32 COBALTO</v>
          </cell>
          <cell r="B1583">
            <v>6</v>
          </cell>
        </row>
        <row r="1584">
          <cell r="A1584" t="str">
            <v>Producto: 2332003020010101 / SANSON PLATO TROQUELADO 32 GENERICO</v>
          </cell>
          <cell r="B1584">
            <v>6</v>
          </cell>
        </row>
        <row r="1585">
          <cell r="A1585" t="str">
            <v>Producto: 2332003021010101 / SANSON PLATO TROQUELADO 32 GRIS</v>
          </cell>
          <cell r="B1585">
            <v>6</v>
          </cell>
        </row>
        <row r="1586">
          <cell r="A1586" t="str">
            <v>Producto: 2332003023010101 / SANSON PLATO TROQUELADO 32 NARANJA</v>
          </cell>
          <cell r="B1586">
            <v>6</v>
          </cell>
        </row>
        <row r="1587">
          <cell r="A1587" t="str">
            <v xml:space="preserve">Producto: 2332003026010101 / SANSON PLATO TROQUELADO 32 NEGRO </v>
          </cell>
          <cell r="B1587">
            <v>6</v>
          </cell>
        </row>
        <row r="1588">
          <cell r="A1588" t="str">
            <v>Producto: 2332003027010101 / SANSON PLATO TROQUELADO 32 NEGRO MOTAS</v>
          </cell>
          <cell r="B1588">
            <v>6</v>
          </cell>
        </row>
        <row r="1589">
          <cell r="A1589" t="str">
            <v>Producto: 2332003028010101 / SANSON PLATO TROQUELADO 32 NEVADO</v>
          </cell>
          <cell r="B1589">
            <v>6</v>
          </cell>
        </row>
        <row r="1590">
          <cell r="A1590" t="str">
            <v>Producto: 2332003029010101 / SANSON PLATO TROQUELADO 32 ROJO</v>
          </cell>
          <cell r="B1590">
            <v>6</v>
          </cell>
        </row>
        <row r="1591">
          <cell r="A1591" t="str">
            <v>Producto: 2332003033010101 / SANSON PLATO TROQUELADO 32 TITANIO</v>
          </cell>
          <cell r="B1591">
            <v>6</v>
          </cell>
        </row>
        <row r="1592">
          <cell r="A1592" t="str">
            <v>Producto: 2332003047010101 / SANSON PLATO TROQUELADO 32 VERDE</v>
          </cell>
          <cell r="B1592">
            <v>6</v>
          </cell>
        </row>
        <row r="1593">
          <cell r="A1593" t="str">
            <v>Producto: 2332003060010101 / SANSON PLATO TROQUELADO 32 NEGRO PIEDRA</v>
          </cell>
          <cell r="B1593">
            <v>6</v>
          </cell>
        </row>
        <row r="1594">
          <cell r="A1594" t="str">
            <v>Producto: 2333000901010101 / SANSON  POCILLO 5</v>
          </cell>
          <cell r="B1594">
            <v>24</v>
          </cell>
        </row>
        <row r="1595">
          <cell r="A1595" t="str">
            <v>Producto: 2333000901010701 / SANSON POCILLO 5  DECORADO</v>
          </cell>
          <cell r="B1595">
            <v>24</v>
          </cell>
        </row>
        <row r="1596">
          <cell r="A1596" t="str">
            <v>Producto: 2333000902010101 / SANSON POCILLO 5 A/T</v>
          </cell>
          <cell r="B1596">
            <v>24</v>
          </cell>
        </row>
        <row r="1597">
          <cell r="A1597" t="str">
            <v>Producto: 2333000902010701 / SANSON POCILLO 5 A/T DECORADO</v>
          </cell>
          <cell r="B1597">
            <v>24</v>
          </cell>
        </row>
        <row r="1598">
          <cell r="A1598" t="str">
            <v>Producto: 2333000905010101 / SANSON POCILLO 5 AQUA</v>
          </cell>
          <cell r="B1598">
            <v>24</v>
          </cell>
        </row>
        <row r="1599">
          <cell r="A1599" t="str">
            <v>Producto: 2333000909010101 / SANSON POCILLO 5 BICOLOR AMARILLO</v>
          </cell>
          <cell r="B1599">
            <v>24</v>
          </cell>
        </row>
        <row r="1600">
          <cell r="A1600" t="str">
            <v>Producto: 2333000916030101 / SANSON POCILLO 5 BLANCO C/F COBALTO</v>
          </cell>
          <cell r="B1600">
            <v>24</v>
          </cell>
        </row>
        <row r="1601">
          <cell r="A1601" t="str">
            <v>Producto: 2333000916030701 / SANSON POCILLO 5 BLANCO C/F COBALTO DECORADO</v>
          </cell>
          <cell r="B1601">
            <v>24</v>
          </cell>
        </row>
        <row r="1602">
          <cell r="A1602" t="str">
            <v>Producto: 2333000916040101 / SANSON POCILLO 5 BLANCO C/F GRIS</v>
          </cell>
          <cell r="B1602">
            <v>24</v>
          </cell>
        </row>
        <row r="1603">
          <cell r="A1603" t="str">
            <v>Producto: 2333000916040701 / SANSON POCILLO 5 BLANCO C/F GRIS DECORADO</v>
          </cell>
          <cell r="B1603">
            <v>24</v>
          </cell>
        </row>
        <row r="1604">
          <cell r="A1604" t="str">
            <v>Producto: 2333000916050101 / SANSON POCILLO 5 BLANCO C/F NEGRO</v>
          </cell>
          <cell r="B1604">
            <v>24</v>
          </cell>
        </row>
        <row r="1605">
          <cell r="A1605" t="str">
            <v>Producto: 2333000916050701 / SANSON POCILLO 5 BLANCO C/F NEGRO DECORADO</v>
          </cell>
          <cell r="B1605">
            <v>24</v>
          </cell>
        </row>
        <row r="1606">
          <cell r="A1606" t="str">
            <v>Producto: 2333000916060101 / SANSON POCILLO 5 BLANCO C/F NEVADO</v>
          </cell>
          <cell r="B1606">
            <v>24</v>
          </cell>
        </row>
        <row r="1607">
          <cell r="A1607" t="str">
            <v>Producto: 2333000916070101 / SANSON POCILLO 5 BLANCO C/F ROJO</v>
          </cell>
          <cell r="B1607">
            <v>24</v>
          </cell>
        </row>
        <row r="1608">
          <cell r="A1608" t="str">
            <v>Producto: 2333000916070701 / SANSON POCILLO 5 BLANCO C/F ROJO DECORADO</v>
          </cell>
          <cell r="B1608">
            <v>24</v>
          </cell>
        </row>
        <row r="1609">
          <cell r="A1609" t="str">
            <v>Producto: 2333000916090101 / SANSON POCILLO 5 BLANCO C/F VERDE</v>
          </cell>
          <cell r="B1609">
            <v>24</v>
          </cell>
        </row>
        <row r="1610">
          <cell r="A1610" t="str">
            <v>Producto: 2333000917010101 / SANSON POCILLO 5 COBALTO</v>
          </cell>
          <cell r="B1610">
            <v>24</v>
          </cell>
        </row>
        <row r="1611">
          <cell r="A1611" t="str">
            <v>Producto: 2333000920010101 / SANSON POCILLO 5 GENERICO</v>
          </cell>
          <cell r="B1611">
            <v>24</v>
          </cell>
        </row>
        <row r="1612">
          <cell r="A1612" t="str">
            <v>Producto: 2333000921010101 / SANSON POCILLO 5 GRIS</v>
          </cell>
          <cell r="B1612">
            <v>24</v>
          </cell>
        </row>
        <row r="1613">
          <cell r="A1613" t="str">
            <v>Producto: 2333000921010701 / SANSON POCILLO 5 GRIS DECORADO</v>
          </cell>
          <cell r="B1613">
            <v>24</v>
          </cell>
        </row>
        <row r="1614">
          <cell r="A1614" t="str">
            <v>Producto: 2333000925010101 / SANSON POCILLO 5 NAVY</v>
          </cell>
          <cell r="B1614">
            <v>24</v>
          </cell>
        </row>
        <row r="1615">
          <cell r="A1615" t="str">
            <v>Producto: 2333000926010101 / SANSON POCILLO 5 NEGRO</v>
          </cell>
          <cell r="B1615">
            <v>24</v>
          </cell>
        </row>
        <row r="1616">
          <cell r="A1616" t="str">
            <v xml:space="preserve">Producto: 2333000926010701 / SANSON POCILLO 5 NEGRO DECORADO </v>
          </cell>
          <cell r="B1616">
            <v>24</v>
          </cell>
        </row>
        <row r="1617">
          <cell r="A1617" t="str">
            <v>Producto: 2333000927010101 / SANSON POCILLO 5 NEGRO MOTAS</v>
          </cell>
          <cell r="B1617">
            <v>24</v>
          </cell>
        </row>
        <row r="1618">
          <cell r="A1618" t="str">
            <v>Producto: 2333000932010115 / SANSON POCILLO 5 ROSA MOTAS</v>
          </cell>
          <cell r="B1618">
            <v>24</v>
          </cell>
        </row>
        <row r="1619">
          <cell r="A1619" t="str">
            <v>Producto: 2333000933010101 / SANSON POCILLO 5 TITANIO</v>
          </cell>
          <cell r="B1619">
            <v>24</v>
          </cell>
        </row>
        <row r="1620">
          <cell r="A1620" t="str">
            <v>Producto: 2333000947010101 / SANSON POCILLO 5 VERDE</v>
          </cell>
          <cell r="B1620">
            <v>24</v>
          </cell>
        </row>
        <row r="1621">
          <cell r="A1621" t="str">
            <v>Producto: 2333000960010101 / SANSON POCILLO 5 NEGRO PIEDRA</v>
          </cell>
          <cell r="B1621">
            <v>24</v>
          </cell>
        </row>
        <row r="1622">
          <cell r="A1622" t="str">
            <v>Producto: 2333001001010101 / SANSON  POCILLO 6</v>
          </cell>
          <cell r="B1622">
            <v>24</v>
          </cell>
        </row>
        <row r="1623">
          <cell r="A1623" t="str">
            <v>Producto: 2333001002010101 / SANSON POCILLO 6 A/T</v>
          </cell>
          <cell r="B1623">
            <v>24</v>
          </cell>
        </row>
        <row r="1624">
          <cell r="A1624" t="str">
            <v>Producto: 2333001009010101 / SANSON POCILLO 6 BICOLOR AMARILLO</v>
          </cell>
          <cell r="B1624">
            <v>24</v>
          </cell>
        </row>
        <row r="1625">
          <cell r="A1625" t="str">
            <v>Producto: 2333001016030101 / SANSON POCILLO 6 BLANCO C/F COBALTO</v>
          </cell>
          <cell r="B1625">
            <v>24</v>
          </cell>
        </row>
        <row r="1626">
          <cell r="A1626" t="str">
            <v>Producto: 2333001016040101 / SANSON POCILLO 6 BLANCO C/F GRIS</v>
          </cell>
          <cell r="B1626">
            <v>24</v>
          </cell>
        </row>
        <row r="1627">
          <cell r="A1627" t="str">
            <v>Producto: 2333001016050101 / SANSON POCILLO 6 BLANCO C/F NEGRO</v>
          </cell>
          <cell r="B1627">
            <v>24</v>
          </cell>
        </row>
        <row r="1628">
          <cell r="A1628" t="str">
            <v>Producto: 2333001016070101 / SANSON POCILLO 6 BLANCO C/F ROJO</v>
          </cell>
          <cell r="B1628">
            <v>24</v>
          </cell>
        </row>
        <row r="1629">
          <cell r="A1629" t="str">
            <v>Producto: 2333001017010101 / SANSON POCILLO 6 COBALTO</v>
          </cell>
          <cell r="B1629">
            <v>24</v>
          </cell>
        </row>
        <row r="1630">
          <cell r="A1630" t="str">
            <v>Producto: 2333001018010101 / SANSON POCILLO 6 COBALTO MOTAS</v>
          </cell>
          <cell r="B1630">
            <v>24</v>
          </cell>
        </row>
        <row r="1631">
          <cell r="A1631" t="str">
            <v>Producto: 2333001020010101 / SANSON POCILLO 6 GENERICO</v>
          </cell>
          <cell r="B1631">
            <v>24</v>
          </cell>
        </row>
        <row r="1632">
          <cell r="A1632" t="str">
            <v>Producto: 2333001021010101 / SANSON POCILLO 6 GRIS</v>
          </cell>
          <cell r="B1632">
            <v>24</v>
          </cell>
        </row>
        <row r="1633">
          <cell r="A1633" t="str">
            <v>Producto: 2333001026010101 / SANSON POCILLO 6 NEGRO</v>
          </cell>
          <cell r="B1633">
            <v>24</v>
          </cell>
        </row>
        <row r="1634">
          <cell r="A1634" t="str">
            <v xml:space="preserve">Producto: 2333001027010101 / SANSON POCILLO 6 NEGRO MOTAS </v>
          </cell>
          <cell r="B1634">
            <v>24</v>
          </cell>
        </row>
        <row r="1635">
          <cell r="A1635" t="str">
            <v>Producto: 2333001033010101 / SANSON POCILLO 6 TITANIO</v>
          </cell>
          <cell r="B1635">
            <v>24</v>
          </cell>
        </row>
        <row r="1636">
          <cell r="A1636" t="str">
            <v>Producto: 2333001058010101 / SANSON POCILLO 6 BICOLOR BLANCO</v>
          </cell>
          <cell r="B1636">
            <v>24</v>
          </cell>
        </row>
        <row r="1637">
          <cell r="A1637" t="str">
            <v>Producto: 2333001201010101 / SANSON  POCILLO 8</v>
          </cell>
          <cell r="B1637">
            <v>24</v>
          </cell>
        </row>
        <row r="1638">
          <cell r="A1638" t="str">
            <v>Producto: 2333001202010101 / SANSON POCILLO 8 A/T</v>
          </cell>
          <cell r="B1638">
            <v>24</v>
          </cell>
        </row>
        <row r="1639">
          <cell r="A1639" t="str">
            <v>Producto: 2333001205010101 / SANSON POCILLO 8 AQUA</v>
          </cell>
          <cell r="B1639">
            <v>24</v>
          </cell>
        </row>
        <row r="1640">
          <cell r="A1640" t="str">
            <v>Producto: 2333001208010101 / SANSON POCILLO 8 BICOLOR</v>
          </cell>
          <cell r="B1640">
            <v>24</v>
          </cell>
        </row>
        <row r="1641">
          <cell r="A1641" t="str">
            <v>Producto: 2333001209010101 / SANSON POCILLO 8 BICOLOR AMARILLO</v>
          </cell>
          <cell r="B1641">
            <v>24</v>
          </cell>
        </row>
        <row r="1642">
          <cell r="A1642" t="str">
            <v>Producto: 2333001210010101 / SANSON POCILLO 8 BICOLOR AZUL</v>
          </cell>
          <cell r="B1642">
            <v>24</v>
          </cell>
        </row>
        <row r="1643">
          <cell r="A1643" t="str">
            <v>Producto: 2333001211010101 / SANSON POCILLO 8 BICOLOR COBALTO</v>
          </cell>
          <cell r="B1643">
            <v>24</v>
          </cell>
        </row>
        <row r="1644">
          <cell r="A1644" t="str">
            <v>Producto: 2333001212010101 / SANSON POCILLO 8 BICOLOR NARANJA</v>
          </cell>
          <cell r="B1644">
            <v>24</v>
          </cell>
        </row>
        <row r="1645">
          <cell r="A1645" t="str">
            <v>Producto: 2333001214010101 / SANSON POCILLO 8 BICOLOR ROJO</v>
          </cell>
          <cell r="B1645">
            <v>24</v>
          </cell>
        </row>
        <row r="1646">
          <cell r="A1646" t="str">
            <v>Producto: 2333001215010101 / SANSON POCILLO 8 BICOLOR VERDE</v>
          </cell>
          <cell r="B1646">
            <v>24</v>
          </cell>
        </row>
        <row r="1647">
          <cell r="A1647" t="str">
            <v>Producto: 2333001216020101 / SANSON POCILLO 8 BLANCO C/F AQUA</v>
          </cell>
          <cell r="B1647">
            <v>24</v>
          </cell>
        </row>
        <row r="1648">
          <cell r="A1648" t="str">
            <v>Producto: 2333001216030101 / SANSON POCILLO 8 BLANCO C/F COBALTO</v>
          </cell>
          <cell r="B1648">
            <v>24</v>
          </cell>
        </row>
        <row r="1649">
          <cell r="A1649" t="str">
            <v>Producto: 2333001216030701 / SANSON POCILLO 8 BLANCO C/F COBALTO DECORADO</v>
          </cell>
          <cell r="B1649">
            <v>24</v>
          </cell>
        </row>
        <row r="1650">
          <cell r="A1650" t="str">
            <v>Producto: 2333001216040101 / SANSON POCILLO 8 BLANCO C/F GRIS</v>
          </cell>
          <cell r="B1650">
            <v>24</v>
          </cell>
        </row>
        <row r="1651">
          <cell r="A1651" t="str">
            <v>Producto: 2333001216040701 / SANSON POCILLO 8 BLANCO C/F GRIS DECORADO</v>
          </cell>
          <cell r="B1651">
            <v>24</v>
          </cell>
        </row>
        <row r="1652">
          <cell r="A1652" t="str">
            <v>Producto: 2333001216050101 / SANSON POCILLO 8 BLANCO C/F NEGRO</v>
          </cell>
          <cell r="B1652">
            <v>24</v>
          </cell>
        </row>
        <row r="1653">
          <cell r="A1653" t="str">
            <v>Producto: 2333001216050701 / SANSON POCILLO 8 BLANCO C/F NEGRO DECORADO</v>
          </cell>
          <cell r="B1653">
            <v>24</v>
          </cell>
        </row>
        <row r="1654">
          <cell r="A1654" t="str">
            <v>Producto: 2333001216060101 / SANSON POCILLO 8 BLANCO C/F NEVADO</v>
          </cell>
          <cell r="B1654">
            <v>24</v>
          </cell>
        </row>
        <row r="1655">
          <cell r="A1655" t="str">
            <v>Producto: 2333001216070101 / SANSON POCILLO 8 BLANCO C/F ROJO</v>
          </cell>
          <cell r="B1655">
            <v>24</v>
          </cell>
        </row>
        <row r="1656">
          <cell r="A1656" t="str">
            <v>Producto: 2333001216070701 / SANSON POCILLO 8 BLANCO C/F ROJO DECORADO</v>
          </cell>
          <cell r="B1656">
            <v>24</v>
          </cell>
        </row>
        <row r="1657">
          <cell r="A1657" t="str">
            <v>Producto: 2333001216090101 / SANSON POCILLO 8 BLANCO C/F VERDE</v>
          </cell>
          <cell r="B1657">
            <v>24</v>
          </cell>
        </row>
        <row r="1658">
          <cell r="A1658" t="str">
            <v>Producto: 2333001216090701 / SANSON POCILLO 8 BLANCO C/F VERDE DECORADO</v>
          </cell>
          <cell r="B1658">
            <v>24</v>
          </cell>
        </row>
        <row r="1659">
          <cell r="A1659" t="str">
            <v>Producto: 2333001216110101 / SANSON POCILLO 8 BLANCO C/F CAFÉ</v>
          </cell>
          <cell r="B1659">
            <v>24</v>
          </cell>
        </row>
        <row r="1660">
          <cell r="A1660" t="str">
            <v>Producto: 2333001216110701 / SANSON POCILLO 8 BLANCO C/F CAFE DECORADO</v>
          </cell>
          <cell r="B1660">
            <v>24</v>
          </cell>
        </row>
        <row r="1661">
          <cell r="A1661" t="str">
            <v>Producto: 2333001217010101 / SANSON POCILLO 8 COBALTO</v>
          </cell>
          <cell r="B1661">
            <v>24</v>
          </cell>
        </row>
        <row r="1662">
          <cell r="A1662" t="str">
            <v>Producto: 2333001217010701 / SANSON POCILLO 8 COBALTO DECORADO</v>
          </cell>
          <cell r="B1662">
            <v>24</v>
          </cell>
        </row>
        <row r="1663">
          <cell r="A1663" t="str">
            <v>Producto: 2333001220010101 / SANSON POCILLO 8 GENERICO</v>
          </cell>
          <cell r="B1663">
            <v>24</v>
          </cell>
        </row>
        <row r="1664">
          <cell r="A1664" t="str">
            <v>Producto: 2333001221010101 / SANSON POCILLO 8 GRIS</v>
          </cell>
          <cell r="B1664">
            <v>24</v>
          </cell>
        </row>
        <row r="1665">
          <cell r="A1665" t="str">
            <v>Producto: 2333001221010701 / SANSON POCILLO 8 GRIS DECORADO</v>
          </cell>
          <cell r="B1665">
            <v>24</v>
          </cell>
        </row>
        <row r="1666">
          <cell r="A1666" t="str">
            <v>Producto: 2333001226010101 / SANSON POCILLO 8 NEGRO</v>
          </cell>
          <cell r="B1666">
            <v>24</v>
          </cell>
        </row>
        <row r="1667">
          <cell r="A1667" t="str">
            <v>Producto: 2333001226010701 / SANSON POCILLO 8 NEGRO DECORADO</v>
          </cell>
          <cell r="B1667">
            <v>24</v>
          </cell>
        </row>
        <row r="1668">
          <cell r="A1668" t="str">
            <v>Producto: 2333001227010101 / SANSON POCILLO 8 NEGRO MOTAS</v>
          </cell>
          <cell r="B1668">
            <v>24</v>
          </cell>
        </row>
        <row r="1669">
          <cell r="A1669" t="str">
            <v>Producto: 2333001227010701 / SANSON POCILLO 8 NEGRO MOTAS DECORADO</v>
          </cell>
          <cell r="B1669">
            <v>24</v>
          </cell>
        </row>
        <row r="1670">
          <cell r="A1670" t="str">
            <v>Producto: 2333001228010101 / SANSON POCILLO 8 NEVADO</v>
          </cell>
          <cell r="B1670">
            <v>24</v>
          </cell>
        </row>
        <row r="1671">
          <cell r="A1671" t="str">
            <v>Producto: 2333001233010101 / SANSON POCILLO 8 TITANIO</v>
          </cell>
          <cell r="B1671">
            <v>24</v>
          </cell>
        </row>
        <row r="1672">
          <cell r="A1672" t="str">
            <v>Producto: 2333001246090101 / SANSON POCILLO 8 TRIGO</v>
          </cell>
          <cell r="B1672">
            <v>24</v>
          </cell>
        </row>
        <row r="1673">
          <cell r="A1673" t="str">
            <v>Producto: 2333001246090701 / SANSON POCILLO 8 TRIGO C/F VERDE DECORADO</v>
          </cell>
          <cell r="B1673">
            <v>24</v>
          </cell>
        </row>
        <row r="1674">
          <cell r="A1674" t="str">
            <v>Producto: 2333001247010101 / SANSON POCILLO 8 VERDE</v>
          </cell>
          <cell r="B1674">
            <v>24</v>
          </cell>
        </row>
        <row r="1675">
          <cell r="A1675" t="str">
            <v>Producto: 2333001254010101 / SANSON POCILLO 8 BICOLOR ROJO MOTAS</v>
          </cell>
          <cell r="B1675">
            <v>24</v>
          </cell>
        </row>
        <row r="1676">
          <cell r="A1676" t="str">
            <v>Producto: 2333001257010101 / SANSON POCILLO 8 BICOLOR GRIS</v>
          </cell>
          <cell r="B1676">
            <v>24</v>
          </cell>
        </row>
        <row r="1677">
          <cell r="A1677" t="str">
            <v xml:space="preserve">Producto: 2333001259010101 / SANSON POCILLO 8 ARENA </v>
          </cell>
          <cell r="B1677">
            <v>24</v>
          </cell>
        </row>
        <row r="1678">
          <cell r="A1678" t="str">
            <v>Producto: 2333001260010115 / SANSON POCILLO 8 ROSA MOTAS</v>
          </cell>
          <cell r="B1678">
            <v>24</v>
          </cell>
        </row>
        <row r="1679">
          <cell r="A1679" t="str">
            <v>Producto: 2333001301010101 / SANSON  POCILLO 10</v>
          </cell>
          <cell r="B1679">
            <v>24</v>
          </cell>
        </row>
        <row r="1680">
          <cell r="A1680" t="str">
            <v>Producto: 2333001302010101 / SANSON POCILLO 10 A/T</v>
          </cell>
          <cell r="B1680">
            <v>24</v>
          </cell>
        </row>
        <row r="1681">
          <cell r="A1681" t="str">
            <v>Producto: 2333001316050101 / SANSON POCILLO 10 BLANCO C/F NEGRO</v>
          </cell>
          <cell r="B1681">
            <v>24</v>
          </cell>
        </row>
        <row r="1682">
          <cell r="A1682" t="str">
            <v>Producto: 2333001321010101 / SANSON POCILLO 10 GRIS</v>
          </cell>
          <cell r="B1682">
            <v>24</v>
          </cell>
        </row>
        <row r="1683">
          <cell r="A1683" t="str">
            <v>Producto: 2333001401010101 / SANSON  POCILLO 12</v>
          </cell>
          <cell r="B1683">
            <v>12</v>
          </cell>
        </row>
        <row r="1684">
          <cell r="A1684" t="str">
            <v xml:space="preserve">Producto: 2333001401010701 / SANSON POCILLO 12 DECORADO </v>
          </cell>
          <cell r="B1684">
            <v>12</v>
          </cell>
        </row>
        <row r="1685">
          <cell r="A1685" t="str">
            <v>Producto: 2333001402010101 / SANSON POCILLO 12 A/T</v>
          </cell>
          <cell r="B1685">
            <v>12</v>
          </cell>
        </row>
        <row r="1686">
          <cell r="A1686" t="str">
            <v>Producto: 2333001501010701 / SANSON POCILLO 14  DECORADO</v>
          </cell>
          <cell r="B1686">
            <v>12</v>
          </cell>
        </row>
        <row r="1687">
          <cell r="A1687" t="str">
            <v>Producto: 2333001502010101 / SANSON  POCILLO 14 A/T</v>
          </cell>
          <cell r="B1687">
            <v>6</v>
          </cell>
        </row>
        <row r="1688">
          <cell r="A1688" t="str">
            <v>Producto: 2333001508010101 / SANSON  POCILLO 14 BICOLOR</v>
          </cell>
          <cell r="B1688">
            <v>6</v>
          </cell>
        </row>
        <row r="1689">
          <cell r="A1689" t="str">
            <v>Producto: 2333001509010101 / SANSON POCILLO 14 BICOLOR AMARILLO</v>
          </cell>
          <cell r="B1689">
            <v>6</v>
          </cell>
        </row>
        <row r="1690">
          <cell r="A1690" t="str">
            <v>Producto: 2333001510010101 / SANSON POCILLO 14 BICOLOR AZUL</v>
          </cell>
          <cell r="B1690">
            <v>6</v>
          </cell>
        </row>
        <row r="1691">
          <cell r="A1691" t="str">
            <v>Producto: 2333001512010101 / SANSON POCILLO 14 BICOLOR NARANJA</v>
          </cell>
          <cell r="B1691">
            <v>6</v>
          </cell>
        </row>
        <row r="1692">
          <cell r="A1692" t="str">
            <v>Producto: 2333001514010101 / SANSON POCILLO 14 BICOLOR ROJO</v>
          </cell>
          <cell r="B1692">
            <v>6</v>
          </cell>
        </row>
        <row r="1693">
          <cell r="A1693" t="str">
            <v>Producto: 2333001515010101 / SANSON POCILLO 14 BICOLOR VERDE</v>
          </cell>
          <cell r="B1693">
            <v>6</v>
          </cell>
        </row>
        <row r="1694">
          <cell r="A1694" t="str">
            <v>Producto: 2333001520010101 / SANSON POCILLO 14 GENERICO</v>
          </cell>
          <cell r="B1694">
            <v>6</v>
          </cell>
        </row>
        <row r="1695">
          <cell r="A1695" t="str">
            <v>Producto: 2333001521010101 / SANSON POCILLO 14 GRIS</v>
          </cell>
          <cell r="B1695">
            <v>6</v>
          </cell>
        </row>
        <row r="1696">
          <cell r="A1696" t="str">
            <v>Producto: 2333001528010101 / SANSON POCILLO 14 NEVADO</v>
          </cell>
          <cell r="B1696">
            <v>6</v>
          </cell>
        </row>
        <row r="1697">
          <cell r="A1697" t="str">
            <v>Producto: 2333001546010101 / SANSON POCILLO 14 TRIGO</v>
          </cell>
          <cell r="B1697">
            <v>6</v>
          </cell>
        </row>
        <row r="1698">
          <cell r="A1698" t="str">
            <v>Producto: 2333001549010101 / SANSON POCILLO 14 VERDE MOTAS</v>
          </cell>
          <cell r="B1698">
            <v>6</v>
          </cell>
        </row>
        <row r="1699">
          <cell r="A1699" t="str">
            <v>Producto: 2333001552010101 / SANSON POCILLO 14 BICOLOR ROJO NEGRO</v>
          </cell>
          <cell r="B1699">
            <v>6</v>
          </cell>
        </row>
        <row r="1700">
          <cell r="A1700" t="str">
            <v>Producto: 2335000101010701 / SANSON PORTAVASOS DECORADO</v>
          </cell>
          <cell r="B1700">
            <v>48</v>
          </cell>
        </row>
        <row r="1701">
          <cell r="A1701" t="str">
            <v>Producto: 2335000102010101 / SANSON PORTAVASOS A/T</v>
          </cell>
          <cell r="B1701">
            <v>48</v>
          </cell>
        </row>
        <row r="1702">
          <cell r="A1702" t="str">
            <v>Producto: 2335000116040101 / SANSON PORTAVASOS BLANCO C/F GRIS</v>
          </cell>
          <cell r="B1702">
            <v>48</v>
          </cell>
        </row>
        <row r="1703">
          <cell r="A1703" t="str">
            <v>Producto: 2335000116050101 / SANSON PORTAVASOS BLANCO C/F NEGRO</v>
          </cell>
          <cell r="B1703">
            <v>48</v>
          </cell>
        </row>
        <row r="1704">
          <cell r="A1704" t="str">
            <v xml:space="preserve">Producto: 2335000116050701 / SANSON PORTAVASOS BLANCO C/F NEGRO DECORADO </v>
          </cell>
          <cell r="B1704">
            <v>48</v>
          </cell>
        </row>
        <row r="1705">
          <cell r="A1705" t="str">
            <v>Producto: 2335000117010101 / SANSON PORTAVASOS COBALTO</v>
          </cell>
          <cell r="B1705">
            <v>48</v>
          </cell>
        </row>
        <row r="1706">
          <cell r="A1706" t="str">
            <v>Producto: 2335000120010101 / SANSON PORTAVASOS GENERICO</v>
          </cell>
          <cell r="B1706">
            <v>48</v>
          </cell>
        </row>
        <row r="1707">
          <cell r="A1707" t="str">
            <v>Producto: 2335000121010101 / SANSON PORTAVASOS GRIS</v>
          </cell>
          <cell r="B1707">
            <v>48</v>
          </cell>
        </row>
        <row r="1708">
          <cell r="A1708" t="str">
            <v>Producto: 2335000124010101 / SANSON PORTAVASOS NARANJA MOTAS</v>
          </cell>
          <cell r="B1708">
            <v>48</v>
          </cell>
        </row>
        <row r="1709">
          <cell r="A1709" t="str">
            <v>Producto: 2335000126010101 / SANSON PORTAVASOS NEGRO</v>
          </cell>
          <cell r="B1709">
            <v>48</v>
          </cell>
        </row>
        <row r="1710">
          <cell r="A1710" t="str">
            <v>Producto: 2335000127010101 / SANSON PORTAVASOS NEGRO MOTAS</v>
          </cell>
          <cell r="B1710">
            <v>48</v>
          </cell>
        </row>
        <row r="1711">
          <cell r="A1711" t="str">
            <v>Producto: 2335000130010101 / SANSON PORTAVASOS ROJO MOTAS</v>
          </cell>
          <cell r="B1711">
            <v>48</v>
          </cell>
        </row>
        <row r="1712">
          <cell r="A1712" t="str">
            <v>Producto: 2335000149010101 / SANSON PORTAVASOS VERDE MOTAS</v>
          </cell>
          <cell r="B1712">
            <v>48</v>
          </cell>
        </row>
        <row r="1713">
          <cell r="A1713" t="str">
            <v>Producto: 2336002201010101 / SANSON SARTEN 20</v>
          </cell>
          <cell r="B1713">
            <v>12</v>
          </cell>
        </row>
        <row r="1714">
          <cell r="A1714" t="str">
            <v>Producto: 2336002217010101 / SANSON SARTEN 20 COBALTO</v>
          </cell>
          <cell r="B1714">
            <v>12</v>
          </cell>
        </row>
        <row r="1715">
          <cell r="A1715" t="str">
            <v>Producto: 2336002220010101 / SANSON SARTEN 20 GENERICO</v>
          </cell>
          <cell r="B1715">
            <v>12</v>
          </cell>
        </row>
        <row r="1716">
          <cell r="A1716" t="str">
            <v>Producto: 2336002401010101 / SANSON SARTEN 22</v>
          </cell>
          <cell r="B1716">
            <v>12</v>
          </cell>
        </row>
        <row r="1717">
          <cell r="A1717" t="str">
            <v>Producto: 2336002501010101 / SANSON SARTEN 24</v>
          </cell>
          <cell r="B1717">
            <v>12</v>
          </cell>
        </row>
        <row r="1718">
          <cell r="A1718" t="str">
            <v>Producto: 2336002517010101 / SANSON SARTEN 24 COBALTO</v>
          </cell>
          <cell r="B1718">
            <v>12</v>
          </cell>
        </row>
        <row r="1719">
          <cell r="A1719" t="str">
            <v>Producto: 2336002549010101 / SANSON SARTEN 24 VERDE MOTAS</v>
          </cell>
          <cell r="B1719">
            <v>12</v>
          </cell>
        </row>
        <row r="1720">
          <cell r="A1720" t="str">
            <v>Producto: 2336002601010101 / SANSON SARTEN 26</v>
          </cell>
          <cell r="B1720">
            <v>12</v>
          </cell>
        </row>
        <row r="1721">
          <cell r="A1721" t="str">
            <v>Producto: 2338000101010701 / SANSON TAZA BISTRO  DECORADO</v>
          </cell>
          <cell r="B1721">
            <v>12</v>
          </cell>
        </row>
        <row r="1722">
          <cell r="A1722" t="str">
            <v>Producto: 2338000102010101 / SANSON TAZA BISTRO A/T</v>
          </cell>
          <cell r="B1722">
            <v>12</v>
          </cell>
        </row>
        <row r="1723">
          <cell r="A1723" t="str">
            <v>Producto: 2338000114010101 / SANSON TAZA BISTRO BICOLOR ROJO</v>
          </cell>
          <cell r="B1723">
            <v>12</v>
          </cell>
        </row>
        <row r="1724">
          <cell r="A1724" t="str">
            <v>Producto: 2338000115010101 / SANSON TAZA BISTRO BICOLOR VERDE</v>
          </cell>
          <cell r="B1724">
            <v>12</v>
          </cell>
        </row>
        <row r="1725">
          <cell r="A1725" t="str">
            <v>Producto: 2338000116040701 / SANSON TAZA BISTRO BLANCO C/F GRIS DECORADO</v>
          </cell>
          <cell r="B1725">
            <v>12</v>
          </cell>
        </row>
        <row r="1726">
          <cell r="A1726" t="str">
            <v>Producto: 2338000116050101 / SANSON TAZA BISTRO BLANCO C/F NEGRO</v>
          </cell>
          <cell r="B1726">
            <v>12</v>
          </cell>
        </row>
        <row r="1727">
          <cell r="A1727" t="str">
            <v>Producto: 2338000116070101 / SANSON TAZA BISTRO BLANCO C/F ROJO</v>
          </cell>
          <cell r="B1727">
            <v>12</v>
          </cell>
        </row>
        <row r="1728">
          <cell r="A1728" t="str">
            <v>Producto: 2338000116090101 / SANSON TAZA BISTRO BLANCO C/F VERDE</v>
          </cell>
          <cell r="B1728">
            <v>12</v>
          </cell>
        </row>
        <row r="1729">
          <cell r="A1729" t="str">
            <v>Producto: 2338000117010101 / SANSON TAZA BISTRO COBALTO</v>
          </cell>
          <cell r="B1729">
            <v>12</v>
          </cell>
        </row>
        <row r="1730">
          <cell r="A1730" t="str">
            <v>Producto: 2338000121010101 / SANSON TAZA BISTRO GRIS</v>
          </cell>
          <cell r="B1730">
            <v>12</v>
          </cell>
        </row>
        <row r="1731">
          <cell r="A1731" t="str">
            <v>Producto: 2338000126010101 / SANSON TAZA BISTRO NEGRO</v>
          </cell>
          <cell r="B1731">
            <v>12</v>
          </cell>
        </row>
        <row r="1732">
          <cell r="A1732" t="str">
            <v>Producto: 2338000130010101 / SANSON TAZA BISTRO ROJO MOTAS</v>
          </cell>
          <cell r="B1732">
            <v>12</v>
          </cell>
        </row>
        <row r="1733">
          <cell r="A1733" t="str">
            <v>Producto: 2338000147010101 / SANSON TAZA BISTRO VERDE</v>
          </cell>
          <cell r="B1733">
            <v>12</v>
          </cell>
        </row>
        <row r="1734">
          <cell r="A1734" t="str">
            <v xml:space="preserve">Producto: 2338000157010101 / SANSON TAZA BISTRO BICOLOR GRIS </v>
          </cell>
          <cell r="B1734">
            <v>12</v>
          </cell>
        </row>
        <row r="1735">
          <cell r="A1735" t="str">
            <v>Producto: 2339001202030101 / SANSON TAZON 8 A/T</v>
          </cell>
          <cell r="B1735">
            <v>36</v>
          </cell>
        </row>
        <row r="1736">
          <cell r="A1736" t="str">
            <v>Producto: 2339001208010101 / SANSON  TAZON 8 BICOLOR</v>
          </cell>
          <cell r="B1736">
            <v>36</v>
          </cell>
        </row>
        <row r="1737">
          <cell r="A1737" t="str">
            <v>Producto: 2339001216030101 / SANSON TAZON 8 BLANCO C/F COBALTO</v>
          </cell>
          <cell r="B1737">
            <v>36</v>
          </cell>
        </row>
        <row r="1738">
          <cell r="A1738" t="str">
            <v>Producto: 2339001216040101 / SANSON TAZON 8 BLANCO C/F GRIS</v>
          </cell>
          <cell r="B1738">
            <v>36</v>
          </cell>
        </row>
        <row r="1739">
          <cell r="A1739" t="str">
            <v>Producto: 2339001216050101 / SANSON TAZON 8 BLANCO C/F NEGRO</v>
          </cell>
          <cell r="B1739">
            <v>36</v>
          </cell>
        </row>
        <row r="1740">
          <cell r="A1740" t="str">
            <v>Producto: 2339001216050701 / SANSON TAZON 8 BLANCO C/F NEGRO DECORADO</v>
          </cell>
          <cell r="B1740">
            <v>36</v>
          </cell>
        </row>
        <row r="1741">
          <cell r="A1741" t="str">
            <v>Producto: 2339001216070101 / SANSON TAZON 8 BLANCO C/F ROJO</v>
          </cell>
          <cell r="B1741">
            <v>36</v>
          </cell>
        </row>
        <row r="1742">
          <cell r="A1742" t="str">
            <v>Producto: 2339001216090101 / SANSON TAZON 8 BLANCO C/F VERDE</v>
          </cell>
          <cell r="B1742">
            <v>36</v>
          </cell>
        </row>
        <row r="1743">
          <cell r="A1743" t="str">
            <v>Producto: 2339001217010101 / SANSON TAZON 8 COBALTO</v>
          </cell>
          <cell r="B1743">
            <v>36</v>
          </cell>
        </row>
        <row r="1744">
          <cell r="A1744" t="str">
            <v>Producto: 2339001220010101 / SANSON TAZON 8 GENERICO</v>
          </cell>
          <cell r="B1744">
            <v>36</v>
          </cell>
        </row>
        <row r="1745">
          <cell r="A1745" t="str">
            <v>Producto: 2339001221010101 / SANSON TAZON 8 GRIS</v>
          </cell>
          <cell r="B1745">
            <v>36</v>
          </cell>
        </row>
        <row r="1746">
          <cell r="A1746" t="str">
            <v>Producto: 2339001226010101 / SANSON TAZON 8 NEGRO</v>
          </cell>
          <cell r="B1746">
            <v>36</v>
          </cell>
        </row>
        <row r="1747">
          <cell r="A1747" t="str">
            <v>Producto: 2339001227010101 / SANSON TAZON 8 NEGRO MOTAS</v>
          </cell>
          <cell r="B1747">
            <v>36</v>
          </cell>
        </row>
        <row r="1748">
          <cell r="A1748" t="str">
            <v>Producto: 2339001228010101 / SANSON TAZON 8 NEVADO</v>
          </cell>
          <cell r="B1748">
            <v>36</v>
          </cell>
        </row>
        <row r="1749">
          <cell r="A1749" t="str">
            <v>Producto: 2339001233010101 / SANSON TAZON 8 TITANIO</v>
          </cell>
          <cell r="B1749">
            <v>36</v>
          </cell>
        </row>
        <row r="1750">
          <cell r="A1750" t="str">
            <v>Producto: 2339001247010101 / SANSON TAZON 8 VERDE</v>
          </cell>
          <cell r="B1750">
            <v>36</v>
          </cell>
        </row>
        <row r="1751">
          <cell r="A1751" t="str">
            <v>Producto: 2339001259010101 / SANSON TAZON 8 ARENA</v>
          </cell>
          <cell r="B1751">
            <v>36</v>
          </cell>
        </row>
        <row r="1752">
          <cell r="A1752" t="str">
            <v>Producto: 2339001601010101 / SANSON  TAZON  15.5</v>
          </cell>
          <cell r="B1752">
            <v>12</v>
          </cell>
        </row>
        <row r="1753">
          <cell r="A1753" t="str">
            <v>Producto: 2339001602010101 / SANSON TAZON 15.5 A/T</v>
          </cell>
          <cell r="B1753">
            <v>12</v>
          </cell>
        </row>
        <row r="1754">
          <cell r="A1754" t="str">
            <v>Producto: 2339001605010101 / SANSON TAZON 15.5 AQUA</v>
          </cell>
          <cell r="B1754">
            <v>12</v>
          </cell>
        </row>
        <row r="1755">
          <cell r="A1755" t="str">
            <v>Producto: 2339001609010101 / SANSON TAZON 15.5 BICOLOR AMARILLO</v>
          </cell>
          <cell r="B1755">
            <v>12</v>
          </cell>
        </row>
        <row r="1756">
          <cell r="A1756" t="str">
            <v>Producto: 2339001610010101 / SANSON TAZON 15.5 BICOLOR AZUL</v>
          </cell>
          <cell r="B1756">
            <v>12</v>
          </cell>
        </row>
        <row r="1757">
          <cell r="A1757" t="str">
            <v>Producto: 2339001612010101 / SANSON TAZON 15.5 BICOLOR NARANJA</v>
          </cell>
          <cell r="B1757">
            <v>12</v>
          </cell>
        </row>
        <row r="1758">
          <cell r="A1758" t="str">
            <v>Producto: 2339001614010101 / SANSON TAZON 15.5 BICOLOR ROJO</v>
          </cell>
          <cell r="B1758">
            <v>12</v>
          </cell>
        </row>
        <row r="1759">
          <cell r="A1759" t="str">
            <v>Producto: 2339001615010101 / SANSON TAZON 15.5 BICOLOR VERDE</v>
          </cell>
          <cell r="B1759">
            <v>12</v>
          </cell>
        </row>
        <row r="1760">
          <cell r="A1760" t="str">
            <v>Producto: 2339001616020101 / SANSON TAZON 15.5 BLANCO C/F AQUA</v>
          </cell>
          <cell r="B1760">
            <v>12</v>
          </cell>
        </row>
        <row r="1761">
          <cell r="A1761" t="str">
            <v>Producto: 2339001616030101 / SANSON TAZON 15.5 BLANCO C/F COBALTO</v>
          </cell>
          <cell r="B1761">
            <v>12</v>
          </cell>
        </row>
        <row r="1762">
          <cell r="A1762" t="str">
            <v xml:space="preserve">Producto: 2339001616030701 / SANSON TAZON 15.5 BLANCO C/F COBALTO DECORADO </v>
          </cell>
          <cell r="B1762">
            <v>12</v>
          </cell>
        </row>
        <row r="1763">
          <cell r="A1763" t="str">
            <v>Producto: 2339001616040101 / SANSON TAZON 15.5 BLANCO C/F GRIS</v>
          </cell>
          <cell r="B1763">
            <v>12</v>
          </cell>
        </row>
        <row r="1764">
          <cell r="A1764" t="str">
            <v>Producto: 2339001616040701 / SANSON  TAZON 15.5 BLANCO C/F GRIS DECORADO</v>
          </cell>
          <cell r="B1764">
            <v>12</v>
          </cell>
        </row>
        <row r="1765">
          <cell r="A1765" t="str">
            <v>Producto: 2339001616050101 / SANSON TAZON 15.5 BLANCO C/F NEGRO</v>
          </cell>
          <cell r="B1765">
            <v>12</v>
          </cell>
        </row>
        <row r="1766">
          <cell r="A1766" t="str">
            <v xml:space="preserve">Producto: 2339001616050701 / SANSON TAZON 15.5 BLANCO C/F NEGRO DECORADO </v>
          </cell>
          <cell r="B1766">
            <v>12</v>
          </cell>
        </row>
        <row r="1767">
          <cell r="A1767" t="str">
            <v>Producto: 2339001616060101 / SANSON TAZON 15.5 BLANCO C/F NEVADO</v>
          </cell>
          <cell r="B1767">
            <v>12</v>
          </cell>
        </row>
        <row r="1768">
          <cell r="A1768" t="str">
            <v xml:space="preserve">Producto: 2339001616060701 / SANSON TAZON 15.5 BLANCO C/F NEVADO DECORADO </v>
          </cell>
          <cell r="B1768">
            <v>12</v>
          </cell>
        </row>
        <row r="1769">
          <cell r="A1769" t="str">
            <v>Producto: 2339001616070101 / SANSON TAZON 15.5 BLANCO C/F ROJO</v>
          </cell>
          <cell r="B1769">
            <v>12</v>
          </cell>
        </row>
        <row r="1770">
          <cell r="A1770" t="str">
            <v>Producto: 2339001616070701 / SANSON TAZON 15.5 BLANCO C/F ROJO DECORADO</v>
          </cell>
          <cell r="B1770">
            <v>12</v>
          </cell>
        </row>
        <row r="1771">
          <cell r="A1771" t="str">
            <v>Producto: 2339001616090101 / SANSON TAZON 15.5 BLANCO C/F VERDE</v>
          </cell>
          <cell r="B1771">
            <v>12</v>
          </cell>
        </row>
        <row r="1772">
          <cell r="A1772" t="str">
            <v>Producto: 2339001618010101 / SANSON TAZON 15.5 COBALTO MOTAS</v>
          </cell>
          <cell r="B1772">
            <v>12</v>
          </cell>
        </row>
        <row r="1773">
          <cell r="A1773" t="str">
            <v>Producto: 2339001620010101 / SANSON TAZON 15.5 GENERICO</v>
          </cell>
          <cell r="B1773">
            <v>12</v>
          </cell>
        </row>
        <row r="1774">
          <cell r="A1774" t="str">
            <v>Producto: 2339001621010101 / SANSON TAZON 15.5 GRIS</v>
          </cell>
          <cell r="B1774">
            <v>12</v>
          </cell>
        </row>
        <row r="1775">
          <cell r="A1775" t="str">
            <v>Producto: 2339001626010101 / SANSON TAZON 15.5 NEGRO </v>
          </cell>
          <cell r="B1775">
            <v>12</v>
          </cell>
        </row>
        <row r="1776">
          <cell r="A1776" t="str">
            <v>Producto: 2339001626010701 / SANSON TAZON 15.5 NEGRO DECORADO</v>
          </cell>
          <cell r="B1776">
            <v>12</v>
          </cell>
        </row>
        <row r="1777">
          <cell r="A1777" t="str">
            <v>Producto: 2339001627010101 / SANSON TAZON 15.5 NEGRO MOTAS</v>
          </cell>
          <cell r="B1777">
            <v>12</v>
          </cell>
        </row>
        <row r="1778">
          <cell r="A1778" t="str">
            <v>Producto: 2339001627010701 / SANSON TAZON 15 5 NEGRO MOTAS DECORADO</v>
          </cell>
          <cell r="B1778">
            <v>12</v>
          </cell>
        </row>
        <row r="1779">
          <cell r="A1779" t="str">
            <v>Producto: 2339001628010101 / SANSON TAZON 15.5 NEVADO</v>
          </cell>
          <cell r="B1779">
            <v>12</v>
          </cell>
        </row>
        <row r="1780">
          <cell r="A1780" t="str">
            <v>Producto: 2339001633010101 / SANSON TAZON 15.5 TITANIO</v>
          </cell>
          <cell r="B1780">
            <v>12</v>
          </cell>
        </row>
        <row r="1781">
          <cell r="A1781" t="str">
            <v>Producto: 2339001647010101 / SANSON TAZON 15.5 VERDE</v>
          </cell>
          <cell r="B1781">
            <v>12</v>
          </cell>
        </row>
        <row r="1782">
          <cell r="A1782" t="str">
            <v xml:space="preserve">Producto: 2339001659010101 / SANSON TAZON 15.5 ARENA </v>
          </cell>
          <cell r="B1782">
            <v>12</v>
          </cell>
        </row>
        <row r="1783">
          <cell r="A1783" t="str">
            <v>Producto: 2339002201010101 / SANSON  TAZON 20</v>
          </cell>
          <cell r="B1783">
            <v>6</v>
          </cell>
        </row>
        <row r="1784">
          <cell r="A1784" t="str">
            <v>Producto: 2339002202010101 / SANSON TAZON 20 A/T</v>
          </cell>
          <cell r="B1784">
            <v>6</v>
          </cell>
        </row>
        <row r="1785">
          <cell r="A1785" t="str">
            <v>Producto: 2339002208010101 / SANSON  TAZON 20 BICOLOR</v>
          </cell>
          <cell r="B1785">
            <v>6</v>
          </cell>
        </row>
        <row r="1786">
          <cell r="A1786" t="str">
            <v>Producto: 2339002210010101 / SANSON TAZON 20 BICOLOR AZUL</v>
          </cell>
          <cell r="B1786">
            <v>6</v>
          </cell>
        </row>
        <row r="1787">
          <cell r="A1787" t="str">
            <v>Producto: 2339002212010101 / SANSON TAZON 20 BICOLOR NARANJA</v>
          </cell>
          <cell r="B1787">
            <v>6</v>
          </cell>
        </row>
        <row r="1788">
          <cell r="A1788" t="str">
            <v>Producto: 2339002214010101 / SANSON TAZON 20 BICOLOR ROJO</v>
          </cell>
          <cell r="B1788">
            <v>6</v>
          </cell>
        </row>
        <row r="1789">
          <cell r="A1789" t="str">
            <v>Producto: 2339002215010101 / SANSON TAZON 20 BICOLOR VERDE</v>
          </cell>
          <cell r="B1789">
            <v>6</v>
          </cell>
        </row>
        <row r="1790">
          <cell r="A1790" t="str">
            <v>Producto: 2339002216010101 / SANSON TAZON 20 BLANCO</v>
          </cell>
          <cell r="B1790">
            <v>6</v>
          </cell>
        </row>
        <row r="1791">
          <cell r="A1791" t="str">
            <v>Producto: 2339002216030101 / SANSON TAZON 20 BLANCO C/F COBALTO</v>
          </cell>
          <cell r="B1791">
            <v>6</v>
          </cell>
        </row>
        <row r="1792">
          <cell r="A1792" t="str">
            <v>Producto: 2339002216040101 / SANSON TAZON 20 BLANCO C/F GRIS</v>
          </cell>
          <cell r="B1792">
            <v>6</v>
          </cell>
        </row>
        <row r="1793">
          <cell r="A1793" t="str">
            <v>Producto: 2339002216040701 / SANSON TAZON 20 BLANCO C/F GRIS DECORADO</v>
          </cell>
          <cell r="B1793">
            <v>6</v>
          </cell>
        </row>
        <row r="1794">
          <cell r="A1794" t="str">
            <v>Producto: 2339002216050101 / SANSON TAZON 20 BLANCO C/F NEGRO</v>
          </cell>
          <cell r="B1794">
            <v>6</v>
          </cell>
        </row>
        <row r="1795">
          <cell r="A1795" t="str">
            <v>Producto: 2339002216050701 / SANSON TAZON 20 BLANCO C/F NEGRO DECORADO</v>
          </cell>
          <cell r="B1795">
            <v>6</v>
          </cell>
        </row>
        <row r="1796">
          <cell r="A1796" t="str">
            <v>Producto: 2339002216060101 / SANSON TAZON 20 BLANCO C/F AZUL</v>
          </cell>
          <cell r="B1796">
            <v>6</v>
          </cell>
        </row>
        <row r="1797">
          <cell r="A1797" t="str">
            <v>Producto: 2339002216070101 / SANSON TAZON 20 BLANCO C/F ROJO</v>
          </cell>
          <cell r="B1797">
            <v>6</v>
          </cell>
        </row>
        <row r="1798">
          <cell r="A1798" t="str">
            <v>Producto: 2339002216090101 / SANSON TAZON 20 BLANCO C/F VERDE</v>
          </cell>
          <cell r="B1798">
            <v>6</v>
          </cell>
        </row>
        <row r="1799">
          <cell r="A1799" t="str">
            <v>Producto: 2339002220010101 / SANSON TAZON 20 GENERICO</v>
          </cell>
          <cell r="B1799">
            <v>6</v>
          </cell>
        </row>
        <row r="1800">
          <cell r="A1800" t="str">
            <v>Producto: 2339002221010101 / SANSON TAZON 20 GRIS</v>
          </cell>
          <cell r="B1800">
            <v>6</v>
          </cell>
        </row>
        <row r="1801">
          <cell r="A1801" t="str">
            <v>Producto: 2339002227010101 / SANSON TAZON 20 NEGRO MOTAS</v>
          </cell>
          <cell r="B1801">
            <v>6</v>
          </cell>
        </row>
        <row r="1802">
          <cell r="A1802" t="str">
            <v>Producto: 2339002228010101 / SANSON TAZON 20 NEVADO</v>
          </cell>
          <cell r="B1802">
            <v>6</v>
          </cell>
        </row>
        <row r="1803">
          <cell r="A1803" t="str">
            <v>Producto: 2339002233010101 / SANSON TAZON 20 TITANIO</v>
          </cell>
          <cell r="B1803">
            <v>6</v>
          </cell>
        </row>
        <row r="1804">
          <cell r="A1804" t="str">
            <v xml:space="preserve">Producto: 2339002259010101 / SANSON TAZON 20 ARENA </v>
          </cell>
          <cell r="B1804">
            <v>6</v>
          </cell>
        </row>
        <row r="1805">
          <cell r="A1805" t="str">
            <v>Producto: 2340001201010101 / SANSON  TAZON INCLINADO 8</v>
          </cell>
          <cell r="B1805">
            <v>36</v>
          </cell>
        </row>
        <row r="1806">
          <cell r="A1806" t="str">
            <v>Producto: 2340001202010101 / SANSON TAZON INCLINADO 8 A/T</v>
          </cell>
          <cell r="B1806">
            <v>36</v>
          </cell>
        </row>
        <row r="1807">
          <cell r="A1807" t="str">
            <v>Producto: 2340001216030101 / SANSON TAZON INCLINADO 8 BLANCO C/F COBALTO</v>
          </cell>
          <cell r="B1807">
            <v>36</v>
          </cell>
        </row>
        <row r="1808">
          <cell r="A1808" t="str">
            <v>Producto: 2340001216040101 / SANSON TAZON INCLINADO 8 BLANCO C/F GRIS</v>
          </cell>
          <cell r="B1808">
            <v>36</v>
          </cell>
        </row>
        <row r="1809">
          <cell r="A1809" t="str">
            <v>Producto: 2340001216050101 / SANSON TAZON INCLINADO 8 BLANCO C/F NEGRO</v>
          </cell>
          <cell r="B1809">
            <v>36</v>
          </cell>
        </row>
        <row r="1810">
          <cell r="A1810" t="str">
            <v>Producto: 2340001216070101 / SANSON TAZON INCLINADO 8 BLANCO C/F ROJO</v>
          </cell>
          <cell r="B1810">
            <v>36</v>
          </cell>
        </row>
        <row r="1811">
          <cell r="A1811" t="str">
            <v>Producto: 2340001216070701 / SANSON TAZON INCLINADO 8 BLANCO F/ROJO DECORADO</v>
          </cell>
          <cell r="B1811">
            <v>36</v>
          </cell>
        </row>
        <row r="1812">
          <cell r="A1812" t="str">
            <v>Producto: 2340001216090101 / SANSON TAZON INCLINADO 8 BLANCO C/F VERDE</v>
          </cell>
          <cell r="B1812">
            <v>36</v>
          </cell>
        </row>
        <row r="1813">
          <cell r="A1813" t="str">
            <v>Producto: 2340001217010101 / SANSON TAZON INCLINADO 8 COBALTO</v>
          </cell>
          <cell r="B1813">
            <v>36</v>
          </cell>
        </row>
        <row r="1814">
          <cell r="A1814" t="str">
            <v>Producto: 2340001220010101 / SANSON TAZON INCLINADO 8 GENERICO</v>
          </cell>
          <cell r="B1814">
            <v>36</v>
          </cell>
        </row>
        <row r="1815">
          <cell r="A1815" t="str">
            <v>Producto: 2340001221010101 / SANSON TAZON INCLINADO 8 GRIS</v>
          </cell>
          <cell r="B1815">
            <v>36</v>
          </cell>
        </row>
        <row r="1816">
          <cell r="A1816" t="str">
            <v>Producto: 2340001226010101 / SANSON TAZON INCLINADO 8 NEGRO</v>
          </cell>
          <cell r="B1816">
            <v>36</v>
          </cell>
        </row>
        <row r="1817">
          <cell r="A1817" t="str">
            <v>Producto: 2340001227010101 / SANSON TAZON INCLINADO 8 NEGRO MOTAS</v>
          </cell>
          <cell r="B1817">
            <v>36</v>
          </cell>
        </row>
        <row r="1818">
          <cell r="A1818" t="str">
            <v>Producto: 2340001228010101 / SANSON TAZON INCLINADO 8 NEVADO</v>
          </cell>
          <cell r="B1818">
            <v>36</v>
          </cell>
        </row>
        <row r="1819">
          <cell r="A1819" t="str">
            <v>Producto: 2340001233010101 / SANSON TAZON INCLINADO 8 TITANIO</v>
          </cell>
          <cell r="B1819">
            <v>36</v>
          </cell>
        </row>
        <row r="1820">
          <cell r="A1820" t="str">
            <v>Producto: 2340001902010101 / SANSON TAZON INCLINADO 17 A/T</v>
          </cell>
          <cell r="B1820">
            <v>6</v>
          </cell>
        </row>
        <row r="1821">
          <cell r="A1821" t="str">
            <v xml:space="preserve">Producto: 2340001916040101 / SANSON TAZON INCLINADO 17 BLANCO C/F GRIS </v>
          </cell>
          <cell r="B1821">
            <v>6</v>
          </cell>
        </row>
        <row r="1822">
          <cell r="A1822" t="str">
            <v>Producto: 2340001916050101 / SANSON TAZON INCLINADO 17 BLANCO C/F NEGRO</v>
          </cell>
          <cell r="B1822">
            <v>6</v>
          </cell>
        </row>
        <row r="1823">
          <cell r="A1823" t="str">
            <v>Producto: 2340001916050701 / SANSON TAZON INCLINADO 17 BLANCO C/F NEGRO DECORAD</v>
          </cell>
          <cell r="B1823">
            <v>6</v>
          </cell>
        </row>
        <row r="1824">
          <cell r="A1824" t="str">
            <v>Producto: 2340001916070101 / SANSON TAZON INCLINADO 17 BLANCO C/F ROJO</v>
          </cell>
          <cell r="B1824">
            <v>6</v>
          </cell>
        </row>
        <row r="1825">
          <cell r="A1825" t="str">
            <v>Producto: 2340001921010101 / SANSON TAZON INCLINADO 17 GRIS</v>
          </cell>
          <cell r="B1825">
            <v>6</v>
          </cell>
        </row>
        <row r="1826">
          <cell r="A1826" t="str">
            <v>Producto: 2340001927010101 / SANSON TAZON INCLINADO 17 NEGRO MOTAS</v>
          </cell>
          <cell r="B1826">
            <v>6</v>
          </cell>
        </row>
        <row r="1827">
          <cell r="A1827" t="str">
            <v>Producto: 2340001927010701 / SANSON TAZON INCLINADO 17 NEGRO MOTAS DECORADO</v>
          </cell>
          <cell r="B1827">
            <v>6</v>
          </cell>
        </row>
        <row r="1828">
          <cell r="A1828" t="str">
            <v>Producto: 2340001933010101 / SANSON TAZON INCLINADO 17 TITANIO</v>
          </cell>
          <cell r="B1828">
            <v>6</v>
          </cell>
        </row>
        <row r="1829">
          <cell r="A1829" t="str">
            <v>Producto: 2340002201010101 / SANSON  TAZON INCLINADO 22</v>
          </cell>
          <cell r="B1829">
            <v>6</v>
          </cell>
        </row>
        <row r="1830">
          <cell r="A1830" t="str">
            <v>Producto: 2340002202010101 / SANSON TAZON INCLINADO 20 A/T</v>
          </cell>
          <cell r="B1830">
            <v>6</v>
          </cell>
        </row>
        <row r="1831">
          <cell r="A1831" t="str">
            <v>Producto: 2340002205010101 / SANSON TAZON INCLINADO 20 AQUA</v>
          </cell>
          <cell r="B1831">
            <v>6</v>
          </cell>
        </row>
        <row r="1832">
          <cell r="A1832" t="str">
            <v>Producto: 2340002216010101 / SANSON TAZON INCLINADO 20 BLANCO</v>
          </cell>
          <cell r="B1832">
            <v>6</v>
          </cell>
        </row>
        <row r="1833">
          <cell r="A1833" t="str">
            <v>Producto: 2340002216030101 / SANSON TAZON INCLINADO 20 BLANCO C/F COBALTO</v>
          </cell>
          <cell r="B1833">
            <v>6</v>
          </cell>
        </row>
        <row r="1834">
          <cell r="A1834" t="str">
            <v>Producto: 2340002216040101 / SANSON TAZON INCLINADO 20 BLANCO C/F GRIS</v>
          </cell>
          <cell r="B1834">
            <v>6</v>
          </cell>
        </row>
        <row r="1835">
          <cell r="A1835" t="str">
            <v>Producto: 2340002216050101 / SANSON TAZON INCLINADO 20 BLANCO C/F NEGRO</v>
          </cell>
          <cell r="B1835">
            <v>6</v>
          </cell>
        </row>
        <row r="1836">
          <cell r="A1836" t="str">
            <v>Producto: 2340002216070101 / SANSON TAZON INCLINADO 20 BLANCO C/F ROJO</v>
          </cell>
          <cell r="B1836">
            <v>6</v>
          </cell>
        </row>
        <row r="1837">
          <cell r="A1837" t="str">
            <v>Producto: 2340002216090101 / SANSON TAZON INCLINADO 20 BLANCO C/F VERDE</v>
          </cell>
          <cell r="B1837">
            <v>6</v>
          </cell>
        </row>
        <row r="1838">
          <cell r="A1838" t="str">
            <v>Producto: 2340002217010101 / SANSON TAZON INCLINADO 20 COBALTO</v>
          </cell>
          <cell r="B1838">
            <v>6</v>
          </cell>
        </row>
        <row r="1839">
          <cell r="A1839" t="str">
            <v>Producto: 2340002220010101 / SANSON TAZON INCLINADO 20 GENERICO</v>
          </cell>
          <cell r="B1839">
            <v>6</v>
          </cell>
        </row>
        <row r="1840">
          <cell r="A1840" t="str">
            <v>Producto: 2340002221010101 / SANSON TAZON INCLINADO 20 GRIS</v>
          </cell>
          <cell r="B1840">
            <v>6</v>
          </cell>
        </row>
        <row r="1841">
          <cell r="A1841" t="str">
            <v>Producto: 2340002226010101 / SANSON TAZON INCLINADO 20 NEGRO</v>
          </cell>
          <cell r="B1841">
            <v>6</v>
          </cell>
        </row>
        <row r="1842">
          <cell r="A1842" t="str">
            <v>Producto: 2340002227010101 / SANSON TAZON INCLINADO 20 NEGRO MOTAS</v>
          </cell>
          <cell r="B1842">
            <v>6</v>
          </cell>
        </row>
        <row r="1843">
          <cell r="A1843" t="str">
            <v>Producto: 2340002228010101 / SANSON TAZON INCLINADO 20 NEVADO</v>
          </cell>
          <cell r="B1843">
            <v>6</v>
          </cell>
        </row>
        <row r="1844">
          <cell r="A1844" t="str">
            <v>Producto: 2340002402010101 / SANSON TAZON INCLINADO 22 A/T</v>
          </cell>
          <cell r="B1844">
            <v>6</v>
          </cell>
        </row>
        <row r="1845">
          <cell r="A1845" t="str">
            <v>Producto: 2340002405010101 / SANSON TAZON INCLINADO 22 AQUA</v>
          </cell>
          <cell r="B1845">
            <v>6</v>
          </cell>
        </row>
        <row r="1846">
          <cell r="A1846" t="str">
            <v>Producto: 2340002409010101 / SANSON TAZON INCLINADO 22 BICOLOR AMARILLO</v>
          </cell>
          <cell r="B1846">
            <v>6</v>
          </cell>
        </row>
        <row r="1847">
          <cell r="A1847" t="str">
            <v>Producto: 2340002409010701 / SANSON TAZON INCLINADO 22 BICOLOR AMARILLO DECORAD</v>
          </cell>
          <cell r="B1847">
            <v>6</v>
          </cell>
        </row>
        <row r="1848">
          <cell r="A1848" t="str">
            <v>Producto: 2340002416010101 / SANSON TAZON INCLINADO 22 BLANCO</v>
          </cell>
          <cell r="B1848">
            <v>6</v>
          </cell>
        </row>
        <row r="1849">
          <cell r="A1849" t="str">
            <v>Producto: 2340002416030101 / SANSON TAZON INCLINADO 22 BLANCO C/F COBALTO</v>
          </cell>
          <cell r="B1849">
            <v>6</v>
          </cell>
        </row>
        <row r="1850">
          <cell r="A1850" t="str">
            <v>Producto: 2340002416040101 / SANSON TAZON INCLINADO 22 BLANCO C/F GRIS</v>
          </cell>
          <cell r="B1850">
            <v>6</v>
          </cell>
        </row>
        <row r="1851">
          <cell r="A1851" t="str">
            <v>Producto: 2340002416050101 / SANSON TAZON INCLINADO 22 BLANCO C/F NEGRO</v>
          </cell>
          <cell r="B1851">
            <v>6</v>
          </cell>
        </row>
        <row r="1852">
          <cell r="A1852" t="str">
            <v>Producto: 2340002416050701 / SANSON TAZON INCLINADO 22 BLANCO C/F NEGRO DECORAD</v>
          </cell>
          <cell r="B1852">
            <v>6</v>
          </cell>
        </row>
        <row r="1853">
          <cell r="A1853" t="str">
            <v>Producto: 2340002416070101 / SANSON TAZON INCLINADO 22 BLANCO C/F ROJO</v>
          </cell>
          <cell r="B1853">
            <v>6</v>
          </cell>
        </row>
        <row r="1854">
          <cell r="A1854" t="str">
            <v>Producto: 2340002416090101 / SANSON TAZON INCLINADO 22 BLANCO C/F VERDE</v>
          </cell>
          <cell r="B1854">
            <v>6</v>
          </cell>
        </row>
        <row r="1855">
          <cell r="A1855" t="str">
            <v>Producto: 2340002417010101 / SANSON TAZON INCLINADO 22 COBALTO</v>
          </cell>
          <cell r="B1855">
            <v>6</v>
          </cell>
        </row>
        <row r="1856">
          <cell r="A1856" t="str">
            <v>Producto: 2340002420010101 / SANSON TAZON INCLINADO 22 GENERICO</v>
          </cell>
          <cell r="B1856">
            <v>6</v>
          </cell>
        </row>
        <row r="1857">
          <cell r="A1857" t="str">
            <v>Producto: 2340002421010101 / SANSON TAZON INCLINADO 22 GRIS</v>
          </cell>
          <cell r="B1857">
            <v>6</v>
          </cell>
        </row>
        <row r="1858">
          <cell r="A1858" t="str">
            <v>Producto: 2340002421010701 / SANSON TAZON INCLINADO 22 GRIS DECORADO</v>
          </cell>
          <cell r="B1858">
            <v>6</v>
          </cell>
        </row>
        <row r="1859">
          <cell r="A1859" t="str">
            <v>Producto: 2340002426010101 / SANSON TAZON INCLINADO 22 NEGRO</v>
          </cell>
          <cell r="B1859">
            <v>6</v>
          </cell>
        </row>
        <row r="1860">
          <cell r="A1860" t="str">
            <v>Producto: 2340002426010701 / SANSON TAZON INCLINADO 22 NEGRO DECORADO</v>
          </cell>
          <cell r="B1860">
            <v>6</v>
          </cell>
        </row>
        <row r="1861">
          <cell r="A1861" t="str">
            <v>Producto: 2340002427010101 / SANSON TAZON INCLINADO 22 NEGRO MOTAS</v>
          </cell>
          <cell r="B1861">
            <v>6</v>
          </cell>
        </row>
        <row r="1862">
          <cell r="A1862" t="str">
            <v>Producto: 2340002427010701 / SANSON TAZON INCLINADO 22 NEGRO MOTAS DECORADO</v>
          </cell>
          <cell r="B1862">
            <v>6</v>
          </cell>
        </row>
        <row r="1863">
          <cell r="A1863" t="str">
            <v>Producto: 2340002428010101 / SANSON TAZON INCLINADO 22 NEVADO</v>
          </cell>
          <cell r="B1863">
            <v>6</v>
          </cell>
        </row>
        <row r="1864">
          <cell r="A1864" t="str">
            <v xml:space="preserve">Producto: 2340002433010101 / SANSON TAZON INCLINADO 22 TITANIO </v>
          </cell>
          <cell r="B1864">
            <v>6</v>
          </cell>
        </row>
        <row r="1865">
          <cell r="A1865" t="str">
            <v>Producto: 2341000101010101 / SANSON TENEDOR</v>
          </cell>
          <cell r="B1865">
            <v>6</v>
          </cell>
        </row>
        <row r="1866">
          <cell r="A1866" t="str">
            <v>Producto: 2342002101010101 / SANSON TORTILLERO 18</v>
          </cell>
          <cell r="B1866">
            <v>6</v>
          </cell>
        </row>
        <row r="1867">
          <cell r="A1867" t="str">
            <v>Producto: 2342002105010101 / SANSON TORTILLERO 18 AQUA</v>
          </cell>
          <cell r="B1867">
            <v>6</v>
          </cell>
        </row>
        <row r="1868">
          <cell r="A1868" t="str">
            <v>Producto: 2342002117010101 / SANSON TORTILLERO 18 COBALTO</v>
          </cell>
          <cell r="B1868">
            <v>6</v>
          </cell>
        </row>
        <row r="1869">
          <cell r="A1869" t="str">
            <v>Producto: 2342002120010101 / SANSON TORTILLERO 18 GENERICO</v>
          </cell>
          <cell r="B1869">
            <v>6</v>
          </cell>
        </row>
        <row r="1870">
          <cell r="A1870" t="str">
            <v>Producto: 2342002121010101 / SANSON TORTILLERO 18 GRIS</v>
          </cell>
          <cell r="B1870">
            <v>6</v>
          </cell>
        </row>
        <row r="1871">
          <cell r="A1871" t="str">
            <v>Producto: 2342002126010101 / SANSON TORTILLERO 18 NEGRO</v>
          </cell>
          <cell r="B1871">
            <v>6</v>
          </cell>
        </row>
        <row r="1872">
          <cell r="A1872" t="str">
            <v xml:space="preserve">Producto: 2342002127010101 / SANSON TORTILLERO18 NEGRO MOTAS </v>
          </cell>
          <cell r="B1872">
            <v>6</v>
          </cell>
        </row>
        <row r="1873">
          <cell r="A1873" t="str">
            <v>Producto: 2342002129010101 / SANSON TORTILLERO 18 ROJO</v>
          </cell>
          <cell r="B1873">
            <v>6</v>
          </cell>
        </row>
        <row r="1874">
          <cell r="A1874" t="str">
            <v xml:space="preserve">Producto: 2342002129010701 / SANSON TORTILLERO ROJO DECORADO </v>
          </cell>
          <cell r="B1874">
            <v>6</v>
          </cell>
        </row>
        <row r="1875">
          <cell r="A1875" t="str">
            <v>Producto: 2342002130010101 / SANSON TORTILLERO 18 ROJO MOTAS</v>
          </cell>
          <cell r="B1875">
            <v>6</v>
          </cell>
        </row>
        <row r="1876">
          <cell r="A1876" t="str">
            <v>Producto: 2342002133010101 / SANSON TORTILLERO 18 TITANIO</v>
          </cell>
          <cell r="B1876">
            <v>6</v>
          </cell>
        </row>
        <row r="1877">
          <cell r="A1877" t="str">
            <v>Producto: 2342002160010101 / SANSON TORTILLERO 18 NEGRO PIEDRA</v>
          </cell>
          <cell r="B1877">
            <v>6</v>
          </cell>
        </row>
        <row r="1878">
          <cell r="A1878" t="str">
            <v>Producto: 2344002901010101 / SANSON VAPORERA 30</v>
          </cell>
          <cell r="B1878">
            <v>2</v>
          </cell>
        </row>
        <row r="1879">
          <cell r="A1879" t="str">
            <v>Producto: 2344003101010101 / SANSON VAPORERA 34</v>
          </cell>
          <cell r="B1879">
            <v>2</v>
          </cell>
        </row>
        <row r="1880">
          <cell r="A1880" t="str">
            <v>Producto: 2344003301010101 / SANSON VAPORERA 42</v>
          </cell>
          <cell r="B1880">
            <v>1</v>
          </cell>
        </row>
        <row r="1881">
          <cell r="A1881" t="str">
            <v>Producto: 2345000901010101 / SANSON VASO  5</v>
          </cell>
          <cell r="B1881">
            <v>24</v>
          </cell>
        </row>
        <row r="1882">
          <cell r="A1882" t="str">
            <v>Producto: 2345000902010101 / SANSON VASO 5 A/T</v>
          </cell>
          <cell r="B1882">
            <v>24</v>
          </cell>
        </row>
        <row r="1883">
          <cell r="A1883" t="str">
            <v>Producto: 2345000916030101 / SANSON VASO 5 BLANCO C/F COBALTO</v>
          </cell>
          <cell r="B1883">
            <v>24</v>
          </cell>
        </row>
        <row r="1884">
          <cell r="A1884" t="str">
            <v>Producto: 2345000916040101 / SANSON VASO 5 BLANCO C/F GRIS</v>
          </cell>
          <cell r="B1884">
            <v>24</v>
          </cell>
        </row>
        <row r="1885">
          <cell r="A1885" t="str">
            <v>Producto: 2345000916050101 / SANSON VASO 5 BLANCO C/F NEGRO</v>
          </cell>
          <cell r="B1885">
            <v>24</v>
          </cell>
        </row>
        <row r="1886">
          <cell r="A1886" t="str">
            <v>Producto: 2345000916070101 / SANSON VASO 5 BLANCO C/F ROJO</v>
          </cell>
          <cell r="B1886">
            <v>24</v>
          </cell>
        </row>
        <row r="1887">
          <cell r="A1887" t="str">
            <v>Producto: 2345000916090101 / SANSON VASO 5 BLANCO C/F VERDE</v>
          </cell>
          <cell r="B1887">
            <v>24</v>
          </cell>
        </row>
        <row r="1888">
          <cell r="A1888" t="str">
            <v>Producto: 2345000920010101 / SANSON VASO 5 GENERICO</v>
          </cell>
          <cell r="B1888">
            <v>24</v>
          </cell>
        </row>
        <row r="1889">
          <cell r="A1889" t="str">
            <v>Producto: 2345000921010101 / SANSON VASO 5 GRIS</v>
          </cell>
          <cell r="B1889">
            <v>24</v>
          </cell>
        </row>
        <row r="1890">
          <cell r="A1890" t="str">
            <v>Producto: 2345000926010101 / SANSON VASO 5 NEGRO</v>
          </cell>
          <cell r="B1890">
            <v>24</v>
          </cell>
        </row>
        <row r="1891">
          <cell r="A1891" t="str">
            <v>Producto: 2345000927010101 / SANSON VASO 5 NEGRO MOTAS</v>
          </cell>
          <cell r="B1891">
            <v>24</v>
          </cell>
        </row>
        <row r="1892">
          <cell r="A1892" t="str">
            <v xml:space="preserve">Producto: 2345001026010101 / SANSON  VASO 6 NEGRO </v>
          </cell>
          <cell r="B1892">
            <v>24</v>
          </cell>
        </row>
        <row r="1893">
          <cell r="A1893" t="str">
            <v>Producto: 2345001201010101 / SANSON VASO  8</v>
          </cell>
          <cell r="B1893">
            <v>24</v>
          </cell>
        </row>
        <row r="1894">
          <cell r="A1894" t="str">
            <v>Producto: 2345001201010701 / SANSON VASO 8  DECORADO</v>
          </cell>
          <cell r="B1894">
            <v>24</v>
          </cell>
        </row>
        <row r="1895">
          <cell r="A1895" t="str">
            <v>Producto: 2345001202010101 / SANSON VASO 8 A/T</v>
          </cell>
          <cell r="B1895">
            <v>24</v>
          </cell>
        </row>
        <row r="1896">
          <cell r="A1896" t="str">
            <v>Producto: 2345001202010701 / SANSON VASO 8 A/T DECORADO</v>
          </cell>
          <cell r="B1896">
            <v>24</v>
          </cell>
        </row>
        <row r="1897">
          <cell r="A1897" t="str">
            <v>Producto: 2345001216030101 / SANSON VASO 8 BLANCO C/F COBALTO</v>
          </cell>
          <cell r="B1897">
            <v>24</v>
          </cell>
        </row>
        <row r="1898">
          <cell r="A1898" t="str">
            <v>Producto: 2345001216050101 / SANSON VASO 8 BLANCO C/F NEGRO</v>
          </cell>
          <cell r="B1898">
            <v>24</v>
          </cell>
        </row>
        <row r="1899">
          <cell r="A1899" t="str">
            <v>Producto: 2345001216050701 / SANSON VASO 8 BLANCO C/F NEGRO DECORADO</v>
          </cell>
          <cell r="B1899">
            <v>24</v>
          </cell>
        </row>
        <row r="1900">
          <cell r="A1900" t="str">
            <v>Producto: 2345001226010101 / SANSON VASO 8 NEGRO</v>
          </cell>
          <cell r="B1900">
            <v>24</v>
          </cell>
        </row>
        <row r="1901">
          <cell r="A1901" t="str">
            <v>Producto: 2345001227010101 / SANSON VASO 8 NEGRO MOTAS</v>
          </cell>
          <cell r="B1901">
            <v>24</v>
          </cell>
        </row>
        <row r="1902">
          <cell r="A1902" t="str">
            <v>Producto: 2348001501010101 / SANSON VASO RECTO 14</v>
          </cell>
          <cell r="B1902">
            <v>12</v>
          </cell>
        </row>
        <row r="1903">
          <cell r="A1903" t="str">
            <v>Producto: 2348001571010101 / SANSON VASO RECTO CON ASA</v>
          </cell>
          <cell r="B1903">
            <v>12</v>
          </cell>
        </row>
        <row r="1904">
          <cell r="A1904" t="str">
            <v>Producto: 2348001572010101 / SANSON VASO RECTO CON TAPA</v>
          </cell>
          <cell r="B1904">
            <v>12</v>
          </cell>
        </row>
        <row r="1905">
          <cell r="A1905" t="str">
            <v>Producto: 2351002902030101 / SANSON OLLA PROFUNDA RAYADA 30 A/T</v>
          </cell>
          <cell r="B1905">
            <v>1</v>
          </cell>
        </row>
        <row r="1906">
          <cell r="A1906" t="str">
            <v>Producto: 2352002802010101 / SANSON PLATO OVAL 28 A/T</v>
          </cell>
          <cell r="B1906">
            <v>6</v>
          </cell>
        </row>
        <row r="1907">
          <cell r="A1907" t="str">
            <v xml:space="preserve">Producto: 2352002816040101 / SANSON PLATO OVAL 28 BLANCO C/F GRIS </v>
          </cell>
          <cell r="B1907">
            <v>6</v>
          </cell>
        </row>
        <row r="1908">
          <cell r="A1908" t="str">
            <v>Producto: 2352002816050101 / SANSON PLATO OVAL 28 BLANCO C/F NEGRO</v>
          </cell>
          <cell r="B1908">
            <v>6</v>
          </cell>
        </row>
        <row r="1909">
          <cell r="A1909" t="str">
            <v>Producto: 2352002827010101 / SANSON PLATO OVAL 28 NEGRO MOTAS</v>
          </cell>
          <cell r="B1909">
            <v>6</v>
          </cell>
        </row>
        <row r="1910">
          <cell r="A1910" t="str">
            <v>Producto: 2352002827010701 / SANSON PLATO OVAL 28 NEGRO MOTAS DECORADO</v>
          </cell>
          <cell r="B1910">
            <v>6</v>
          </cell>
        </row>
        <row r="1911">
          <cell r="A1911" t="str">
            <v>Producto: 2352002833010101 / SANSON  PLATO OVAL 28 TITANIO</v>
          </cell>
          <cell r="B1911">
            <v>6</v>
          </cell>
        </row>
        <row r="1912">
          <cell r="A1912" t="str">
            <v>Producto: 2352002860010101 / SANSON PLATO OVAL 28 NEGRO PIEDRA</v>
          </cell>
          <cell r="B1912">
            <v>6</v>
          </cell>
        </row>
        <row r="1913">
          <cell r="A1913" t="str">
            <v>Producto: 2352003002010101 / SANSON PLATO OVAL 32 A/T</v>
          </cell>
          <cell r="B1913">
            <v>6</v>
          </cell>
        </row>
        <row r="1914">
          <cell r="A1914" t="str">
            <v>Producto: 2352003016040101 / SANSON PLATO OVAL 32 BLANCO C/F GRIS</v>
          </cell>
          <cell r="B1914">
            <v>6</v>
          </cell>
        </row>
        <row r="1915">
          <cell r="A1915" t="str">
            <v>Producto: 2352003016050101 / SANSON PLATO OVAL 32 BLANCO C/F NEGRO</v>
          </cell>
          <cell r="B1915">
            <v>6</v>
          </cell>
        </row>
        <row r="1916">
          <cell r="A1916" t="str">
            <v>Producto: 2352003018010101 / SANSON PLATO OVAL 32 COBALTO MOTAS</v>
          </cell>
          <cell r="B1916">
            <v>6</v>
          </cell>
        </row>
        <row r="1917">
          <cell r="A1917" t="str">
            <v>Producto: 2352003021010101 / SANSON PLATO OVAL 32 GRIS</v>
          </cell>
          <cell r="B1917">
            <v>6</v>
          </cell>
        </row>
        <row r="1918">
          <cell r="A1918" t="str">
            <v>Producto: 2352003027010101 / SANSON PLATO OVAL 32 NEGRO MOTAS</v>
          </cell>
          <cell r="B1918">
            <v>6</v>
          </cell>
        </row>
        <row r="1919">
          <cell r="A1919" t="str">
            <v>Producto: 2352003027010701 / SANSON PLATO OVAL 32 NEGRO MOTAS DECORADO</v>
          </cell>
          <cell r="B1919">
            <v>6</v>
          </cell>
        </row>
        <row r="1920">
          <cell r="A1920" t="str">
            <v>Producto: 2352003033010101 / SANSON PLATO OVAL 32 TITANIO</v>
          </cell>
          <cell r="B1920">
            <v>6</v>
          </cell>
        </row>
        <row r="1921">
          <cell r="A1921" t="str">
            <v>Producto: 2352003060010101 / SANSON PLATO OVAL 32 NEGRO PIEDRA</v>
          </cell>
          <cell r="B1921">
            <v>6</v>
          </cell>
        </row>
        <row r="1922">
          <cell r="A1922" t="str">
            <v>Producto: 2352003202010101 / SANSON PLATO OVAL 36 A/T</v>
          </cell>
          <cell r="B1922">
            <v>6</v>
          </cell>
        </row>
        <row r="1923">
          <cell r="A1923" t="str">
            <v>Producto: 2352003216030101 / SANSON PLATO OVAL 36 BLANCO C/F COBALTO</v>
          </cell>
          <cell r="B1923">
            <v>6</v>
          </cell>
        </row>
        <row r="1924">
          <cell r="A1924" t="str">
            <v>Producto: 2352003216050101 / SANSON PLATO OVAL 36 BLANCO C/F NEGRO</v>
          </cell>
          <cell r="B1924">
            <v>6</v>
          </cell>
        </row>
        <row r="1925">
          <cell r="A1925" t="str">
            <v>Producto: 2352003216070101 / SANSON PLATO OVAL 36 BLANCO C/F ROJO</v>
          </cell>
          <cell r="B1925">
            <v>6</v>
          </cell>
        </row>
        <row r="1926">
          <cell r="A1926" t="str">
            <v>Producto: 2352003221010101 / SANSON PLATO OVAL 36 GRIS</v>
          </cell>
          <cell r="B1926">
            <v>6</v>
          </cell>
        </row>
        <row r="1927">
          <cell r="A1927" t="str">
            <v xml:space="preserve">Producto: 2352003227010101 / SANSON PLATO OVAL 36 NEGRO MOTAS </v>
          </cell>
          <cell r="B1927">
            <v>6</v>
          </cell>
        </row>
        <row r="1928">
          <cell r="A1928" t="str">
            <v xml:space="preserve">Producto: 2352003233010101 / SANSON PLATO OVAL 36 TITANIO </v>
          </cell>
          <cell r="B1928">
            <v>6</v>
          </cell>
        </row>
        <row r="1929">
          <cell r="A1929" t="str">
            <v>Producto: 2352003260010101 / SANSON PLATO OVAL 36 NEGRO PIEDRA</v>
          </cell>
          <cell r="B1929">
            <v>6</v>
          </cell>
        </row>
        <row r="1930">
          <cell r="A1930" t="str">
            <v>Producto: 2353000120010101 / SANSON ADORNO GENERICO</v>
          </cell>
          <cell r="B1930">
            <v>1</v>
          </cell>
        </row>
        <row r="1931">
          <cell r="A1931" t="str">
            <v>Producto: 2353000120010103 / SANSON ADORNO GENERICO 6PZ</v>
          </cell>
          <cell r="B1931">
            <v>1</v>
          </cell>
        </row>
        <row r="1932">
          <cell r="A1932" t="str">
            <v>Producto: 2353000120010701 / SANSON ADORNO GENERICO DECORADO</v>
          </cell>
          <cell r="B1932">
            <v>1</v>
          </cell>
        </row>
        <row r="1933">
          <cell r="A1933" t="str">
            <v xml:space="preserve">Producto: 2353000120070003 / BISA ANAFRE NEGRO MOTAS </v>
          </cell>
          <cell r="B1933">
            <v>1</v>
          </cell>
        </row>
        <row r="1934">
          <cell r="A1934" t="str">
            <v>Producto: 2353008716010903 / SANSON ADORNO TROMPO PARTITURA BLANCA 6PZ</v>
          </cell>
          <cell r="B1934">
            <v>1</v>
          </cell>
        </row>
        <row r="1935">
          <cell r="A1935" t="str">
            <v>Producto: 2353008716011003 / SANSON ADORNO TROMPO PARTITURA VINTAGE 6PZ</v>
          </cell>
          <cell r="B1935">
            <v>1</v>
          </cell>
        </row>
        <row r="1936">
          <cell r="A1936" t="str">
            <v>Producto: 2353008730010103 / SANSON ADORNO TROMPO ROJO MOTAS 6PZ</v>
          </cell>
          <cell r="B1936">
            <v>1</v>
          </cell>
        </row>
        <row r="1937">
          <cell r="A1937" t="str">
            <v>Producto: 2353008818010103 / SANSON ADORNO MOÑO COBALTO MOTAS 6PZ</v>
          </cell>
          <cell r="B1937">
            <v>1</v>
          </cell>
        </row>
        <row r="1938">
          <cell r="A1938" t="str">
            <v>Producto: 2353008830010103 / SANSON ADORNO MOÑO ROJO MOTAS 6PZ</v>
          </cell>
          <cell r="B1938">
            <v>1</v>
          </cell>
        </row>
        <row r="1939">
          <cell r="A1939" t="str">
            <v>Producto: 2353008916010903 / SANSON ADORNO ARBOL PARTITURA BLANCA 6PZ</v>
          </cell>
          <cell r="B1939">
            <v>1</v>
          </cell>
        </row>
        <row r="1940">
          <cell r="A1940" t="str">
            <v>Producto: 2353008916011303 / SANSON ADORNO ARBOL DECORADO 6PZ</v>
          </cell>
          <cell r="B1940">
            <v>1</v>
          </cell>
        </row>
        <row r="1941">
          <cell r="A1941" t="str">
            <v>Producto: 2353008918010103 / SANSON ADORNO ARBOL COBALTO MOTAS 6PZS</v>
          </cell>
          <cell r="B1941">
            <v>1</v>
          </cell>
        </row>
        <row r="1942">
          <cell r="A1942" t="str">
            <v>Producto: 2353008930010103 / SANSON ADORNO ARBOL ROJO MOTAS 6PZ</v>
          </cell>
          <cell r="B1942">
            <v>1</v>
          </cell>
        </row>
        <row r="1943">
          <cell r="A1943" t="str">
            <v>Producto: 2353009016010903 / SANSON ADORNO ESFERA PARTITURA BLANCA 6PZ</v>
          </cell>
          <cell r="B1943">
            <v>1</v>
          </cell>
        </row>
        <row r="1944">
          <cell r="A1944" t="str">
            <v>Producto: 2353009016011003 / SANSON ADORNO ESFERA PARTITURA VINTAGE 6PZ</v>
          </cell>
          <cell r="B1944">
            <v>1</v>
          </cell>
        </row>
        <row r="1945">
          <cell r="A1945" t="str">
            <v>Producto: 2353009016011103 / SANSON ADORNO ESFERA RELOJ 1 6PZ</v>
          </cell>
          <cell r="B1945">
            <v>1</v>
          </cell>
        </row>
        <row r="1946">
          <cell r="A1946" t="str">
            <v>Producto: 2353009016011203 / SANSON ADORNO ESFERA RELOJ 2 6PZ</v>
          </cell>
          <cell r="B1946">
            <v>1</v>
          </cell>
        </row>
        <row r="1947">
          <cell r="A1947" t="str">
            <v>Producto: 2353009018010103 / SANSON ADORNO ESFERA COBALTO MOTAS 6PZ</v>
          </cell>
          <cell r="B1947">
            <v>1</v>
          </cell>
        </row>
        <row r="1948">
          <cell r="A1948" t="str">
            <v>Producto: 2353009030010103 / SANSON ADORNO ESFERA ROJO MOTAS 6PZ</v>
          </cell>
          <cell r="B1948">
            <v>1</v>
          </cell>
        </row>
        <row r="1949">
          <cell r="A1949" t="str">
            <v>Producto: 2353009216010803 / SANSON ADORNO CASCANUECES DECORADO 6PZ</v>
          </cell>
          <cell r="B1949">
            <v>1</v>
          </cell>
        </row>
        <row r="1950">
          <cell r="A1950" t="str">
            <v>Producto: 2353009316010903 / SANSON ADORNO CAMPANA PARTITURA BLANCA 6PZ</v>
          </cell>
          <cell r="B1950">
            <v>1</v>
          </cell>
        </row>
        <row r="1951">
          <cell r="A1951" t="str">
            <v>Producto: 2353009330010103 / SANSON ADORNO CAMPANA ROJO MOTAS 6PZ</v>
          </cell>
          <cell r="B1951">
            <v>1</v>
          </cell>
        </row>
        <row r="1952">
          <cell r="A1952" t="str">
            <v>Producto: 2353009418010103 / SANSON ADORNO ESTRELLA COBALTO MOTAS 6PZ</v>
          </cell>
          <cell r="B1952">
            <v>1</v>
          </cell>
        </row>
        <row r="1953">
          <cell r="A1953" t="str">
            <v>Producto: 2353009430010103 / SANSON ADORNO ESTRELLA ROJO MOTAS 6PZS</v>
          </cell>
          <cell r="B1953">
            <v>1</v>
          </cell>
        </row>
        <row r="1954">
          <cell r="A1954" t="str">
            <v>Producto: 2353009518010103 / SANSON ADORNO COPO COBALTO MOTAS 6PZ</v>
          </cell>
          <cell r="B1954">
            <v>1</v>
          </cell>
        </row>
        <row r="1955">
          <cell r="A1955" t="str">
            <v>Producto: 2353009530010103 / SANSON ADORNO COPO ROJO MOTAS 6PZ</v>
          </cell>
          <cell r="B1955">
            <v>1</v>
          </cell>
        </row>
        <row r="1956">
          <cell r="A1956" t="str">
            <v>Producto: 2353009630010103 / SANSON ADORNO BASTÓN ROJO MOTAS 6PZ</v>
          </cell>
          <cell r="B1956">
            <v>1</v>
          </cell>
        </row>
        <row r="1957">
          <cell r="A1957" t="str">
            <v>Producto: 2354009702010101 / SANSON JARRA ABOMBADA 3 L A/T</v>
          </cell>
          <cell r="B1957">
            <v>1</v>
          </cell>
        </row>
        <row r="1958">
          <cell r="A1958" t="str">
            <v xml:space="preserve">Producto: 2354009713010101 / SANSON JARRA ABOMBADA 3L BICOLOR NEGRO MOTAS </v>
          </cell>
          <cell r="B1958">
            <v>1</v>
          </cell>
        </row>
        <row r="1959">
          <cell r="A1959" t="str">
            <v>Producto: 2354009714010101 / SANSON JARRA ABOMBADA 3L BICOLOR ROJO</v>
          </cell>
          <cell r="B1959">
            <v>1</v>
          </cell>
        </row>
        <row r="1960">
          <cell r="A1960" t="str">
            <v>Producto: 2354009716050101 / SANSON JARRA ABOMBADA 3L. BLANCO C/F NEGRO</v>
          </cell>
          <cell r="B1960">
            <v>1</v>
          </cell>
        </row>
        <row r="1961">
          <cell r="A1961" t="str">
            <v>Producto: 2354009752010101 / SANSON JARRA ABOMBADA 3 L BICOLOR ROJO MOTAS</v>
          </cell>
          <cell r="B1961">
            <v>1</v>
          </cell>
        </row>
        <row r="1962">
          <cell r="A1962" t="str">
            <v>Producto: 2354009753010101 / SANSON JARRA ABOMBADA 3L. BICOLOR COBALTO MOTAS</v>
          </cell>
          <cell r="B1962">
            <v>1</v>
          </cell>
        </row>
        <row r="1963">
          <cell r="A1963" t="str">
            <v>Producto: 2354009755010101 / SANSON JARRA ABOMBADA 3L. BICOLOR TITANIO</v>
          </cell>
          <cell r="B1963">
            <v>1</v>
          </cell>
        </row>
        <row r="1964">
          <cell r="A1964" t="str">
            <v>Producto: 2354009756010101 / SANSON JARRA ABOMBADA 3 L BICOLOR A/T</v>
          </cell>
          <cell r="B1964">
            <v>1</v>
          </cell>
        </row>
        <row r="1965">
          <cell r="A1965" t="str">
            <v>Producto: 2354009757010101 / SANSON JARRA ABOMBADA 3L BICOLOR GRIS</v>
          </cell>
          <cell r="B1965">
            <v>1</v>
          </cell>
        </row>
        <row r="1966">
          <cell r="A1966" t="str">
            <v>Producto: 2354009760010101 / SANSON JARRA ABOMBADA 3L. NEGRO PIEDRA</v>
          </cell>
          <cell r="B1966">
            <v>1</v>
          </cell>
        </row>
        <row r="1967">
          <cell r="A1967" t="str">
            <v>Producto: 2355009827010101 / SANSON PAVERA 45.7 NEGRO MOTAS</v>
          </cell>
          <cell r="B1967">
            <v>2</v>
          </cell>
        </row>
        <row r="1968">
          <cell r="A1968" t="str">
            <v>Producto: 2355009850010101 / SANSON PAVERA 45.7 NAVY</v>
          </cell>
          <cell r="B1968">
            <v>2</v>
          </cell>
        </row>
        <row r="1969">
          <cell r="A1969" t="str">
            <v>Producto: 2401002216050101 / IMU 4.1 QT ENAMEL CHAMBER POT 20CM   1C20666-10653</v>
          </cell>
        </row>
        <row r="1970">
          <cell r="A1970" t="str">
            <v>Producto: 2401002516050101 / IMU 4.5 QT ENAMEL CHAMBER POT 24CM   1C20666-10654</v>
          </cell>
        </row>
        <row r="1971">
          <cell r="A1971" t="str">
            <v>Producto: 2405002502010101 / IMU 4.5QT ENAMEL DUTCH OVEN TURQ C20666-101461100</v>
          </cell>
        </row>
        <row r="1972">
          <cell r="A1972" t="str">
            <v>Producto: 2406002402010102 / IMU 6 QT ENAMEL STOCK POT TURQUOISE   C20666-10681</v>
          </cell>
        </row>
        <row r="1973">
          <cell r="A1973" t="str">
            <v>Producto: 2406002525010101 / IMU 4.5QT ENAMEL  DUTCH OVEN BLUE  C20666-1014610W</v>
          </cell>
          <cell r="B1973">
            <v>3</v>
          </cell>
        </row>
        <row r="1974">
          <cell r="A1974" t="str">
            <v>Producto: 2406002527010101 / MIR 4.5QT ENAMEL DUTCH OVEN (24) BLACK  MIR-10701</v>
          </cell>
          <cell r="B1974">
            <v>3</v>
          </cell>
        </row>
        <row r="1975">
          <cell r="A1975" t="str">
            <v>Producto: 2407001502010101 / IMU ENAMEL SAUCE PAN TURQUOISE 14X8CM C20666-10693</v>
          </cell>
        </row>
        <row r="1976">
          <cell r="A1976" t="str">
            <v>Producto: 2407001516050101 / IMU 1Qt Enamel Sauce Pan Wh 14cm 1C20666-10647</v>
          </cell>
        </row>
        <row r="1977">
          <cell r="A1977" t="str">
            <v>Producto: 2407001525010101 / IMU 1.25 ENAMEL SAUCE PAN BLUE      C20666-1017710</v>
          </cell>
          <cell r="B1977">
            <v>6</v>
          </cell>
        </row>
        <row r="1978">
          <cell r="A1978" t="str">
            <v>Producto: 2407001527010101 / MIR 1.0 Qt  ENAMEL SAUCE PAN BLACK 14 CM  MI-10709</v>
          </cell>
        </row>
        <row r="1979">
          <cell r="A1979" t="str">
            <v>Producto: 2407001716050101 / IMU 1.7QT ENAMEL SAUCE PAN WH 16 CM 1C20666-10648</v>
          </cell>
        </row>
        <row r="1980">
          <cell r="A1980" t="str">
            <v>Producto: 2407001727010101 / MIR 16 CM ENAMEL SAUCE PAN BLACK         MIR-10710</v>
          </cell>
          <cell r="B1980">
            <v>4</v>
          </cell>
        </row>
        <row r="1981">
          <cell r="A1981" t="str">
            <v>Producto: 2410002425010101 / IMU ENAMEL COMAL SGL HANDED BLUE 22CM C20666-10667</v>
          </cell>
          <cell r="B1981">
            <v>6</v>
          </cell>
        </row>
        <row r="1982">
          <cell r="A1982" t="str">
            <v>Producto: 2410002825010101 / IMU ENAMEL COMAL SGL HANDED BLUE 28CM C20666-10668</v>
          </cell>
          <cell r="B1982">
            <v>6</v>
          </cell>
        </row>
        <row r="1983">
          <cell r="A1983" t="str">
            <v>Producto: 2411001727010101 / IMU 14LT ENAMEL BUCKET BK30.5X26.5CM 1C20666-10658</v>
          </cell>
        </row>
        <row r="1984">
          <cell r="A1984" t="str">
            <v>Producto: 2415002716050101 / IMU 3QT ENAMEL BASIN WHITE 27CM 1C20666-10657</v>
          </cell>
        </row>
        <row r="1985">
          <cell r="A1985" t="str">
            <v>Producto: 2418004525010101 / IMU 12X7.8" ROASTER PAN BLUE          C20666-10661</v>
          </cell>
          <cell r="B1985">
            <v>3</v>
          </cell>
        </row>
        <row r="1986">
          <cell r="A1986" t="str">
            <v>Producto: 2418004625010101 / IMU 16X12" ROASTER PAN BLUE           C20666-10662</v>
          </cell>
          <cell r="B1986">
            <v>3</v>
          </cell>
        </row>
        <row r="1987">
          <cell r="A1987" t="str">
            <v xml:space="preserve">Producto: 2424002127010101 / MIR 3.0 Qt ENAMEL CONVEX KETTLE BLACK - 2.8       </v>
          </cell>
        </row>
        <row r="1988">
          <cell r="A1988" t="str">
            <v>Producto: 2425001402010101 / IMU 12QT ENAMEL STOCK POT TURQUOISE   C20666-10683</v>
          </cell>
          <cell r="B1988">
            <v>2</v>
          </cell>
        </row>
        <row r="1989">
          <cell r="A1989" t="str">
            <v>Producto: 2425001402010102 / IMU 12QT ENAMEL STOCK POT TURQUOISE  C20666-10683T</v>
          </cell>
          <cell r="B1989">
            <v>2</v>
          </cell>
        </row>
        <row r="1990">
          <cell r="A1990" t="str">
            <v>Producto: 2425002216050101 / IMU 4QT ENAMEL STOCK POT WH 20X12C 1C20666-10641</v>
          </cell>
          <cell r="B1990">
            <v>2</v>
          </cell>
        </row>
        <row r="1991">
          <cell r="A1991" t="str">
            <v>Producto: 2425002225010101 / IMU 4 QT ENAMEL STOCK POT BLUE     C20666-1062810W</v>
          </cell>
          <cell r="B1991">
            <v>2</v>
          </cell>
        </row>
        <row r="1992">
          <cell r="A1992" t="str">
            <v>Producto: 2425002225010102 / IMU 4 QT ENAMEL STOCK POT BLUE      C20666-1062810</v>
          </cell>
          <cell r="B1992">
            <v>2</v>
          </cell>
        </row>
        <row r="1993">
          <cell r="A1993" t="str">
            <v>Producto: 2425002425010101 / IMU 6 QT ENAMEL STOCK POT BLUE     C20666-1063310W</v>
          </cell>
          <cell r="B1993">
            <v>2</v>
          </cell>
        </row>
        <row r="1994">
          <cell r="A1994" t="str">
            <v>Producto: 2425002425010102 / IMU 6 QT ENAMEL STOCK POT BLUE      C20666-1063310</v>
          </cell>
          <cell r="B1994">
            <v>2</v>
          </cell>
        </row>
        <row r="1995">
          <cell r="A1995" t="str">
            <v>Producto: 2425002502010101 / IMU 7.75 QT ENAMEL STOCK POT TURQ     C20666-10682</v>
          </cell>
          <cell r="B1995">
            <v>2</v>
          </cell>
        </row>
        <row r="1996">
          <cell r="A1996" t="str">
            <v>Producto: 2425002502010102 / IMU 7.75 QT ENAMEL STOCK POT TURQ    C20666-10682T</v>
          </cell>
          <cell r="B1996">
            <v>2</v>
          </cell>
        </row>
        <row r="1997">
          <cell r="A1997" t="str">
            <v>Producto: 2425002516050101 / IMU 7.5Qt Enamel StockPot Wh 24x16cm 1C20666-10642</v>
          </cell>
          <cell r="B1997">
            <v>2</v>
          </cell>
        </row>
        <row r="1998">
          <cell r="A1998" t="str">
            <v>Producto: 2425002525010101 / IMU 7.75QT ENAMEL STOCK POT BLUE C20666-10636W</v>
          </cell>
          <cell r="B1998">
            <v>2</v>
          </cell>
        </row>
        <row r="1999">
          <cell r="A1999" t="str">
            <v>Producto: 2425002527010101 / MIR 7.75QT ENA STOCK POT BLACK 24X16CM  MIR-10704</v>
          </cell>
          <cell r="B1999">
            <v>2</v>
          </cell>
        </row>
        <row r="2000">
          <cell r="A2000" t="str">
            <v>Producto: 2425002816050101 / IMU 12Qt Enamel StockPot Wh 28x18cm 1C20666-10643</v>
          </cell>
          <cell r="B2000">
            <v>2</v>
          </cell>
        </row>
        <row r="2001">
          <cell r="A2001" t="str">
            <v>Producto: 2425002825010101 / IMU 12 QT ENAMEL STOCK POT BLUE      C20666-10646W</v>
          </cell>
          <cell r="B2001">
            <v>2</v>
          </cell>
        </row>
        <row r="2002">
          <cell r="A2002" t="str">
            <v>Producto: 2425002827010101 / MIR 12 QT ENAMEL STOCK POT BLACK         MIR-10705</v>
          </cell>
          <cell r="B2002">
            <v>2</v>
          </cell>
        </row>
        <row r="2003">
          <cell r="A2003" t="str">
            <v>Producto: 2425002902010101 / IMU 16QT ENAMEL STOCK POT TURQ 30X21  C20666-10684</v>
          </cell>
          <cell r="B2003">
            <v>2</v>
          </cell>
        </row>
        <row r="2004">
          <cell r="A2004" t="str">
            <v>Producto: 2425002927010101 / MIR 16 QT ENAMEL STOCK POT BLACK         MIR-10706</v>
          </cell>
          <cell r="B2004">
            <v>2</v>
          </cell>
        </row>
        <row r="2005">
          <cell r="A2005" t="str">
            <v>Producto: 2425003102010101 / IMU 12QT ENAMEL STOCK POT TURQ 34X22 C20666-10686K</v>
          </cell>
          <cell r="B2005">
            <v>2</v>
          </cell>
        </row>
        <row r="2006">
          <cell r="A2006" t="str">
            <v>Producto: 2425003125010101 / IMU 21 QT ENAMEL STOCK POT BLUE       C20666-10677</v>
          </cell>
          <cell r="B2006">
            <v>1</v>
          </cell>
        </row>
        <row r="2007">
          <cell r="A2007" t="str">
            <v>Producto: 2425009927010101 / MIR 33 QT ENAMEL STOCK POT BLACK         MIR-10708</v>
          </cell>
          <cell r="B2007">
            <v>1</v>
          </cell>
        </row>
        <row r="2008">
          <cell r="A2008" t="str">
            <v>Producto: 2426002216050101 / IMU 8" ENAMEL DEEP PLATE WHITE 20CM  1C20666-10655</v>
          </cell>
        </row>
        <row r="2009">
          <cell r="A2009" t="str">
            <v>Producto: 2433000925010101 / IMU 3OZ ENAMEL TEQUILERO BLUE 5X6CM C20666-10665</v>
          </cell>
          <cell r="B2009">
            <v>24</v>
          </cell>
        </row>
        <row r="2010">
          <cell r="A2010" t="str">
            <v>Producto: 2433001216050101 / IMU 12 OZ ENAMEL MUG WHITE 8X7 CM    1C20666-10649</v>
          </cell>
        </row>
        <row r="2011">
          <cell r="A2011" t="str">
            <v>Producto: 2433001227010101 / MIR 8 CM ENAMEL MUG BLACK 12 OZ          MIR-10711</v>
          </cell>
          <cell r="B2011">
            <v>4</v>
          </cell>
        </row>
        <row r="2012">
          <cell r="A2012" t="str">
            <v>Producto: 2433001316050101 / IMU 24 OZ ENAMEL MUG WHITE 10X8 CM   1C20666-10650</v>
          </cell>
        </row>
        <row r="2013">
          <cell r="A2013" t="str">
            <v>Producto: 2433001402010101 / IMU 12 CM ENAMEL MUG TURQUOISE        C20666-10690</v>
          </cell>
        </row>
        <row r="2014">
          <cell r="A2014" t="str">
            <v>Producto: 2433001416050101 / IMU 1.1QT ENAMEL MUG WHITE 12X9.5 CM 1C20666-10651</v>
          </cell>
        </row>
        <row r="2015">
          <cell r="A2015" t="str">
            <v>Producto: 2433001425010101 / IMUSA 12 CM ENAMEL MUG BLUE</v>
          </cell>
          <cell r="B2015">
            <v>6</v>
          </cell>
        </row>
        <row r="2016">
          <cell r="A2016" t="str">
            <v>Producto: 2433001450010101 / IMU 12 CM ENAMEL MUG BLUE (WM)       C20666-10977W</v>
          </cell>
          <cell r="B2016">
            <v>6</v>
          </cell>
        </row>
        <row r="2017">
          <cell r="A2017" t="str">
            <v>Producto: 2433001450010103 / IMU 12 CM ENAMEL MUG BLUE            C20666-10976W</v>
          </cell>
          <cell r="B2017">
            <v>6</v>
          </cell>
        </row>
        <row r="2018">
          <cell r="A2018" t="str">
            <v>Producto: 2433001516050101 / IMU 2 QT ENAMEL MUG WHITE 14X12 CM   1C20666-10652</v>
          </cell>
        </row>
        <row r="2019">
          <cell r="A2019" t="str">
            <v>Producto: 2443000116050105 / IMU 16PC WH AND BK ENAMEL TABLE SET   C20666-10979</v>
          </cell>
        </row>
        <row r="2020">
          <cell r="A2020" t="str">
            <v>Producto: 2444002902010101 / IMU 16QT STEAMER POT-TURQ 30X21      C20666-10685K</v>
          </cell>
        </row>
        <row r="2021">
          <cell r="A2021" t="str">
            <v>Producto: 2444002925010101 / IMU 16 QT STEAMER STOCK POT-BLUE    C20666-1065948</v>
          </cell>
          <cell r="B2021">
            <v>2</v>
          </cell>
        </row>
        <row r="2022">
          <cell r="A2022" t="str">
            <v>Producto: 2444003102010101 / IMU 21QT STEAMER POT-TURQ 34X22      C20666-10687T</v>
          </cell>
        </row>
        <row r="2023">
          <cell r="A2023" t="str">
            <v>Producto: 2444003125010101 / IMU 21 QT STEAMER BLUE C20666-10678</v>
          </cell>
          <cell r="B2023">
            <v>1</v>
          </cell>
        </row>
        <row r="2024">
          <cell r="A2024" t="str">
            <v>Producto: 2444003127010101 / MIR 21 QT STEAMER / TRAY BLACK           MIR-10707</v>
          </cell>
        </row>
        <row r="2025">
          <cell r="A2025" t="str">
            <v>Producto: 2455009825010101 / IMU 18" COVERED ROASTER BLUE          C20666-10664</v>
          </cell>
          <cell r="B2025">
            <v>2</v>
          </cell>
        </row>
        <row r="2026">
          <cell r="A2026" t="str">
            <v>Producto: 2455009827010101 / MIR 18" COVERED ROASTER BLACK            MIR-10716</v>
          </cell>
          <cell r="B2026">
            <v>2</v>
          </cell>
        </row>
        <row r="2027">
          <cell r="A2027" t="str">
            <v>Producto: 2455010025010101 / IMUSA 15" COVERED OVAL ROASTER BLUE</v>
          </cell>
          <cell r="B2027">
            <v>2</v>
          </cell>
        </row>
        <row r="2028">
          <cell r="A2028" t="str">
            <v>Producto: 2455010027010101 / MIR 15" COVERED ROASTER BLACK            MIR-10715</v>
          </cell>
          <cell r="B2028">
            <v>2</v>
          </cell>
        </row>
        <row r="2029">
          <cell r="A2029" t="str">
            <v>Producto: 2533001425010101 / SANSON POCILLO 12 NAVY W</v>
          </cell>
          <cell r="B2029">
            <v>12</v>
          </cell>
        </row>
        <row r="2030">
          <cell r="A2030" t="str">
            <v>Producto: 2533001502010101 / BISA POCILLO 14 A/T W</v>
          </cell>
          <cell r="B2030">
            <v>6</v>
          </cell>
        </row>
        <row r="2031">
          <cell r="A2031" t="str">
            <v>Producto: 2533001527010101 / BISA POCILLO 14 NEGRO MOTAS W</v>
          </cell>
          <cell r="B2031">
            <v>6</v>
          </cell>
        </row>
        <row r="2032">
          <cell r="A2032" t="str">
            <v>Producto: 2658002716010101 / Ecofiltro 27 Blanco</v>
          </cell>
          <cell r="B2032">
            <v>1</v>
          </cell>
        </row>
        <row r="2033">
          <cell r="A2033" t="str">
            <v>Producto: 2658002726010101 / Ecofiltro 27 Negro Decorado</v>
          </cell>
          <cell r="B2033">
            <v>1</v>
          </cell>
        </row>
        <row r="2034">
          <cell r="A2034" t="str">
            <v>Producto: 2658002760010101 / Ecofiltro 27 Negro Piedra</v>
          </cell>
          <cell r="B2034">
            <v>1</v>
          </cell>
        </row>
        <row r="2035">
          <cell r="A2035" t="str">
            <v>Producto: 2658010116010101 / Ecofiltro 5.5 Blanco</v>
          </cell>
          <cell r="B2035">
            <v>1</v>
          </cell>
        </row>
        <row r="2036">
          <cell r="A2036" t="str">
            <v>Producto: 2658010126010101 / Ecofiltro 5.5 Negro</v>
          </cell>
          <cell r="B2036">
            <v>1</v>
          </cell>
        </row>
        <row r="2037">
          <cell r="A2037" t="str">
            <v>Producto: 2658010146010101 / Ecofiltro 5.5 Crema</v>
          </cell>
          <cell r="B2037">
            <v>1</v>
          </cell>
        </row>
        <row r="2038">
          <cell r="A2038" t="str">
            <v>Producto: 2658010160010101 / Ecofiltro 5.5 Negro Piedra</v>
          </cell>
          <cell r="B2038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XS"/>
      <sheetName val="Hoja1"/>
      <sheetName val="codigo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 t="str">
            <v>BACINICA</v>
          </cell>
          <cell r="E2">
            <v>1</v>
          </cell>
          <cell r="F2" t="str">
            <v>S/I</v>
          </cell>
          <cell r="H2">
            <v>1</v>
          </cell>
          <cell r="I2" t="str">
            <v>S/I</v>
          </cell>
          <cell r="K2">
            <v>1</v>
          </cell>
          <cell r="L2" t="str">
            <v>S/I</v>
          </cell>
        </row>
        <row r="3">
          <cell r="A3">
            <v>2</v>
          </cell>
          <cell r="B3" t="str">
            <v>BANDEJA</v>
          </cell>
          <cell r="E3">
            <v>2</v>
          </cell>
          <cell r="F3">
            <v>0</v>
          </cell>
          <cell r="H3">
            <v>2</v>
          </cell>
          <cell r="I3" t="str">
            <v>A/T</v>
          </cell>
          <cell r="K3">
            <v>2</v>
          </cell>
          <cell r="L3" t="str">
            <v>AQUA</v>
          </cell>
        </row>
        <row r="4">
          <cell r="A4">
            <v>3</v>
          </cell>
          <cell r="B4" t="str">
            <v>BAÑO</v>
          </cell>
          <cell r="E4">
            <v>3</v>
          </cell>
          <cell r="F4">
            <v>0</v>
          </cell>
          <cell r="H4">
            <v>3</v>
          </cell>
          <cell r="I4" t="str">
            <v>AMARILLO</v>
          </cell>
          <cell r="K4">
            <v>3</v>
          </cell>
          <cell r="L4" t="str">
            <v>COBALTO</v>
          </cell>
        </row>
        <row r="5">
          <cell r="A5">
            <v>4</v>
          </cell>
          <cell r="B5" t="str">
            <v>BATERIA</v>
          </cell>
          <cell r="E5">
            <v>4</v>
          </cell>
          <cell r="F5">
            <v>0</v>
          </cell>
          <cell r="H5">
            <v>4</v>
          </cell>
          <cell r="I5" t="str">
            <v>AMBAR</v>
          </cell>
          <cell r="K5">
            <v>4</v>
          </cell>
          <cell r="L5" t="str">
            <v>GRIS</v>
          </cell>
        </row>
        <row r="6">
          <cell r="A6">
            <v>5</v>
          </cell>
          <cell r="B6" t="str">
            <v>BOTE BASURA</v>
          </cell>
          <cell r="E6">
            <v>5</v>
          </cell>
          <cell r="F6">
            <v>1</v>
          </cell>
          <cell r="H6">
            <v>5</v>
          </cell>
          <cell r="I6" t="str">
            <v>AQUA</v>
          </cell>
          <cell r="K6">
            <v>5</v>
          </cell>
          <cell r="L6" t="str">
            <v>NEGRO</v>
          </cell>
        </row>
        <row r="7">
          <cell r="A7">
            <v>6</v>
          </cell>
          <cell r="B7" t="str">
            <v xml:space="preserve">BUDINERA  </v>
          </cell>
          <cell r="E7">
            <v>6</v>
          </cell>
          <cell r="F7">
            <v>2</v>
          </cell>
          <cell r="H7">
            <v>6</v>
          </cell>
          <cell r="I7" t="str">
            <v>AZUL</v>
          </cell>
          <cell r="K7">
            <v>6</v>
          </cell>
          <cell r="L7" t="str">
            <v>NEVADO</v>
          </cell>
        </row>
        <row r="8">
          <cell r="A8">
            <v>7</v>
          </cell>
          <cell r="B8" t="str">
            <v>CAZO</v>
          </cell>
          <cell r="E8">
            <v>7</v>
          </cell>
          <cell r="F8">
            <v>3</v>
          </cell>
          <cell r="H8">
            <v>7</v>
          </cell>
          <cell r="I8" t="str">
            <v>BERENJENA</v>
          </cell>
          <cell r="K8">
            <v>7</v>
          </cell>
          <cell r="L8" t="str">
            <v>ROJO</v>
          </cell>
        </row>
        <row r="9">
          <cell r="A9">
            <v>8</v>
          </cell>
          <cell r="B9" t="str">
            <v>CAZUELA</v>
          </cell>
          <cell r="E9">
            <v>8</v>
          </cell>
          <cell r="F9">
            <v>4</v>
          </cell>
          <cell r="H9">
            <v>8</v>
          </cell>
          <cell r="I9" t="str">
            <v>BICOLOR</v>
          </cell>
          <cell r="K9">
            <v>8</v>
          </cell>
          <cell r="L9" t="str">
            <v>ROSA</v>
          </cell>
        </row>
        <row r="10">
          <cell r="A10">
            <v>9</v>
          </cell>
          <cell r="B10" t="str">
            <v>CHAROLA DE SERVICIO</v>
          </cell>
          <cell r="E10">
            <v>9</v>
          </cell>
          <cell r="F10">
            <v>5</v>
          </cell>
          <cell r="H10">
            <v>9</v>
          </cell>
          <cell r="I10" t="str">
            <v>BICOLOR AMARILLO</v>
          </cell>
          <cell r="K10">
            <v>9</v>
          </cell>
          <cell r="L10" t="str">
            <v>VERDE</v>
          </cell>
        </row>
        <row r="11">
          <cell r="A11">
            <v>10</v>
          </cell>
          <cell r="B11" t="str">
            <v>COMAL</v>
          </cell>
          <cell r="E11">
            <v>10</v>
          </cell>
          <cell r="F11">
            <v>6</v>
          </cell>
          <cell r="H11">
            <v>10</v>
          </cell>
          <cell r="I11" t="str">
            <v>BICOLOR AZUL</v>
          </cell>
          <cell r="K11">
            <v>10</v>
          </cell>
          <cell r="L11" t="str">
            <v>AZUL</v>
          </cell>
        </row>
        <row r="12">
          <cell r="A12">
            <v>11</v>
          </cell>
          <cell r="B12" t="str">
            <v>CUBETA</v>
          </cell>
          <cell r="E12">
            <v>11</v>
          </cell>
          <cell r="F12">
            <v>7</v>
          </cell>
          <cell r="H12">
            <v>11</v>
          </cell>
          <cell r="I12" t="str">
            <v>BICOLOR COBALTO</v>
          </cell>
          <cell r="K12">
            <v>11</v>
          </cell>
          <cell r="L12" t="str">
            <v xml:space="preserve">CAFÉ </v>
          </cell>
        </row>
        <row r="13">
          <cell r="A13">
            <v>12</v>
          </cell>
          <cell r="B13" t="str">
            <v>CUCHARA</v>
          </cell>
          <cell r="E13">
            <v>12</v>
          </cell>
          <cell r="F13">
            <v>8</v>
          </cell>
          <cell r="H13">
            <v>12</v>
          </cell>
          <cell r="I13" t="str">
            <v>BICOLOR NARANJA</v>
          </cell>
        </row>
        <row r="14">
          <cell r="A14">
            <v>13</v>
          </cell>
          <cell r="B14" t="str">
            <v>CUCHILLO</v>
          </cell>
          <cell r="E14">
            <v>13</v>
          </cell>
          <cell r="F14">
            <v>10</v>
          </cell>
          <cell r="H14">
            <v>13</v>
          </cell>
          <cell r="I14" t="str">
            <v>BICOLOR NEGRO MOTAS</v>
          </cell>
        </row>
        <row r="15">
          <cell r="A15">
            <v>14</v>
          </cell>
          <cell r="B15" t="str">
            <v>DESPACHADOR AGUA</v>
          </cell>
          <cell r="E15">
            <v>14</v>
          </cell>
          <cell r="F15">
            <v>12</v>
          </cell>
          <cell r="H15">
            <v>14</v>
          </cell>
          <cell r="I15" t="str">
            <v>BICOLOR ROJO</v>
          </cell>
        </row>
        <row r="16">
          <cell r="A16">
            <v>15</v>
          </cell>
          <cell r="B16" t="str">
            <v>ENSALADERA</v>
          </cell>
          <cell r="E16">
            <v>15</v>
          </cell>
          <cell r="F16">
            <v>14</v>
          </cell>
          <cell r="H16">
            <v>15</v>
          </cell>
          <cell r="I16" t="str">
            <v>BICOLOR VERDE</v>
          </cell>
        </row>
        <row r="17">
          <cell r="A17">
            <v>16</v>
          </cell>
          <cell r="B17" t="str">
            <v>FLORERO</v>
          </cell>
          <cell r="E17">
            <v>16</v>
          </cell>
          <cell r="F17">
            <v>15.5</v>
          </cell>
          <cell r="H17">
            <v>16</v>
          </cell>
          <cell r="I17" t="str">
            <v xml:space="preserve">BLANCO </v>
          </cell>
        </row>
        <row r="18">
          <cell r="A18">
            <v>17</v>
          </cell>
          <cell r="B18" t="str">
            <v>FRESH CONTENEDOR</v>
          </cell>
          <cell r="E18">
            <v>17</v>
          </cell>
          <cell r="F18">
            <v>16</v>
          </cell>
          <cell r="H18">
            <v>17</v>
          </cell>
          <cell r="I18" t="str">
            <v>COBALTO</v>
          </cell>
        </row>
        <row r="19">
          <cell r="A19">
            <v>18</v>
          </cell>
          <cell r="B19" t="str">
            <v>FUENTE PARA HORNO</v>
          </cell>
          <cell r="E19">
            <v>18</v>
          </cell>
          <cell r="F19">
            <v>16.5</v>
          </cell>
          <cell r="H19">
            <v>18</v>
          </cell>
          <cell r="I19" t="str">
            <v>COBALTO MOTAS</v>
          </cell>
        </row>
        <row r="20">
          <cell r="A20">
            <v>19</v>
          </cell>
          <cell r="B20" t="str">
            <v>JARRA RECTA</v>
          </cell>
          <cell r="E20">
            <v>19</v>
          </cell>
          <cell r="F20">
            <v>17</v>
          </cell>
          <cell r="H20">
            <v>19</v>
          </cell>
          <cell r="I20" t="str">
            <v>GALVANIZADO</v>
          </cell>
        </row>
        <row r="21">
          <cell r="A21">
            <v>20</v>
          </cell>
          <cell r="B21" t="str">
            <v>JICARA</v>
          </cell>
          <cell r="E21">
            <v>20</v>
          </cell>
          <cell r="F21">
            <v>17.5</v>
          </cell>
          <cell r="H21">
            <v>20</v>
          </cell>
          <cell r="I21" t="str">
            <v>GENERICO</v>
          </cell>
        </row>
        <row r="22">
          <cell r="A22">
            <v>21</v>
          </cell>
          <cell r="B22" t="str">
            <v>JUEGO</v>
          </cell>
          <cell r="E22">
            <v>21</v>
          </cell>
          <cell r="F22">
            <v>18</v>
          </cell>
          <cell r="H22">
            <v>21</v>
          </cell>
          <cell r="I22" t="str">
            <v>GRIS</v>
          </cell>
        </row>
        <row r="23">
          <cell r="A23">
            <v>22</v>
          </cell>
          <cell r="B23" t="str">
            <v>MULTIUSOS</v>
          </cell>
          <cell r="E23">
            <v>22</v>
          </cell>
          <cell r="F23">
            <v>20</v>
          </cell>
          <cell r="H23">
            <v>22</v>
          </cell>
          <cell r="I23" t="str">
            <v>HUMO</v>
          </cell>
        </row>
        <row r="24">
          <cell r="A24">
            <v>23</v>
          </cell>
          <cell r="B24" t="str">
            <v>MULTIUSOS RAYADO</v>
          </cell>
          <cell r="E24">
            <v>23</v>
          </cell>
          <cell r="F24">
            <v>20.5</v>
          </cell>
          <cell r="H24">
            <v>23</v>
          </cell>
          <cell r="I24" t="str">
            <v>NARANJA</v>
          </cell>
        </row>
        <row r="25">
          <cell r="A25">
            <v>24</v>
          </cell>
          <cell r="B25" t="str">
            <v>OLLA CONVEXA</v>
          </cell>
          <cell r="E25">
            <v>24</v>
          </cell>
          <cell r="F25">
            <v>22</v>
          </cell>
          <cell r="H25">
            <v>24</v>
          </cell>
          <cell r="I25" t="str">
            <v>NARANJA MOTAS</v>
          </cell>
        </row>
        <row r="26">
          <cell r="A26">
            <v>25</v>
          </cell>
          <cell r="B26" t="str">
            <v>OLLA RECTA</v>
          </cell>
          <cell r="E26">
            <v>25</v>
          </cell>
          <cell r="F26">
            <v>24</v>
          </cell>
          <cell r="H26">
            <v>25</v>
          </cell>
          <cell r="I26" t="str">
            <v>NAVY</v>
          </cell>
        </row>
        <row r="27">
          <cell r="A27">
            <v>26</v>
          </cell>
          <cell r="B27" t="str">
            <v>PLATO AVENERO</v>
          </cell>
          <cell r="E27">
            <v>26</v>
          </cell>
          <cell r="F27">
            <v>26</v>
          </cell>
          <cell r="H27">
            <v>26</v>
          </cell>
          <cell r="I27" t="str">
            <v>NEGRO</v>
          </cell>
        </row>
        <row r="28">
          <cell r="A28">
            <v>27</v>
          </cell>
          <cell r="B28" t="str">
            <v>PLATO BASE</v>
          </cell>
          <cell r="E28">
            <v>27</v>
          </cell>
          <cell r="F28">
            <v>27</v>
          </cell>
          <cell r="H28">
            <v>27</v>
          </cell>
          <cell r="I28" t="str">
            <v>NEGRO MOTAS</v>
          </cell>
        </row>
        <row r="29">
          <cell r="A29">
            <v>28</v>
          </cell>
          <cell r="B29" t="str">
            <v>PLATO BISTRO</v>
          </cell>
          <cell r="E29">
            <v>28</v>
          </cell>
          <cell r="F29">
            <v>28</v>
          </cell>
          <cell r="H29">
            <v>28</v>
          </cell>
          <cell r="I29" t="str">
            <v>NEVADO</v>
          </cell>
        </row>
        <row r="30">
          <cell r="A30">
            <v>29</v>
          </cell>
          <cell r="B30" t="str">
            <v>PLATO HONDO</v>
          </cell>
          <cell r="E30">
            <v>29</v>
          </cell>
          <cell r="F30">
            <v>30</v>
          </cell>
          <cell r="H30">
            <v>29</v>
          </cell>
          <cell r="I30" t="str">
            <v>ROJO</v>
          </cell>
        </row>
        <row r="31">
          <cell r="A31">
            <v>30</v>
          </cell>
          <cell r="B31" t="str">
            <v>PLATO LISO</v>
          </cell>
          <cell r="E31">
            <v>30</v>
          </cell>
          <cell r="F31">
            <v>32</v>
          </cell>
          <cell r="H31">
            <v>30</v>
          </cell>
          <cell r="I31" t="str">
            <v>ROJO MOTAS</v>
          </cell>
        </row>
        <row r="32">
          <cell r="A32">
            <v>31</v>
          </cell>
          <cell r="B32" t="str">
            <v>PLATO ROYAL</v>
          </cell>
          <cell r="E32">
            <v>31</v>
          </cell>
          <cell r="F32">
            <v>34</v>
          </cell>
          <cell r="H32">
            <v>31</v>
          </cell>
          <cell r="I32" t="str">
            <v>ROSA</v>
          </cell>
        </row>
        <row r="33">
          <cell r="A33">
            <v>32</v>
          </cell>
          <cell r="B33" t="str">
            <v>PLATO TROQUELADO</v>
          </cell>
          <cell r="E33">
            <v>32</v>
          </cell>
          <cell r="F33">
            <v>36</v>
          </cell>
          <cell r="H33">
            <v>32</v>
          </cell>
          <cell r="I33" t="str">
            <v>ROSA MOTAS</v>
          </cell>
        </row>
        <row r="34">
          <cell r="A34">
            <v>33</v>
          </cell>
          <cell r="B34" t="str">
            <v>POCILLO</v>
          </cell>
          <cell r="E34">
            <v>33</v>
          </cell>
          <cell r="F34">
            <v>42</v>
          </cell>
          <cell r="H34">
            <v>33</v>
          </cell>
          <cell r="I34" t="str">
            <v>TITANIO</v>
          </cell>
        </row>
        <row r="35">
          <cell r="A35">
            <v>34</v>
          </cell>
          <cell r="B35" t="str">
            <v>POCILLO HERVIDOR</v>
          </cell>
          <cell r="E35">
            <v>34</v>
          </cell>
          <cell r="F35">
            <v>45</v>
          </cell>
          <cell r="H35">
            <v>34</v>
          </cell>
          <cell r="I35" t="str">
            <v>TRASLUCIDO</v>
          </cell>
        </row>
        <row r="36">
          <cell r="A36">
            <v>35</v>
          </cell>
          <cell r="B36" t="str">
            <v>PORTAVASOS</v>
          </cell>
          <cell r="E36">
            <v>35</v>
          </cell>
          <cell r="F36">
            <v>2550</v>
          </cell>
          <cell r="H36">
            <v>35</v>
          </cell>
          <cell r="I36" t="str">
            <v>TRASLUCIDO AMBAR</v>
          </cell>
        </row>
        <row r="37">
          <cell r="A37">
            <v>36</v>
          </cell>
          <cell r="B37" t="str">
            <v>SARTEN</v>
          </cell>
          <cell r="E37">
            <v>36</v>
          </cell>
          <cell r="F37">
            <v>5250</v>
          </cell>
          <cell r="H37">
            <v>36</v>
          </cell>
          <cell r="I37" t="str">
            <v>TRASLUCIDO AZUL</v>
          </cell>
        </row>
        <row r="38">
          <cell r="A38">
            <v>37</v>
          </cell>
          <cell r="B38" t="str">
            <v>TAMALERA</v>
          </cell>
          <cell r="E38">
            <v>37</v>
          </cell>
          <cell r="F38" t="str">
            <v>2.5 LTS</v>
          </cell>
          <cell r="H38">
            <v>37</v>
          </cell>
          <cell r="I38" t="str">
            <v>TRASLUCIDO AZUL REY</v>
          </cell>
        </row>
        <row r="39">
          <cell r="A39">
            <v>38</v>
          </cell>
          <cell r="B39" t="str">
            <v>TAZA BISTRO</v>
          </cell>
          <cell r="E39">
            <v>38</v>
          </cell>
          <cell r="F39" t="str">
            <v>19 LTS</v>
          </cell>
          <cell r="H39">
            <v>38</v>
          </cell>
          <cell r="I39" t="str">
            <v>TRASLUCIDO BERENJENA</v>
          </cell>
        </row>
        <row r="40">
          <cell r="A40">
            <v>39</v>
          </cell>
          <cell r="B40" t="str">
            <v xml:space="preserve">TAZON </v>
          </cell>
          <cell r="E40">
            <v>39</v>
          </cell>
          <cell r="F40" t="str">
            <v>75 LTS</v>
          </cell>
          <cell r="H40">
            <v>39</v>
          </cell>
          <cell r="I40" t="str">
            <v>TRASLUCIDO HUMO</v>
          </cell>
        </row>
        <row r="41">
          <cell r="A41">
            <v>40</v>
          </cell>
          <cell r="B41" t="str">
            <v>TAZON INCLINADO</v>
          </cell>
          <cell r="E41">
            <v>40</v>
          </cell>
          <cell r="F41" t="str">
            <v>400 ML</v>
          </cell>
          <cell r="H41">
            <v>40</v>
          </cell>
          <cell r="I41" t="str">
            <v>TRASLUCIDO MORADO</v>
          </cell>
        </row>
        <row r="42">
          <cell r="A42">
            <v>41</v>
          </cell>
          <cell r="B42" t="str">
            <v>TENEDOR</v>
          </cell>
          <cell r="E42">
            <v>41</v>
          </cell>
          <cell r="F42" t="str">
            <v xml:space="preserve">500 ML </v>
          </cell>
          <cell r="H42">
            <v>41</v>
          </cell>
          <cell r="I42" t="str">
            <v>TRASLUCIDO ROJO</v>
          </cell>
        </row>
        <row r="43">
          <cell r="A43">
            <v>42</v>
          </cell>
          <cell r="B43" t="str">
            <v xml:space="preserve">TORTILLERO </v>
          </cell>
          <cell r="E43">
            <v>42</v>
          </cell>
          <cell r="F43" t="str">
            <v>1500 ML</v>
          </cell>
          <cell r="H43">
            <v>42</v>
          </cell>
          <cell r="I43" t="str">
            <v>TRASLUCIDO ROSA</v>
          </cell>
        </row>
        <row r="44">
          <cell r="A44">
            <v>43</v>
          </cell>
          <cell r="B44" t="str">
            <v>VAJILLA</v>
          </cell>
          <cell r="E44">
            <v>43</v>
          </cell>
          <cell r="F44" t="str">
            <v>3+3</v>
          </cell>
          <cell r="H44">
            <v>43</v>
          </cell>
          <cell r="I44" t="str">
            <v>TRASLUCIDO A/T</v>
          </cell>
        </row>
        <row r="45">
          <cell r="A45">
            <v>44</v>
          </cell>
          <cell r="B45" t="str">
            <v>VAPORERA</v>
          </cell>
          <cell r="E45">
            <v>44</v>
          </cell>
          <cell r="F45" t="str">
            <v>5+5</v>
          </cell>
          <cell r="H45">
            <v>44</v>
          </cell>
          <cell r="I45" t="str">
            <v>TRASLUCIDO VERDE</v>
          </cell>
        </row>
        <row r="46">
          <cell r="A46">
            <v>45</v>
          </cell>
          <cell r="B46" t="str">
            <v>VASO</v>
          </cell>
          <cell r="E46">
            <v>45</v>
          </cell>
          <cell r="F46" t="str">
            <v>30X20</v>
          </cell>
          <cell r="H46">
            <v>45</v>
          </cell>
          <cell r="I46" t="str">
            <v>TRASLUCIDO VERDE BOTELLA</v>
          </cell>
        </row>
        <row r="47">
          <cell r="A47">
            <v>46</v>
          </cell>
          <cell r="B47" t="str">
            <v>VASO AGUA</v>
          </cell>
          <cell r="E47">
            <v>46</v>
          </cell>
          <cell r="F47" t="str">
            <v>40X30</v>
          </cell>
          <cell r="H47">
            <v>46</v>
          </cell>
          <cell r="I47" t="str">
            <v>TRIGO/CREMA</v>
          </cell>
        </row>
        <row r="48">
          <cell r="A48">
            <v>47</v>
          </cell>
          <cell r="B48" t="str">
            <v>VASO OLD FASHION</v>
          </cell>
          <cell r="E48">
            <v>47</v>
          </cell>
          <cell r="F48" t="str">
            <v>A</v>
          </cell>
          <cell r="H48">
            <v>47</v>
          </cell>
          <cell r="I48" t="str">
            <v>VERDE</v>
          </cell>
        </row>
        <row r="49">
          <cell r="A49">
            <v>48</v>
          </cell>
          <cell r="B49" t="str">
            <v>VASO RECTO</v>
          </cell>
          <cell r="E49">
            <v>48</v>
          </cell>
          <cell r="F49" t="str">
            <v>B</v>
          </cell>
          <cell r="H49">
            <v>48</v>
          </cell>
          <cell r="I49" t="str">
            <v>VERDE BOTELLA</v>
          </cell>
        </row>
        <row r="50">
          <cell r="A50">
            <v>49</v>
          </cell>
          <cell r="B50" t="str">
            <v>CUCHARA DE SERVICIO</v>
          </cell>
          <cell r="E50">
            <v>49</v>
          </cell>
          <cell r="F50" t="str">
            <v>CAFÉ</v>
          </cell>
          <cell r="H50">
            <v>49</v>
          </cell>
          <cell r="I50" t="str">
            <v>VERDE MOTAS</v>
          </cell>
        </row>
        <row r="51">
          <cell r="A51">
            <v>50</v>
          </cell>
          <cell r="B51" t="str">
            <v>TAPA</v>
          </cell>
          <cell r="E51">
            <v>50</v>
          </cell>
          <cell r="F51" t="str">
            <v>MOKA</v>
          </cell>
          <cell r="H51">
            <v>50</v>
          </cell>
          <cell r="I51" t="str">
            <v>NAVY (WM)</v>
          </cell>
        </row>
        <row r="52">
          <cell r="A52">
            <v>51</v>
          </cell>
          <cell r="B52" t="str">
            <v>OLLA RECTA PROFUNDA</v>
          </cell>
          <cell r="E52">
            <v>51</v>
          </cell>
          <cell r="F52" t="str">
            <v>SOPERA</v>
          </cell>
          <cell r="H52">
            <v>51</v>
          </cell>
          <cell r="I52" t="str">
            <v>MORADO</v>
          </cell>
        </row>
        <row r="53">
          <cell r="A53">
            <v>52</v>
          </cell>
          <cell r="B53" t="str">
            <v>PLATO OVAL</v>
          </cell>
          <cell r="E53">
            <v>52</v>
          </cell>
          <cell r="F53" t="str">
            <v>CHICO</v>
          </cell>
          <cell r="H53">
            <v>52</v>
          </cell>
          <cell r="I53" t="str">
            <v>BICOLOR ROJO NEGRO</v>
          </cell>
        </row>
        <row r="54">
          <cell r="A54">
            <v>53</v>
          </cell>
          <cell r="B54" t="str">
            <v xml:space="preserve">ADORNO </v>
          </cell>
          <cell r="E54">
            <v>53</v>
          </cell>
          <cell r="F54" t="str">
            <v>MEDIANO</v>
          </cell>
          <cell r="H54">
            <v>53</v>
          </cell>
          <cell r="I54" t="str">
            <v>BICOLOR COBALTO MOTAS</v>
          </cell>
        </row>
        <row r="55">
          <cell r="A55">
            <v>54</v>
          </cell>
          <cell r="B55" t="str">
            <v>JARRA ABOMBADA</v>
          </cell>
          <cell r="E55">
            <v>54</v>
          </cell>
          <cell r="F55" t="str">
            <v>GRANDE</v>
          </cell>
          <cell r="H55">
            <v>54</v>
          </cell>
          <cell r="I55" t="str">
            <v>BICOLOR ROJO MOTAS</v>
          </cell>
        </row>
        <row r="56">
          <cell r="A56">
            <v>55</v>
          </cell>
          <cell r="B56" t="str">
            <v>PAVERA OVAL</v>
          </cell>
          <cell r="E56">
            <v>55</v>
          </cell>
          <cell r="F56" t="str">
            <v>ALASKA</v>
          </cell>
          <cell r="H56">
            <v>55</v>
          </cell>
          <cell r="I56" t="str">
            <v>BICOLOR TITANIO</v>
          </cell>
        </row>
        <row r="57">
          <cell r="A57">
            <v>56</v>
          </cell>
          <cell r="B57" t="str">
            <v>MODELO 430</v>
          </cell>
          <cell r="E57">
            <v>56</v>
          </cell>
          <cell r="F57" t="str">
            <v>ALEGRIA</v>
          </cell>
          <cell r="H57">
            <v>56</v>
          </cell>
          <cell r="I57" t="str">
            <v>BICOLOR A/T</v>
          </cell>
        </row>
        <row r="58">
          <cell r="A58">
            <v>57</v>
          </cell>
          <cell r="B58" t="str">
            <v>MODELO 630</v>
          </cell>
          <cell r="E58">
            <v>57</v>
          </cell>
          <cell r="F58" t="str">
            <v>AROMA</v>
          </cell>
          <cell r="H58">
            <v>57</v>
          </cell>
          <cell r="I58" t="str">
            <v>BICOLOR GRIS</v>
          </cell>
        </row>
        <row r="59">
          <cell r="A59">
            <v>58</v>
          </cell>
          <cell r="B59" t="str">
            <v>ECOFILTRO</v>
          </cell>
          <cell r="E59">
            <v>58</v>
          </cell>
          <cell r="F59" t="str">
            <v>AZULEJO</v>
          </cell>
          <cell r="H59">
            <v>58</v>
          </cell>
          <cell r="I59" t="str">
            <v>BICOLOR BLANCO</v>
          </cell>
        </row>
        <row r="60">
          <cell r="A60">
            <v>59</v>
          </cell>
          <cell r="B60" t="str">
            <v>CUBETA SIN ASA SIN OREJA</v>
          </cell>
          <cell r="E60">
            <v>59</v>
          </cell>
          <cell r="F60" t="str">
            <v>BISTRO</v>
          </cell>
          <cell r="H60">
            <v>59</v>
          </cell>
          <cell r="I60" t="str">
            <v>ARENA</v>
          </cell>
        </row>
        <row r="61">
          <cell r="E61">
            <v>60</v>
          </cell>
          <cell r="F61" t="str">
            <v>BODEGON</v>
          </cell>
          <cell r="H61">
            <v>60</v>
          </cell>
          <cell r="I61" t="str">
            <v>NEGRO PIEDRA</v>
          </cell>
        </row>
        <row r="62">
          <cell r="E62">
            <v>61</v>
          </cell>
          <cell r="F62" t="str">
            <v>CAMPESTRE</v>
          </cell>
          <cell r="H62">
            <v>61</v>
          </cell>
          <cell r="I62" t="str">
            <v>ENCORE</v>
          </cell>
        </row>
        <row r="63">
          <cell r="E63">
            <v>62</v>
          </cell>
          <cell r="F63" t="str">
            <v>ENCORE</v>
          </cell>
        </row>
        <row r="64">
          <cell r="E64">
            <v>63</v>
          </cell>
          <cell r="F64" t="str">
            <v>LAVANDA</v>
          </cell>
        </row>
        <row r="65">
          <cell r="E65">
            <v>64</v>
          </cell>
          <cell r="F65" t="str">
            <v>LE COQ</v>
          </cell>
        </row>
        <row r="66">
          <cell r="E66">
            <v>65</v>
          </cell>
          <cell r="F66" t="str">
            <v>MARTINA</v>
          </cell>
        </row>
        <row r="67">
          <cell r="E67">
            <v>66</v>
          </cell>
          <cell r="F67" t="str">
            <v>MILENIA</v>
          </cell>
        </row>
        <row r="68">
          <cell r="E68">
            <v>67</v>
          </cell>
          <cell r="F68" t="str">
            <v>MOSCA EN EL PLATO</v>
          </cell>
        </row>
        <row r="69">
          <cell r="E69">
            <v>68</v>
          </cell>
          <cell r="F69" t="str">
            <v>PRIMAVERA</v>
          </cell>
        </row>
        <row r="70">
          <cell r="E70">
            <v>69</v>
          </cell>
          <cell r="F70" t="str">
            <v>VELO</v>
          </cell>
        </row>
        <row r="71">
          <cell r="E71">
            <v>70</v>
          </cell>
          <cell r="F71" t="str">
            <v>XOCHITL</v>
          </cell>
        </row>
        <row r="72">
          <cell r="E72">
            <v>71</v>
          </cell>
          <cell r="F72" t="str">
            <v>CON ASA</v>
          </cell>
        </row>
        <row r="73">
          <cell r="E73">
            <v>72</v>
          </cell>
          <cell r="F73" t="str">
            <v>CON TAPA</v>
          </cell>
        </row>
        <row r="74">
          <cell r="E74">
            <v>73</v>
          </cell>
          <cell r="F74" t="str">
            <v>TERNO BISTRO</v>
          </cell>
        </row>
        <row r="75">
          <cell r="E75">
            <v>74</v>
          </cell>
          <cell r="F75" t="str">
            <v>CERRADO MARINO</v>
          </cell>
        </row>
        <row r="76">
          <cell r="E76">
            <v>75</v>
          </cell>
          <cell r="F76" t="str">
            <v>KRYSTAL</v>
          </cell>
        </row>
        <row r="77">
          <cell r="E77">
            <v>76</v>
          </cell>
          <cell r="F77" t="str">
            <v>KRYSTAL 14 OZ</v>
          </cell>
        </row>
        <row r="78">
          <cell r="E78">
            <v>77</v>
          </cell>
          <cell r="F78" t="str">
            <v>KRYSTAL 19 OZ</v>
          </cell>
        </row>
        <row r="79">
          <cell r="E79">
            <v>78</v>
          </cell>
          <cell r="F79" t="str">
            <v>VISION 12 OZ</v>
          </cell>
        </row>
        <row r="80">
          <cell r="E80">
            <v>79</v>
          </cell>
          <cell r="F80" t="str">
            <v>POCILLO 5</v>
          </cell>
        </row>
        <row r="81">
          <cell r="E81">
            <v>80</v>
          </cell>
          <cell r="F81" t="str">
            <v>POCILLO 8</v>
          </cell>
        </row>
        <row r="82">
          <cell r="E82">
            <v>81</v>
          </cell>
          <cell r="F82" t="str">
            <v>PORTAVASOS</v>
          </cell>
        </row>
        <row r="83">
          <cell r="E83">
            <v>82</v>
          </cell>
          <cell r="F83" t="str">
            <v>TAZON INCLINADO 20</v>
          </cell>
        </row>
        <row r="84">
          <cell r="E84">
            <v>83</v>
          </cell>
          <cell r="F84" t="str">
            <v>PLATO 16</v>
          </cell>
        </row>
        <row r="85">
          <cell r="E85">
            <v>84</v>
          </cell>
          <cell r="F85" t="str">
            <v>PLATO 20</v>
          </cell>
        </row>
        <row r="86">
          <cell r="E86">
            <v>85</v>
          </cell>
          <cell r="F86" t="str">
            <v>20X8</v>
          </cell>
        </row>
        <row r="87">
          <cell r="E87">
            <v>86</v>
          </cell>
          <cell r="F87" t="str">
            <v>MARIMAR</v>
          </cell>
        </row>
        <row r="88">
          <cell r="E88">
            <v>87</v>
          </cell>
          <cell r="F88" t="str">
            <v>TROMPO</v>
          </cell>
        </row>
        <row r="89">
          <cell r="E89">
            <v>88</v>
          </cell>
          <cell r="F89" t="str">
            <v>MOÑO</v>
          </cell>
        </row>
        <row r="90">
          <cell r="E90">
            <v>89</v>
          </cell>
          <cell r="F90" t="str">
            <v>ARBOL</v>
          </cell>
        </row>
        <row r="91">
          <cell r="E91">
            <v>90</v>
          </cell>
          <cell r="F91" t="str">
            <v>ESFERA</v>
          </cell>
        </row>
        <row r="92">
          <cell r="E92">
            <v>91</v>
          </cell>
          <cell r="F92" t="str">
            <v>RELOJ</v>
          </cell>
        </row>
        <row r="93">
          <cell r="E93">
            <v>92</v>
          </cell>
          <cell r="F93" t="str">
            <v>CASCANUECES</v>
          </cell>
        </row>
        <row r="94">
          <cell r="E94">
            <v>93</v>
          </cell>
          <cell r="F94" t="str">
            <v>CAMPANA</v>
          </cell>
        </row>
        <row r="95">
          <cell r="E95">
            <v>94</v>
          </cell>
          <cell r="F95" t="str">
            <v>ESTRELLA</v>
          </cell>
        </row>
        <row r="96">
          <cell r="E96">
            <v>95</v>
          </cell>
          <cell r="F96" t="str">
            <v>COPO DE NIEVE</v>
          </cell>
        </row>
        <row r="97">
          <cell r="E97">
            <v>96</v>
          </cell>
          <cell r="F97" t="str">
            <v>BASTON</v>
          </cell>
        </row>
        <row r="98">
          <cell r="E98">
            <v>97</v>
          </cell>
          <cell r="F98" t="str">
            <v>3 L</v>
          </cell>
        </row>
        <row r="99">
          <cell r="E99">
            <v>98</v>
          </cell>
          <cell r="F99" t="str">
            <v>18"</v>
          </cell>
        </row>
        <row r="100">
          <cell r="E100">
            <v>99</v>
          </cell>
          <cell r="F100">
            <v>38</v>
          </cell>
        </row>
        <row r="101">
          <cell r="E101">
            <v>100</v>
          </cell>
          <cell r="F101" t="str">
            <v>15"</v>
          </cell>
        </row>
        <row r="102">
          <cell r="E102">
            <v>101</v>
          </cell>
          <cell r="F102">
            <v>5.5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igo "/>
      <sheetName val="Tabla de codigos"/>
      <sheetName val="Hoja 1"/>
      <sheetName val="2025"/>
      <sheetName val="PENDIENTES"/>
      <sheetName val="2024"/>
      <sheetName val="2023"/>
      <sheetName val="2022"/>
      <sheetName val="2021"/>
      <sheetName val="19122024"/>
      <sheetName val="Estatus 2025"/>
      <sheetName val="codig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>
            <v>1</v>
          </cell>
          <cell r="B2" t="str">
            <v>BACINICA</v>
          </cell>
          <cell r="E2">
            <v>1</v>
          </cell>
          <cell r="F2" t="str">
            <v>S/I</v>
          </cell>
          <cell r="H2">
            <v>1</v>
          </cell>
          <cell r="I2" t="str">
            <v>S/I</v>
          </cell>
          <cell r="K2">
            <v>1</v>
          </cell>
          <cell r="L2" t="str">
            <v>S/I</v>
          </cell>
        </row>
        <row r="3">
          <cell r="A3">
            <v>2</v>
          </cell>
          <cell r="B3" t="str">
            <v>BANDEJA</v>
          </cell>
          <cell r="E3">
            <v>2</v>
          </cell>
          <cell r="F3">
            <v>0</v>
          </cell>
          <cell r="H3">
            <v>2</v>
          </cell>
          <cell r="I3" t="str">
            <v>A/T</v>
          </cell>
          <cell r="K3">
            <v>2</v>
          </cell>
          <cell r="L3" t="str">
            <v>AQUA</v>
          </cell>
        </row>
        <row r="4">
          <cell r="A4">
            <v>3</v>
          </cell>
          <cell r="B4" t="str">
            <v>BAÑO</v>
          </cell>
          <cell r="E4">
            <v>3</v>
          </cell>
          <cell r="F4">
            <v>0</v>
          </cell>
          <cell r="H4">
            <v>3</v>
          </cell>
          <cell r="I4" t="str">
            <v>AMARILLO</v>
          </cell>
          <cell r="K4">
            <v>3</v>
          </cell>
          <cell r="L4" t="str">
            <v>COBALTO</v>
          </cell>
        </row>
        <row r="5">
          <cell r="A5">
            <v>4</v>
          </cell>
          <cell r="B5" t="str">
            <v>BATERIA</v>
          </cell>
          <cell r="E5">
            <v>4</v>
          </cell>
          <cell r="F5">
            <v>0</v>
          </cell>
          <cell r="H5">
            <v>4</v>
          </cell>
          <cell r="I5" t="str">
            <v>AMBAR</v>
          </cell>
          <cell r="K5">
            <v>4</v>
          </cell>
          <cell r="L5" t="str">
            <v>GRIS</v>
          </cell>
        </row>
        <row r="6">
          <cell r="A6">
            <v>5</v>
          </cell>
          <cell r="B6" t="str">
            <v>BOTE BASURA</v>
          </cell>
          <cell r="E6">
            <v>5</v>
          </cell>
          <cell r="F6">
            <v>1</v>
          </cell>
          <cell r="H6">
            <v>5</v>
          </cell>
          <cell r="I6" t="str">
            <v>AQUA</v>
          </cell>
          <cell r="K6">
            <v>5</v>
          </cell>
          <cell r="L6" t="str">
            <v>NEGRO</v>
          </cell>
        </row>
        <row r="7">
          <cell r="A7">
            <v>6</v>
          </cell>
          <cell r="B7" t="str">
            <v xml:space="preserve">BUDINERA  </v>
          </cell>
          <cell r="E7">
            <v>6</v>
          </cell>
          <cell r="F7">
            <v>2</v>
          </cell>
          <cell r="H7">
            <v>6</v>
          </cell>
          <cell r="I7" t="str">
            <v>AZUL</v>
          </cell>
          <cell r="K7">
            <v>6</v>
          </cell>
          <cell r="L7" t="str">
            <v>NEVADO</v>
          </cell>
        </row>
        <row r="8">
          <cell r="A8">
            <v>7</v>
          </cell>
          <cell r="B8" t="str">
            <v>CAZO</v>
          </cell>
          <cell r="E8">
            <v>7</v>
          </cell>
          <cell r="F8">
            <v>3</v>
          </cell>
          <cell r="H8">
            <v>7</v>
          </cell>
          <cell r="I8" t="str">
            <v>BERENJENA</v>
          </cell>
          <cell r="K8">
            <v>7</v>
          </cell>
          <cell r="L8" t="str">
            <v>ROJO</v>
          </cell>
        </row>
        <row r="9">
          <cell r="A9">
            <v>8</v>
          </cell>
          <cell r="B9" t="str">
            <v>CAZUELA</v>
          </cell>
          <cell r="E9">
            <v>8</v>
          </cell>
          <cell r="F9">
            <v>4</v>
          </cell>
          <cell r="H9">
            <v>8</v>
          </cell>
          <cell r="I9" t="str">
            <v>BICOLOR</v>
          </cell>
          <cell r="K9">
            <v>8</v>
          </cell>
          <cell r="L9" t="str">
            <v>ROSA</v>
          </cell>
        </row>
        <row r="10">
          <cell r="A10">
            <v>9</v>
          </cell>
          <cell r="B10" t="str">
            <v>CHAROLA DE SERVICIO</v>
          </cell>
          <cell r="E10">
            <v>9</v>
          </cell>
          <cell r="F10">
            <v>5</v>
          </cell>
          <cell r="H10">
            <v>9</v>
          </cell>
          <cell r="I10" t="str">
            <v>BICOLOR AMARILLO</v>
          </cell>
          <cell r="K10">
            <v>9</v>
          </cell>
          <cell r="L10" t="str">
            <v>VERDE</v>
          </cell>
        </row>
        <row r="11">
          <cell r="A11">
            <v>10</v>
          </cell>
          <cell r="B11" t="str">
            <v>COMAL</v>
          </cell>
          <cell r="E11">
            <v>10</v>
          </cell>
          <cell r="F11">
            <v>6</v>
          </cell>
          <cell r="H11">
            <v>10</v>
          </cell>
          <cell r="I11" t="str">
            <v>BICOLOR AZUL</v>
          </cell>
          <cell r="K11">
            <v>10</v>
          </cell>
          <cell r="L11" t="str">
            <v>AZUL</v>
          </cell>
        </row>
        <row r="12">
          <cell r="A12">
            <v>11</v>
          </cell>
          <cell r="B12" t="str">
            <v>CUBETA</v>
          </cell>
          <cell r="E12">
            <v>11</v>
          </cell>
          <cell r="F12">
            <v>7</v>
          </cell>
          <cell r="H12">
            <v>11</v>
          </cell>
          <cell r="I12" t="str">
            <v>BICOLOR COBALTO</v>
          </cell>
          <cell r="K12">
            <v>11</v>
          </cell>
          <cell r="L12" t="str">
            <v xml:space="preserve">CAFÉ </v>
          </cell>
        </row>
        <row r="13">
          <cell r="A13">
            <v>12</v>
          </cell>
          <cell r="B13" t="str">
            <v>CUCHARA</v>
          </cell>
          <cell r="E13">
            <v>12</v>
          </cell>
          <cell r="F13">
            <v>8</v>
          </cell>
          <cell r="H13">
            <v>12</v>
          </cell>
          <cell r="I13" t="str">
            <v>BICOLOR NARANJA</v>
          </cell>
        </row>
        <row r="14">
          <cell r="A14">
            <v>13</v>
          </cell>
          <cell r="B14" t="str">
            <v>CUCHILLO</v>
          </cell>
          <cell r="E14">
            <v>13</v>
          </cell>
          <cell r="F14">
            <v>10</v>
          </cell>
          <cell r="H14">
            <v>13</v>
          </cell>
          <cell r="I14" t="str">
            <v>BICOLOR NEGRO MOTAS</v>
          </cell>
        </row>
        <row r="15">
          <cell r="A15">
            <v>14</v>
          </cell>
          <cell r="B15" t="str">
            <v>DESPACHADOR AGUA</v>
          </cell>
          <cell r="E15">
            <v>14</v>
          </cell>
          <cell r="F15">
            <v>12</v>
          </cell>
          <cell r="H15">
            <v>14</v>
          </cell>
          <cell r="I15" t="str">
            <v>BICOLOR ROJO</v>
          </cell>
        </row>
        <row r="16">
          <cell r="A16">
            <v>15</v>
          </cell>
          <cell r="B16" t="str">
            <v>ENSALADERA</v>
          </cell>
          <cell r="E16">
            <v>15</v>
          </cell>
          <cell r="F16">
            <v>14</v>
          </cell>
          <cell r="H16">
            <v>15</v>
          </cell>
          <cell r="I16" t="str">
            <v>BICOLOR VERDE</v>
          </cell>
        </row>
        <row r="17">
          <cell r="A17">
            <v>16</v>
          </cell>
          <cell r="B17" t="str">
            <v>FLORERO</v>
          </cell>
          <cell r="E17">
            <v>16</v>
          </cell>
          <cell r="F17">
            <v>15.5</v>
          </cell>
          <cell r="H17">
            <v>16</v>
          </cell>
          <cell r="I17" t="str">
            <v xml:space="preserve">BLANCO </v>
          </cell>
        </row>
        <row r="18">
          <cell r="A18">
            <v>17</v>
          </cell>
          <cell r="B18" t="str">
            <v>FRESH CONTENEDOR</v>
          </cell>
          <cell r="E18">
            <v>17</v>
          </cell>
          <cell r="F18">
            <v>16</v>
          </cell>
          <cell r="H18">
            <v>17</v>
          </cell>
          <cell r="I18" t="str">
            <v>COBALTO</v>
          </cell>
        </row>
        <row r="19">
          <cell r="A19">
            <v>18</v>
          </cell>
          <cell r="B19" t="str">
            <v>FUENTE PARA HORNO</v>
          </cell>
          <cell r="E19">
            <v>18</v>
          </cell>
          <cell r="F19">
            <v>16.5</v>
          </cell>
          <cell r="H19">
            <v>18</v>
          </cell>
          <cell r="I19" t="str">
            <v>COBALTO MOTAS</v>
          </cell>
        </row>
        <row r="20">
          <cell r="A20">
            <v>19</v>
          </cell>
          <cell r="B20" t="str">
            <v>JARRA RECTA</v>
          </cell>
          <cell r="E20">
            <v>19</v>
          </cell>
          <cell r="F20">
            <v>17</v>
          </cell>
          <cell r="H20">
            <v>19</v>
          </cell>
          <cell r="I20" t="str">
            <v>GALVANIZADO</v>
          </cell>
        </row>
        <row r="21">
          <cell r="A21">
            <v>20</v>
          </cell>
          <cell r="B21" t="str">
            <v>JICARA</v>
          </cell>
          <cell r="E21">
            <v>20</v>
          </cell>
          <cell r="F21">
            <v>17.5</v>
          </cell>
          <cell r="H21">
            <v>20</v>
          </cell>
          <cell r="I21" t="str">
            <v>GENERICO</v>
          </cell>
        </row>
        <row r="22">
          <cell r="A22">
            <v>21</v>
          </cell>
          <cell r="B22" t="str">
            <v>JUEGO</v>
          </cell>
          <cell r="E22">
            <v>21</v>
          </cell>
          <cell r="F22">
            <v>18</v>
          </cell>
          <cell r="H22">
            <v>21</v>
          </cell>
          <cell r="I22" t="str">
            <v>GRIS</v>
          </cell>
        </row>
        <row r="23">
          <cell r="A23">
            <v>22</v>
          </cell>
          <cell r="B23" t="str">
            <v>MULTIUSOS</v>
          </cell>
          <cell r="E23">
            <v>22</v>
          </cell>
          <cell r="F23">
            <v>20</v>
          </cell>
          <cell r="H23">
            <v>22</v>
          </cell>
          <cell r="I23" t="str">
            <v>HUMO</v>
          </cell>
        </row>
        <row r="24">
          <cell r="A24">
            <v>23</v>
          </cell>
          <cell r="B24" t="str">
            <v>MULTIUSOS RAYADO</v>
          </cell>
          <cell r="E24">
            <v>23</v>
          </cell>
          <cell r="F24">
            <v>20.5</v>
          </cell>
          <cell r="H24">
            <v>23</v>
          </cell>
          <cell r="I24" t="str">
            <v>NARANJA</v>
          </cell>
        </row>
        <row r="25">
          <cell r="A25">
            <v>24</v>
          </cell>
          <cell r="B25" t="str">
            <v>OLLA CONVEXA</v>
          </cell>
          <cell r="E25">
            <v>24</v>
          </cell>
          <cell r="F25">
            <v>22</v>
          </cell>
          <cell r="H25">
            <v>24</v>
          </cell>
          <cell r="I25" t="str">
            <v>NARANJA MOTAS</v>
          </cell>
        </row>
        <row r="26">
          <cell r="A26">
            <v>25</v>
          </cell>
          <cell r="B26" t="str">
            <v>OLLA RECTA</v>
          </cell>
          <cell r="E26">
            <v>25</v>
          </cell>
          <cell r="F26">
            <v>24</v>
          </cell>
          <cell r="H26">
            <v>25</v>
          </cell>
          <cell r="I26" t="str">
            <v>NAVY</v>
          </cell>
        </row>
        <row r="27">
          <cell r="A27">
            <v>26</v>
          </cell>
          <cell r="B27" t="str">
            <v>PLATO AVENERO</v>
          </cell>
          <cell r="E27">
            <v>26</v>
          </cell>
          <cell r="F27">
            <v>26</v>
          </cell>
          <cell r="H27">
            <v>26</v>
          </cell>
          <cell r="I27" t="str">
            <v>NEGRO</v>
          </cell>
        </row>
        <row r="28">
          <cell r="A28">
            <v>27</v>
          </cell>
          <cell r="B28" t="str">
            <v>PLATO BASE</v>
          </cell>
          <cell r="E28">
            <v>27</v>
          </cell>
          <cell r="F28">
            <v>27</v>
          </cell>
          <cell r="H28">
            <v>27</v>
          </cell>
          <cell r="I28" t="str">
            <v>NEGRO MOTAS</v>
          </cell>
        </row>
        <row r="29">
          <cell r="A29">
            <v>28</v>
          </cell>
          <cell r="B29" t="str">
            <v>PLATO BISTRO</v>
          </cell>
          <cell r="E29">
            <v>28</v>
          </cell>
          <cell r="F29">
            <v>28</v>
          </cell>
          <cell r="H29">
            <v>28</v>
          </cell>
          <cell r="I29" t="str">
            <v>NEVADO</v>
          </cell>
        </row>
        <row r="30">
          <cell r="A30">
            <v>29</v>
          </cell>
          <cell r="B30" t="str">
            <v>PLATO HONDO</v>
          </cell>
          <cell r="E30">
            <v>29</v>
          </cell>
          <cell r="F30">
            <v>30</v>
          </cell>
          <cell r="H30">
            <v>29</v>
          </cell>
          <cell r="I30" t="str">
            <v>ROJO</v>
          </cell>
        </row>
        <row r="31">
          <cell r="A31">
            <v>30</v>
          </cell>
          <cell r="B31" t="str">
            <v>PLATO LISO</v>
          </cell>
          <cell r="E31">
            <v>30</v>
          </cell>
          <cell r="F31">
            <v>32</v>
          </cell>
          <cell r="H31">
            <v>30</v>
          </cell>
          <cell r="I31" t="str">
            <v>ROJO MOTAS</v>
          </cell>
        </row>
        <row r="32">
          <cell r="A32">
            <v>31</v>
          </cell>
          <cell r="B32" t="str">
            <v>PLATO ROYAL</v>
          </cell>
          <cell r="E32">
            <v>31</v>
          </cell>
          <cell r="F32">
            <v>34</v>
          </cell>
          <cell r="H32">
            <v>31</v>
          </cell>
          <cell r="I32" t="str">
            <v>ROSA</v>
          </cell>
        </row>
        <row r="33">
          <cell r="A33">
            <v>32</v>
          </cell>
          <cell r="B33" t="str">
            <v>PLATO TROQUELADO</v>
          </cell>
          <cell r="E33">
            <v>32</v>
          </cell>
          <cell r="F33">
            <v>36</v>
          </cell>
          <cell r="H33">
            <v>32</v>
          </cell>
          <cell r="I33" t="str">
            <v>ROSA MOTAS</v>
          </cell>
        </row>
        <row r="34">
          <cell r="A34">
            <v>33</v>
          </cell>
          <cell r="B34" t="str">
            <v>POCILLO</v>
          </cell>
          <cell r="E34">
            <v>33</v>
          </cell>
          <cell r="F34">
            <v>42</v>
          </cell>
          <cell r="H34">
            <v>33</v>
          </cell>
          <cell r="I34" t="str">
            <v>TITANIO</v>
          </cell>
        </row>
        <row r="35">
          <cell r="A35">
            <v>34</v>
          </cell>
          <cell r="B35" t="str">
            <v>POCILLO HERVIDOR</v>
          </cell>
          <cell r="E35">
            <v>34</v>
          </cell>
          <cell r="F35">
            <v>45</v>
          </cell>
          <cell r="H35">
            <v>34</v>
          </cell>
          <cell r="I35" t="str">
            <v>TRASLUCIDO</v>
          </cell>
        </row>
        <row r="36">
          <cell r="A36">
            <v>35</v>
          </cell>
          <cell r="B36" t="str">
            <v>PORTAVASOS</v>
          </cell>
          <cell r="E36">
            <v>35</v>
          </cell>
          <cell r="F36">
            <v>2550</v>
          </cell>
          <cell r="H36">
            <v>35</v>
          </cell>
          <cell r="I36" t="str">
            <v>TRASLUCIDO AMBAR</v>
          </cell>
        </row>
        <row r="37">
          <cell r="A37">
            <v>36</v>
          </cell>
          <cell r="B37" t="str">
            <v>SARTEN</v>
          </cell>
          <cell r="E37">
            <v>36</v>
          </cell>
          <cell r="F37">
            <v>5250</v>
          </cell>
          <cell r="H37">
            <v>36</v>
          </cell>
          <cell r="I37" t="str">
            <v>TRASLUCIDO AZUL</v>
          </cell>
        </row>
        <row r="38">
          <cell r="A38">
            <v>37</v>
          </cell>
          <cell r="B38" t="str">
            <v>TAMALERA</v>
          </cell>
          <cell r="E38">
            <v>37</v>
          </cell>
          <cell r="F38" t="str">
            <v>2.5 LTS</v>
          </cell>
          <cell r="H38">
            <v>37</v>
          </cell>
          <cell r="I38" t="str">
            <v>TRASLUCIDO AZUL REY</v>
          </cell>
        </row>
        <row r="39">
          <cell r="A39">
            <v>38</v>
          </cell>
          <cell r="B39" t="str">
            <v>TAZA BISTRO</v>
          </cell>
          <cell r="E39">
            <v>38</v>
          </cell>
          <cell r="F39" t="str">
            <v>19 LTS</v>
          </cell>
          <cell r="H39">
            <v>38</v>
          </cell>
          <cell r="I39" t="str">
            <v>TRASLUCIDO BERENJENA</v>
          </cell>
        </row>
        <row r="40">
          <cell r="A40">
            <v>39</v>
          </cell>
          <cell r="B40" t="str">
            <v xml:space="preserve">TAZON </v>
          </cell>
          <cell r="E40">
            <v>39</v>
          </cell>
          <cell r="F40" t="str">
            <v>75 LTS</v>
          </cell>
          <cell r="H40">
            <v>39</v>
          </cell>
          <cell r="I40" t="str">
            <v>TRASLUCIDO HUMO</v>
          </cell>
        </row>
        <row r="41">
          <cell r="A41">
            <v>40</v>
          </cell>
          <cell r="B41" t="str">
            <v>TAZON INCLINADO</v>
          </cell>
          <cell r="E41">
            <v>40</v>
          </cell>
          <cell r="F41" t="str">
            <v>400 ML</v>
          </cell>
          <cell r="H41">
            <v>40</v>
          </cell>
          <cell r="I41" t="str">
            <v>TRASLUCIDO MORADO</v>
          </cell>
        </row>
        <row r="42">
          <cell r="A42">
            <v>41</v>
          </cell>
          <cell r="B42" t="str">
            <v>TENEDOR</v>
          </cell>
          <cell r="E42">
            <v>41</v>
          </cell>
          <cell r="F42" t="str">
            <v xml:space="preserve">500 ML </v>
          </cell>
          <cell r="H42">
            <v>41</v>
          </cell>
          <cell r="I42" t="str">
            <v>TRASLUCIDO ROJO</v>
          </cell>
        </row>
        <row r="43">
          <cell r="A43">
            <v>42</v>
          </cell>
          <cell r="B43" t="str">
            <v xml:space="preserve">TORTILLERO </v>
          </cell>
          <cell r="E43">
            <v>42</v>
          </cell>
          <cell r="F43" t="str">
            <v>1500 ML</v>
          </cell>
          <cell r="H43">
            <v>42</v>
          </cell>
          <cell r="I43" t="str">
            <v>TRASLUCIDO ROSA</v>
          </cell>
        </row>
        <row r="44">
          <cell r="A44">
            <v>43</v>
          </cell>
          <cell r="B44" t="str">
            <v>VAJILLA</v>
          </cell>
          <cell r="E44">
            <v>43</v>
          </cell>
          <cell r="F44" t="str">
            <v>3+3</v>
          </cell>
          <cell r="H44">
            <v>43</v>
          </cell>
          <cell r="I44" t="str">
            <v>TRASLUCIDO A/T</v>
          </cell>
        </row>
        <row r="45">
          <cell r="A45">
            <v>44</v>
          </cell>
          <cell r="B45" t="str">
            <v>VAPORERA</v>
          </cell>
          <cell r="E45">
            <v>44</v>
          </cell>
          <cell r="F45" t="str">
            <v>5+5</v>
          </cell>
          <cell r="H45">
            <v>44</v>
          </cell>
          <cell r="I45" t="str">
            <v>TRASLUCIDO VERDE</v>
          </cell>
        </row>
        <row r="46">
          <cell r="A46">
            <v>45</v>
          </cell>
          <cell r="B46" t="str">
            <v>VASO</v>
          </cell>
          <cell r="E46">
            <v>45</v>
          </cell>
          <cell r="F46" t="str">
            <v>30X20</v>
          </cell>
          <cell r="H46">
            <v>45</v>
          </cell>
          <cell r="I46" t="str">
            <v>TRASLUCIDO VERDE BOTELLA</v>
          </cell>
        </row>
        <row r="47">
          <cell r="A47">
            <v>46</v>
          </cell>
          <cell r="B47" t="str">
            <v>VASO AGUA</v>
          </cell>
          <cell r="E47">
            <v>46</v>
          </cell>
          <cell r="F47" t="str">
            <v>40X30</v>
          </cell>
          <cell r="H47">
            <v>46</v>
          </cell>
          <cell r="I47" t="str">
            <v>TRIGO/CREMA</v>
          </cell>
        </row>
        <row r="48">
          <cell r="A48">
            <v>47</v>
          </cell>
          <cell r="B48" t="str">
            <v>VASO OLD FASHION</v>
          </cell>
          <cell r="E48">
            <v>47</v>
          </cell>
          <cell r="F48" t="str">
            <v>A</v>
          </cell>
          <cell r="H48">
            <v>47</v>
          </cell>
          <cell r="I48" t="str">
            <v>VERDE</v>
          </cell>
        </row>
        <row r="49">
          <cell r="A49">
            <v>48</v>
          </cell>
          <cell r="B49" t="str">
            <v>VASO RECTO</v>
          </cell>
          <cell r="E49">
            <v>48</v>
          </cell>
          <cell r="F49" t="str">
            <v>B</v>
          </cell>
          <cell r="H49">
            <v>48</v>
          </cell>
          <cell r="I49" t="str">
            <v>VERDE BOTELLA</v>
          </cell>
        </row>
        <row r="50">
          <cell r="A50">
            <v>49</v>
          </cell>
          <cell r="B50" t="str">
            <v>CUCHARA DE SERVICIO</v>
          </cell>
          <cell r="E50">
            <v>49</v>
          </cell>
          <cell r="F50" t="str">
            <v>CAFÉ</v>
          </cell>
          <cell r="H50">
            <v>49</v>
          </cell>
          <cell r="I50" t="str">
            <v>VERDE MOTAS</v>
          </cell>
        </row>
        <row r="51">
          <cell r="A51">
            <v>50</v>
          </cell>
          <cell r="B51" t="str">
            <v>TAPA</v>
          </cell>
          <cell r="E51">
            <v>50</v>
          </cell>
          <cell r="F51" t="str">
            <v>MOKA</v>
          </cell>
          <cell r="H51">
            <v>50</v>
          </cell>
          <cell r="I51" t="str">
            <v>NAVY (WM)</v>
          </cell>
        </row>
        <row r="52">
          <cell r="A52">
            <v>51</v>
          </cell>
          <cell r="B52" t="str">
            <v>OLLA RECTA PROFUNDA</v>
          </cell>
          <cell r="E52">
            <v>51</v>
          </cell>
          <cell r="F52" t="str">
            <v>SOPERA</v>
          </cell>
          <cell r="H52">
            <v>51</v>
          </cell>
          <cell r="I52" t="str">
            <v>MORADO</v>
          </cell>
        </row>
        <row r="53">
          <cell r="A53">
            <v>52</v>
          </cell>
          <cell r="B53" t="str">
            <v>PLATO OVAL</v>
          </cell>
          <cell r="E53">
            <v>52</v>
          </cell>
          <cell r="F53" t="str">
            <v>CHICO</v>
          </cell>
          <cell r="H53">
            <v>52</v>
          </cell>
          <cell r="I53" t="str">
            <v>BICOLOR ROJO NEGRO</v>
          </cell>
        </row>
        <row r="54">
          <cell r="A54">
            <v>53</v>
          </cell>
          <cell r="B54" t="str">
            <v xml:space="preserve">ADORNO </v>
          </cell>
          <cell r="E54">
            <v>53</v>
          </cell>
          <cell r="F54" t="str">
            <v>MEDIANO</v>
          </cell>
          <cell r="H54">
            <v>53</v>
          </cell>
          <cell r="I54" t="str">
            <v>BICOLOR COBALTO MOTAS</v>
          </cell>
        </row>
        <row r="55">
          <cell r="A55">
            <v>54</v>
          </cell>
          <cell r="B55" t="str">
            <v>JARRA ABOMBADA</v>
          </cell>
          <cell r="E55">
            <v>54</v>
          </cell>
          <cell r="F55" t="str">
            <v>GRANDE</v>
          </cell>
          <cell r="H55">
            <v>54</v>
          </cell>
          <cell r="I55" t="str">
            <v>BICOLOR ROJO MOTAS</v>
          </cell>
        </row>
        <row r="56">
          <cell r="A56">
            <v>55</v>
          </cell>
          <cell r="B56" t="str">
            <v>PAVERA OVAL</v>
          </cell>
          <cell r="E56">
            <v>55</v>
          </cell>
          <cell r="F56" t="str">
            <v>ALASKA</v>
          </cell>
          <cell r="H56">
            <v>55</v>
          </cell>
          <cell r="I56" t="str">
            <v>BICOLOR TITANIO</v>
          </cell>
        </row>
        <row r="57">
          <cell r="A57">
            <v>56</v>
          </cell>
          <cell r="B57" t="str">
            <v>MODELO 430</v>
          </cell>
          <cell r="E57">
            <v>56</v>
          </cell>
          <cell r="F57" t="str">
            <v>ALEGRIA</v>
          </cell>
          <cell r="H57">
            <v>56</v>
          </cell>
          <cell r="I57" t="str">
            <v>BICOLOR A/T</v>
          </cell>
        </row>
        <row r="58">
          <cell r="A58">
            <v>57</v>
          </cell>
          <cell r="B58" t="str">
            <v>MODELO 630</v>
          </cell>
          <cell r="E58">
            <v>57</v>
          </cell>
          <cell r="F58" t="str">
            <v>AROMA</v>
          </cell>
          <cell r="H58">
            <v>57</v>
          </cell>
          <cell r="I58" t="str">
            <v>BICOLOR GRIS</v>
          </cell>
        </row>
        <row r="59">
          <cell r="A59">
            <v>58</v>
          </cell>
          <cell r="B59" t="str">
            <v>ECOFILTRO</v>
          </cell>
          <cell r="E59">
            <v>58</v>
          </cell>
          <cell r="F59" t="str">
            <v>AZULEJO</v>
          </cell>
          <cell r="H59">
            <v>58</v>
          </cell>
          <cell r="I59" t="str">
            <v>BICOLOR BLANCO</v>
          </cell>
        </row>
        <row r="60">
          <cell r="A60">
            <v>59</v>
          </cell>
          <cell r="B60" t="str">
            <v>CUBETA SIN ASA SIN OREJA</v>
          </cell>
          <cell r="E60">
            <v>59</v>
          </cell>
          <cell r="F60" t="str">
            <v>BISTRO</v>
          </cell>
          <cell r="H60">
            <v>59</v>
          </cell>
          <cell r="I60" t="str">
            <v>ARENA</v>
          </cell>
        </row>
        <row r="61">
          <cell r="E61">
            <v>60</v>
          </cell>
          <cell r="F61" t="str">
            <v>BODEGON</v>
          </cell>
          <cell r="H61">
            <v>60</v>
          </cell>
          <cell r="I61" t="str">
            <v>NEGRO PIEDRA</v>
          </cell>
        </row>
        <row r="62">
          <cell r="E62">
            <v>61</v>
          </cell>
          <cell r="F62" t="str">
            <v>CAMPESTRE</v>
          </cell>
          <cell r="H62">
            <v>61</v>
          </cell>
          <cell r="I62" t="str">
            <v>ENCORE</v>
          </cell>
        </row>
        <row r="63">
          <cell r="E63">
            <v>62</v>
          </cell>
          <cell r="F63" t="str">
            <v>ENCORE</v>
          </cell>
        </row>
        <row r="64">
          <cell r="E64">
            <v>63</v>
          </cell>
          <cell r="F64" t="str">
            <v>LAVANDA</v>
          </cell>
        </row>
        <row r="65">
          <cell r="E65">
            <v>64</v>
          </cell>
          <cell r="F65" t="str">
            <v>LE COQ</v>
          </cell>
        </row>
        <row r="66">
          <cell r="E66">
            <v>65</v>
          </cell>
          <cell r="F66" t="str">
            <v>MARTINA</v>
          </cell>
        </row>
        <row r="67">
          <cell r="E67">
            <v>66</v>
          </cell>
          <cell r="F67" t="str">
            <v>MILENIA</v>
          </cell>
        </row>
        <row r="68">
          <cell r="E68">
            <v>67</v>
          </cell>
          <cell r="F68" t="str">
            <v>MOSCA EN EL PLATO</v>
          </cell>
        </row>
        <row r="69">
          <cell r="E69">
            <v>68</v>
          </cell>
          <cell r="F69" t="str">
            <v>PRIMAVERA</v>
          </cell>
        </row>
        <row r="70">
          <cell r="E70">
            <v>69</v>
          </cell>
          <cell r="F70" t="str">
            <v>VELO</v>
          </cell>
        </row>
        <row r="71">
          <cell r="E71">
            <v>70</v>
          </cell>
          <cell r="F71" t="str">
            <v>XOCHITL</v>
          </cell>
        </row>
        <row r="72">
          <cell r="E72">
            <v>71</v>
          </cell>
          <cell r="F72" t="str">
            <v>CON ASA</v>
          </cell>
        </row>
        <row r="73">
          <cell r="E73">
            <v>72</v>
          </cell>
          <cell r="F73" t="str">
            <v>CON TAPA</v>
          </cell>
        </row>
        <row r="74">
          <cell r="E74">
            <v>73</v>
          </cell>
          <cell r="F74" t="str">
            <v>TERNO BISTRO</v>
          </cell>
        </row>
        <row r="75">
          <cell r="E75">
            <v>74</v>
          </cell>
          <cell r="F75" t="str">
            <v>CERRADO MARINO</v>
          </cell>
        </row>
        <row r="76">
          <cell r="E76">
            <v>75</v>
          </cell>
          <cell r="F76" t="str">
            <v>KRYSTAL</v>
          </cell>
        </row>
        <row r="77">
          <cell r="E77">
            <v>76</v>
          </cell>
          <cell r="F77" t="str">
            <v>KRYSTAL 14 OZ</v>
          </cell>
        </row>
        <row r="78">
          <cell r="E78">
            <v>77</v>
          </cell>
          <cell r="F78" t="str">
            <v>KRYSTAL 19 OZ</v>
          </cell>
        </row>
        <row r="79">
          <cell r="E79">
            <v>78</v>
          </cell>
          <cell r="F79" t="str">
            <v>VISION 12 OZ</v>
          </cell>
        </row>
        <row r="80">
          <cell r="E80">
            <v>79</v>
          </cell>
          <cell r="F80" t="str">
            <v>POCILLO 5</v>
          </cell>
        </row>
        <row r="81">
          <cell r="E81">
            <v>80</v>
          </cell>
          <cell r="F81" t="str">
            <v>POCILLO 8</v>
          </cell>
        </row>
        <row r="82">
          <cell r="E82">
            <v>81</v>
          </cell>
          <cell r="F82" t="str">
            <v>PORTAVASOS</v>
          </cell>
        </row>
        <row r="83">
          <cell r="E83">
            <v>82</v>
          </cell>
          <cell r="F83" t="str">
            <v>TAZON INCLINADO 20</v>
          </cell>
        </row>
        <row r="84">
          <cell r="E84">
            <v>83</v>
          </cell>
          <cell r="F84" t="str">
            <v>PLATO 16</v>
          </cell>
        </row>
        <row r="85">
          <cell r="E85">
            <v>84</v>
          </cell>
          <cell r="F85" t="str">
            <v>PLATO 20</v>
          </cell>
        </row>
        <row r="86">
          <cell r="E86">
            <v>85</v>
          </cell>
          <cell r="F86" t="str">
            <v>20X8</v>
          </cell>
        </row>
        <row r="87">
          <cell r="E87">
            <v>86</v>
          </cell>
          <cell r="F87" t="str">
            <v>MARIMAR</v>
          </cell>
        </row>
        <row r="88">
          <cell r="E88">
            <v>87</v>
          </cell>
          <cell r="F88" t="str">
            <v>TROMPO</v>
          </cell>
        </row>
        <row r="89">
          <cell r="E89">
            <v>88</v>
          </cell>
          <cell r="F89" t="str">
            <v>MOÑO</v>
          </cell>
        </row>
        <row r="90">
          <cell r="E90">
            <v>89</v>
          </cell>
          <cell r="F90" t="str">
            <v>ARBOL</v>
          </cell>
        </row>
        <row r="91">
          <cell r="E91">
            <v>90</v>
          </cell>
          <cell r="F91" t="str">
            <v>ESFERA</v>
          </cell>
        </row>
        <row r="92">
          <cell r="E92">
            <v>91</v>
          </cell>
          <cell r="F92" t="str">
            <v>RELOJ</v>
          </cell>
        </row>
        <row r="93">
          <cell r="E93">
            <v>92</v>
          </cell>
          <cell r="F93" t="str">
            <v>CASCANUECES</v>
          </cell>
        </row>
        <row r="94">
          <cell r="E94">
            <v>93</v>
          </cell>
          <cell r="F94" t="str">
            <v>CAMPANA</v>
          </cell>
        </row>
        <row r="95">
          <cell r="E95">
            <v>94</v>
          </cell>
          <cell r="F95" t="str">
            <v>ESTRELLA</v>
          </cell>
        </row>
        <row r="96">
          <cell r="E96">
            <v>95</v>
          </cell>
          <cell r="F96" t="str">
            <v>COPO DE NIEVE</v>
          </cell>
        </row>
        <row r="97">
          <cell r="E97">
            <v>96</v>
          </cell>
          <cell r="F97" t="str">
            <v>BASTON</v>
          </cell>
        </row>
        <row r="98">
          <cell r="E98">
            <v>97</v>
          </cell>
          <cell r="F98" t="str">
            <v>3 L</v>
          </cell>
        </row>
        <row r="99">
          <cell r="E99">
            <v>98</v>
          </cell>
          <cell r="F99" t="str">
            <v>18"</v>
          </cell>
        </row>
        <row r="100">
          <cell r="E100">
            <v>99</v>
          </cell>
          <cell r="F100">
            <v>38</v>
          </cell>
        </row>
        <row r="101">
          <cell r="E101">
            <v>100</v>
          </cell>
          <cell r="F101" t="str">
            <v>15"</v>
          </cell>
        </row>
        <row r="102">
          <cell r="E102">
            <v>101</v>
          </cell>
          <cell r="F102">
            <v>5.5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ISTICA-ALMACEN" refreshedDate="45918.27828564815" createdVersion="8" refreshedVersion="8" minRefreshableVersion="3" recordCount="898" xr:uid="{00000000-000A-0000-FFFF-FFFF01000000}">
  <cacheSource type="worksheet">
    <worksheetSource ref="C3868:L3869" sheet="Hoja 1"/>
  </cacheSource>
  <cacheFields count="12">
    <cacheField name="FECHA VENTAS" numFmtId="0">
      <sharedItems containsSemiMixedTypes="0" containsString="0" containsNumber="1" containsInteger="1" minValue="-340" maxValue="-16"/>
    </cacheField>
    <cacheField name="18/09/2025 00:00" numFmtId="0">
      <sharedItems containsMixedTypes="1" containsNumber="1" containsInteger="1" minValue="-45258" maxValue="-45139"/>
    </cacheField>
    <cacheField name="0" numFmtId="0">
      <sharedItems/>
    </cacheField>
    <cacheField name="PRODUCTO" numFmtId="0">
      <sharedItems containsBlank="1" count="160">
        <s v="CUBETA 10"/>
        <s v="TORTILLERO  18"/>
        <s v="BAÑO 5"/>
        <s v="BAÑO 6"/>
        <s v="BAÑO 4"/>
        <s v="CUBETA 8"/>
        <s v="CUBETA 12"/>
        <s v="CUBETA 5"/>
        <s v="PLATO HONDO 27"/>
        <s v="POCILLO 5"/>
        <s v="PLATO OVAL 36"/>
        <s v="BUDINERA   24"/>
        <s v="BUDINERA   26"/>
        <s v="COMAL 28"/>
        <s v="OLLA CONVEXA 18"/>
        <s v="OLLA CONVEXA 20"/>
        <s v="OLLA CONVEXA 22"/>
        <s v="OLLA CONVEXA 24"/>
        <s v="OLLA CONVEXA 26"/>
        <s v="OLLA CONVEXA 30"/>
        <s v="OLLA RECTA 30"/>
        <s v="OLLA RECTA 34"/>
        <s v="OLLA RECTA 42"/>
        <s v="BAÑO 3"/>
        <s v="CUCHARA CAFÉ"/>
        <s v="CUCHARA MOKA"/>
        <s v="PLATO LISO 24"/>
        <s v="TAZON  8"/>
        <s v="COMAL 22"/>
        <s v="POCILLO 14"/>
        <s v="VAJILLA VELO"/>
        <s v="VAJILLA LAVANDA"/>
        <s v="VAJILLA CERRADO MARINO"/>
        <s v="VAJILLA LE COQ"/>
        <s v="VAJILLA MOSCA EN EL PLATO"/>
        <s v="PLATO TROQUELADO 32"/>
        <s v="BUDINERA   20"/>
        <s v="BUDINERA   22"/>
        <s v="BUDINERA   30"/>
        <s v="BUDINERA   34"/>
        <s v="OLLA CONVEXA 14"/>
        <s v="OLLA CONVEXA 16"/>
        <s v="OLLA CONVEXA 34"/>
        <s v="OLLA RECTA 20"/>
        <s v="OLLA RECTA 22"/>
        <s v="OLLA RECTA 24"/>
        <s v="OLLA RECTA 26"/>
        <s v="OLLA RECTA 28"/>
        <s v="SARTEN 22"/>
        <s v="SARTEN 26"/>
        <s v="VAPORERA 34"/>
        <s v="OLLA RECTA 38"/>
        <s v="COMAL 36"/>
        <s v="BAÑO 1"/>
        <s v="BAÑO 2"/>
        <s v="CUBETA 4"/>
        <s v="CUBETA 14"/>
        <s v="BAÑO 0"/>
        <s v="BAÑO 7"/>
        <s v="CUBETA 6"/>
        <s v="CUBETA 16"/>
        <s v="CUBETA 18"/>
        <s v="CUBETA 20"/>
        <s v="BAÑO 8"/>
        <s v="BAÑO 10"/>
        <s v="BAÑO 12"/>
        <s v="CAZUELA 18"/>
        <s v="ENSALADERA S/I"/>
        <s v="VAJILLA S/I"/>
        <s v="PLATO OVAL 32"/>
        <s v="JARRA ABOMBADA 5"/>
        <s v="JUEGO 5"/>
        <s v="TAMALERA 3"/>
        <s v="TAMALERA 4"/>
        <s v="TAMALERA 5"/>
        <s v="POCILLO 8"/>
        <s v="PLATO LISO 32"/>
        <s v="PLATO LISO 16"/>
        <s v="TAZON  15.5"/>
        <s v="PLATO LISO 27"/>
        <s v="PLATO LISO 20"/>
        <s v="TAZON INCLINADO 22"/>
        <s v="BUDINERA   16"/>
        <s v="CAZO 16"/>
        <s v="POCILLO 12"/>
        <s v="SARTEN 24"/>
        <s v="BACINICA 24"/>
        <s v="BATERIA ALASKA"/>
        <s v="BATERIA ALEGRIA"/>
        <s v="BATERIA XOCHITL"/>
        <s v="BUDINERA   42"/>
        <s v="SARTEN 20"/>
        <s v="BUDINERA 14"/>
        <s v="BUDINERA   18"/>
        <s v="OLLA RECTA 12"/>
        <s v="OLLA RECTA 14"/>
        <s v="OLLA RECTA 16"/>
        <s v="OLLA RECTA 18"/>
        <s v="POCILLO 10"/>
        <s v="PAVERA 45.7"/>
        <s v="TAZON 15.5"/>
        <s v="PAVERA 18"/>
        <s v="CONVEXA 18"/>
        <s v="BUDINERA 12"/>
        <s v="CAZUELA 24"/>
        <s v="MULTIUSOS RAYADO 15.5"/>
        <s v="PLATO AVENERO 20"/>
        <s v="POCILLO 6"/>
        <s v="TAZON 8"/>
        <s v="MULTIUSOS RAYADO 17.5"/>
        <s v="MULTIUSOS S/I"/>
        <s v="PLATO BISTRO 16"/>
        <s v="TAZON 20"/>
        <s v="TAZON INCLINADO 8"/>
        <s v="TAZON"/>
        <s v="TAZA BISTRO"/>
        <s v="VASO 8"/>
        <s v="PLA TO LISO 20"/>
        <s v="TAZ ON INCLINADO 8"/>
        <s v="PLATO TROQUELADO 16"/>
        <s v="PLATO OVAL 28"/>
        <s v="BANDEJA 2"/>
        <s v="BACINICA 20"/>
        <s v="DESPACHADOR DE AGUA 19 LTS"/>
        <s v="VASO RECTO 14"/>
        <s v="JARRA ABOMBADA 3L"/>
        <s v="BATERIA CAMPESTRE"/>
        <s v="JUEGO AZULEJO"/>
        <s v="TAZON INCLINADO 17"/>
        <s v="TAZON  20"/>
        <m/>
        <s v="JARRA RECTA 2.5 LTS"/>
        <s v="CAZO 14"/>
        <s v="OLLA CONVEXA 12"/>
        <s v="OLLA CONVEXA 14 "/>
        <s v="POCILLO  5"/>
        <s v="TORTILLERO 18"/>
        <s v="JUEGO 3+3"/>
        <s v="JUEGO 5+5"/>
        <s v="VAJILLA CEMPASUCHIL"/>
        <s v="VAJILLA CALAVERAS"/>
        <s v="GRUPO COMERCIAL ALCO"/>
        <s v="FUENTE P/HORNO 30X20"/>
        <s v="BUDINERA 20"/>
        <s v="BUDINERA 24"/>
        <s v="BAÑO B"/>
        <s v="BUDINERA 22"/>
        <s v="BUDINERA 26"/>
        <s v="BUDINERA 18"/>
        <s v="BUDINERA 16"/>
        <s v="PLATO LISO 12 "/>
        <s v="CUCHARA MOKA "/>
        <s v="MULTIUSOS"/>
        <s v="BUDINERA 30"/>
        <s v="BUDINERA 34"/>
        <s v="BUDINERA 42"/>
        <s v="VAPORERA 24"/>
        <s v="VAPORERA 26"/>
        <s v="VAPORERA 30"/>
        <s v="VAPORERA 42"/>
      </sharedItems>
    </cacheField>
    <cacheField name="COLOR" numFmtId="0">
      <sharedItems containsBlank="1" count="46">
        <s v="NEGRO MOTAS S/I"/>
        <s v="ROJO S/I"/>
        <s v="GALVANIZADO S/I"/>
        <s v="BLANCO  NEGRO"/>
        <s v="A/T S/I"/>
        <s v="GRIS S/I"/>
        <s v="S/I S/I"/>
        <s v="BICOLOR ROJO S/I"/>
        <s v="BICOLOR NARANJA S/I"/>
        <s v="COBALTO S/I"/>
        <s v="BLANCO  ROJO"/>
        <s v="BLANCO  COBALTO"/>
        <s v="NAVY S/I"/>
        <s v="BICOLOR AZUL S/I"/>
        <s v="NEGRO S/I"/>
        <s v="NAVY (WM) S/I"/>
        <s v="ROJO"/>
        <s v="BLANCO ROJO"/>
        <s v="NEGRO"/>
        <s v="GENERICO"/>
        <s v="NEGRO MOTAS"/>
        <s v="BLANCO NEGRO"/>
        <s v="BLANCO C F NEGRO S/I"/>
        <s v="NEGRO DECORADO"/>
        <s v="BLANCO C/F NEGRO S/I"/>
        <s v="BALNCO ROJO"/>
        <s v="GRIS"/>
        <s v="NEGRO MOTAS "/>
        <s v="F NEGRO S/I"/>
        <s v="BICOLOR NEGRO MOTAS S/I"/>
        <s v="BICOLOR GRIS"/>
        <s v="COBALTO MOTAS"/>
        <s v="COBALTO"/>
        <s v="ROJO MOTAS"/>
        <s v="BLANCO COBALTO"/>
        <s v="BLANCO GRIS"/>
        <m/>
        <s v="BLANCO ROJPO"/>
        <s v="VT1"/>
        <s v="BLANCO"/>
        <s v="BICOLOR NARANJ S/I"/>
        <s v="BICOLOROLOR AZUL S/I"/>
        <s v="BICOLOROLOR ROJO S/I"/>
        <s v="BICOLOR AZUL"/>
        <s v="BICOLOR NARANJA"/>
        <s v="BICOLOR ROJO"/>
      </sharedItems>
    </cacheField>
    <cacheField name="CLIENTE" numFmtId="0">
      <sharedItems count="81">
        <s v="ARGELIA BERENICE CONTRERAS VALDÉS"/>
        <s v="COCINA MEXICANA"/>
        <s v="ERENDIRA MARLENE GOMEZ RIVAS"/>
        <s v="EVELIA MELCHOR "/>
        <s v="GRUPO EMPRESARIAL"/>
        <s v="JAIME ALEJANDRO PUENTE GUERRERO"/>
        <s v="LA UNICA"/>
        <s v="LEONCIO "/>
        <s v="MAIZ Y AGAVE"/>
        <s v="TODO PARA RESTAURANTES "/>
        <s v="TOP MELAMINE MEXICO"/>
        <s v="V. PUBLICO"/>
        <s v="FERIA DEL HOGAR / ROSENDO RAMIREZ"/>
        <s v="JOSE DE ALBA DE ANDA"/>
        <s v="JAVIER CEDILLO"/>
        <s v="PROEPTA"/>
        <s v="DISTRIBUIDORA COMSANTOS DE MONTERREY"/>
        <s v="VENTA AL PUBLICO"/>
        <s v="FERREJARCIAS"/>
        <s v="RANCHO SAN ISIDRO"/>
        <s v="ELIZABETH AGUIRRE TORRES"/>
        <s v="WALDO´S"/>
        <s v="MARIA DEL CARMEN AMEZCUA"/>
        <s v="TANIA VENCES GONZALEZ"/>
        <s v="PLASTICOS RIVAMAR"/>
        <s v="DISTRIBUIDORA JALI"/>
        <s v="ARMANDO AVILA AGUIRRE"/>
        <s v="ABASTEHOGAR"/>
        <s v="DISTRIBUIDORA ARTESANAL"/>
        <s v="COMERCIALIZADORA DE PLASTICOS LILIANT"/>
        <s v="ANDREA MELCHOR RIVAS"/>
        <s v="IMUSA"/>
        <s v="TODO PARA SU COCINA"/>
        <s v="LL SL"/>
        <s v="LL SJC"/>
        <s v="LL CABO DE SOL"/>
        <s v="LL USA LLC"/>
        <s v="JOSE EMISEL PACHECO CORDOVA"/>
        <s v="QUIEN TIENE TIENDA"/>
        <s v="OSCAR URIEL MARTINEZ CALDERON"/>
        <s v="JESUS MANUEL PADRON LIZARRAGA"/>
        <s v="NINFA ALEJANDRA PADRON LIZARRAGA"/>
        <s v="XOCHIPLASTIC"/>
        <s v="OFELIA ALVAREZ MEDINA"/>
        <s v="SUCESORES DE IGNACIO DE LA MORA"/>
        <s v="KRISTELL ALONDRA CHACON HERNADEZ"/>
        <s v="KRISTELL ALONDRA CHACON HERNANDEZ"/>
        <s v="LA COMERCIAL DE TEHUACAN"/>
        <s v="LA BARRA MASARYK"/>
        <s v="IMPULSORA DE CRISTALERIAS TENORIO"/>
        <s v="CRISTALERIA RAMIREZ"/>
        <s v="GRUPO EMPRESARIAL DE EQUIPOS DE COCINA"/>
        <s v="S2M GLOBAL"/>
        <s v="RODOLFO RIVAS JARAMILLO"/>
        <s v="EL QUE PEGA PRIMERO PEGA DOS VECES"/>
        <s v="MUÑOZ MUÑOZ"/>
        <s v="MESTIZO"/>
        <s v="WAJIRO DREAM"/>
        <s v="ZAMUDIO"/>
        <s v="VERVE CULTURE LLC "/>
        <s v="CRISTALERIAS PARA EL HOGAR"/>
        <s v="THE HAPPY FAMILY DISCOUNT "/>
        <s v="TACOS REMOLKITO"/>
        <s v="PEDRO GILDARDO ANGELES GARCIA"/>
        <s v="EL MESTIZO LA MEJOR"/>
        <s v="AGUSTIN LORENZO CASTILLO"/>
        <s v="COSTCO"/>
        <s v="ANTONIO GOMEZ"/>
        <s v="DALMACIO"/>
        <s v="SUPER TIENDA DE ABARROTES EL EMPORIO MERCANTIL"/>
        <s v="GRUPO COMERCIAL ALCO"/>
        <s v="EL PALACIO DE HIERRO"/>
        <s v="MARIA GUADALUPE SANTIAGO HERNANDEZ"/>
        <s v="LUIS ANTONIO MARTINEZ"/>
        <s v="TIENDAS GARCÉS"/>
        <s v="MIGUEL MANCILLA CASIMIRO"/>
        <s v="GUADALUPE CARDENAS"/>
        <s v="CITY FRESKO"/>
        <s v="ELVIRA MORIYA SANCHEZ"/>
        <s v="KEVIN ALONSO ROSALES"/>
        <s v="GRUPO FERRETERO DE ALBA"/>
      </sharedItems>
    </cacheField>
    <cacheField name="Serie documento" numFmtId="0">
      <sharedItems/>
    </cacheField>
    <cacheField name="DOCUMENTO" numFmtId="0">
      <sharedItems/>
    </cacheField>
    <cacheField name="Fecha" numFmtId="0">
      <sharedItems containsDate="1" containsMixedTypes="1" minDate="2025-04-10T00:00:00" maxDate="2025-09-18T00:00:00" count="65">
        <s v="30/01/2025"/>
        <s v="04/02/2025"/>
        <s v="08/10/2024"/>
        <s v="02/12/2024"/>
        <s v="21/04/2025"/>
        <s v="16/10/2024"/>
        <s v="25/03/2025"/>
        <s v="10/04/2025"/>
        <s v="07/04/2025"/>
        <s v="28/01/2025"/>
        <s v="05/12/2024"/>
        <s v="12/02/2025"/>
        <s v="28/04/2025"/>
        <s v="20/05/2025"/>
        <s v="21/05/2025"/>
        <s v="03/06/2025"/>
        <s v="10/06/2025"/>
        <s v="19/06/2025"/>
        <s v="25/06/2025"/>
        <s v="27/06/2025"/>
        <s v="30/06/2025"/>
        <s v="01/07/2025"/>
        <s v="02/07/2025"/>
        <s v="09/07/2025"/>
        <s v="14/07/2025"/>
        <s v="17/07/2025"/>
        <s v="23/07/2025"/>
        <s v="24/07/2025"/>
        <s v="29/07/2025"/>
        <s v="28/05/2025"/>
        <s v="13/05/2025"/>
        <s v="17/06/2025"/>
        <s v="22/07/2025"/>
        <s v="08/08/2025"/>
        <s v="31/07/2025"/>
        <s v="13/08/2025"/>
        <d v="2025-07-02T00:00:00"/>
        <s v="15/08/2025"/>
        <s v="24/06/2025"/>
        <s v="03/03/2025"/>
        <d v="2025-04-10T00:00:00"/>
        <d v="2025-08-18T00:00:00"/>
        <s v="21/08/2025"/>
        <s v="29/10/2024"/>
        <s v="13/03/2025"/>
        <s v="27/08/2025"/>
        <s v="28/08/2025"/>
        <s v="25/08/2025"/>
        <s v="01/09/2025"/>
        <s v="02/09/2025"/>
        <d v="2025-07-30T00:00:00"/>
        <d v="2025-09-01T00:00:00"/>
        <s v="03/09/2025"/>
        <d v="2025-09-03T00:00:00"/>
        <s v="09/06/2025"/>
        <d v="2025-09-05T00:00:00"/>
        <s v="05/09/2025"/>
        <s v="11/06/2025"/>
        <s v="08/09/2025"/>
        <s v="09/09/2025"/>
        <s v="10/09/2025"/>
        <s v="12/08/2025"/>
        <s v="11/09/2025"/>
        <s v="12/09/2025"/>
        <d v="2025-09-17T00:00:00"/>
      </sharedItems>
    </cacheField>
    <cacheField name="Cantidad" numFmtId="0">
      <sharedItems containsSemiMixedTypes="0" containsString="0" containsNumber="1" containsInteger="1" minValue="1" maxValue="10426"/>
    </cacheField>
    <cacheField name="EXISTENTE" numFmtId="0">
      <sharedItems containsSemiMixedTypes="0" containsString="0" containsNumber="1" containsInteger="1" minValue="0" maxValue="8562"/>
    </cacheField>
    <cacheField name="PEDIDO FALTANTE" numFmtId="0">
      <sharedItems containsSemiMixedTypes="0" containsString="0" containsNumber="1" containsInteger="1" minValue="-5" maxValue="10426"/>
    </cacheField>
  </cacheFields>
  <extLst>
    <ext xmlns:x14="http://schemas.microsoft.com/office/spreadsheetml/2009/9/main" uri="{725AE2AE-9491-48be-B2B4-4EB974FC3084}">
      <x14:pivotCacheDefinition pivotCacheId="363600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8">
  <r>
    <n v="-228"/>
    <n v="-45258"/>
    <s v="Producto: 2111001327010101 / BISA CUBETA 10 NEGRO MOTAS"/>
    <x v="0"/>
    <x v="0"/>
    <x v="0"/>
    <s v="VT1"/>
    <s v="00003517"/>
    <x v="0"/>
    <n v="60"/>
    <n v="60"/>
    <n v="0"/>
  </r>
  <r>
    <n v="-224"/>
    <n v="-45258"/>
    <s v="Producto: 2142002129010101 / BISA TORTILLERO 18 ROJO"/>
    <x v="1"/>
    <x v="1"/>
    <x v="1"/>
    <s v="VT1"/>
    <s v="00003523"/>
    <x v="1"/>
    <n v="96"/>
    <n v="0"/>
    <n v="96"/>
  </r>
  <r>
    <n v="-340"/>
    <n v="-45258"/>
    <s v="Producto: 1103000919010101 / BISA BAÑO 5 GALVANIZADO"/>
    <x v="2"/>
    <x v="2"/>
    <x v="2"/>
    <s v="BO"/>
    <s v="00000749"/>
    <x v="2"/>
    <n v="40"/>
    <n v="0"/>
    <n v="40"/>
  </r>
  <r>
    <n v="-340"/>
    <n v="-45258"/>
    <s v="Producto: 1103001019010101 / BISA BAÑO 6 GALVANIZADO"/>
    <x v="3"/>
    <x v="2"/>
    <x v="2"/>
    <s v="BO"/>
    <s v="00000749"/>
    <x v="2"/>
    <n v="14"/>
    <n v="6"/>
    <n v="8"/>
  </r>
  <r>
    <n v="-286"/>
    <n v="-45258"/>
    <s v="Producto: 1103000819010101 / BISA BAÑO 4 GALVANIZADO"/>
    <x v="4"/>
    <x v="2"/>
    <x v="3"/>
    <s v="BO"/>
    <s v="00000765"/>
    <x v="3"/>
    <n v="50"/>
    <n v="20"/>
    <n v="30"/>
  </r>
  <r>
    <n v="-286"/>
    <n v="-45258"/>
    <s v="Producto: 1103000919010101 / BISA BAÑO 5 GALVANIZADO"/>
    <x v="2"/>
    <x v="2"/>
    <x v="3"/>
    <s v="BO"/>
    <s v="00000765"/>
    <x v="3"/>
    <n v="100"/>
    <n v="0"/>
    <n v="100"/>
  </r>
  <r>
    <n v="-286"/>
    <n v="-45258"/>
    <s v="Producto: 1111001219010101 / BISA CUBETA 8 GALVANIZADO"/>
    <x v="5"/>
    <x v="2"/>
    <x v="3"/>
    <s v="BO"/>
    <s v="00000765"/>
    <x v="3"/>
    <n v="25"/>
    <n v="25"/>
    <n v="0"/>
  </r>
  <r>
    <n v="-286"/>
    <n v="-45258"/>
    <s v="Producto: 1111001419010101 / BISA CUBETA 12 GALVANIZADO"/>
    <x v="6"/>
    <x v="2"/>
    <x v="3"/>
    <s v="BO"/>
    <s v="00000765"/>
    <x v="3"/>
    <n v="50"/>
    <n v="50"/>
    <n v="0"/>
  </r>
  <r>
    <n v="-147"/>
    <n v="-45258"/>
    <s v="Producto: 1203000919010101 / POP BAÑO 5 GALVANIZADO"/>
    <x v="2"/>
    <x v="2"/>
    <x v="4"/>
    <s v="BO"/>
    <s v="00000794"/>
    <x v="4"/>
    <n v="5"/>
    <n v="0"/>
    <n v="5"/>
  </r>
  <r>
    <n v="-147"/>
    <n v="-45258"/>
    <s v="Producto: 1211000919010101 / POP CUBETA 5 GALVANIZADO"/>
    <x v="7"/>
    <x v="2"/>
    <x v="4"/>
    <s v="BO"/>
    <s v="00000794"/>
    <x v="4"/>
    <n v="50"/>
    <n v="50"/>
    <n v="0"/>
  </r>
  <r>
    <n v="-147"/>
    <n v="-45258"/>
    <s v="Producto: 1211001219010101 / POP CUBETA 8 GALVANIZADO"/>
    <x v="5"/>
    <x v="2"/>
    <x v="4"/>
    <s v="BO"/>
    <s v="00000794"/>
    <x v="4"/>
    <n v="20"/>
    <n v="20"/>
    <n v="0"/>
  </r>
  <r>
    <n v="-224"/>
    <n v="-45258"/>
    <s v="Producto: 2129002716050101 / BISA PLATO HONDO 27 BLANCO C/F NEGRO"/>
    <x v="8"/>
    <x v="3"/>
    <x v="5"/>
    <s v="VT2"/>
    <s v="00004777"/>
    <x v="1"/>
    <n v="24"/>
    <n v="24"/>
    <n v="0"/>
  </r>
  <r>
    <n v="-224"/>
    <n v="-45258"/>
    <s v="Producto: 2333000916050101 / SANSON POCILLO 5 BLANCO C/F NEGRO"/>
    <x v="9"/>
    <x v="3"/>
    <x v="5"/>
    <s v="VT2"/>
    <s v="00004777"/>
    <x v="1"/>
    <n v="96"/>
    <n v="0"/>
    <n v="96"/>
  </r>
  <r>
    <n v="-332"/>
    <n v="-45258"/>
    <s v="Producto: 2152003216050101 / BISA PLATO OVAL 36 BLANCO C/F NEGRO"/>
    <x v="10"/>
    <x v="3"/>
    <x v="6"/>
    <s v="BO"/>
    <s v="00000754"/>
    <x v="5"/>
    <n v="54"/>
    <n v="1"/>
    <n v="53"/>
  </r>
  <r>
    <n v="-173"/>
    <n v="-45258"/>
    <s v="Producto: 2106002502010101 / BISA BUDINERA 24 A/T"/>
    <x v="11"/>
    <x v="4"/>
    <x v="7"/>
    <s v="COT"/>
    <s v="00000709"/>
    <x v="6"/>
    <n v="12"/>
    <n v="12"/>
    <n v="0"/>
  </r>
  <r>
    <n v="-173"/>
    <n v="-45258"/>
    <s v="Producto: 2106002602010101 / BISA BUDINERA 26 A/T"/>
    <x v="12"/>
    <x v="4"/>
    <x v="7"/>
    <s v="COT"/>
    <s v="00000709"/>
    <x v="6"/>
    <n v="12"/>
    <n v="0"/>
    <n v="12"/>
  </r>
  <r>
    <n v="-173"/>
    <n v="-45258"/>
    <s v="Producto: 2110002827010101 / BISA COMAL 28 NEGRO MOTAS"/>
    <x v="13"/>
    <x v="0"/>
    <x v="7"/>
    <s v="COT"/>
    <s v="00000709"/>
    <x v="6"/>
    <n v="12"/>
    <n v="0"/>
    <n v="12"/>
  </r>
  <r>
    <n v="-173"/>
    <n v="-45258"/>
    <s v="Producto: 2124002102010101 / BISA OLLA CONVEXA 18 A/T"/>
    <x v="14"/>
    <x v="4"/>
    <x v="7"/>
    <s v="COT"/>
    <s v="00000709"/>
    <x v="6"/>
    <n v="24"/>
    <n v="0"/>
    <n v="24"/>
  </r>
  <r>
    <n v="-173"/>
    <n v="-45258"/>
    <s v="Producto: 2124002202010101 / BISA OLLA CONVEXA 20 A/T"/>
    <x v="15"/>
    <x v="4"/>
    <x v="7"/>
    <s v="COT"/>
    <s v="00000709"/>
    <x v="6"/>
    <n v="24"/>
    <n v="24"/>
    <n v="0"/>
  </r>
  <r>
    <n v="-173"/>
    <n v="-45258"/>
    <s v="Producto: 2124002402010101 / BISA OLLA CONVEXA 22 A/T"/>
    <x v="16"/>
    <x v="4"/>
    <x v="7"/>
    <s v="COT"/>
    <s v="00000709"/>
    <x v="6"/>
    <n v="18"/>
    <n v="18"/>
    <n v="0"/>
  </r>
  <r>
    <n v="-173"/>
    <n v="-45258"/>
    <s v="Producto: 2124002502010101 / BISA OLLA CONVEXA 24 A/T"/>
    <x v="17"/>
    <x v="4"/>
    <x v="7"/>
    <s v="COT"/>
    <s v="00000709"/>
    <x v="6"/>
    <n v="18"/>
    <n v="0"/>
    <n v="18"/>
  </r>
  <r>
    <n v="-173"/>
    <n v="-45258"/>
    <s v="Producto: 2124002602010101 / BISA OLLA CONVEXA 26 A/T"/>
    <x v="18"/>
    <x v="4"/>
    <x v="7"/>
    <s v="COT"/>
    <s v="00000709"/>
    <x v="6"/>
    <n v="24"/>
    <n v="24"/>
    <n v="0"/>
  </r>
  <r>
    <n v="-173"/>
    <n v="-45258"/>
    <s v="Producto: 2124002902010101 / BISA OLLA CONVEXA 30 A/T"/>
    <x v="19"/>
    <x v="4"/>
    <x v="7"/>
    <s v="COT"/>
    <s v="00000709"/>
    <x v="6"/>
    <n v="6"/>
    <n v="1"/>
    <n v="5"/>
  </r>
  <r>
    <n v="-173"/>
    <n v="-45258"/>
    <s v="Producto: 2125002902010101 / BISA OLLA RECTA 30 A/T"/>
    <x v="20"/>
    <x v="4"/>
    <x v="7"/>
    <s v="COT"/>
    <s v="00000709"/>
    <x v="6"/>
    <n v="4"/>
    <n v="1"/>
    <n v="3"/>
  </r>
  <r>
    <n v="-173"/>
    <n v="-45258"/>
    <s v="Producto: 2125003102010101 / BISA OLLA RECTA 34 A/T"/>
    <x v="21"/>
    <x v="4"/>
    <x v="7"/>
    <s v="COT"/>
    <s v="00000709"/>
    <x v="6"/>
    <n v="4"/>
    <n v="0"/>
    <n v="4"/>
  </r>
  <r>
    <n v="-173"/>
    <n v="-45258"/>
    <s v="Producto: 2125003302010101 / BISA OLLA RECTA 42 A/T"/>
    <x v="22"/>
    <x v="4"/>
    <x v="7"/>
    <s v="COT"/>
    <s v="00000709"/>
    <x v="6"/>
    <n v="3"/>
    <n v="3"/>
    <n v="0"/>
  </r>
  <r>
    <n v="-173"/>
    <e v="#REF!"/>
    <s v="Producto: 1103000719010101 / BISA BAÑO 3 GALVANIZADO"/>
    <x v="23"/>
    <x v="2"/>
    <x v="7"/>
    <s v="COT"/>
    <s v="00000710"/>
    <x v="6"/>
    <n v="5"/>
    <n v="5"/>
    <n v="0"/>
  </r>
  <r>
    <n v="-173"/>
    <e v="#REF!"/>
    <s v="Producto: 1103000819010101 / BISA BAÑO 4 GALVANIZADO"/>
    <x v="4"/>
    <x v="2"/>
    <x v="7"/>
    <s v="COT"/>
    <s v="00000710"/>
    <x v="6"/>
    <n v="5"/>
    <n v="0"/>
    <n v="5"/>
  </r>
  <r>
    <n v="-173"/>
    <e v="#REF!"/>
    <s v="Producto: 1103000919010101 / BISA BAÑO 5 GALVANIZADO"/>
    <x v="2"/>
    <x v="2"/>
    <x v="7"/>
    <s v="COT"/>
    <s v="00000710"/>
    <x v="6"/>
    <n v="5"/>
    <n v="0"/>
    <n v="5"/>
  </r>
  <r>
    <n v="-158"/>
    <n v="-45258"/>
    <s v="Producto: 2112004902010101 / BISA CUCHARA  CAFÉ A/T"/>
    <x v="24"/>
    <x v="4"/>
    <x v="8"/>
    <s v="VT1"/>
    <s v="00003549"/>
    <x v="7"/>
    <n v="100"/>
    <n v="102"/>
    <n v="-2"/>
  </r>
  <r>
    <n v="-158"/>
    <n v="-45258"/>
    <s v="Producto: 2112004921010101 / BISA CUCHARA  CAFÉ GRIS"/>
    <x v="24"/>
    <x v="5"/>
    <x v="8"/>
    <s v="VT1"/>
    <s v="00003549"/>
    <x v="7"/>
    <n v="100"/>
    <n v="102"/>
    <n v="-2"/>
  </r>
  <r>
    <n v="-158"/>
    <n v="-45258"/>
    <s v="Producto: 2112004927010101 / BISA CUCHARA  CAFÉ NEGRO MOTAS"/>
    <x v="24"/>
    <x v="0"/>
    <x v="8"/>
    <s v="VT1"/>
    <s v="00003549"/>
    <x v="7"/>
    <n v="100"/>
    <n v="102"/>
    <n v="-2"/>
  </r>
  <r>
    <n v="-158"/>
    <n v="-45258"/>
    <s v="Producto: 2112005002010101 / BISA CUCHARA MOKA A/T"/>
    <x v="25"/>
    <x v="4"/>
    <x v="8"/>
    <s v="VT1"/>
    <s v="00003549"/>
    <x v="7"/>
    <n v="100"/>
    <n v="0"/>
    <n v="100"/>
  </r>
  <r>
    <n v="-158"/>
    <n v="-45258"/>
    <s v="Producto: 2112005021010101 / BISA CUCHARA MOKA GRIS"/>
    <x v="25"/>
    <x v="5"/>
    <x v="8"/>
    <s v="VT1"/>
    <s v="00003549"/>
    <x v="7"/>
    <n v="100"/>
    <n v="0"/>
    <n v="100"/>
  </r>
  <r>
    <n v="-158"/>
    <n v="-45258"/>
    <s v="Producto: 2112005027010101 / BISA CUCHARA MOKA NEGRO MOTAS"/>
    <x v="25"/>
    <x v="0"/>
    <x v="8"/>
    <s v="VT1"/>
    <s v="00003549"/>
    <x v="7"/>
    <n v="100"/>
    <n v="0"/>
    <n v="100"/>
  </r>
  <r>
    <n v="-161"/>
    <n v="-45258"/>
    <s v="Producto: 2130002521010101 / BISA PLATO LISO 24 GRIS"/>
    <x v="26"/>
    <x v="5"/>
    <x v="9"/>
    <s v="BO"/>
    <s v="00000866"/>
    <x v="8"/>
    <n v="144"/>
    <n v="0"/>
    <n v="144"/>
  </r>
  <r>
    <n v="-161"/>
    <n v="-45258"/>
    <s v="Producto: 2139001221010101 / BISA TAZON 8 GRIS"/>
    <x v="27"/>
    <x v="5"/>
    <x v="9"/>
    <s v="BO"/>
    <s v="00000866"/>
    <x v="8"/>
    <n v="36"/>
    <n v="0"/>
    <n v="36"/>
  </r>
  <r>
    <n v="-230"/>
    <n v="-45258"/>
    <s v="Producto: 2110002427010101 / BISA COMAL 22 NEGRO MOTAS"/>
    <x v="28"/>
    <x v="0"/>
    <x v="10"/>
    <s v="VT2"/>
    <s v="00004771"/>
    <x v="9"/>
    <n v="36"/>
    <n v="36"/>
    <n v="0"/>
  </r>
  <r>
    <n v="-230"/>
    <n v="-45258"/>
    <s v="Producto: 2110002827010101 / BISA COMAL 28 NEGRO MOTAS"/>
    <x v="13"/>
    <x v="0"/>
    <x v="10"/>
    <s v="VT2"/>
    <s v="00004771"/>
    <x v="9"/>
    <n v="36"/>
    <n v="36"/>
    <n v="0"/>
  </r>
  <r>
    <n v="-230"/>
    <n v="-45258"/>
    <s v="Producto: 2133001501010701 / BISA POCILLO 14 DECORADO "/>
    <x v="29"/>
    <x v="6"/>
    <x v="10"/>
    <s v="VT2"/>
    <s v="00004771"/>
    <x v="9"/>
    <n v="60"/>
    <n v="0"/>
    <n v="60"/>
  </r>
  <r>
    <n v="-283"/>
    <n v="-45258"/>
    <s v="Producto: 2143006901010105 / BISA VAJILLA VELO 16 PZ"/>
    <x v="30"/>
    <x v="6"/>
    <x v="11"/>
    <s v="ALM"/>
    <s v="00000004"/>
    <x v="10"/>
    <n v="30"/>
    <n v="12"/>
    <n v="18"/>
  </r>
  <r>
    <n v="-283"/>
    <n v="-45258"/>
    <s v="Producto: 2143006301010105 / BISA VAJILLA LAVANDA 16 PZ"/>
    <x v="31"/>
    <x v="6"/>
    <x v="11"/>
    <s v="ALM"/>
    <s v="00000004"/>
    <x v="10"/>
    <n v="30"/>
    <n v="15"/>
    <n v="15"/>
  </r>
  <r>
    <n v="-283"/>
    <n v="-45258"/>
    <s v="Producto: 2143007401010104 / BISA VAJILLA 12 PZAS MARINA PH"/>
    <x v="32"/>
    <x v="6"/>
    <x v="11"/>
    <s v="ALM"/>
    <s v="00000004"/>
    <x v="10"/>
    <n v="25"/>
    <n v="16"/>
    <n v="9"/>
  </r>
  <r>
    <n v="-283"/>
    <n v="-45258"/>
    <s v="Producto: 2143006401010101 / BISA VAJILLA LE COQ PH"/>
    <x v="33"/>
    <x v="6"/>
    <x v="11"/>
    <s v="ALM"/>
    <s v="00000004"/>
    <x v="10"/>
    <n v="25"/>
    <n v="0"/>
    <n v="25"/>
  </r>
  <r>
    <n v="-283"/>
    <n v="-45258"/>
    <s v="Producto: 2143006701010101 / BISA VAJILLA MOSCA EN EL PLATO PH"/>
    <x v="34"/>
    <x v="6"/>
    <x v="11"/>
    <s v="ALM"/>
    <s v="00000004"/>
    <x v="10"/>
    <n v="25"/>
    <n v="2"/>
    <n v="23"/>
  </r>
  <r>
    <n v="-286"/>
    <n v="-45258"/>
    <s v="Producto: 2132003029010101 / BISA PLATO TROQUELADO 32 ROJO"/>
    <x v="35"/>
    <x v="1"/>
    <x v="11"/>
    <s v="VBC"/>
    <s v="00000010"/>
    <x v="3"/>
    <n v="16"/>
    <n v="12"/>
    <n v="4"/>
  </r>
  <r>
    <n v="-224"/>
    <n v="-45258"/>
    <s v="Producto: 2106002214010101 / BISA BUDINERA 20 BICOLOR ROJO"/>
    <x v="36"/>
    <x v="7"/>
    <x v="12"/>
    <s v="COT"/>
    <s v="00000701"/>
    <x v="1"/>
    <n v="18"/>
    <n v="4"/>
    <n v="14"/>
  </r>
  <r>
    <n v="-224"/>
    <n v="-45258"/>
    <s v="Producto: 2106002402010101 / BISA BUDINERA 22 A/T"/>
    <x v="37"/>
    <x v="4"/>
    <x v="12"/>
    <s v="COT"/>
    <s v="00000701"/>
    <x v="1"/>
    <n v="12"/>
    <n v="0"/>
    <n v="12"/>
  </r>
  <r>
    <n v="-224"/>
    <n v="-45258"/>
    <s v="Producto: 2106002502010101 / BISA BUDINERA 24 A/T"/>
    <x v="11"/>
    <x v="4"/>
    <x v="12"/>
    <s v="COT"/>
    <s v="00000701"/>
    <x v="1"/>
    <n v="12"/>
    <n v="12"/>
    <n v="0"/>
  </r>
  <r>
    <n v="-224"/>
    <n v="-45258"/>
    <s v="Producto: 2106002514010101 / BISA BUDINERA 24 BICOLOR ROJO"/>
    <x v="11"/>
    <x v="7"/>
    <x v="12"/>
    <s v="COT"/>
    <s v="00000701"/>
    <x v="1"/>
    <n v="12"/>
    <n v="6"/>
    <n v="6"/>
  </r>
  <r>
    <n v="-224"/>
    <n v="-45258"/>
    <s v="Producto: 2106002602010101 / BISA BUDINERA 26 A/T"/>
    <x v="12"/>
    <x v="4"/>
    <x v="12"/>
    <s v="COT"/>
    <s v="00000701"/>
    <x v="1"/>
    <n v="12"/>
    <n v="0"/>
    <n v="12"/>
  </r>
  <r>
    <n v="-224"/>
    <n v="-45258"/>
    <s v="Producto: 2106002902010101 / BISA BUDINERA 30 A/T"/>
    <x v="38"/>
    <x v="4"/>
    <x v="12"/>
    <s v="COT"/>
    <s v="00000701"/>
    <x v="1"/>
    <n v="12"/>
    <n v="0"/>
    <n v="12"/>
  </r>
  <r>
    <n v="-224"/>
    <n v="-45258"/>
    <s v="Producto: 2106003102010101 / BISA BUDINERA 34 A/T"/>
    <x v="39"/>
    <x v="4"/>
    <x v="12"/>
    <s v="COT"/>
    <s v="00000701"/>
    <x v="1"/>
    <n v="4"/>
    <n v="4"/>
    <n v="0"/>
  </r>
  <r>
    <n v="-224"/>
    <n v="-45258"/>
    <s v="Producto: 2110002427010101 / BISA COMAL 22 NEGRO MOTAS"/>
    <x v="28"/>
    <x v="0"/>
    <x v="12"/>
    <s v="COT"/>
    <s v="00000701"/>
    <x v="1"/>
    <n v="24"/>
    <n v="24"/>
    <n v="0"/>
  </r>
  <r>
    <n v="-224"/>
    <n v="-45258"/>
    <s v="Producto: 2110002827010101 / BISA COMAL 28 NEGRO MOTAS"/>
    <x v="13"/>
    <x v="0"/>
    <x v="12"/>
    <s v="COT"/>
    <s v="00000701"/>
    <x v="1"/>
    <n v="24"/>
    <n v="0"/>
    <n v="24"/>
  </r>
  <r>
    <n v="-224"/>
    <n v="-45258"/>
    <s v="Producto: 2124001502010101 / BISA OLLA CONVEXA 14 A/T"/>
    <x v="40"/>
    <x v="4"/>
    <x v="12"/>
    <s v="COT"/>
    <s v="00000701"/>
    <x v="1"/>
    <n v="36"/>
    <n v="36"/>
    <n v="0"/>
  </r>
  <r>
    <n v="-224"/>
    <n v="-45258"/>
    <s v="Producto: 2124001702010101 / BISA OLLA CONVEXA 16 A/T"/>
    <x v="41"/>
    <x v="4"/>
    <x v="12"/>
    <s v="COT"/>
    <s v="00000701"/>
    <x v="1"/>
    <n v="24"/>
    <n v="24"/>
    <n v="0"/>
  </r>
  <r>
    <n v="-224"/>
    <n v="-45258"/>
    <s v="Producto: 2124002102010101 / BISA OLLA CONVEXA 18 A/T"/>
    <x v="14"/>
    <x v="4"/>
    <x v="12"/>
    <s v="COT"/>
    <s v="00000701"/>
    <x v="1"/>
    <n v="24"/>
    <n v="0"/>
    <n v="24"/>
  </r>
  <r>
    <n v="-224"/>
    <n v="-45258"/>
    <s v="Producto: 2124002202010101 / BISA OLLA CONVEXA 20 A/T"/>
    <x v="15"/>
    <x v="4"/>
    <x v="12"/>
    <s v="COT"/>
    <s v="00000701"/>
    <x v="1"/>
    <n v="12"/>
    <n v="12"/>
    <n v="0"/>
  </r>
  <r>
    <n v="-224"/>
    <n v="-45258"/>
    <s v="Producto: 2124002402010101 / BISA OLLA CONVEXA 22 A/T"/>
    <x v="16"/>
    <x v="4"/>
    <x v="12"/>
    <s v="COT"/>
    <s v="00000701"/>
    <x v="1"/>
    <n v="12"/>
    <n v="12"/>
    <n v="0"/>
  </r>
  <r>
    <n v="-224"/>
    <n v="-45258"/>
    <s v="Producto: 2124002502010101 / BISA OLLA CONVEXA 24 A/T"/>
    <x v="17"/>
    <x v="4"/>
    <x v="12"/>
    <s v="COT"/>
    <s v="00000701"/>
    <x v="1"/>
    <n v="24"/>
    <n v="0"/>
    <n v="24"/>
  </r>
  <r>
    <n v="-224"/>
    <n v="-45258"/>
    <s v="Producto: 2124002902010101 / BISA OLLA CONVEXA 30 A/T"/>
    <x v="19"/>
    <x v="4"/>
    <x v="12"/>
    <s v="COT"/>
    <s v="00000701"/>
    <x v="1"/>
    <n v="8"/>
    <n v="0"/>
    <n v="8"/>
  </r>
  <r>
    <n v="-224"/>
    <n v="-45258"/>
    <s v="Producto: 2124003102010101 / BISA OLLA CONVEXA 34 A/T"/>
    <x v="42"/>
    <x v="4"/>
    <x v="12"/>
    <s v="COT"/>
    <s v="00000701"/>
    <x v="1"/>
    <n v="10"/>
    <n v="10"/>
    <n v="0"/>
  </r>
  <r>
    <n v="-224"/>
    <n v="-45258"/>
    <s v="Producto: 2125002202010101 / BISA OLLA RECTA 20 A/T"/>
    <x v="43"/>
    <x v="4"/>
    <x v="12"/>
    <s v="COT"/>
    <s v="00000701"/>
    <x v="1"/>
    <n v="24"/>
    <n v="24"/>
    <n v="0"/>
  </r>
  <r>
    <n v="-224"/>
    <n v="-45258"/>
    <s v="Producto: 2125002212010101 / BISA OLLA RECTA 20 BICOLOR NARANJA"/>
    <x v="43"/>
    <x v="8"/>
    <x v="12"/>
    <s v="COT"/>
    <s v="00000701"/>
    <x v="1"/>
    <n v="12"/>
    <n v="12"/>
    <n v="0"/>
  </r>
  <r>
    <n v="-224"/>
    <n v="-45258"/>
    <s v="Producto: 2125002402010101 / BISA OLLA RECTA 22 A/T"/>
    <x v="44"/>
    <x v="4"/>
    <x v="12"/>
    <s v="COT"/>
    <s v="00000701"/>
    <x v="1"/>
    <n v="12"/>
    <n v="12"/>
    <n v="0"/>
  </r>
  <r>
    <n v="-224"/>
    <n v="-45258"/>
    <s v="Producto: 2125002502010101 / BISA OLLA RECTA 24 A/T"/>
    <x v="45"/>
    <x v="4"/>
    <x v="12"/>
    <s v="COT"/>
    <s v="00000701"/>
    <x v="1"/>
    <n v="12"/>
    <n v="12"/>
    <n v="0"/>
  </r>
  <r>
    <n v="-224"/>
    <n v="-45258"/>
    <s v="Producto: 2125002512010101 / BISA OLLA RECTA 24 BICOLOR NARANJA"/>
    <x v="45"/>
    <x v="8"/>
    <x v="12"/>
    <s v="COT"/>
    <s v="00000701"/>
    <x v="1"/>
    <n v="6"/>
    <n v="2"/>
    <n v="4"/>
  </r>
  <r>
    <n v="-224"/>
    <n v="-45258"/>
    <s v="Producto: 2125002602010101 / BISA OLLA RECTA 26 A/T"/>
    <x v="46"/>
    <x v="4"/>
    <x v="12"/>
    <s v="COT"/>
    <s v="00000701"/>
    <x v="1"/>
    <n v="6"/>
    <n v="6"/>
    <n v="0"/>
  </r>
  <r>
    <n v="-224"/>
    <n v="-45258"/>
    <s v="Producto: 2125002802010101 / BISA OLLA RECTA 28 A/T"/>
    <x v="47"/>
    <x v="4"/>
    <x v="12"/>
    <s v="COT"/>
    <s v="00000701"/>
    <x v="1"/>
    <n v="4"/>
    <n v="4"/>
    <n v="0"/>
  </r>
  <r>
    <n v="-224"/>
    <n v="-45258"/>
    <s v="Producto: 2125002902010101 / BISA OLLA RECTA 30 A/T"/>
    <x v="20"/>
    <x v="4"/>
    <x v="12"/>
    <s v="COT"/>
    <s v="00000701"/>
    <x v="1"/>
    <n v="15"/>
    <n v="0"/>
    <n v="15"/>
  </r>
  <r>
    <n v="-224"/>
    <n v="-45258"/>
    <s v="Producto: 2125003302010101 / BISA OLLA RECTA 42 A/T"/>
    <x v="22"/>
    <x v="4"/>
    <x v="12"/>
    <s v="COT"/>
    <s v="00000701"/>
    <x v="1"/>
    <n v="2"/>
    <n v="2"/>
    <n v="0"/>
  </r>
  <r>
    <n v="-224"/>
    <n v="-45258"/>
    <s v="Producto: 2136002402010101 / BISA SARTEN 22 A/T"/>
    <x v="48"/>
    <x v="4"/>
    <x v="12"/>
    <s v="COT"/>
    <s v="00000701"/>
    <x v="1"/>
    <n v="24"/>
    <n v="2"/>
    <n v="22"/>
  </r>
  <r>
    <n v="-224"/>
    <n v="-45258"/>
    <s v="Producto: 2136002602010101 / BISA SARTEN 26 A/T"/>
    <x v="49"/>
    <x v="4"/>
    <x v="12"/>
    <s v="COT"/>
    <s v="00000701"/>
    <x v="1"/>
    <n v="24"/>
    <n v="24"/>
    <n v="0"/>
  </r>
  <r>
    <n v="-224"/>
    <n v="-45258"/>
    <s v="Producto: 2144003102010101 / BISA VAPORERA 34 A/T"/>
    <x v="50"/>
    <x v="4"/>
    <x v="12"/>
    <s v="COT"/>
    <s v="00000701"/>
    <x v="1"/>
    <n v="8"/>
    <n v="1"/>
    <n v="7"/>
  </r>
  <r>
    <n v="-224"/>
    <n v="-45258"/>
    <s v="Producto: 2125009902010101 / BISA OLLA RECTA 38 A/T"/>
    <x v="51"/>
    <x v="4"/>
    <x v="12"/>
    <s v="COT"/>
    <s v="00000701"/>
    <x v="1"/>
    <n v="8"/>
    <n v="8"/>
    <n v="0"/>
  </r>
  <r>
    <n v="-216"/>
    <n v="-45258"/>
    <s v="Producto: 2110002427010101 / BISA COMAL 22 NEGRO MOTAS"/>
    <x v="28"/>
    <x v="0"/>
    <x v="11"/>
    <s v="BOC"/>
    <s v="00000015"/>
    <x v="11"/>
    <n v="480"/>
    <n v="480"/>
    <n v="0"/>
  </r>
  <r>
    <n v="-216"/>
    <n v="-45258"/>
    <s v="Producto: 2110002827010101 / BISA COMAL 28 NEGRO MOTAS"/>
    <x v="13"/>
    <x v="0"/>
    <x v="11"/>
    <s v="BOC"/>
    <s v="00000015"/>
    <x v="11"/>
    <n v="240"/>
    <n v="0"/>
    <n v="240"/>
  </r>
  <r>
    <n v="-216"/>
    <n v="-45258"/>
    <s v="Producto: 2110003227010101 / BISA COMAL 36 NEGRO MOTAS"/>
    <x v="52"/>
    <x v="0"/>
    <x v="11"/>
    <s v="BOC"/>
    <s v="00000015"/>
    <x v="11"/>
    <n v="240"/>
    <n v="240"/>
    <n v="0"/>
  </r>
  <r>
    <n v="-140"/>
    <n v="-45258"/>
    <s v="Producto: 1103000519010101 / BISA BAÑO 1 GALVANIZADO"/>
    <x v="53"/>
    <x v="2"/>
    <x v="13"/>
    <s v="BO"/>
    <s v="00000795"/>
    <x v="12"/>
    <n v="5"/>
    <n v="0"/>
    <n v="5"/>
  </r>
  <r>
    <n v="-140"/>
    <n v="-45258"/>
    <s v="Producto: 1103000619010101 / BISA BAÑO 2 GALVANIZADO"/>
    <x v="54"/>
    <x v="2"/>
    <x v="13"/>
    <s v="BO"/>
    <s v="00000795"/>
    <x v="12"/>
    <n v="20"/>
    <n v="0"/>
    <n v="20"/>
  </r>
  <r>
    <n v="-140"/>
    <n v="-45258"/>
    <s v="Producto: 1103000719010101 / BISA BAÑO 3 GALVANIZADO"/>
    <x v="23"/>
    <x v="2"/>
    <x v="13"/>
    <s v="BO"/>
    <s v="00000795"/>
    <x v="12"/>
    <n v="15"/>
    <n v="0"/>
    <n v="15"/>
  </r>
  <r>
    <n v="-140"/>
    <n v="-45258"/>
    <s v="Producto: 1103000819010101 / BISA BAÑO 4 GALVANIZADO"/>
    <x v="4"/>
    <x v="2"/>
    <x v="13"/>
    <s v="BO"/>
    <s v="00000795"/>
    <x v="12"/>
    <n v="10"/>
    <n v="0"/>
    <n v="10"/>
  </r>
  <r>
    <n v="-140"/>
    <n v="-45258"/>
    <s v="Producto: 1103000919010101 / BISA BAÑO 5 GALVANIZADO"/>
    <x v="2"/>
    <x v="2"/>
    <x v="13"/>
    <s v="BO"/>
    <s v="00000795"/>
    <x v="12"/>
    <n v="15"/>
    <n v="0"/>
    <n v="15"/>
  </r>
  <r>
    <n v="-140"/>
    <n v="-45258"/>
    <s v="Producto: 1103001019010101 / BISA BAÑO 6 GALVANIZADO"/>
    <x v="3"/>
    <x v="2"/>
    <x v="13"/>
    <s v="BO"/>
    <s v="00000795"/>
    <x v="12"/>
    <n v="10"/>
    <n v="0"/>
    <n v="10"/>
  </r>
  <r>
    <n v="-140"/>
    <n v="-45258"/>
    <s v="Producto: 1111000819010101 / BISA CUBETA 4 GALVANIZADO"/>
    <x v="55"/>
    <x v="2"/>
    <x v="13"/>
    <s v="BO"/>
    <s v="00000795"/>
    <x v="12"/>
    <n v="14"/>
    <n v="0"/>
    <n v="14"/>
  </r>
  <r>
    <n v="-140"/>
    <n v="-45258"/>
    <s v="Producto: 1111001519010101 / BISA CUBETA 14 GALVANIZADO"/>
    <x v="56"/>
    <x v="2"/>
    <x v="13"/>
    <s v="BO"/>
    <s v="00000795"/>
    <x v="12"/>
    <n v="14"/>
    <n v="4"/>
    <n v="10"/>
  </r>
  <r>
    <n v="-118"/>
    <n v="-45248"/>
    <s v="Producto: 1203000219010101 / POP BAÑO 0 GALVANIZADO"/>
    <x v="57"/>
    <x v="2"/>
    <x v="14"/>
    <s v="COT"/>
    <s v="00000726"/>
    <x v="13"/>
    <n v="10"/>
    <n v="10"/>
    <n v="0"/>
  </r>
  <r>
    <n v="-118"/>
    <n v="-45248"/>
    <s v="Producto: 1203000519010101 / POP BAÑO 1 GALVANIZADO"/>
    <x v="53"/>
    <x v="2"/>
    <x v="14"/>
    <s v="COT"/>
    <s v="00000726"/>
    <x v="13"/>
    <n v="10"/>
    <n v="10"/>
    <n v="0"/>
  </r>
  <r>
    <n v="-118"/>
    <n v="-45238"/>
    <s v="Producto: 1203000619010101 / POP BAÑO 2 GALVANIZADO"/>
    <x v="54"/>
    <x v="2"/>
    <x v="14"/>
    <s v="COT"/>
    <s v="00000726"/>
    <x v="13"/>
    <n v="20"/>
    <n v="19"/>
    <n v="1"/>
  </r>
  <r>
    <n v="-118"/>
    <n v="-45238"/>
    <s v="Producto: 1203000719010101 / POP BAÑO 3 GALVANIZADO"/>
    <x v="23"/>
    <x v="2"/>
    <x v="14"/>
    <s v="COT"/>
    <s v="00000726"/>
    <x v="13"/>
    <n v="20"/>
    <n v="20"/>
    <n v="0"/>
  </r>
  <r>
    <n v="-118"/>
    <n v="-45238"/>
    <s v="Producto: 1203000819010101 / POP BAÑO 4 GALVANIZADO"/>
    <x v="4"/>
    <x v="2"/>
    <x v="14"/>
    <s v="COT"/>
    <s v="00000726"/>
    <x v="13"/>
    <n v="20"/>
    <n v="20"/>
    <n v="0"/>
  </r>
  <r>
    <n v="-118"/>
    <n v="-45238"/>
    <s v="Producto: 1203000919010101 / POP BAÑO 5 GALVANIZADO"/>
    <x v="2"/>
    <x v="2"/>
    <x v="14"/>
    <s v="COT"/>
    <s v="00000726"/>
    <x v="13"/>
    <n v="20"/>
    <n v="0"/>
    <n v="20"/>
  </r>
  <r>
    <n v="-118"/>
    <n v="-45248"/>
    <s v="Producto: 1203001019010101 / POP BAÑO 6 GALVANIZADO"/>
    <x v="3"/>
    <x v="2"/>
    <x v="14"/>
    <s v="COT"/>
    <s v="00000726"/>
    <x v="13"/>
    <n v="10"/>
    <n v="10"/>
    <n v="0"/>
  </r>
  <r>
    <n v="-118"/>
    <n v="-45248"/>
    <s v="Producto: 1203001119010101 / POP BAÑO 7 GALVANIZADO"/>
    <x v="58"/>
    <x v="2"/>
    <x v="14"/>
    <s v="COT"/>
    <s v="00000726"/>
    <x v="13"/>
    <n v="10"/>
    <n v="10"/>
    <n v="0"/>
  </r>
  <r>
    <n v="-118"/>
    <n v="-45238"/>
    <s v="Producto: 1211000819010101 / POP CUBETA 4 GALVANIZADO s"/>
    <x v="55"/>
    <x v="2"/>
    <x v="14"/>
    <s v="COT"/>
    <s v="00000726"/>
    <x v="13"/>
    <n v="20"/>
    <n v="20"/>
    <n v="0"/>
  </r>
  <r>
    <n v="-118"/>
    <n v="-45238"/>
    <s v="Producto: 1211000919010101 / POP CUBETA 5 GALVANIZADO s"/>
    <x v="7"/>
    <x v="2"/>
    <x v="14"/>
    <s v="COT"/>
    <s v="00000726"/>
    <x v="13"/>
    <n v="20"/>
    <n v="20"/>
    <n v="0"/>
  </r>
  <r>
    <n v="-118"/>
    <n v="-45238"/>
    <s v="Producto: 1211001019010101 / POP CUBETA 6 GALVANIZADO"/>
    <x v="59"/>
    <x v="2"/>
    <x v="14"/>
    <s v="COT"/>
    <s v="00000726"/>
    <x v="13"/>
    <n v="20"/>
    <n v="20"/>
    <n v="0"/>
  </r>
  <r>
    <n v="-118"/>
    <n v="-45228"/>
    <s v="Producto: 1211001219010101 / POP CUBETA 8 GALVANIZADO"/>
    <x v="5"/>
    <x v="2"/>
    <x v="14"/>
    <s v="COT"/>
    <s v="00000726"/>
    <x v="13"/>
    <n v="30"/>
    <n v="30"/>
    <n v="0"/>
  </r>
  <r>
    <n v="-118"/>
    <n v="-45228"/>
    <s v="Producto: 1211001319010101 / POP CUBETA 10 GALVANIZADO"/>
    <x v="0"/>
    <x v="2"/>
    <x v="14"/>
    <s v="COT"/>
    <s v="00000726"/>
    <x v="13"/>
    <n v="30"/>
    <n v="30"/>
    <n v="0"/>
  </r>
  <r>
    <n v="-118"/>
    <n v="-45228"/>
    <s v="Producto: 1211001419010101 / POP CUBETA 12 GALVANIZADO"/>
    <x v="6"/>
    <x v="2"/>
    <x v="14"/>
    <s v="COT"/>
    <s v="00000726"/>
    <x v="13"/>
    <n v="30"/>
    <n v="30"/>
    <n v="0"/>
  </r>
  <r>
    <n v="-118"/>
    <n v="-45228"/>
    <s v="Producto: 1211001519010101 / POP CUBETA 14 GALVANIZADO"/>
    <x v="56"/>
    <x v="2"/>
    <x v="14"/>
    <s v="COT"/>
    <s v="00000726"/>
    <x v="13"/>
    <n v="30"/>
    <n v="30"/>
    <n v="0"/>
  </r>
  <r>
    <n v="-118"/>
    <n v="-45238"/>
    <s v="Producto: 1211001719010101 / POP CUBETA 16 GALVANIZADO"/>
    <x v="60"/>
    <x v="2"/>
    <x v="14"/>
    <s v="COT"/>
    <s v="00000726"/>
    <x v="13"/>
    <n v="20"/>
    <n v="20"/>
    <n v="0"/>
  </r>
  <r>
    <n v="-118"/>
    <n v="-45248"/>
    <s v="Producto: 1211002119010101 / POP CUBETA 18 GALVANIZADO"/>
    <x v="61"/>
    <x v="2"/>
    <x v="14"/>
    <s v="COT"/>
    <s v="00000726"/>
    <x v="13"/>
    <n v="10"/>
    <n v="10"/>
    <n v="0"/>
  </r>
  <r>
    <n v="-118"/>
    <n v="-45252"/>
    <s v="Producto: 1211002219010101 / POP CUBETA 20 GALVANIZADO"/>
    <x v="62"/>
    <x v="2"/>
    <x v="14"/>
    <s v="COT"/>
    <s v="00000726"/>
    <x v="13"/>
    <n v="6"/>
    <n v="0"/>
    <n v="6"/>
  </r>
  <r>
    <n v="-118"/>
    <n v="-45252"/>
    <s v="Producto: 1103000519010101 / BISA BAÑO 1 GALVANIZADO"/>
    <x v="53"/>
    <x v="2"/>
    <x v="14"/>
    <s v="COT"/>
    <s v="00000725"/>
    <x v="13"/>
    <n v="6"/>
    <n v="2"/>
    <n v="4"/>
  </r>
  <r>
    <n v="-118"/>
    <n v="-45252"/>
    <s v="Producto: 1103000619010101 / BISA BAÑO 2 GALVANIZADO"/>
    <x v="54"/>
    <x v="2"/>
    <x v="14"/>
    <s v="COT"/>
    <s v="00000725"/>
    <x v="13"/>
    <n v="6"/>
    <n v="6"/>
    <n v="0"/>
  </r>
  <r>
    <n v="-118"/>
    <n v="-45252"/>
    <s v="Producto: 1103000719010101 / BISA BAÑO 3 GALVANIZADO"/>
    <x v="23"/>
    <x v="2"/>
    <x v="14"/>
    <s v="COT"/>
    <s v="00000725"/>
    <x v="13"/>
    <n v="6"/>
    <n v="6"/>
    <n v="0"/>
  </r>
  <r>
    <n v="-118"/>
    <n v="-45252"/>
    <s v="Producto: 1103000819010101 / BISA BAÑO 4 GALVANIZADO"/>
    <x v="4"/>
    <x v="2"/>
    <x v="14"/>
    <s v="COT"/>
    <s v="00000725"/>
    <x v="13"/>
    <n v="6"/>
    <n v="1"/>
    <n v="5"/>
  </r>
  <r>
    <n v="-118"/>
    <n v="-45252"/>
    <s v="Producto: 1103000919010101 / BISA BAÑO 5 GALVANIZADO"/>
    <x v="2"/>
    <x v="2"/>
    <x v="14"/>
    <s v="COT"/>
    <s v="00000725"/>
    <x v="13"/>
    <n v="6"/>
    <n v="0"/>
    <n v="6"/>
  </r>
  <r>
    <n v="-118"/>
    <n v="-45252"/>
    <s v="Producto: 1103001019010101 / BISA BAÑO 6 GALVANIZADO"/>
    <x v="3"/>
    <x v="2"/>
    <x v="14"/>
    <s v="COT"/>
    <s v="00000725"/>
    <x v="13"/>
    <n v="6"/>
    <n v="0"/>
    <n v="6"/>
  </r>
  <r>
    <n v="-118"/>
    <n v="-45252"/>
    <s v="Producto: 1103001119010101 / BISA BAÑO 7 GALVANIZADO"/>
    <x v="58"/>
    <x v="2"/>
    <x v="14"/>
    <s v="COT"/>
    <s v="00000725"/>
    <x v="13"/>
    <n v="6"/>
    <n v="6"/>
    <n v="0"/>
  </r>
  <r>
    <n v="-118"/>
    <n v="-45252"/>
    <s v="Producto: 1103001219010101 / BISA BAÑO 8 GALVANIZADO"/>
    <x v="63"/>
    <x v="2"/>
    <x v="14"/>
    <s v="COT"/>
    <s v="00000725"/>
    <x v="13"/>
    <n v="6"/>
    <n v="6"/>
    <n v="0"/>
  </r>
  <r>
    <n v="-118"/>
    <n v="-45228"/>
    <s v="Producto: 1103001319010101 / BISA BAÑO 10 GALVANIZADO"/>
    <x v="64"/>
    <x v="2"/>
    <x v="14"/>
    <s v="COT"/>
    <s v="00000725"/>
    <x v="13"/>
    <n v="30"/>
    <n v="30"/>
    <n v="0"/>
  </r>
  <r>
    <n v="-118"/>
    <n v="-45219"/>
    <s v="Producto: 1103001419010101 / BISA BAÑO 12 GALVANIZADO"/>
    <x v="65"/>
    <x v="2"/>
    <x v="14"/>
    <s v="COT"/>
    <s v="00000725"/>
    <x v="13"/>
    <n v="40"/>
    <n v="30"/>
    <n v="10"/>
  </r>
  <r>
    <n v="-117"/>
    <n v="-45211"/>
    <s v="Producto: 2112004927010101 / BISA CUCHARA  CAFÉ NEGRO MOTAS"/>
    <x v="24"/>
    <x v="0"/>
    <x v="15"/>
    <s v="BO"/>
    <s v="00000858"/>
    <x v="14"/>
    <n v="48"/>
    <n v="48"/>
    <n v="0"/>
  </r>
  <r>
    <n v="-105"/>
    <n v="-45258"/>
    <s v="Producto: 2108002117010101 / BISA CAZUELA 18 COBALTO"/>
    <x v="66"/>
    <x v="9"/>
    <x v="16"/>
    <s v="VT1"/>
    <s v="00003569"/>
    <x v="15"/>
    <n v="120"/>
    <n v="0"/>
    <n v="120"/>
  </r>
  <r>
    <n v="-98"/>
    <n v="-45258"/>
    <s v="Producto: 2106010216071601 / BISA ENSALADERA CASCANUECES"/>
    <x v="67"/>
    <x v="6"/>
    <x v="17"/>
    <s v="ALM"/>
    <s v="00000005"/>
    <x v="16"/>
    <n v="25"/>
    <n v="25"/>
    <n v="0"/>
  </r>
  <r>
    <n v="-98"/>
    <n v="-45258"/>
    <s v="Producto: 2143000101011614 / BISA VAJILLA CASCANUECES"/>
    <x v="68"/>
    <x v="6"/>
    <x v="17"/>
    <s v="ALM"/>
    <s v="00000005"/>
    <x v="16"/>
    <n v="50"/>
    <n v="0"/>
    <n v="50"/>
  </r>
  <r>
    <n v="-98"/>
    <n v="-45258"/>
    <s v="Producto: 2152003016071601 / BISA PLATO OVAL 32 CASCANUECES"/>
    <x v="69"/>
    <x v="10"/>
    <x v="17"/>
    <s v="ALM"/>
    <s v="00000005"/>
    <x v="16"/>
    <n v="25"/>
    <n v="25"/>
    <n v="0"/>
  </r>
  <r>
    <n v="-98"/>
    <n v="-45258"/>
    <s v="Producto: 2154000916071601 / BISA JARRA ABOMBADA CASCANUECES"/>
    <x v="70"/>
    <x v="10"/>
    <x v="17"/>
    <s v="ALM"/>
    <s v="00000005"/>
    <x v="16"/>
    <n v="25"/>
    <n v="1"/>
    <n v="24"/>
  </r>
  <r>
    <n v="-98"/>
    <n v="-45258"/>
    <s v="Producto: 2121000901011602 / BISA JUEGO TEQUILEROS CASCANUECES"/>
    <x v="71"/>
    <x v="6"/>
    <x v="17"/>
    <s v="ALM"/>
    <s v="00000005"/>
    <x v="16"/>
    <n v="50"/>
    <n v="12"/>
    <n v="38"/>
  </r>
  <r>
    <n v="-89"/>
    <n v="-45258"/>
    <s v="Producto: 1103000819010101 / BISA BAÑO 4 GALVANIZADO"/>
    <x v="4"/>
    <x v="2"/>
    <x v="18"/>
    <s v="BO"/>
    <s v="00000827"/>
    <x v="17"/>
    <n v="50"/>
    <n v="50"/>
    <n v="0"/>
  </r>
  <r>
    <n v="-89"/>
    <n v="-45258"/>
    <s v="Producto: 1103001019010101 / BISA BAÑO 6 GALVANIZADO"/>
    <x v="3"/>
    <x v="2"/>
    <x v="18"/>
    <s v="BO"/>
    <s v="00000827"/>
    <x v="17"/>
    <n v="50"/>
    <n v="50"/>
    <n v="0"/>
  </r>
  <r>
    <n v="-89"/>
    <n v="-45258"/>
    <s v="Producto: 1111001219010101 / BISA CUBETA 8 GALVANIZADO"/>
    <x v="5"/>
    <x v="2"/>
    <x v="18"/>
    <s v="BO"/>
    <s v="00000827"/>
    <x v="17"/>
    <n v="150"/>
    <n v="150"/>
    <n v="0"/>
  </r>
  <r>
    <n v="-89"/>
    <n v="-45258"/>
    <s v="Producto: 1137000719010101 / BISA TAMALERA 3 GALVANIZADO"/>
    <x v="72"/>
    <x v="2"/>
    <x v="18"/>
    <s v="BO"/>
    <s v="00000827"/>
    <x v="17"/>
    <n v="10"/>
    <n v="0"/>
    <n v="10"/>
  </r>
  <r>
    <n v="-89"/>
    <n v="-45258"/>
    <s v="Producto: 1137000819010101 / BISA TAMALERA 4 GALVANIZADO"/>
    <x v="73"/>
    <x v="2"/>
    <x v="18"/>
    <s v="BO"/>
    <s v="00000827"/>
    <x v="17"/>
    <n v="10"/>
    <n v="10"/>
    <n v="0"/>
  </r>
  <r>
    <n v="-89"/>
    <n v="-45258"/>
    <s v="Producto: 1137000919010101 / BISA TAMALERA 5 GALVANIZADO"/>
    <x v="74"/>
    <x v="2"/>
    <x v="18"/>
    <s v="BO"/>
    <s v="00000827"/>
    <x v="17"/>
    <n v="10"/>
    <n v="10"/>
    <n v="0"/>
  </r>
  <r>
    <n v="-89"/>
    <n v="-45258"/>
    <s v="Producto: 1103000619010101 / BISA BAÑO 2 GALVANIZADO"/>
    <x v="54"/>
    <x v="2"/>
    <x v="18"/>
    <s v="BO"/>
    <s v="00000827"/>
    <x v="17"/>
    <n v="7"/>
    <n v="7"/>
    <n v="0"/>
  </r>
  <r>
    <n v="-89"/>
    <n v="-45258"/>
    <s v="Producto: 1111001519010101 / BISA CUBETA 14 GALVANIZADO"/>
    <x v="56"/>
    <x v="2"/>
    <x v="18"/>
    <s v="BO"/>
    <s v="00000827"/>
    <x v="17"/>
    <n v="11"/>
    <n v="11"/>
    <n v="0"/>
  </r>
  <r>
    <n v="-89"/>
    <n v="-45258"/>
    <s v="Producto: 2133001216030701 / BISA POCILLO 8 BLANCO C/F COBALTO DECORADO"/>
    <x v="75"/>
    <x v="11"/>
    <x v="19"/>
    <s v="COT"/>
    <s v="00000730"/>
    <x v="17"/>
    <n v="18"/>
    <n v="0"/>
    <n v="18"/>
  </r>
  <r>
    <n v="-89"/>
    <n v="-45258"/>
    <s v="Producto: 2130003016030701 / BISA PLATO LISO 32 BLANCO C/F COBALTO DECORADO "/>
    <x v="76"/>
    <x v="11"/>
    <x v="19"/>
    <s v="COT"/>
    <s v="00000730"/>
    <x v="17"/>
    <n v="12"/>
    <n v="12"/>
    <n v="0"/>
  </r>
  <r>
    <n v="-89"/>
    <n v="-45258"/>
    <s v="Producto: 2130001716030701 / BISA PLATO LISO 16 BLANCO C/F COBALTO DECORADO "/>
    <x v="77"/>
    <x v="11"/>
    <x v="19"/>
    <s v="COT"/>
    <s v="00000730"/>
    <x v="17"/>
    <n v="12"/>
    <n v="0"/>
    <n v="12"/>
  </r>
  <r>
    <n v="-89"/>
    <n v="-45258"/>
    <s v="Producto: 2139001616030701 / BISA TAZON 15.5 BLANCO C/F COBALTO DECORADO "/>
    <x v="78"/>
    <x v="11"/>
    <x v="19"/>
    <s v="COT"/>
    <s v="00000730"/>
    <x v="17"/>
    <n v="12"/>
    <n v="11"/>
    <n v="1"/>
  </r>
  <r>
    <n v="-89"/>
    <n v="-45258"/>
    <s v="Producto: 2133000916030701 / BISA POCILLO 5 BLANCO C/F COBALTO DECORADO "/>
    <x v="9"/>
    <x v="11"/>
    <x v="19"/>
    <s v="COT"/>
    <s v="00000730"/>
    <x v="17"/>
    <n v="18"/>
    <n v="11"/>
    <n v="7"/>
  </r>
  <r>
    <n v="-89"/>
    <n v="-45258"/>
    <s v="Producto: 2130002716030701 / BISA PLATO LISO 27 BLANCO C/F COBALTO DECORADO"/>
    <x v="79"/>
    <x v="11"/>
    <x v="19"/>
    <s v="COT"/>
    <s v="00000730"/>
    <x v="17"/>
    <n v="12"/>
    <n v="7"/>
    <n v="5"/>
  </r>
  <r>
    <n v="-89"/>
    <e v="#REF!"/>
    <s v="Producto: 2130002216030701 / BISA PLATO LISO 20 BLANCO C/F COBALTO DECORADO"/>
    <x v="80"/>
    <x v="11"/>
    <x v="19"/>
    <s v="COT"/>
    <s v="00000730"/>
    <x v="17"/>
    <n v="12"/>
    <n v="12"/>
    <n v="0"/>
  </r>
  <r>
    <n v="-89"/>
    <e v="#REF!"/>
    <s v="Producto: 2139001216030701 / BISA TAZON 8 BLANCO C/F COBALTO DECORADO"/>
    <x v="27"/>
    <x v="11"/>
    <x v="19"/>
    <s v="COT"/>
    <s v="00000730"/>
    <x v="17"/>
    <n v="12"/>
    <n v="0"/>
    <n v="12"/>
  </r>
  <r>
    <n v="-89"/>
    <e v="#REF!"/>
    <s v="Producto: 2140002416030701 / BISA TAZON INCLINADO 22 BLANCO C/F COBALTO  DECORA"/>
    <x v="81"/>
    <x v="11"/>
    <x v="19"/>
    <s v="COT"/>
    <s v="00000730"/>
    <x v="17"/>
    <n v="6"/>
    <n v="0"/>
    <n v="6"/>
  </r>
  <r>
    <n v="-83"/>
    <n v="-45258"/>
    <s v="Producto: 1103001319010101 / BISA BAÑO 10 GALVANIZADO"/>
    <x v="64"/>
    <x v="2"/>
    <x v="20"/>
    <s v="VT2"/>
    <s v="00004889"/>
    <x v="18"/>
    <n v="15"/>
    <n v="15"/>
    <n v="0"/>
  </r>
  <r>
    <n v="-83"/>
    <n v="-45258"/>
    <s v="Producto: 1103001419010101 / BISA BAÑO 12 GALVANIZADO"/>
    <x v="65"/>
    <x v="2"/>
    <x v="20"/>
    <s v="VT2"/>
    <s v="00004889"/>
    <x v="18"/>
    <n v="15"/>
    <n v="9"/>
    <n v="6"/>
  </r>
  <r>
    <n v="-83"/>
    <n v="-45258"/>
    <s v="Producto: 2106001702010101 / BISA BUDINERA 16 A/T"/>
    <x v="82"/>
    <x v="4"/>
    <x v="20"/>
    <s v="VT2"/>
    <s v="00004890"/>
    <x v="18"/>
    <n v="18"/>
    <n v="18"/>
    <n v="0"/>
  </r>
  <r>
    <n v="-83"/>
    <n v="-45258"/>
    <s v="Producto: 2107001702010101 / BISA CAZO 16 A/T"/>
    <x v="83"/>
    <x v="4"/>
    <x v="20"/>
    <s v="VT2"/>
    <s v="00004890"/>
    <x v="18"/>
    <n v="36"/>
    <n v="36"/>
    <n v="0"/>
  </r>
  <r>
    <n v="-83"/>
    <n v="-45258"/>
    <s v="Producto: 2124001702010101 / BISA OLLA CONVEXA 16 A/T"/>
    <x v="41"/>
    <x v="4"/>
    <x v="20"/>
    <s v="VT2"/>
    <s v="00004890"/>
    <x v="18"/>
    <n v="24"/>
    <n v="24"/>
    <n v="0"/>
  </r>
  <r>
    <n v="-83"/>
    <n v="-45258"/>
    <s v="Producto: 2124002202010101 / BISA OLLA CONVEXA 20 A/T"/>
    <x v="15"/>
    <x v="4"/>
    <x v="20"/>
    <s v="VT2"/>
    <s v="00004890"/>
    <x v="18"/>
    <n v="36"/>
    <n v="36"/>
    <n v="0"/>
  </r>
  <r>
    <n v="-83"/>
    <n v="-45258"/>
    <s v="Producto: 2124002402010101 / BISA OLLA CONVEXA 22 A/T"/>
    <x v="16"/>
    <x v="4"/>
    <x v="20"/>
    <s v="VT2"/>
    <s v="00004890"/>
    <x v="18"/>
    <n v="30"/>
    <n v="30"/>
    <n v="0"/>
  </r>
  <r>
    <n v="-83"/>
    <n v="-45258"/>
    <s v="Producto: 2124002602010101 / BISA OLLA CONVEXA 26 A/T"/>
    <x v="18"/>
    <x v="4"/>
    <x v="20"/>
    <s v="VT2"/>
    <s v="00004890"/>
    <x v="18"/>
    <n v="18"/>
    <n v="0"/>
    <n v="18"/>
  </r>
  <r>
    <n v="-83"/>
    <n v="-45258"/>
    <s v="Producto: 2124002902010101 / BISA OLLA CONVEXA 30 A/T"/>
    <x v="19"/>
    <x v="4"/>
    <x v="20"/>
    <s v="VT2"/>
    <s v="00004890"/>
    <x v="18"/>
    <n v="8"/>
    <n v="0"/>
    <n v="8"/>
  </r>
  <r>
    <n v="-83"/>
    <n v="-45258"/>
    <s v="Producto: 2125003302010101 / BISA OLLA RECTA 42 A/T"/>
    <x v="22"/>
    <x v="4"/>
    <x v="20"/>
    <s v="VT2"/>
    <s v="00004890"/>
    <x v="18"/>
    <n v="3"/>
    <n v="3"/>
    <n v="0"/>
  </r>
  <r>
    <n v="-83"/>
    <n v="-45258"/>
    <s v="Producto: 2133001402010101 / BISA POCILLO 12 A/T"/>
    <x v="84"/>
    <x v="4"/>
    <x v="20"/>
    <s v="VT2"/>
    <s v="00004890"/>
    <x v="18"/>
    <n v="120"/>
    <n v="0"/>
    <n v="120"/>
  </r>
  <r>
    <n v="-83"/>
    <n v="-45258"/>
    <s v="Producto: 2133001502010101 / BISA POCILLO 14 A/T"/>
    <x v="29"/>
    <x v="4"/>
    <x v="20"/>
    <s v="VT2"/>
    <s v="00004890"/>
    <x v="18"/>
    <n v="120"/>
    <n v="12"/>
    <n v="108"/>
  </r>
  <r>
    <n v="-83"/>
    <n v="-45258"/>
    <s v="Producto: 2136002502010101 / BISA SARTEN 24 A/T"/>
    <x v="85"/>
    <x v="4"/>
    <x v="20"/>
    <s v="VT2"/>
    <s v="00004890"/>
    <x v="18"/>
    <n v="36"/>
    <n v="3"/>
    <n v="33"/>
  </r>
  <r>
    <n v="-83"/>
    <n v="-45258"/>
    <s v="Producto: 2533001425010101 / SANSON POCILLO 12 NAVY W"/>
    <x v="84"/>
    <x v="12"/>
    <x v="21"/>
    <s v="VT2"/>
    <s v="00004893"/>
    <x v="18"/>
    <n v="996"/>
    <n v="996"/>
    <n v="0"/>
  </r>
  <r>
    <n v="-83"/>
    <n v="-45258"/>
    <s v="Producto: 2533001527010101 / BISA POCILLO 14 NEGRO MOTAS W"/>
    <x v="29"/>
    <x v="0"/>
    <x v="21"/>
    <s v="VT2"/>
    <s v="00004893"/>
    <x v="18"/>
    <n v="1302"/>
    <n v="1302"/>
    <n v="0"/>
  </r>
  <r>
    <n v="-83"/>
    <n v="-45258"/>
    <s v="Producto: 2533001425010101 / SANSON POCILLO 12 NAVY W"/>
    <x v="84"/>
    <x v="12"/>
    <x v="21"/>
    <s v="VT2"/>
    <s v="00004894"/>
    <x v="18"/>
    <n v="1116"/>
    <n v="132"/>
    <n v="984"/>
  </r>
  <r>
    <n v="-83"/>
    <n v="-45258"/>
    <s v="Producto: 2533001527010101 / BISA POCILLO 14 NEGRO MOTAS W"/>
    <x v="29"/>
    <x v="0"/>
    <x v="21"/>
    <s v="VT2"/>
    <s v="00004894"/>
    <x v="18"/>
    <n v="1110"/>
    <n v="1110"/>
    <n v="0"/>
  </r>
  <r>
    <n v="-83"/>
    <n v="-45258"/>
    <s v="Producto: 2533001425010101 / SANSON POCILLO 12 NAVY W"/>
    <x v="84"/>
    <x v="12"/>
    <x v="21"/>
    <s v="VT2"/>
    <s v="00004895"/>
    <x v="18"/>
    <n v="600"/>
    <n v="0"/>
    <n v="600"/>
  </r>
  <r>
    <n v="-83"/>
    <n v="-45258"/>
    <s v="Producto: 2533001527010101 / BISA POCILLO 14 NEGRO MOTAS W"/>
    <x v="29"/>
    <x v="0"/>
    <x v="21"/>
    <s v="VT2"/>
    <s v="00004895"/>
    <x v="18"/>
    <n v="600"/>
    <n v="374"/>
    <n v="226"/>
  </r>
  <r>
    <n v="-83"/>
    <n v="-45258"/>
    <s v="Producto: 2533001425010101 / SANSON POCILLO 12 NAVY W"/>
    <x v="84"/>
    <x v="12"/>
    <x v="21"/>
    <s v="VT2"/>
    <s v="00004896"/>
    <x v="18"/>
    <n v="696"/>
    <n v="696"/>
    <n v="0"/>
  </r>
  <r>
    <n v="-83"/>
    <n v="-45258"/>
    <s v="Producto: 2533001527010101 / BISA POCILLO 14 NEGRO MOTAS W"/>
    <x v="29"/>
    <x v="0"/>
    <x v="21"/>
    <s v="VT2"/>
    <s v="00004896"/>
    <x v="18"/>
    <n v="702"/>
    <n v="702"/>
    <n v="0"/>
  </r>
  <r>
    <n v="-83"/>
    <n v="-45258"/>
    <s v="Producto: 2533001425010101 / SANSON POCILLO 12 NAVY W"/>
    <x v="84"/>
    <x v="12"/>
    <x v="21"/>
    <s v="VT2"/>
    <s v="00004897"/>
    <x v="18"/>
    <n v="1068"/>
    <n v="0"/>
    <n v="1068"/>
  </r>
  <r>
    <n v="-83"/>
    <n v="-45258"/>
    <s v="Producto: 2533001527010101 / BISA POCILLO 14 NEGRO MOTAS W"/>
    <x v="29"/>
    <x v="0"/>
    <x v="21"/>
    <s v="VT2"/>
    <s v="00004897"/>
    <x v="18"/>
    <n v="1068"/>
    <n v="0"/>
    <n v="1068"/>
  </r>
  <r>
    <n v="-83"/>
    <n v="-45258"/>
    <s v="Producto: 2533001425010101 / SANSON POCILLO 12 NAVY W"/>
    <x v="84"/>
    <x v="12"/>
    <x v="21"/>
    <s v="VT2"/>
    <s v="00004898"/>
    <x v="18"/>
    <n v="504"/>
    <n v="0"/>
    <n v="504"/>
  </r>
  <r>
    <n v="-83"/>
    <n v="-45258"/>
    <s v="Producto: 2533001527010101 / BISA POCILLO 14 NEGRO MOTAS W"/>
    <x v="29"/>
    <x v="0"/>
    <x v="21"/>
    <s v="VT2"/>
    <s v="00004898"/>
    <x v="18"/>
    <n v="498"/>
    <n v="0"/>
    <n v="498"/>
  </r>
  <r>
    <n v="-83"/>
    <n v="-45258"/>
    <s v="Producto: 2533001425010101 / SANSON POCILLO 12 NAVY W"/>
    <x v="84"/>
    <x v="12"/>
    <x v="21"/>
    <s v="VT2"/>
    <s v="00004899"/>
    <x v="18"/>
    <n v="600"/>
    <n v="600"/>
    <n v="0"/>
  </r>
  <r>
    <n v="-83"/>
    <n v="-45258"/>
    <s v="Producto: 2533001527010101 / BISA POCILLO 14 NEGRO MOTAS W"/>
    <x v="29"/>
    <x v="0"/>
    <x v="21"/>
    <s v="VT2"/>
    <s v="00004899"/>
    <x v="18"/>
    <n v="600"/>
    <n v="600"/>
    <n v="0"/>
  </r>
  <r>
    <n v="-83"/>
    <n v="-45258"/>
    <s v="Producto: 2533001425010101 / SANSON POCILLO 12 NAVY W"/>
    <x v="84"/>
    <x v="12"/>
    <x v="21"/>
    <s v="VT2"/>
    <s v="00004900"/>
    <x v="18"/>
    <n v="936"/>
    <n v="0"/>
    <n v="936"/>
  </r>
  <r>
    <n v="-83"/>
    <n v="-45258"/>
    <s v="Producto: 2533001527010101 / BISA POCILLO 14 NEGRO MOTAS W"/>
    <x v="29"/>
    <x v="0"/>
    <x v="21"/>
    <s v="VT2"/>
    <s v="00004900"/>
    <x v="18"/>
    <n v="1044"/>
    <n v="0"/>
    <n v="1044"/>
  </r>
  <r>
    <n v="-83"/>
    <n v="-45258"/>
    <s v="Producto: 2533001425010101 / SANSON POCILLO 12 NAVY W"/>
    <x v="84"/>
    <x v="12"/>
    <x v="21"/>
    <s v="VT2"/>
    <s v="00004901"/>
    <x v="18"/>
    <n v="804"/>
    <n v="0"/>
    <n v="804"/>
  </r>
  <r>
    <n v="-83"/>
    <n v="-45258"/>
    <s v="Producto: 2533001527010101 / BISA POCILLO 14 NEGRO MOTAS W"/>
    <x v="29"/>
    <x v="0"/>
    <x v="21"/>
    <s v="VT2"/>
    <s v="00004901"/>
    <x v="18"/>
    <n v="798"/>
    <n v="0"/>
    <n v="798"/>
  </r>
  <r>
    <n v="-81"/>
    <n v="-45258"/>
    <s v="Producto: 2101002516050101 / BISA BACINICA 24 BLANCO C/F NEGRO"/>
    <x v="86"/>
    <x v="3"/>
    <x v="22"/>
    <s v="BO"/>
    <s v="00000831"/>
    <x v="19"/>
    <n v="24"/>
    <n v="24"/>
    <n v="0"/>
  </r>
  <r>
    <n v="-81"/>
    <n v="-45258"/>
    <s v="Producto: 2104005501010101 / BISA BATERIA ALASKA"/>
    <x v="87"/>
    <x v="6"/>
    <x v="22"/>
    <s v="BO"/>
    <s v="00000831"/>
    <x v="19"/>
    <n v="1"/>
    <n v="0"/>
    <n v="1"/>
  </r>
  <r>
    <n v="-81"/>
    <n v="-45258"/>
    <s v="Producto: 2104005601010101 / BISA BATERIA ALEGRIA"/>
    <x v="88"/>
    <x v="6"/>
    <x v="22"/>
    <s v="BO"/>
    <s v="00000831"/>
    <x v="19"/>
    <n v="1"/>
    <n v="0"/>
    <n v="1"/>
  </r>
  <r>
    <n v="-81"/>
    <n v="-45258"/>
    <s v="Producto: 2104007001010101 / BISA BATERIA XOCHITL"/>
    <x v="89"/>
    <x v="6"/>
    <x v="22"/>
    <s v="BO"/>
    <s v="00000831"/>
    <x v="19"/>
    <n v="1"/>
    <n v="0"/>
    <n v="1"/>
  </r>
  <r>
    <n v="-81"/>
    <n v="-45258"/>
    <s v="Producto: 2106002902010101 / BISA BUDINERA 30 A/T"/>
    <x v="38"/>
    <x v="4"/>
    <x v="22"/>
    <s v="BO"/>
    <s v="00000831"/>
    <x v="19"/>
    <n v="2"/>
    <n v="0"/>
    <n v="2"/>
  </r>
  <r>
    <n v="-81"/>
    <n v="-45258"/>
    <s v="Producto: 2106003302010101 / BISA BUDINERA 42 A/T"/>
    <x v="90"/>
    <x v="4"/>
    <x v="22"/>
    <s v="BO"/>
    <s v="00000831"/>
    <x v="19"/>
    <n v="2"/>
    <n v="2"/>
    <n v="0"/>
  </r>
  <r>
    <n v="-81"/>
    <n v="-45258"/>
    <s v="Producto: 2110003227010101 / BISA COMAL 36 NEGRO MOTAS"/>
    <x v="52"/>
    <x v="0"/>
    <x v="22"/>
    <s v="BO"/>
    <s v="00000831"/>
    <x v="19"/>
    <n v="12"/>
    <n v="12"/>
    <n v="0"/>
  </r>
  <r>
    <n v="-81"/>
    <n v="-45258"/>
    <s v="Producto: 2125002502010101 / BISA OLLA RECTA 24 A/T"/>
    <x v="45"/>
    <x v="4"/>
    <x v="22"/>
    <s v="BO"/>
    <s v="00000831"/>
    <x v="19"/>
    <n v="6"/>
    <n v="6"/>
    <n v="0"/>
  </r>
  <r>
    <n v="-81"/>
    <n v="-45258"/>
    <s v="Producto: 2125002802010101 / BISA OLLA RECTA 28 A/T"/>
    <x v="47"/>
    <x v="4"/>
    <x v="22"/>
    <s v="BO"/>
    <s v="00000831"/>
    <x v="19"/>
    <n v="4"/>
    <n v="4"/>
    <n v="0"/>
  </r>
  <r>
    <n v="-81"/>
    <n v="-45258"/>
    <s v="Producto: 2125003102010101 / BISA OLLA RECTA 34 A/T"/>
    <x v="21"/>
    <x v="4"/>
    <x v="22"/>
    <s v="BO"/>
    <s v="00000831"/>
    <x v="19"/>
    <n v="4"/>
    <n v="0"/>
    <n v="4"/>
  </r>
  <r>
    <n v="-81"/>
    <n v="-45258"/>
    <s v="Producto: 2136002202010101 / BISA SARTEN 20 A/T"/>
    <x v="91"/>
    <x v="4"/>
    <x v="22"/>
    <s v="BO"/>
    <s v="00000831"/>
    <x v="19"/>
    <n v="12"/>
    <n v="12"/>
    <n v="0"/>
  </r>
  <r>
    <n v="-81"/>
    <n v="-45258"/>
    <s v="Producto: 2136002402010101 / BISA SARTEN 22 A/T"/>
    <x v="48"/>
    <x v="4"/>
    <x v="22"/>
    <s v="BO"/>
    <s v="00000831"/>
    <x v="19"/>
    <n v="12"/>
    <n v="0"/>
    <n v="12"/>
  </r>
  <r>
    <n v="-81"/>
    <n v="-45258"/>
    <s v="Producto: 2136002502010101 / BISA SARTEN 24 A/T"/>
    <x v="85"/>
    <x v="4"/>
    <x v="22"/>
    <s v="BO"/>
    <s v="00000831"/>
    <x v="19"/>
    <n v="12"/>
    <n v="0"/>
    <n v="12"/>
  </r>
  <r>
    <n v="-81"/>
    <n v="-45258"/>
    <s v="Producto: 2133000916030101 / BISA POCILLO 5 BLANCO C/F COBALTO"/>
    <x v="9"/>
    <x v="11"/>
    <x v="23"/>
    <s v="VT1"/>
    <s v="00003578"/>
    <x v="19"/>
    <n v="120"/>
    <n v="120"/>
    <n v="0"/>
  </r>
  <r>
    <n v="-78"/>
    <n v="-45258"/>
    <s v="Producto: 1103000619010101 / BISA BAÑO 2 GALVANIZADO"/>
    <x v="54"/>
    <x v="2"/>
    <x v="24"/>
    <s v="BO"/>
    <s v="00000834"/>
    <x v="20"/>
    <n v="20"/>
    <n v="20"/>
    <n v="0"/>
  </r>
  <r>
    <n v="-78"/>
    <n v="-45258"/>
    <s v="Producto: 1103000719010101 / BISA BAÑO 3 GALVANIZADO"/>
    <x v="23"/>
    <x v="2"/>
    <x v="24"/>
    <s v="BO"/>
    <s v="00000834"/>
    <x v="20"/>
    <n v="3"/>
    <n v="3"/>
    <n v="0"/>
  </r>
  <r>
    <n v="-78"/>
    <n v="-45258"/>
    <s v="Producto: 1103000919010101 / BISA BAÑO 5 GALVANIZADO"/>
    <x v="2"/>
    <x v="2"/>
    <x v="24"/>
    <s v="BO"/>
    <s v="00000834"/>
    <x v="20"/>
    <n v="20"/>
    <n v="0"/>
    <n v="20"/>
  </r>
  <r>
    <n v="-78"/>
    <n v="-45258"/>
    <s v="Producto: 2101002516050101 / BISA BACINICA 24 BLANCO C/F NEGRO"/>
    <x v="86"/>
    <x v="3"/>
    <x v="24"/>
    <s v="BO"/>
    <s v="00000835"/>
    <x v="20"/>
    <n v="36"/>
    <n v="36"/>
    <n v="0"/>
  </r>
  <r>
    <n v="-78"/>
    <n v="-45258"/>
    <s v="Producto: 2106002510010101 / BISA BUDINERA 24 BICOLOR AZUL"/>
    <x v="11"/>
    <x v="13"/>
    <x v="24"/>
    <s v="BO"/>
    <s v="00000835"/>
    <x v="20"/>
    <n v="36"/>
    <n v="17"/>
    <n v="19"/>
  </r>
  <r>
    <n v="-78"/>
    <n v="-45258"/>
    <s v="Producto: 2106003302010101 / BISA BUDINERA 42 A/T"/>
    <x v="90"/>
    <x v="4"/>
    <x v="24"/>
    <s v="BO"/>
    <s v="00000835"/>
    <x v="20"/>
    <n v="40"/>
    <n v="40"/>
    <n v="0"/>
  </r>
  <r>
    <n v="-78"/>
    <n v="-45258"/>
    <s v="Producto: 2124002102010101 / BISA OLLA CONVEXA 18 A/T"/>
    <x v="14"/>
    <x v="4"/>
    <x v="24"/>
    <s v="BO"/>
    <s v="00000835"/>
    <x v="20"/>
    <n v="48"/>
    <n v="13"/>
    <n v="35"/>
  </r>
  <r>
    <n v="-78"/>
    <n v="-45258"/>
    <s v="Producto: 2124002202010101 / BISA OLLA CONVEXA 20 A/T"/>
    <x v="15"/>
    <x v="4"/>
    <x v="24"/>
    <s v="BO"/>
    <s v="00000835"/>
    <x v="20"/>
    <n v="12"/>
    <n v="12"/>
    <n v="0"/>
  </r>
  <r>
    <n v="-78"/>
    <n v="-45258"/>
    <s v="Producto: 2125002510010101 / BISA OLLA RECTA 24 BICOLOR AZUL"/>
    <x v="45"/>
    <x v="13"/>
    <x v="24"/>
    <s v="BO"/>
    <s v="00000835"/>
    <x v="20"/>
    <n v="2"/>
    <n v="2"/>
    <n v="0"/>
  </r>
  <r>
    <n v="-78"/>
    <n v="-45258"/>
    <s v="Producto: 2125003102010101 / BISA OLLA RECTA 34 A/T"/>
    <x v="21"/>
    <x v="4"/>
    <x v="24"/>
    <s v="BO"/>
    <s v="00000835"/>
    <x v="20"/>
    <n v="10"/>
    <n v="0"/>
    <n v="10"/>
  </r>
  <r>
    <n v="-78"/>
    <n v="-45258"/>
    <s v="Producto: 2136002402010101 / BISA SARTEN 22 A/T"/>
    <x v="48"/>
    <x v="4"/>
    <x v="24"/>
    <s v="BO"/>
    <s v="00000835"/>
    <x v="20"/>
    <n v="120"/>
    <n v="0"/>
    <n v="120"/>
  </r>
  <r>
    <n v="-78"/>
    <n v="-45258"/>
    <s v="Producto: 2136002502010101 / BISA SARTEN 24 A/T"/>
    <x v="85"/>
    <x v="4"/>
    <x v="24"/>
    <s v="BO"/>
    <s v="00000835"/>
    <x v="20"/>
    <n v="120"/>
    <n v="0"/>
    <n v="120"/>
  </r>
  <r>
    <n v="-77"/>
    <n v="-45258"/>
    <s v="Producto: 2133000916050115 / BISA POCILLO 5 BLANCO C/F NEGRO S"/>
    <x v="9"/>
    <x v="3"/>
    <x v="25"/>
    <s v="VT2"/>
    <s v="00004905"/>
    <x v="21"/>
    <n v="2400"/>
    <n v="0"/>
    <n v="2400"/>
  </r>
  <r>
    <n v="-77"/>
    <n v="-45258"/>
    <s v="Producto: 2133001216050115 / BISA POCILLO 8 BLANCO C/F NEGRO S"/>
    <x v="75"/>
    <x v="3"/>
    <x v="25"/>
    <s v="VT2"/>
    <s v="00004905"/>
    <x v="21"/>
    <n v="2400"/>
    <n v="0"/>
    <n v="2400"/>
  </r>
  <r>
    <n v="-77"/>
    <n v="-45258"/>
    <s v="Producto: 2133000916050115 / BISA POCILLO 5 BLANCO C/F NEGRO S"/>
    <x v="9"/>
    <x v="3"/>
    <x v="25"/>
    <s v="BO"/>
    <s v="00000836"/>
    <x v="21"/>
    <n v="1152"/>
    <n v="1028"/>
    <n v="124"/>
  </r>
  <r>
    <n v="-77"/>
    <n v="-45258"/>
    <s v="Producto: 2133001216050115 / BISA POCILLO 8 BLANCO C/F NEGRO S"/>
    <x v="75"/>
    <x v="3"/>
    <x v="25"/>
    <s v="BO"/>
    <s v="00000836"/>
    <x v="21"/>
    <n v="1848"/>
    <n v="1231"/>
    <n v="617"/>
  </r>
  <r>
    <n v="-77"/>
    <n v="-45258"/>
    <s v="Producto: 2133001227010115 / BISA POCILLO 8 NEGRO MOTAS S"/>
    <x v="75"/>
    <x v="0"/>
    <x v="25"/>
    <s v="BO"/>
    <s v="00000836"/>
    <x v="21"/>
    <n v="120"/>
    <n v="120"/>
    <n v="0"/>
  </r>
  <r>
    <n v="-77"/>
    <n v="-45258"/>
    <s v="Producto: 1103001419010101 / BISA BAÑO 12 GALVANIZADO"/>
    <x v="65"/>
    <x v="2"/>
    <x v="26"/>
    <s v="BO"/>
    <s v="00000837"/>
    <x v="21"/>
    <n v="17"/>
    <n v="0"/>
    <n v="17"/>
  </r>
  <r>
    <n v="-76"/>
    <n v="-45258"/>
    <s v="Producto: 2130002516070101 / BISA PLATO LISO 24 BLANCO C/F ROJO"/>
    <x v="26"/>
    <x v="10"/>
    <x v="27"/>
    <s v="BO"/>
    <s v="00000838"/>
    <x v="22"/>
    <n v="6"/>
    <n v="1"/>
    <n v="5"/>
  </r>
  <r>
    <n v="-76"/>
    <n v="-45258"/>
    <s v="Producto: 2132003021010101 / BISA PLATO TROQUELADO 32 GRIS"/>
    <x v="35"/>
    <x v="5"/>
    <x v="27"/>
    <s v="BO"/>
    <s v="00000838"/>
    <x v="22"/>
    <n v="12"/>
    <n v="0"/>
    <n v="12"/>
  </r>
  <r>
    <n v="-76"/>
    <n v="-45258"/>
    <s v="Producto: 2132003029010101 / BISA PLATO TROQUELADO 32 ROJO"/>
    <x v="35"/>
    <x v="1"/>
    <x v="27"/>
    <s v="BO"/>
    <s v="00000838"/>
    <x v="22"/>
    <n v="6"/>
    <n v="6"/>
    <n v="0"/>
  </r>
  <r>
    <n v="-76"/>
    <n v="-45258"/>
    <s v="Producto: 2142002121010101 / BISA TORTILLERO 18 GRIS"/>
    <x v="1"/>
    <x v="5"/>
    <x v="27"/>
    <s v="BO"/>
    <s v="00000838"/>
    <x v="22"/>
    <n v="36"/>
    <n v="10"/>
    <n v="26"/>
  </r>
  <r>
    <n v="-76"/>
    <n v="-45258"/>
    <s v="Producto: 2142002126010101 / BISA TORTILLERO 18 NEGRO"/>
    <x v="1"/>
    <x v="14"/>
    <x v="27"/>
    <s v="BO"/>
    <s v="00000838"/>
    <x v="22"/>
    <n v="36"/>
    <n v="1"/>
    <n v="35"/>
  </r>
  <r>
    <n v="-76"/>
    <n v="-45258"/>
    <s v="Producto: 2142002129010101 / BISA TORTILLERO 18 ROJO"/>
    <x v="1"/>
    <x v="1"/>
    <x v="27"/>
    <s v="BO"/>
    <s v="00000838"/>
    <x v="22"/>
    <n v="6"/>
    <n v="0"/>
    <n v="6"/>
  </r>
  <r>
    <n v="-76"/>
    <n v="-45258"/>
    <s v="Producto: 2152003216050101 / BISA PLATO OVAL 36 BLANCO C/F NEGRO"/>
    <x v="10"/>
    <x v="3"/>
    <x v="27"/>
    <s v="BO"/>
    <s v="00000838"/>
    <x v="22"/>
    <n v="6"/>
    <n v="0"/>
    <n v="6"/>
  </r>
  <r>
    <n v="-76"/>
    <n v="-45258"/>
    <s v="Producto: 2152003227010101 / BISA PLATO OVAL 36 NEGRO MOTAS "/>
    <x v="10"/>
    <x v="0"/>
    <x v="27"/>
    <s v="BO"/>
    <s v="00000838"/>
    <x v="22"/>
    <n v="12"/>
    <n v="4"/>
    <n v="8"/>
  </r>
  <r>
    <n v="-69"/>
    <n v="-45258"/>
    <s v="Producto: 2142002117010101 / BISA TORTILLERO 18 COBALTO"/>
    <x v="1"/>
    <x v="9"/>
    <x v="28"/>
    <s v="VT1"/>
    <s v="00003580"/>
    <x v="23"/>
    <n v="102"/>
    <n v="0"/>
    <n v="102"/>
  </r>
  <r>
    <n v="-69"/>
    <n v="-45258"/>
    <s v="Producto: 2142002126010101 / BISA TORTILLERO 18 NEGRO"/>
    <x v="1"/>
    <x v="14"/>
    <x v="28"/>
    <s v="VT1"/>
    <s v="00003580"/>
    <x v="23"/>
    <n v="102"/>
    <n v="0"/>
    <n v="102"/>
  </r>
  <r>
    <n v="-69"/>
    <n v="-45258"/>
    <s v="Producto: 2142002129010101 / BISA TORTILLERO 18 ROJO"/>
    <x v="1"/>
    <x v="1"/>
    <x v="28"/>
    <s v="VT1"/>
    <s v="00003580"/>
    <x v="23"/>
    <n v="102"/>
    <n v="0"/>
    <n v="102"/>
  </r>
  <r>
    <n v="-17"/>
    <n v="-45258"/>
    <s v="Producto: 2101002516050101 / BISA BACINICA 24 BLANCO C/F NEGRO"/>
    <x v="86"/>
    <x v="3"/>
    <x v="29"/>
    <s v="VT2"/>
    <s v="00004911"/>
    <x v="24"/>
    <n v="36"/>
    <n v="36"/>
    <n v="0"/>
  </r>
  <r>
    <n v="-17"/>
    <n v="-45258"/>
    <s v="Producto: 2106001502010101 / BISA BUDINERA 14 A/T"/>
    <x v="92"/>
    <x v="4"/>
    <x v="29"/>
    <s v="VT2"/>
    <s v="00004911"/>
    <x v="24"/>
    <n v="36"/>
    <n v="36"/>
    <n v="0"/>
  </r>
  <r>
    <n v="-17"/>
    <n v="-45258"/>
    <s v="Producto: 2106002102010101 / BISA BUDINERA 18 A/T"/>
    <x v="93"/>
    <x v="4"/>
    <x v="29"/>
    <s v="VT2"/>
    <s v="00004911"/>
    <x v="24"/>
    <n v="54"/>
    <n v="5"/>
    <n v="49"/>
  </r>
  <r>
    <n v="-17"/>
    <n v="-45258"/>
    <s v="Producto: 2106002202010101 / BISA BUDINERA 20 A/T"/>
    <x v="36"/>
    <x v="4"/>
    <x v="29"/>
    <s v="VT2"/>
    <s v="00004911"/>
    <x v="24"/>
    <n v="36"/>
    <n v="36"/>
    <n v="0"/>
  </r>
  <r>
    <n v="-17"/>
    <n v="-45258"/>
    <s v="Producto: 2106002402010101 / BISA BUDINERA 22 A/T"/>
    <x v="37"/>
    <x v="4"/>
    <x v="29"/>
    <s v="VT2"/>
    <s v="00004911"/>
    <x v="24"/>
    <n v="24"/>
    <n v="12"/>
    <n v="12"/>
  </r>
  <r>
    <n v="-17"/>
    <n v="-45258"/>
    <s v="Producto: 2106002502010101 / BISA BUDINERA 24 A/T"/>
    <x v="11"/>
    <x v="4"/>
    <x v="29"/>
    <s v="VT2"/>
    <s v="00004911"/>
    <x v="24"/>
    <n v="36"/>
    <n v="36"/>
    <n v="0"/>
  </r>
  <r>
    <n v="-17"/>
    <n v="-45258"/>
    <s v="Producto: 2106002602010101 / BISA BUDINERA 26 A/T"/>
    <x v="12"/>
    <x v="4"/>
    <x v="29"/>
    <s v="VT2"/>
    <s v="00004911"/>
    <x v="24"/>
    <n v="24"/>
    <n v="0"/>
    <n v="24"/>
  </r>
  <r>
    <n v="-17"/>
    <n v="-45258"/>
    <s v="Producto: 2106002902010101 / BISA BUDINERA 30 A/T"/>
    <x v="38"/>
    <x v="4"/>
    <x v="29"/>
    <s v="VT2"/>
    <s v="00004911"/>
    <x v="24"/>
    <n v="12"/>
    <n v="12"/>
    <n v="0"/>
  </r>
  <r>
    <n v="-17"/>
    <n v="-45258"/>
    <s v="Producto: 2106003302010101 / BISA BUDINERA 42 A/T"/>
    <x v="90"/>
    <x v="4"/>
    <x v="29"/>
    <s v="VT2"/>
    <s v="00004911"/>
    <x v="24"/>
    <n v="4"/>
    <n v="4"/>
    <n v="0"/>
  </r>
  <r>
    <n v="-17"/>
    <n v="-45258"/>
    <s v="Producto: 2107001702010101 / BISA CAZO 16 A/T"/>
    <x v="83"/>
    <x v="4"/>
    <x v="29"/>
    <s v="VT2"/>
    <s v="00004911"/>
    <x v="24"/>
    <n v="24"/>
    <n v="24"/>
    <n v="0"/>
  </r>
  <r>
    <n v="-17"/>
    <n v="-45258"/>
    <s v="Producto: 2110002427010101 / BISA COMAL 22 NEGRO MOTAS"/>
    <x v="28"/>
    <x v="0"/>
    <x v="29"/>
    <s v="VT2"/>
    <s v="00004911"/>
    <x v="24"/>
    <n v="72"/>
    <n v="72"/>
    <n v="0"/>
  </r>
  <r>
    <n v="-17"/>
    <n v="-45258"/>
    <s v="Producto: 2110002827010101 / BISA COMAL 28 NEGRO MOTAS"/>
    <x v="13"/>
    <x v="0"/>
    <x v="29"/>
    <s v="VT2"/>
    <s v="00004911"/>
    <x v="24"/>
    <n v="96"/>
    <n v="0"/>
    <n v="96"/>
  </r>
  <r>
    <n v="-17"/>
    <n v="-45258"/>
    <s v="Producto: 2124001502010101 / BISA OLLA CONVEXA 14 A/T"/>
    <x v="40"/>
    <x v="4"/>
    <x v="29"/>
    <s v="VT2"/>
    <s v="00004911"/>
    <x v="24"/>
    <n v="36"/>
    <n v="36"/>
    <n v="0"/>
  </r>
  <r>
    <n v="-17"/>
    <n v="-45258"/>
    <s v="Producto: 2124001702010101 / BISA OLLA CONVEXA 16 A/T"/>
    <x v="41"/>
    <x v="4"/>
    <x v="29"/>
    <s v="VT2"/>
    <s v="00004911"/>
    <x v="24"/>
    <n v="24"/>
    <n v="24"/>
    <n v="0"/>
  </r>
  <r>
    <n v="-17"/>
    <n v="-45258"/>
    <s v="Producto: 2124002102010101 / BISA OLLA CONVEXA 18 A/T"/>
    <x v="14"/>
    <x v="4"/>
    <x v="29"/>
    <s v="VT2"/>
    <s v="00004911"/>
    <x v="24"/>
    <n v="24"/>
    <n v="0"/>
    <n v="24"/>
  </r>
  <r>
    <n v="-17"/>
    <n v="-45258"/>
    <s v="Producto: 2124002202010101 / BISA OLLA CONVEXA 20 A/T"/>
    <x v="15"/>
    <x v="4"/>
    <x v="29"/>
    <s v="VT2"/>
    <s v="00004911"/>
    <x v="24"/>
    <n v="24"/>
    <n v="24"/>
    <n v="0"/>
  </r>
  <r>
    <n v="-17"/>
    <n v="-45258"/>
    <s v="Producto: 2124002902010101 / BISA OLLA CONVEXA 30 A/T"/>
    <x v="19"/>
    <x v="4"/>
    <x v="29"/>
    <s v="VT2"/>
    <s v="00004911"/>
    <x v="24"/>
    <n v="4"/>
    <n v="0"/>
    <n v="4"/>
  </r>
  <r>
    <n v="-17"/>
    <n v="-45258"/>
    <s v="Producto: 2125001402010101 / BISA OLLA RECTA 12 A/T"/>
    <x v="94"/>
    <x v="4"/>
    <x v="29"/>
    <s v="VT2"/>
    <s v="00004911"/>
    <x v="24"/>
    <n v="72"/>
    <n v="72"/>
    <n v="0"/>
  </r>
  <r>
    <n v="-17"/>
    <n v="-45258"/>
    <s v="Producto: 2125001502010101 / BISA OLLA RECTA 14 A/T"/>
    <x v="95"/>
    <x v="4"/>
    <x v="29"/>
    <s v="VT2"/>
    <s v="00004911"/>
    <x v="24"/>
    <n v="72"/>
    <n v="0"/>
    <n v="72"/>
  </r>
  <r>
    <n v="-17"/>
    <n v="-45258"/>
    <s v="Producto: 2125001702010101 / BISA OLLA RECTA 16 A/T"/>
    <x v="96"/>
    <x v="4"/>
    <x v="29"/>
    <s v="VT2"/>
    <s v="00004911"/>
    <x v="24"/>
    <n v="24"/>
    <n v="24"/>
    <n v="0"/>
  </r>
  <r>
    <n v="-17"/>
    <n v="-45258"/>
    <s v="Producto: 2125002102010101 / BISA OLLA RECTA 18 A/T"/>
    <x v="97"/>
    <x v="4"/>
    <x v="29"/>
    <s v="VT2"/>
    <s v="00004911"/>
    <x v="24"/>
    <n v="24"/>
    <n v="24"/>
    <n v="0"/>
  </r>
  <r>
    <n v="-17"/>
    <n v="-45258"/>
    <s v="Producto: 2125002202010101 / BISA OLLA RECTA 20 A/T"/>
    <x v="43"/>
    <x v="4"/>
    <x v="29"/>
    <s v="VT2"/>
    <s v="00004911"/>
    <x v="24"/>
    <n v="24"/>
    <n v="24"/>
    <n v="0"/>
  </r>
  <r>
    <n v="-17"/>
    <n v="-45258"/>
    <s v="Producto: 2125002502010101 / BISA OLLA RECTA 24 A/T"/>
    <x v="45"/>
    <x v="4"/>
    <x v="29"/>
    <s v="VT2"/>
    <s v="00004911"/>
    <x v="24"/>
    <n v="12"/>
    <n v="12"/>
    <n v="0"/>
  </r>
  <r>
    <n v="-17"/>
    <n v="-45258"/>
    <s v="Producto: 2125002602010101 / BISA OLLA RECTA 26 A/T"/>
    <x v="46"/>
    <x v="4"/>
    <x v="29"/>
    <s v="VT2"/>
    <s v="00004911"/>
    <x v="24"/>
    <n v="6"/>
    <n v="6"/>
    <n v="0"/>
  </r>
  <r>
    <n v="-17"/>
    <n v="-45258"/>
    <s v="Producto: 2125002802010101 / BISA OLLA RECTA 28 A/T"/>
    <x v="47"/>
    <x v="4"/>
    <x v="29"/>
    <s v="VT2"/>
    <s v="00004911"/>
    <x v="24"/>
    <n v="4"/>
    <n v="4"/>
    <n v="0"/>
  </r>
  <r>
    <n v="-17"/>
    <n v="-45258"/>
    <s v="Producto: 2125003102010101 / BISA OLLA RECTA 34 A/T"/>
    <x v="21"/>
    <x v="4"/>
    <x v="29"/>
    <s v="VT2"/>
    <s v="00004911"/>
    <x v="24"/>
    <n v="4"/>
    <n v="0"/>
    <n v="4"/>
  </r>
  <r>
    <n v="-17"/>
    <n v="-45258"/>
    <s v="Producto: 2125003302010101 / BISA OLLA RECTA 42 A/T"/>
    <x v="22"/>
    <x v="4"/>
    <x v="29"/>
    <s v="VT2"/>
    <s v="00004911"/>
    <x v="24"/>
    <n v="2"/>
    <n v="2"/>
    <n v="0"/>
  </r>
  <r>
    <n v="-17"/>
    <n v="-45258"/>
    <s v="Producto: 2133001202010101 / BISA POCILLO 8 A/T"/>
    <x v="75"/>
    <x v="4"/>
    <x v="29"/>
    <s v="VT2"/>
    <s v="00004911"/>
    <x v="24"/>
    <n v="120"/>
    <n v="120"/>
    <n v="0"/>
  </r>
  <r>
    <n v="-17"/>
    <n v="-45258"/>
    <s v="Producto: 2133001302010101 / BISA POCILLO 10 A/T"/>
    <x v="98"/>
    <x v="4"/>
    <x v="29"/>
    <s v="VT2"/>
    <s v="00004911"/>
    <x v="24"/>
    <n v="120"/>
    <n v="120"/>
    <n v="0"/>
  </r>
  <r>
    <n v="-17"/>
    <n v="-45258"/>
    <s v="Producto: 2133001402010101 / BISA POCILLO 12 A/T"/>
    <x v="84"/>
    <x v="4"/>
    <x v="29"/>
    <s v="VT2"/>
    <s v="00004911"/>
    <x v="24"/>
    <n v="72"/>
    <n v="0"/>
    <n v="72"/>
  </r>
  <r>
    <n v="-17"/>
    <n v="-45258"/>
    <s v="Producto: 2133001502010101 / BISA POCILLO 14 A/T"/>
    <x v="29"/>
    <x v="4"/>
    <x v="29"/>
    <s v="VT2"/>
    <s v="00004911"/>
    <x v="24"/>
    <n v="60"/>
    <n v="0"/>
    <n v="60"/>
  </r>
  <r>
    <n v="-17"/>
    <n v="-45258"/>
    <s v="Producto: 2133001510010101 / BISA POCILLO 14 BICOLOR AZUL"/>
    <x v="29"/>
    <x v="13"/>
    <x v="29"/>
    <s v="VT2"/>
    <s v="00004911"/>
    <x v="24"/>
    <n v="12"/>
    <n v="12"/>
    <n v="0"/>
  </r>
  <r>
    <n v="-17"/>
    <n v="-45258"/>
    <s v="Producto: 2133001512010101 / BISA POCILLO 14 BICOLOR NARANJA"/>
    <x v="29"/>
    <x v="8"/>
    <x v="29"/>
    <s v="VT2"/>
    <s v="00004911"/>
    <x v="24"/>
    <n v="12"/>
    <n v="12"/>
    <n v="0"/>
  </r>
  <r>
    <n v="-17"/>
    <n v="-45258"/>
    <s v="Producto: 2133001514010101 / BISA POCILLO 14 BICOLOR ROJO"/>
    <x v="29"/>
    <x v="7"/>
    <x v="29"/>
    <s v="VT2"/>
    <s v="00004911"/>
    <x v="24"/>
    <n v="6"/>
    <n v="6"/>
    <n v="0"/>
  </r>
  <r>
    <n v="-17"/>
    <n v="-45258"/>
    <s v="Producto: 2136002202010101 / BISA SARTEN 20 A/T"/>
    <x v="91"/>
    <x v="4"/>
    <x v="29"/>
    <s v="VT2"/>
    <s v="00004911"/>
    <x v="24"/>
    <n v="36"/>
    <n v="36"/>
    <n v="0"/>
  </r>
  <r>
    <n v="-17"/>
    <n v="-45258"/>
    <s v="Producto: 2136002502010101 / BISA SARTEN 24 A/T"/>
    <x v="85"/>
    <x v="4"/>
    <x v="29"/>
    <s v="VT2"/>
    <s v="00004911"/>
    <x v="24"/>
    <n v="36"/>
    <n v="0"/>
    <n v="36"/>
  </r>
  <r>
    <n v="-17"/>
    <n v="-45258"/>
    <s v="Producto: 2155009827010101 / BISA PAVERA 45.7  NEGRO MOTAS"/>
    <x v="99"/>
    <x v="0"/>
    <x v="29"/>
    <s v="VT2"/>
    <s v="00004911"/>
    <x v="24"/>
    <n v="6"/>
    <n v="6"/>
    <n v="0"/>
  </r>
  <r>
    <n v="-17"/>
    <n v="-45258"/>
    <s v="Producto: 2106001502010101 / BISA BUDINERA 14 A/T"/>
    <x v="92"/>
    <x v="4"/>
    <x v="30"/>
    <s v="VT2"/>
    <s v="00004913"/>
    <x v="24"/>
    <n v="90"/>
    <n v="90"/>
    <n v="0"/>
  </r>
  <r>
    <n v="-17"/>
    <n v="-45258"/>
    <s v="Producto: 2106001702010101 / BISA BUDINERA 16 A/T"/>
    <x v="82"/>
    <x v="4"/>
    <x v="30"/>
    <s v="VT2"/>
    <s v="00004913"/>
    <x v="24"/>
    <n v="90"/>
    <n v="90"/>
    <n v="0"/>
  </r>
  <r>
    <n v="-17"/>
    <n v="-45258"/>
    <s v="Producto: 2106002102010101 / BISA BUDINERA 18 A/T"/>
    <x v="93"/>
    <x v="4"/>
    <x v="30"/>
    <s v="VT2"/>
    <s v="00004913"/>
    <x v="24"/>
    <n v="54"/>
    <n v="0"/>
    <n v="54"/>
  </r>
  <r>
    <n v="-17"/>
    <n v="-45258"/>
    <s v="Producto: 2106002202010101 / BISA BUDINERA 20 A/T"/>
    <x v="36"/>
    <x v="4"/>
    <x v="30"/>
    <s v="VT2"/>
    <s v="00004913"/>
    <x v="24"/>
    <n v="54"/>
    <n v="54"/>
    <n v="0"/>
  </r>
  <r>
    <n v="-17"/>
    <n v="-45258"/>
    <s v="Producto: 2106002402010101 / BISA BUDINERA 22 A/T"/>
    <x v="37"/>
    <x v="4"/>
    <x v="30"/>
    <s v="VT2"/>
    <s v="00004913"/>
    <x v="24"/>
    <n v="36"/>
    <n v="0"/>
    <n v="36"/>
  </r>
  <r>
    <n v="-17"/>
    <n v="-45258"/>
    <s v="Producto: 2106002902010101 / BISA BUDINERA 30 A/T"/>
    <x v="38"/>
    <x v="4"/>
    <x v="30"/>
    <s v="VT2"/>
    <s v="00004913"/>
    <x v="24"/>
    <n v="32"/>
    <n v="10"/>
    <n v="22"/>
  </r>
  <r>
    <n v="-17"/>
    <n v="-45258"/>
    <s v="Producto: 2106003102010101 / BISA BUDINERA 34 A/T"/>
    <x v="39"/>
    <x v="4"/>
    <x v="30"/>
    <s v="VT2"/>
    <s v="00004913"/>
    <x v="24"/>
    <n v="32"/>
    <n v="32"/>
    <n v="0"/>
  </r>
  <r>
    <n v="-17"/>
    <n v="-45258"/>
    <s v="Producto: 2110002427010101 / BISA COMAL 22 NEGRO MOTAS"/>
    <x v="28"/>
    <x v="0"/>
    <x v="30"/>
    <s v="VT2"/>
    <s v="00004913"/>
    <x v="24"/>
    <n v="120"/>
    <n v="120"/>
    <n v="0"/>
  </r>
  <r>
    <n v="-17"/>
    <n v="-45258"/>
    <s v="Producto: 2110002827010101 / BISA COMAL 28 NEGRO MOTAS"/>
    <x v="13"/>
    <x v="0"/>
    <x v="30"/>
    <s v="VT2"/>
    <s v="00004913"/>
    <x v="24"/>
    <n v="120"/>
    <n v="0"/>
    <n v="120"/>
  </r>
  <r>
    <n v="-17"/>
    <n v="-45258"/>
    <s v="Producto: 2110003227010101 / BISA COMAL 36 NEGRO MOTAS"/>
    <x v="52"/>
    <x v="0"/>
    <x v="30"/>
    <s v="VT2"/>
    <s v="00004913"/>
    <x v="24"/>
    <n v="120"/>
    <n v="120"/>
    <n v="0"/>
  </r>
  <r>
    <n v="-17"/>
    <n v="-45258"/>
    <s v="Producto: 2124001502010101 / BISA OLLA CONVEXA 14 A/T"/>
    <x v="40"/>
    <x v="4"/>
    <x v="30"/>
    <s v="VT2"/>
    <s v="00004913"/>
    <x v="24"/>
    <n v="108"/>
    <n v="80"/>
    <n v="28"/>
  </r>
  <r>
    <n v="-17"/>
    <n v="-45258"/>
    <s v="Producto: 2124001702010101 / BISA OLLA CONVEXA 16 A/T"/>
    <x v="41"/>
    <x v="4"/>
    <x v="30"/>
    <s v="VT2"/>
    <s v="00004913"/>
    <x v="24"/>
    <n v="72"/>
    <n v="72"/>
    <n v="0"/>
  </r>
  <r>
    <n v="-17"/>
    <n v="-45258"/>
    <s v="Producto: 2124002202010101 / BISA OLLA CONVEXA 20 A/T"/>
    <x v="15"/>
    <x v="4"/>
    <x v="30"/>
    <s v="VT2"/>
    <s v="00004913"/>
    <x v="24"/>
    <n v="72"/>
    <n v="72"/>
    <n v="0"/>
  </r>
  <r>
    <n v="-17"/>
    <n v="-45258"/>
    <s v="Producto: 2124002402010101 / BISA OLLA CONVEXA 22 A/T"/>
    <x v="16"/>
    <x v="4"/>
    <x v="30"/>
    <s v="VT2"/>
    <s v="00004913"/>
    <x v="24"/>
    <n v="12"/>
    <n v="12"/>
    <n v="0"/>
  </r>
  <r>
    <n v="-17"/>
    <n v="-45258"/>
    <s v="Producto: 2124002602010101 / BISA OLLA CONVEXA 26 A/T"/>
    <x v="18"/>
    <x v="4"/>
    <x v="30"/>
    <s v="VT2"/>
    <s v="00004913"/>
    <x v="24"/>
    <n v="36"/>
    <n v="0"/>
    <n v="36"/>
  </r>
  <r>
    <n v="-17"/>
    <n v="-45258"/>
    <s v="Producto: 2125001402010101 / BISA OLLA RECTA 12 A/T"/>
    <x v="94"/>
    <x v="4"/>
    <x v="30"/>
    <s v="VT2"/>
    <s v="00004913"/>
    <x v="24"/>
    <n v="108"/>
    <n v="108"/>
    <n v="0"/>
  </r>
  <r>
    <n v="-17"/>
    <n v="-45258"/>
    <s v="Producto: 2125001502010101 / BISA OLLA RECTA 14 A/T"/>
    <x v="95"/>
    <x v="4"/>
    <x v="30"/>
    <s v="VT2"/>
    <s v="00004913"/>
    <x v="24"/>
    <n v="72"/>
    <n v="0"/>
    <n v="72"/>
  </r>
  <r>
    <n v="-17"/>
    <n v="-45258"/>
    <s v="Producto: 2125001702010101 / BISA OLLA RECTA 16 A/T"/>
    <x v="96"/>
    <x v="4"/>
    <x v="30"/>
    <s v="VT2"/>
    <s v="00004913"/>
    <x v="24"/>
    <n v="24"/>
    <n v="24"/>
    <n v="0"/>
  </r>
  <r>
    <n v="-17"/>
    <n v="-45258"/>
    <s v="Producto: 2125002102010101 / BISA OLLA RECTA 18 A/T"/>
    <x v="97"/>
    <x v="4"/>
    <x v="30"/>
    <s v="VT2"/>
    <s v="00004913"/>
    <x v="24"/>
    <n v="72"/>
    <n v="72"/>
    <n v="0"/>
  </r>
  <r>
    <n v="-17"/>
    <n v="-45258"/>
    <s v="Producto: 2125002402010101 / BISA OLLA RECTA 22 A/T"/>
    <x v="44"/>
    <x v="4"/>
    <x v="30"/>
    <s v="VT2"/>
    <s v="00004913"/>
    <x v="24"/>
    <n v="36"/>
    <n v="36"/>
    <n v="0"/>
  </r>
  <r>
    <n v="-17"/>
    <n v="-45258"/>
    <s v="Producto: 2125002502010101 / BISA OLLA RECTA 24 A/T"/>
    <x v="45"/>
    <x v="4"/>
    <x v="30"/>
    <s v="VT2"/>
    <s v="00004913"/>
    <x v="24"/>
    <n v="18"/>
    <n v="18"/>
    <n v="0"/>
  </r>
  <r>
    <n v="-17"/>
    <n v="-45258"/>
    <s v="Producto: 2125002602010101 / BISA OLLA RECTA 26 A/T"/>
    <x v="46"/>
    <x v="4"/>
    <x v="30"/>
    <s v="VT2"/>
    <s v="00004913"/>
    <x v="24"/>
    <n v="18"/>
    <n v="18"/>
    <n v="0"/>
  </r>
  <r>
    <n v="-17"/>
    <n v="-45258"/>
    <s v="Producto: 2125002802010101 / BISA OLLA RECTA 28 A/T"/>
    <x v="47"/>
    <x v="4"/>
    <x v="30"/>
    <s v="VT2"/>
    <s v="00004913"/>
    <x v="24"/>
    <n v="12"/>
    <n v="12"/>
    <n v="0"/>
  </r>
  <r>
    <n v="-17"/>
    <n v="-45258"/>
    <s v="Producto: 2139001602010101 / BISA TAZON 15.5 A/T"/>
    <x v="100"/>
    <x v="4"/>
    <x v="30"/>
    <s v="VT2"/>
    <s v="00004913"/>
    <x v="24"/>
    <n v="120"/>
    <n v="0"/>
    <n v="120"/>
  </r>
  <r>
    <n v="-17"/>
    <n v="-45258"/>
    <s v="Producto: 2425002425010101 / IMU 6 QT ENAMEL STOCK POT BLUE     C20666-1063310W"/>
    <x v="44"/>
    <x v="12"/>
    <x v="31"/>
    <s v="VT3"/>
    <s v="00001061"/>
    <x v="25"/>
    <n v="2130"/>
    <n v="0"/>
    <n v="2130"/>
  </r>
  <r>
    <n v="-17"/>
    <n v="-45258"/>
    <s v="Producto: 2425002525010101 / IMU 7.75QT ENAMEL STOCK POT BLUE C20666-10636W"/>
    <x v="45"/>
    <x v="12"/>
    <x v="31"/>
    <s v="VT3"/>
    <s v="00001061"/>
    <x v="25"/>
    <n v="1360"/>
    <n v="85"/>
    <n v="1275"/>
  </r>
  <r>
    <n v="-17"/>
    <n v="-45258"/>
    <s v="Producto: 2425002825010101 / IMU 12 QT ENAMEL STOCK POT BLUE      C20666-10646W"/>
    <x v="47"/>
    <x v="12"/>
    <x v="31"/>
    <s v="VT3"/>
    <s v="00001061"/>
    <x v="25"/>
    <n v="1664"/>
    <n v="41"/>
    <n v="1623"/>
  </r>
  <r>
    <n v="-17"/>
    <n v="-45258"/>
    <s v="Producto: 2433001450010101 / IMU 12 CM ENAMEL MUG BLUE (WM)       C20666-10977W"/>
    <x v="84"/>
    <x v="15"/>
    <x v="31"/>
    <s v="VT3"/>
    <s v="00001061"/>
    <x v="25"/>
    <n v="162"/>
    <n v="162"/>
    <n v="0"/>
  </r>
  <r>
    <n v="-17"/>
    <n v="-45258"/>
    <s v="Producto: 2455009825010101 / IMU 18&quot; COVERED ROASTER BLUE          C20666-10664"/>
    <x v="101"/>
    <x v="12"/>
    <x v="31"/>
    <s v="VT3"/>
    <s v="00001061"/>
    <x v="25"/>
    <n v="1468"/>
    <n v="334"/>
    <n v="1134"/>
  </r>
  <r>
    <n v="-17"/>
    <n v="-45258"/>
    <s v="Producto: 2425002225010101 / IMU 4 QT ENAMEL STOCK POT BLUE     C20666-1062810W"/>
    <x v="43"/>
    <x v="12"/>
    <x v="31"/>
    <s v="VT3"/>
    <s v="00001061"/>
    <x v="25"/>
    <n v="1234"/>
    <n v="67"/>
    <n v="1167"/>
  </r>
  <r>
    <n v="-17"/>
    <n v="-45258"/>
    <s v="Producto: 2425002425010101 / IMU 6 QT ENAMEL STOCK POT BLUE     C20666-1063310W"/>
    <x v="44"/>
    <x v="12"/>
    <x v="31"/>
    <s v="VT3"/>
    <s v="00001062"/>
    <x v="25"/>
    <n v="8712"/>
    <n v="8562"/>
    <n v="150"/>
  </r>
  <r>
    <n v="-17"/>
    <n v="-45258"/>
    <s v="Producto: 2406002527010101 / MIR 4.5QT ENAMEL DUTCH OVEN (24) BLACK  MIR-10701"/>
    <x v="11"/>
    <x v="0"/>
    <x v="31"/>
    <s v="VT3"/>
    <s v="00001062"/>
    <x v="25"/>
    <n v="702"/>
    <n v="702"/>
    <n v="0"/>
  </r>
  <r>
    <n v="-17"/>
    <n v="-45258"/>
    <s v="Producto: 2424002127010101 / MIR 3.0 Qt ENAMEL CONVEX KETTLE BLACK - 2.8       "/>
    <x v="102"/>
    <x v="0"/>
    <x v="31"/>
    <s v="VT3"/>
    <s v="00001062"/>
    <x v="25"/>
    <n v="1872"/>
    <n v="952"/>
    <n v="920"/>
  </r>
  <r>
    <n v="-17"/>
    <n v="-45258"/>
    <s v="Producto: 2425002425010101 / IMU 6 QT ENAMEL STOCK POT BLUE     C20666-1063310W"/>
    <x v="44"/>
    <x v="12"/>
    <x v="31"/>
    <s v="VT3"/>
    <s v="00001063"/>
    <x v="25"/>
    <n v="10426"/>
    <n v="0"/>
    <n v="10426"/>
  </r>
  <r>
    <n v="-17"/>
    <e v="#REF!"/>
    <s v="Producto: 2433001450010101 / IMU 12 CM ENAMEL MUG BLUE (WM)       C20666-10977W"/>
    <x v="84"/>
    <x v="15"/>
    <x v="31"/>
    <s v="VT3"/>
    <s v="00001063"/>
    <x v="25"/>
    <n v="624"/>
    <n v="624"/>
    <n v="0"/>
  </r>
  <r>
    <n v="-17"/>
    <e v="#REF!"/>
    <s v="Producto: 2425002425010101 / IMU 6 QT ENAMEL STOCK POT BLUE     C20666-1063310W"/>
    <x v="44"/>
    <x v="12"/>
    <x v="31"/>
    <s v="VT3"/>
    <s v="00001064"/>
    <x v="25"/>
    <n v="10090"/>
    <n v="0"/>
    <n v="10090"/>
  </r>
  <r>
    <n v="-17"/>
    <e v="#REF!"/>
    <s v="Producto: 2433001450010101 / IMU 12 CM ENAMEL MUG BLUE (WM)       C20666-10977W"/>
    <x v="84"/>
    <x v="15"/>
    <x v="31"/>
    <s v="VT3"/>
    <s v="00001064"/>
    <x v="25"/>
    <n v="2010"/>
    <n v="173"/>
    <n v="1837"/>
  </r>
  <r>
    <n v="-17"/>
    <n v="-45258"/>
    <s v="Producto: 2106001416050101 / BISA BUDINERA 12 BLANCO C/F NEGRO"/>
    <x v="103"/>
    <x v="3"/>
    <x v="32"/>
    <s v="VT1"/>
    <s v="00003586"/>
    <x v="26"/>
    <n v="18"/>
    <n v="12"/>
    <n v="6"/>
  </r>
  <r>
    <n v="-17"/>
    <n v="-45258"/>
    <s v="Producto: 2108002129010101 / BISA CAZUELA 18 ROJO"/>
    <x v="66"/>
    <x v="16"/>
    <x v="32"/>
    <s v="VT1"/>
    <s v="00003586"/>
    <x v="26"/>
    <n v="12"/>
    <n v="12"/>
    <n v="0"/>
  </r>
  <r>
    <n v="-17"/>
    <n v="-45258"/>
    <s v="Producto: 2108002529010101 / BISA CAZUELA 24 ROJO"/>
    <x v="104"/>
    <x v="16"/>
    <x v="32"/>
    <s v="VT1"/>
    <s v="00003586"/>
    <x v="26"/>
    <n v="12"/>
    <n v="12"/>
    <n v="0"/>
  </r>
  <r>
    <n v="-17"/>
    <n v="-45258"/>
    <s v="Producto: 2123001816050101 / RECIPIENTE MULTIUSOS RAYADO 15.5 BLANCO C/F NEGRO"/>
    <x v="105"/>
    <x v="3"/>
    <x v="32"/>
    <s v="VT1"/>
    <s v="00003586"/>
    <x v="26"/>
    <n v="12"/>
    <n v="12"/>
    <n v="0"/>
  </r>
  <r>
    <n v="-17"/>
    <n v="-45258"/>
    <s v="Producto: 2126002216050101 / BISA PLATO AVENERO 20 BLANCO C/F NEGRO"/>
    <x v="106"/>
    <x v="3"/>
    <x v="32"/>
    <s v="VT1"/>
    <s v="00003586"/>
    <x v="26"/>
    <n v="24"/>
    <n v="0"/>
    <n v="24"/>
  </r>
  <r>
    <n v="-17"/>
    <n v="-45258"/>
    <s v="Producto: 2130001716050101 / BISA PLATO LISO 16 BLANCO C/F NEGRO"/>
    <x v="77"/>
    <x v="3"/>
    <x v="32"/>
    <s v="VT1"/>
    <s v="00003586"/>
    <x v="26"/>
    <n v="24"/>
    <n v="12"/>
    <n v="12"/>
  </r>
  <r>
    <n v="-17"/>
    <n v="-45258"/>
    <s v="Producto: 2130002216050101 / BISA PLATO LISO 20 BLANCO C/F NEGRO"/>
    <x v="80"/>
    <x v="3"/>
    <x v="32"/>
    <s v="VT1"/>
    <s v="00003586"/>
    <x v="26"/>
    <n v="12"/>
    <n v="12"/>
    <n v="0"/>
  </r>
  <r>
    <n v="-17"/>
    <n v="-45258"/>
    <s v="Producto: 2130002516050101 / BISA PLATO LISO 24 BLANCO C/F NEGRO"/>
    <x v="26"/>
    <x v="3"/>
    <x v="32"/>
    <s v="VT1"/>
    <s v="00003586"/>
    <x v="26"/>
    <n v="24"/>
    <n v="0"/>
    <n v="24"/>
  </r>
  <r>
    <n v="-17"/>
    <n v="-45258"/>
    <s v="Producto: 2130002516070101 / BISA PLATO LISO 24 BLANCO C/F ROJO"/>
    <x v="26"/>
    <x v="17"/>
    <x v="32"/>
    <s v="VT1"/>
    <s v="00003586"/>
    <x v="26"/>
    <n v="12"/>
    <n v="0"/>
    <n v="12"/>
  </r>
  <r>
    <n v="-17"/>
    <n v="-45258"/>
    <s v="Producto: 2133001002010101 / BISA POCILLO 6 A/T"/>
    <x v="107"/>
    <x v="4"/>
    <x v="32"/>
    <s v="VT1"/>
    <s v="00003586"/>
    <x v="26"/>
    <n v="24"/>
    <n v="24"/>
    <n v="0"/>
  </r>
  <r>
    <n v="-17"/>
    <n v="-45258"/>
    <s v="Producto: 2139001202010101 / BISA TAZON 8 A/T"/>
    <x v="108"/>
    <x v="4"/>
    <x v="32"/>
    <s v="VT1"/>
    <s v="00003586"/>
    <x v="26"/>
    <n v="36"/>
    <n v="36"/>
    <n v="0"/>
  </r>
  <r>
    <n v="-17"/>
    <n v="-45258"/>
    <s v="Producto: 2133001016070101 / BISA POCILLO 6 BLANCO C/F ROJO  "/>
    <x v="107"/>
    <x v="17"/>
    <x v="32"/>
    <s v="VT1"/>
    <s v="00003586"/>
    <x v="26"/>
    <n v="24"/>
    <n v="0"/>
    <n v="24"/>
  </r>
  <r>
    <n v="-17"/>
    <n v="-45258"/>
    <s v="Producto: 2123002016050101 / RECIPIENTE MULTIUSOS RAYADO 17.5 BLANCO C/F NEGRO"/>
    <x v="109"/>
    <x v="3"/>
    <x v="32"/>
    <s v="VT1"/>
    <s v="00003586"/>
    <x v="26"/>
    <n v="12"/>
    <n v="0"/>
    <n v="12"/>
  </r>
  <r>
    <n v="-17"/>
    <n v="-45258"/>
    <s v="Producto: 2152003016050101 / BISA PLATO OVAL 32 BLANCO C/F NEGRO"/>
    <x v="69"/>
    <x v="3"/>
    <x v="32"/>
    <s v="VT1"/>
    <s v="00003586"/>
    <x v="26"/>
    <n v="6"/>
    <n v="3"/>
    <n v="3"/>
  </r>
  <r>
    <n v="-17"/>
    <n v="-45258"/>
    <s v="Producto: 1103000619010101 / BISA BAÑO 2 GALVANIZADO"/>
    <x v="54"/>
    <x v="2"/>
    <x v="33"/>
    <s v="VT2"/>
    <s v="00004928"/>
    <x v="27"/>
    <n v="10"/>
    <n v="10"/>
    <n v="0"/>
  </r>
  <r>
    <n v="-17"/>
    <n v="-45258"/>
    <s v="Producto: 2122000116050101 / BISA MULTIUSOS BLANCO C/F NEGRO"/>
    <x v="110"/>
    <x v="3"/>
    <x v="33"/>
    <s v="VT2"/>
    <s v="00004928"/>
    <x v="27"/>
    <n v="81"/>
    <n v="81"/>
    <n v="0"/>
  </r>
  <r>
    <n v="-17"/>
    <n v="-45258"/>
    <s v="Producto: 2126002216050101 / BISA PLATO AVENERO 20 BLANCO C/F NEGRO"/>
    <x v="106"/>
    <x v="3"/>
    <x v="33"/>
    <s v="VT2"/>
    <s v="00004928"/>
    <x v="27"/>
    <n v="120"/>
    <n v="120"/>
    <n v="0"/>
  </r>
  <r>
    <n v="-17"/>
    <n v="-45258"/>
    <s v="Producto: 2128001726010101 / BISA PLATO BISTRO 16 NEGRO"/>
    <x v="111"/>
    <x v="18"/>
    <x v="33"/>
    <s v="VT2"/>
    <s v="00004928"/>
    <x v="27"/>
    <n v="72"/>
    <n v="8"/>
    <n v="64"/>
  </r>
  <r>
    <n v="-17"/>
    <n v="-45258"/>
    <s v="Producto: 2129002716050101 / BISA PLATO HONDO 27 BLANCO C/F NEGRO"/>
    <x v="8"/>
    <x v="3"/>
    <x v="33"/>
    <s v="VT2"/>
    <s v="00004928"/>
    <x v="27"/>
    <n v="81"/>
    <n v="14"/>
    <n v="67"/>
  </r>
  <r>
    <n v="-17"/>
    <n v="-45258"/>
    <s v="Producto: 2130002216050101 / BISA PLATO LISO 20 BLANCO C/F NEGRO"/>
    <x v="80"/>
    <x v="3"/>
    <x v="33"/>
    <s v="VT2"/>
    <s v="00004928"/>
    <x v="27"/>
    <n v="126"/>
    <n v="126"/>
    <n v="0"/>
  </r>
  <r>
    <n v="-17"/>
    <n v="-45258"/>
    <s v="Producto: 2130002216050101 / BISA PLATO LISO 20 BLANCO C/F NEGRO"/>
    <x v="80"/>
    <x v="3"/>
    <x v="33"/>
    <s v="VT2"/>
    <s v="00004928"/>
    <x v="27"/>
    <n v="801"/>
    <n v="13"/>
    <n v="788"/>
  </r>
  <r>
    <n v="-17"/>
    <n v="-45258"/>
    <s v="Producto: 2139001216050101 / BISA TAZON 8 BLANCO C/F NEGRO"/>
    <x v="108"/>
    <x v="3"/>
    <x v="33"/>
    <s v="VT2"/>
    <s v="00004928"/>
    <x v="27"/>
    <n v="882"/>
    <n v="99"/>
    <n v="783"/>
  </r>
  <r>
    <n v="-17"/>
    <n v="-45258"/>
    <s v="Producto: 2139002212010101 / BISA TAZON 20 BICOLOR NARANJA"/>
    <x v="112"/>
    <x v="8"/>
    <x v="33"/>
    <s v="VT2"/>
    <s v="00004928"/>
    <x v="27"/>
    <n v="150"/>
    <n v="0"/>
    <n v="150"/>
  </r>
  <r>
    <n v="-17"/>
    <n v="-45258"/>
    <s v="Producto: 2140001216050101 / BISA TAZON INCLINADO 8 BLANCO C/F NEGRO"/>
    <x v="113"/>
    <x v="3"/>
    <x v="33"/>
    <s v="VT2"/>
    <s v="00004928"/>
    <x v="27"/>
    <n v="135"/>
    <n v="0"/>
    <n v="135"/>
  </r>
  <r>
    <n v="-17"/>
    <n v="-45258"/>
    <s v="Producto: 2330003020010101 / SANSON PLATO LISO 32 GENERICO"/>
    <x v="76"/>
    <x v="19"/>
    <x v="33"/>
    <s v="VT2"/>
    <s v="00004928"/>
    <x v="27"/>
    <n v="75"/>
    <n v="75"/>
    <n v="0"/>
  </r>
  <r>
    <n v="-17"/>
    <n v="-45258"/>
    <s v="Producto: 2133000926010701 / BISA POCILLO 5 NEGRO DECORADO"/>
    <x v="9"/>
    <x v="18"/>
    <x v="33"/>
    <s v="VT2"/>
    <s v="00004928"/>
    <x v="27"/>
    <n v="72"/>
    <n v="0"/>
    <n v="72"/>
  </r>
  <r>
    <n v="-17"/>
    <n v="-45258"/>
    <s v="Producto: 2140002412050101 / BISA TAZON INCLINADO 22 BICOLOR NARANJA"/>
    <x v="114"/>
    <x v="8"/>
    <x v="33"/>
    <s v="VT2"/>
    <s v="00004928"/>
    <x v="27"/>
    <n v="126"/>
    <n v="0"/>
    <n v="126"/>
  </r>
  <r>
    <n v="-17"/>
    <n v="-45258"/>
    <s v="Producto: 2133000912050101 / BISA POCILLO 5 BICOLOR NARANJA"/>
    <x v="9"/>
    <x v="8"/>
    <x v="33"/>
    <s v="VT2"/>
    <s v="00004928"/>
    <x v="27"/>
    <n v="750"/>
    <n v="0"/>
    <n v="750"/>
  </r>
  <r>
    <n v="-17"/>
    <n v="-45258"/>
    <s v="Producto: 2138000126010701 / BISA TAZA BISTRO  NEGRO DECORADO"/>
    <x v="115"/>
    <x v="18"/>
    <x v="33"/>
    <s v="VT2"/>
    <s v="00004928"/>
    <x v="27"/>
    <n v="63"/>
    <n v="0"/>
    <n v="63"/>
  </r>
  <r>
    <n v="-17"/>
    <n v="-45258"/>
    <s v="Producto: 2145001227010701 / BISA VASO 8 NEGRO MOTAS DECPRADO"/>
    <x v="116"/>
    <x v="20"/>
    <x v="33"/>
    <s v="VT2"/>
    <s v="00004928"/>
    <x v="27"/>
    <n v="72"/>
    <n v="0"/>
    <n v="72"/>
  </r>
  <r>
    <n v="-17"/>
    <n v="-45258"/>
    <s v="Producto: 2130001727010701 / BISA PLATO LISO 16 NEGRO MOTAS DECORADO"/>
    <x v="77"/>
    <x v="20"/>
    <x v="33"/>
    <s v="VT2"/>
    <s v="00004928"/>
    <x v="27"/>
    <n v="63"/>
    <n v="0"/>
    <n v="63"/>
  </r>
  <r>
    <n v="-17"/>
    <n v="-45258"/>
    <s v="Producto: 2122000116050101 / BISA MULTIUSOS BLANCO C/F NEGRO"/>
    <x v="110"/>
    <x v="21"/>
    <x v="34"/>
    <s v="VT2"/>
    <s v="00004929"/>
    <x v="27"/>
    <n v="81"/>
    <n v="81"/>
    <n v="0"/>
  </r>
  <r>
    <n v="-17"/>
    <n v="-45258"/>
    <s v="Producto: 2126002216050101 / BISA PLATO AVENERO 20 BLANCO C/F NEGRO"/>
    <x v="106"/>
    <x v="3"/>
    <x v="34"/>
    <s v="VT2"/>
    <s v="00004929"/>
    <x v="27"/>
    <n v="120"/>
    <n v="120"/>
    <n v="0"/>
  </r>
  <r>
    <n v="-17"/>
    <n v="-45258"/>
    <s v="Producto: 2128001726010101 / BISA PLATO BISTRO 16 NEGRO"/>
    <x v="111"/>
    <x v="18"/>
    <x v="34"/>
    <s v="VT2"/>
    <s v="00004929"/>
    <x v="27"/>
    <n v="72"/>
    <n v="0"/>
    <n v="72"/>
  </r>
  <r>
    <n v="-17"/>
    <n v="-45258"/>
    <s v="Producto: 2129002716050101 / BISA PLATO HONDO 27 BLANCO C/F NEGRO"/>
    <x v="8"/>
    <x v="21"/>
    <x v="34"/>
    <s v="VT2"/>
    <s v="00004929"/>
    <x v="27"/>
    <n v="81"/>
    <n v="0"/>
    <n v="81"/>
  </r>
  <r>
    <n v="-17"/>
    <n v="-45258"/>
    <s v="Producto: 2130002216050101 / BISA PLATO LISO 20 BLANCO C/F NEGRO"/>
    <x v="117"/>
    <x v="21"/>
    <x v="34"/>
    <s v="VT2"/>
    <s v="00004929"/>
    <x v="27"/>
    <n v="126"/>
    <n v="0"/>
    <n v="126"/>
  </r>
  <r>
    <n v="-17"/>
    <n v="-45258"/>
    <s v="Producto: 2130002216050101 / BISA PLATO LISO 20 BLANCO C/F NEGRO"/>
    <x v="117"/>
    <x v="21"/>
    <x v="34"/>
    <s v="VT2"/>
    <s v="00004929"/>
    <x v="27"/>
    <n v="801"/>
    <n v="0"/>
    <n v="801"/>
  </r>
  <r>
    <n v="-17"/>
    <n v="-45258"/>
    <s v="Producto: 2139001216050101 / BISA TAZON 8 BLANCO C/F NEGRO"/>
    <x v="108"/>
    <x v="22"/>
    <x v="34"/>
    <s v="VT2"/>
    <s v="00004929"/>
    <x v="27"/>
    <n v="882"/>
    <n v="0"/>
    <n v="882"/>
  </r>
  <r>
    <n v="-17"/>
    <n v="-45258"/>
    <s v="Producto: 2139002212010101 / BISA TAZON 20 BICOLOR NARANJA"/>
    <x v="112"/>
    <x v="8"/>
    <x v="34"/>
    <s v="VT2"/>
    <s v="00004929"/>
    <x v="27"/>
    <n v="150"/>
    <n v="0"/>
    <n v="150"/>
  </r>
  <r>
    <n v="-17"/>
    <n v="-45258"/>
    <s v="Producto: 2140001216050101 / BISA TAZON INCLINADO 8 BLANCO C/F NEGRO"/>
    <x v="118"/>
    <x v="21"/>
    <x v="34"/>
    <s v="VT2"/>
    <s v="00004929"/>
    <x v="27"/>
    <n v="135"/>
    <n v="0"/>
    <n v="135"/>
  </r>
  <r>
    <n v="-17"/>
    <n v="-45258"/>
    <s v="Producto: 2330003020010101 / SANSON PLATO LISO 32 GENERICO"/>
    <x v="76"/>
    <x v="19"/>
    <x v="34"/>
    <s v="VT2"/>
    <s v="00004929"/>
    <x v="27"/>
    <n v="75"/>
    <n v="75"/>
    <n v="0"/>
  </r>
  <r>
    <n v="-17"/>
    <n v="-45258"/>
    <s v="Producto: 2133000926010701 / BISA POCILLO 5 NEGRO DECORADO"/>
    <x v="9"/>
    <x v="18"/>
    <x v="34"/>
    <s v="VT2"/>
    <s v="00004929"/>
    <x v="27"/>
    <n v="72"/>
    <n v="0"/>
    <n v="72"/>
  </r>
  <r>
    <n v="-17"/>
    <n v="-45258"/>
    <s v="Producto: 2140002412050101 / BISA TAZON INCLINADO 22 BICOLOR NARANJA"/>
    <x v="114"/>
    <x v="8"/>
    <x v="34"/>
    <s v="VT2"/>
    <s v="00004929"/>
    <x v="27"/>
    <n v="126"/>
    <n v="0"/>
    <n v="126"/>
  </r>
  <r>
    <n v="-17"/>
    <n v="-45258"/>
    <s v="Producto: 2133000912050101 / BISA POCILLO 5 BICOLOR NARANJA"/>
    <x v="9"/>
    <x v="8"/>
    <x v="34"/>
    <s v="VT2"/>
    <s v="00004929"/>
    <x v="27"/>
    <n v="750"/>
    <n v="0"/>
    <n v="750"/>
  </r>
  <r>
    <n v="-17"/>
    <n v="-45258"/>
    <s v="Producto: 2138000126010701 / BISA TAZA BISTRO  NEGRO DECORADO"/>
    <x v="115"/>
    <x v="18"/>
    <x v="34"/>
    <s v="VT2"/>
    <s v="00004929"/>
    <x v="27"/>
    <n v="63"/>
    <n v="0"/>
    <n v="63"/>
  </r>
  <r>
    <n v="-17"/>
    <n v="-45258"/>
    <s v="Producto: 2145001227010701 / BISA VASO 8 NEGRO MOTAS DECPRADO"/>
    <x v="116"/>
    <x v="20"/>
    <x v="34"/>
    <s v="VT2"/>
    <s v="00004929"/>
    <x v="27"/>
    <n v="72"/>
    <n v="0"/>
    <n v="72"/>
  </r>
  <r>
    <n v="-17"/>
    <n v="-45258"/>
    <s v="Producto: 2130001727010701 / BISA PLATO LISO 16 NEGRO MOTAS DECORADO"/>
    <x v="77"/>
    <x v="20"/>
    <x v="34"/>
    <s v="VT2"/>
    <s v="00004929"/>
    <x v="27"/>
    <n v="63"/>
    <n v="0"/>
    <n v="63"/>
  </r>
  <r>
    <n v="-17"/>
    <n v="-45258"/>
    <s v="Producto: 2122000116050101 / BISA MULTIUSOS BLANCO C/F NEGRO"/>
    <x v="110"/>
    <x v="21"/>
    <x v="35"/>
    <s v="VT2"/>
    <s v="00004930"/>
    <x v="27"/>
    <n v="81"/>
    <n v="81"/>
    <n v="0"/>
  </r>
  <r>
    <n v="-17"/>
    <n v="-45258"/>
    <s v="Producto: 2126002216050101 / BISA PLATO AVENERO 20 BLANCO C/F NEGRO"/>
    <x v="106"/>
    <x v="3"/>
    <x v="35"/>
    <s v="VT2"/>
    <s v="00004930"/>
    <x v="27"/>
    <n v="120"/>
    <n v="87"/>
    <n v="33"/>
  </r>
  <r>
    <n v="-17"/>
    <n v="-45258"/>
    <s v="Producto: 2128001726010101 / BISA PLATO BISTRO 16 NEGRO"/>
    <x v="111"/>
    <x v="18"/>
    <x v="35"/>
    <s v="VT2"/>
    <s v="00004930"/>
    <x v="27"/>
    <n v="72"/>
    <n v="0"/>
    <n v="72"/>
  </r>
  <r>
    <n v="-17"/>
    <n v="-45258"/>
    <s v="Producto: 2129002716050101 / BISA PLATO HONDO 27 BLANCO C/F NEGRO"/>
    <x v="8"/>
    <x v="21"/>
    <x v="35"/>
    <s v="VT2"/>
    <s v="00004930"/>
    <x v="27"/>
    <n v="81"/>
    <n v="0"/>
    <n v="81"/>
  </r>
  <r>
    <n v="-17"/>
    <n v="-45258"/>
    <s v="Producto: 2130002216050101 / BISA PLATO LISO 20 BLANCO C/F NEGRO"/>
    <x v="80"/>
    <x v="21"/>
    <x v="35"/>
    <s v="VT2"/>
    <s v="00004930"/>
    <x v="27"/>
    <n v="126"/>
    <n v="0"/>
    <n v="126"/>
  </r>
  <r>
    <n v="-17"/>
    <n v="-45258"/>
    <s v="Producto: 2130002216050101 / BISA PLATO LISO 20 BLANCO C/F NEGRO"/>
    <x v="80"/>
    <x v="21"/>
    <x v="35"/>
    <s v="VT2"/>
    <s v="00004930"/>
    <x v="27"/>
    <n v="801"/>
    <n v="0"/>
    <n v="801"/>
  </r>
  <r>
    <n v="-17"/>
    <n v="-45258"/>
    <s v="Producto: 2139001216050101 / BISA TAZON 8 BLANCO C/F NEGRO"/>
    <x v="108"/>
    <x v="22"/>
    <x v="35"/>
    <s v="VT2"/>
    <s v="00004930"/>
    <x v="27"/>
    <n v="882"/>
    <n v="0"/>
    <n v="882"/>
  </r>
  <r>
    <n v="-17"/>
    <n v="-45258"/>
    <s v="Producto: 2139002212010101 / BISA TAZON 20 BICOLOR NARANJA"/>
    <x v="112"/>
    <x v="8"/>
    <x v="35"/>
    <s v="VT2"/>
    <s v="00004930"/>
    <x v="27"/>
    <n v="150"/>
    <n v="0"/>
    <n v="150"/>
  </r>
  <r>
    <n v="-17"/>
    <n v="-45258"/>
    <s v="Producto: 2140001216050101 / BISA TAZON INCLINADO 8 BLANCO C/F NEGRO"/>
    <x v="113"/>
    <x v="21"/>
    <x v="35"/>
    <s v="VT2"/>
    <s v="00004930"/>
    <x v="27"/>
    <n v="135"/>
    <n v="0"/>
    <n v="135"/>
  </r>
  <r>
    <n v="-17"/>
    <n v="-45258"/>
    <s v="Producto: 2330003020010101 / SANSON PLATO LISO 32 GENERICO"/>
    <x v="76"/>
    <x v="19"/>
    <x v="35"/>
    <s v="VT2"/>
    <s v="00004930"/>
    <x v="27"/>
    <n v="75"/>
    <n v="75"/>
    <n v="0"/>
  </r>
  <r>
    <n v="-17"/>
    <n v="-45258"/>
    <s v="Producto: 2133000926010701 / BISA POCILLO 5 NEGRO DECORADO"/>
    <x v="9"/>
    <x v="23"/>
    <x v="35"/>
    <s v="VT2"/>
    <s v="00004930"/>
    <x v="27"/>
    <n v="72"/>
    <n v="0"/>
    <n v="72"/>
  </r>
  <r>
    <n v="-17"/>
    <n v="-45258"/>
    <s v="Producto: 2140002412050101 / BISA TAZON INCLINADO 22 BICOLOR NARANJA"/>
    <x v="81"/>
    <x v="8"/>
    <x v="35"/>
    <s v="VT2"/>
    <s v="00004930"/>
    <x v="27"/>
    <n v="126"/>
    <n v="0"/>
    <n v="126"/>
  </r>
  <r>
    <n v="-17"/>
    <n v="-45258"/>
    <s v="Producto: 2133000912050101 / BISA POCILLO 5 BICOLOR NARANJA"/>
    <x v="9"/>
    <x v="8"/>
    <x v="35"/>
    <s v="VT2"/>
    <s v="00004930"/>
    <x v="27"/>
    <n v="750"/>
    <n v="0"/>
    <n v="750"/>
  </r>
  <r>
    <n v="-17"/>
    <n v="-45258"/>
    <s v="Producto: 2138000126010701 / BISA TAZA BISTRO  NEGRO DECORADO"/>
    <x v="115"/>
    <x v="18"/>
    <x v="35"/>
    <s v="VT2"/>
    <s v="00004930"/>
    <x v="27"/>
    <n v="63"/>
    <n v="0"/>
    <n v="63"/>
  </r>
  <r>
    <n v="-17"/>
    <n v="-45258"/>
    <s v="Producto: 2145001227010701 / BISA VASO 8 NEGRO MOTAS DECPRADO"/>
    <x v="116"/>
    <x v="20"/>
    <x v="35"/>
    <s v="VT2"/>
    <s v="00004930"/>
    <x v="27"/>
    <n v="72"/>
    <n v="0"/>
    <n v="72"/>
  </r>
  <r>
    <n v="-17"/>
    <n v="-45258"/>
    <s v="Producto: 2130001727010701 / BISA PLATO LISO 16 NEGRO MOTAS DECORADO"/>
    <x v="77"/>
    <x v="20"/>
    <x v="35"/>
    <s v="VT2"/>
    <s v="00004930"/>
    <x v="27"/>
    <n v="63"/>
    <n v="0"/>
    <n v="63"/>
  </r>
  <r>
    <n v="-17"/>
    <n v="-45258"/>
    <s v="Producto: 1103000619010101 / BISA BAÑO 2 GALVANIZADO"/>
    <x v="54"/>
    <x v="2"/>
    <x v="36"/>
    <s v="VT2"/>
    <s v="00004931"/>
    <x v="27"/>
    <n v="10"/>
    <n v="10"/>
    <n v="0"/>
  </r>
  <r>
    <n v="-17"/>
    <n v="-45258"/>
    <s v="Producto: 2122000116050101 / BISA MULTIUSOS BLANCO C/F NEGRO"/>
    <x v="110"/>
    <x v="21"/>
    <x v="36"/>
    <s v="VT2"/>
    <s v="00004931"/>
    <x v="27"/>
    <n v="81"/>
    <n v="81"/>
    <n v="0"/>
  </r>
  <r>
    <n v="-17"/>
    <n v="-45258"/>
    <s v="Producto: 2126002216050101 / BISA PLATO AVENERO 20 BLANCO C/F NEGRO"/>
    <x v="106"/>
    <x v="3"/>
    <x v="36"/>
    <s v="VT2"/>
    <s v="00004931"/>
    <x v="27"/>
    <n v="120"/>
    <n v="0"/>
    <n v="120"/>
  </r>
  <r>
    <n v="-17"/>
    <n v="-45258"/>
    <s v="Producto: 2128001726010101 / BISA PLATO BISTRO 16 NEGRO"/>
    <x v="111"/>
    <x v="18"/>
    <x v="36"/>
    <s v="VT2"/>
    <s v="00004931"/>
    <x v="27"/>
    <n v="72"/>
    <n v="0"/>
    <n v="72"/>
  </r>
  <r>
    <n v="-17"/>
    <n v="-45258"/>
    <s v="Producto: 2129002716050101 / BISA PLATO HONDO 27 BLANCO C/F NEGRO"/>
    <x v="8"/>
    <x v="21"/>
    <x v="36"/>
    <s v="VT2"/>
    <s v="00004931"/>
    <x v="27"/>
    <n v="81"/>
    <n v="0"/>
    <n v="81"/>
  </r>
  <r>
    <n v="-17"/>
    <n v="-45258"/>
    <s v="Producto: 2130002216050101 / BISA PLATO LISO 20 BLANCO C/F NEGRO"/>
    <x v="80"/>
    <x v="21"/>
    <x v="36"/>
    <s v="VT2"/>
    <s v="00004931"/>
    <x v="27"/>
    <n v="801"/>
    <n v="0"/>
    <n v="801"/>
  </r>
  <r>
    <n v="-17"/>
    <n v="-45258"/>
    <s v="Producto: 2139001216050101 / BISA TAZON 8 BLANCO C/F NEGRO"/>
    <x v="108"/>
    <x v="24"/>
    <x v="36"/>
    <s v="VT2"/>
    <s v="00004931"/>
    <x v="27"/>
    <n v="882"/>
    <n v="0"/>
    <n v="882"/>
  </r>
  <r>
    <n v="-17"/>
    <n v="-45258"/>
    <s v="Producto: 2139002212010101 / BISA TAZON 20 BICOLOR NARANJA"/>
    <x v="112"/>
    <x v="8"/>
    <x v="36"/>
    <s v="VT2"/>
    <s v="00004931"/>
    <x v="27"/>
    <n v="150"/>
    <n v="0"/>
    <n v="150"/>
  </r>
  <r>
    <n v="-17"/>
    <n v="-45258"/>
    <s v="Producto: 2140001216050101 / BISA TAZON INCLINADO 8 BLANCO C/F NEGRO"/>
    <x v="113"/>
    <x v="21"/>
    <x v="36"/>
    <s v="VT2"/>
    <s v="00004931"/>
    <x v="27"/>
    <n v="135"/>
    <n v="0"/>
    <n v="135"/>
  </r>
  <r>
    <n v="-17"/>
    <n v="-45258"/>
    <s v="Producto: 2130002216050701 / BISA PLATO LISO 20 BLANCO C/F NEGRO DECORADO"/>
    <x v="80"/>
    <x v="18"/>
    <x v="36"/>
    <s v="VT2"/>
    <s v="00004931"/>
    <x v="27"/>
    <n v="126"/>
    <n v="0"/>
    <n v="126"/>
  </r>
  <r>
    <n v="-17"/>
    <n v="-45258"/>
    <s v="Producto: 2330003020010101 / SANSON PLATO LISO 32 GENERICO"/>
    <x v="76"/>
    <x v="19"/>
    <x v="36"/>
    <s v="VT2"/>
    <s v="00004931"/>
    <x v="27"/>
    <n v="75"/>
    <n v="75"/>
    <n v="0"/>
  </r>
  <r>
    <n v="-17"/>
    <n v="-45258"/>
    <s v="Producto: 2133000926010701 / BISA POCILLO 5 NEGRO DECORADO"/>
    <x v="9"/>
    <x v="18"/>
    <x v="36"/>
    <s v="VT2"/>
    <s v="00004931"/>
    <x v="27"/>
    <n v="72"/>
    <n v="0"/>
    <n v="72"/>
  </r>
  <r>
    <n v="-17"/>
    <n v="-45258"/>
    <s v="Producto: 2140002412050101 / BISA TAZON INCLINADO 22 BICOLOR NARANJA"/>
    <x v="81"/>
    <x v="8"/>
    <x v="36"/>
    <s v="VT2"/>
    <s v="00004931"/>
    <x v="27"/>
    <n v="126"/>
    <n v="0"/>
    <n v="126"/>
  </r>
  <r>
    <n v="-17"/>
    <n v="-45258"/>
    <s v="Producto: 2133000912050101 / BISA POCILLO 5 BICOLOR NARANJA"/>
    <x v="9"/>
    <x v="8"/>
    <x v="36"/>
    <s v="VT2"/>
    <s v="00004931"/>
    <x v="27"/>
    <n v="750"/>
    <n v="0"/>
    <n v="750"/>
  </r>
  <r>
    <n v="-17"/>
    <n v="-45258"/>
    <s v="Producto: 2138000126010701 / BISA TAZA BISTRO  NEGRO DECORADO"/>
    <x v="115"/>
    <x v="18"/>
    <x v="36"/>
    <s v="VT2"/>
    <s v="00004931"/>
    <x v="27"/>
    <n v="63"/>
    <n v="0"/>
    <n v="63"/>
  </r>
  <r>
    <n v="-17"/>
    <n v="-45258"/>
    <s v="Producto: 2145001227010701 / BISA VASO 8 NEGRO MOTAS DECPRADO"/>
    <x v="116"/>
    <x v="20"/>
    <x v="36"/>
    <s v="VT2"/>
    <s v="00004931"/>
    <x v="27"/>
    <n v="72"/>
    <n v="0"/>
    <n v="72"/>
  </r>
  <r>
    <n v="-17"/>
    <n v="-45258"/>
    <s v="Producto: 2130001727010701 / BISA PLATO LISO 16 NEGRO MOTAS DECORADO"/>
    <x v="77"/>
    <x v="20"/>
    <x v="36"/>
    <s v="VT2"/>
    <s v="00004931"/>
    <x v="27"/>
    <n v="63"/>
    <n v="0"/>
    <n v="63"/>
  </r>
  <r>
    <n v="-17"/>
    <n v="-45258"/>
    <s v="Producto: 2130002216070101 / BISA PLATO LISO 20 BLANCO C/F ROJO"/>
    <x v="80"/>
    <x v="25"/>
    <x v="37"/>
    <s v="VT1"/>
    <s v="00003588"/>
    <x v="27"/>
    <n v="500"/>
    <n v="0"/>
    <n v="500"/>
  </r>
  <r>
    <n v="-17"/>
    <n v="-45258"/>
    <s v="Producto: 2132003021010101 / BISA PLATO TROQUELADO 32 GRIS"/>
    <x v="35"/>
    <x v="26"/>
    <x v="38"/>
    <s v="VT1"/>
    <s v="00003587"/>
    <x v="27"/>
    <n v="102"/>
    <n v="0"/>
    <n v="102"/>
  </r>
  <r>
    <n v="-17"/>
    <n v="-45258"/>
    <s v="Producto: 2132001721010101 / BISA PLATO TROQUELADO 16 GRIS"/>
    <x v="119"/>
    <x v="26"/>
    <x v="38"/>
    <s v="VT1"/>
    <s v="00003587"/>
    <x v="27"/>
    <n v="102"/>
    <n v="80"/>
    <n v="22"/>
  </r>
  <r>
    <n v="-17"/>
    <n v="-45258"/>
    <s v="Producto: 2145001227010101 / BISA VASO 8 NEGRO MOTAS"/>
    <x v="116"/>
    <x v="20"/>
    <x v="39"/>
    <s v="BO"/>
    <s v="00000861"/>
    <x v="28"/>
    <n v="40"/>
    <n v="0"/>
    <n v="40"/>
  </r>
  <r>
    <n v="-17"/>
    <n v="-45258"/>
    <s v="Producto: 2124001702010101 / BISA OLLA CONVEXA 16 A/T"/>
    <x v="41"/>
    <x v="4"/>
    <x v="40"/>
    <s v="BO"/>
    <s v="00000843"/>
    <x v="29"/>
    <n v="12"/>
    <n v="12"/>
    <n v="0"/>
  </r>
  <r>
    <n v="-17"/>
    <n v="-45258"/>
    <s v="Producto: 2125003102010101 / BISA OLLA RECTA 34 A/T"/>
    <x v="21"/>
    <x v="4"/>
    <x v="40"/>
    <s v="BO"/>
    <s v="00000843"/>
    <x v="29"/>
    <n v="8"/>
    <n v="0"/>
    <n v="8"/>
  </r>
  <r>
    <n v="-17"/>
    <n v="-45258"/>
    <s v="Producto: 2136002502010101 / BISA SARTEN 24 A/T"/>
    <x v="85"/>
    <x v="4"/>
    <x v="40"/>
    <s v="BO"/>
    <s v="00000843"/>
    <x v="29"/>
    <n v="48"/>
    <n v="0"/>
    <n v="48"/>
  </r>
  <r>
    <n v="-17"/>
    <n v="-45258"/>
    <s v="Producto: 2142002127010101 / BISA TORTILLERO 18 NEGRO MOTAS"/>
    <x v="1"/>
    <x v="27"/>
    <x v="41"/>
    <s v="BO"/>
    <s v="00000846"/>
    <x v="29"/>
    <n v="18"/>
    <n v="6"/>
    <n v="12"/>
  </r>
  <r>
    <n v="-17"/>
    <n v="-45258"/>
    <s v="Producto: 2152003216050101 / BISA PLATO OVAL 36 BLANCO C/F NEGRO"/>
    <x v="10"/>
    <x v="28"/>
    <x v="41"/>
    <s v="BO"/>
    <s v="00000846"/>
    <x v="29"/>
    <n v="36"/>
    <n v="0"/>
    <n v="36"/>
  </r>
  <r>
    <n v="-17"/>
    <n v="-45258"/>
    <s v="Producto: 2152003027010101 / BISA PLATO OVAL 32 NEGRO MOTAS"/>
    <x v="69"/>
    <x v="0"/>
    <x v="41"/>
    <s v="BO"/>
    <s v="00000846"/>
    <x v="29"/>
    <n v="24"/>
    <n v="0"/>
    <n v="24"/>
  </r>
  <r>
    <n v="-17"/>
    <n v="-45258"/>
    <s v="Producto: 2152003016050101 / BISA PLATO OVAL 32 BLANCO C/F NEGRO"/>
    <x v="69"/>
    <x v="28"/>
    <x v="41"/>
    <s v="BO"/>
    <s v="00000846"/>
    <x v="29"/>
    <n v="6"/>
    <n v="0"/>
    <n v="6"/>
  </r>
  <r>
    <n v="-17"/>
    <n v="-45258"/>
    <s v="Producto: 2152002816050101 / BISA PLATO OVAL 28 BLANCO C/F NEGRO"/>
    <x v="120"/>
    <x v="28"/>
    <x v="41"/>
    <s v="BO"/>
    <s v="00000846"/>
    <x v="29"/>
    <n v="54"/>
    <n v="42"/>
    <n v="12"/>
  </r>
  <r>
    <n v="-17"/>
    <n v="-45258"/>
    <s v="Producto: 2152002827010101 / BISA PLATO OVAL 28 NEGRO MOTAS"/>
    <x v="120"/>
    <x v="0"/>
    <x v="41"/>
    <s v="BO"/>
    <s v="00000846"/>
    <x v="29"/>
    <n v="36"/>
    <n v="0"/>
    <n v="36"/>
  </r>
  <r>
    <n v="-17"/>
    <n v="-45258"/>
    <s v="Producto: 2106001702010101 / BISA BUDINERA 16 A/T"/>
    <x v="82"/>
    <x v="4"/>
    <x v="42"/>
    <s v="BO"/>
    <s v="00000847"/>
    <x v="30"/>
    <n v="36"/>
    <n v="36"/>
    <n v="0"/>
  </r>
  <r>
    <n v="-17"/>
    <n v="-45258"/>
    <s v="Producto: 2106003302010101 / BISA BUDINERA 42 A/T"/>
    <x v="90"/>
    <x v="4"/>
    <x v="42"/>
    <s v="BO"/>
    <s v="00000847"/>
    <x v="30"/>
    <n v="4"/>
    <n v="4"/>
    <n v="0"/>
  </r>
  <r>
    <n v="-17"/>
    <n v="-45258"/>
    <s v="Producto: 2110002827010101 / BISA COMAL 28 NEGRO MOTAS"/>
    <x v="13"/>
    <x v="0"/>
    <x v="42"/>
    <s v="BO"/>
    <s v="00000847"/>
    <x v="30"/>
    <n v="48"/>
    <n v="0"/>
    <n v="48"/>
  </r>
  <r>
    <n v="-17"/>
    <n v="-45258"/>
    <s v="Producto: 2110003227010101 / BISA COMAL 36 NEGRO MOTAS"/>
    <x v="52"/>
    <x v="0"/>
    <x v="42"/>
    <s v="BO"/>
    <s v="00000847"/>
    <x v="30"/>
    <n v="36"/>
    <n v="36"/>
    <n v="0"/>
  </r>
  <r>
    <n v="-17"/>
    <n v="-45258"/>
    <s v="Producto: 2125002502010101 / BISA OLLA RECTA 24 A/T"/>
    <x v="45"/>
    <x v="4"/>
    <x v="42"/>
    <s v="BO"/>
    <s v="00000847"/>
    <x v="30"/>
    <n v="12"/>
    <n v="12"/>
    <n v="0"/>
  </r>
  <r>
    <n v="-17"/>
    <n v="-45258"/>
    <s v="Producto: 2125003102010101 / BISA OLLA RECTA 34 A/T"/>
    <x v="21"/>
    <x v="4"/>
    <x v="42"/>
    <s v="BO"/>
    <s v="00000847"/>
    <x v="30"/>
    <n v="4"/>
    <n v="0"/>
    <n v="4"/>
  </r>
  <r>
    <n v="-17"/>
    <n v="-45258"/>
    <s v="Producto: 2136002502010101 / BISA SARTEN 24 A/T"/>
    <x v="85"/>
    <x v="4"/>
    <x v="42"/>
    <s v="BO"/>
    <s v="00000847"/>
    <x v="30"/>
    <n v="24"/>
    <n v="0"/>
    <n v="24"/>
  </r>
  <r>
    <n v="-91"/>
    <n v="-45258"/>
    <s v="Producto: 2106002602010101 / BISA BUDINERA 26 A/T"/>
    <x v="12"/>
    <x v="4"/>
    <x v="43"/>
    <s v="BO"/>
    <s v="00000851"/>
    <x v="31"/>
    <n v="12"/>
    <n v="0"/>
    <n v="12"/>
  </r>
  <r>
    <n v="-91"/>
    <n v="-45258"/>
    <s v="Producto: 2106003102010101 / BISA BUDINERA 34 A/T"/>
    <x v="39"/>
    <x v="4"/>
    <x v="43"/>
    <s v="BO"/>
    <s v="00000851"/>
    <x v="31"/>
    <n v="4"/>
    <n v="4"/>
    <n v="0"/>
  </r>
  <r>
    <n v="-91"/>
    <n v="-45258"/>
    <s v="Producto: 2124001702010101 / BISA OLLA CONVEXA 16 A/T"/>
    <x v="41"/>
    <x v="4"/>
    <x v="43"/>
    <s v="BO"/>
    <s v="00000851"/>
    <x v="31"/>
    <n v="12"/>
    <n v="12"/>
    <n v="0"/>
  </r>
  <r>
    <n v="-91"/>
    <n v="-45258"/>
    <s v="Producto: 2133001502010101 / BISA POCILLO 14 A/T"/>
    <x v="29"/>
    <x v="4"/>
    <x v="43"/>
    <s v="BO"/>
    <s v="00000851"/>
    <x v="31"/>
    <n v="24"/>
    <n v="0"/>
    <n v="24"/>
  </r>
  <r>
    <n v="-91"/>
    <n v="-45258"/>
    <s v="Producto: 2139001602010101 / BISA TAZON 15.5 A/T"/>
    <x v="100"/>
    <x v="4"/>
    <x v="43"/>
    <s v="BO"/>
    <s v="00000851"/>
    <x v="31"/>
    <n v="12"/>
    <n v="0"/>
    <n v="12"/>
  </r>
  <r>
    <n v="-91"/>
    <n v="-45258"/>
    <s v="Producto: 2133001501010701 / BISA POCILLO 14 DECORADO "/>
    <x v="29"/>
    <x v="6"/>
    <x v="43"/>
    <s v="BO"/>
    <s v="00000851"/>
    <x v="31"/>
    <n v="24"/>
    <n v="0"/>
    <n v="24"/>
  </r>
  <r>
    <n v="-56"/>
    <n v="-45258"/>
    <s v="Producto: 1102000619010101 / BISA BANDEJA 2 GALVANIZADO"/>
    <x v="121"/>
    <x v="2"/>
    <x v="43"/>
    <s v="BO"/>
    <s v="00000852"/>
    <x v="32"/>
    <n v="10"/>
    <n v="0"/>
    <n v="10"/>
  </r>
  <r>
    <n v="-56"/>
    <n v="-45258"/>
    <s v="Producto: 1103000219010101 / BISA BAÑO 0 GALVANIZADO"/>
    <x v="57"/>
    <x v="2"/>
    <x v="43"/>
    <s v="BO"/>
    <s v="00000852"/>
    <x v="32"/>
    <n v="2"/>
    <n v="0"/>
    <n v="2"/>
  </r>
  <r>
    <n v="-56"/>
    <n v="-45258"/>
    <s v="Producto: 1103000619010101 / BISA BAÑO 2 GALVANIZADO"/>
    <x v="54"/>
    <x v="2"/>
    <x v="43"/>
    <s v="BO"/>
    <s v="00000852"/>
    <x v="32"/>
    <n v="5"/>
    <n v="1"/>
    <n v="4"/>
  </r>
  <r>
    <n v="-56"/>
    <n v="-45258"/>
    <s v="Producto: 1103000819010101 / BISA BAÑO 4 GALVANIZADO"/>
    <x v="4"/>
    <x v="2"/>
    <x v="43"/>
    <s v="BO"/>
    <s v="00000852"/>
    <x v="32"/>
    <n v="10"/>
    <n v="0"/>
    <n v="10"/>
  </r>
  <r>
    <n v="-56"/>
    <n v="-45258"/>
    <s v="Producto: 1103000919010101 / BISA BAÑO 5 GALVANIZADO"/>
    <x v="2"/>
    <x v="2"/>
    <x v="43"/>
    <s v="BO"/>
    <s v="00000852"/>
    <x v="32"/>
    <n v="10"/>
    <n v="0"/>
    <n v="10"/>
  </r>
  <r>
    <n v="-56"/>
    <n v="-45258"/>
    <s v="Producto: 1103001019010101 / BISA BAÑO 6 GALVANIZADO"/>
    <x v="3"/>
    <x v="2"/>
    <x v="43"/>
    <s v="BO"/>
    <s v="00000852"/>
    <x v="32"/>
    <n v="10"/>
    <n v="0"/>
    <n v="10"/>
  </r>
  <r>
    <n v="-56"/>
    <n v="-45258"/>
    <s v="Producto: 1111001219010101 / BISA CUBETA 8 GALVANIZADO"/>
    <x v="5"/>
    <x v="2"/>
    <x v="43"/>
    <s v="BO"/>
    <s v="00000852"/>
    <x v="32"/>
    <n v="25"/>
    <n v="25"/>
    <n v="0"/>
  </r>
  <r>
    <n v="-56"/>
    <n v="-45258"/>
    <s v="Producto: 1111001519010101 / BISA CUBETA 14 GALVANIZADO"/>
    <x v="56"/>
    <x v="2"/>
    <x v="43"/>
    <s v="BO"/>
    <s v="00000852"/>
    <x v="32"/>
    <n v="25"/>
    <n v="0"/>
    <n v="25"/>
  </r>
  <r>
    <n v="-40"/>
    <n v="-45258"/>
    <s v="Producto: 2101002216050101 / BISA BACINICA 20 BLANCO C/F NEGRO"/>
    <x v="122"/>
    <x v="21"/>
    <x v="44"/>
    <s v="VT1"/>
    <s v="00003592"/>
    <x v="33"/>
    <n v="12"/>
    <n v="12"/>
    <n v="0"/>
  </r>
  <r>
    <n v="-40"/>
    <n v="-45258"/>
    <s v="Producto: 2106001502010101 / BISA BUDINERA 14 A/T"/>
    <x v="92"/>
    <x v="4"/>
    <x v="44"/>
    <s v="VT1"/>
    <s v="00003592"/>
    <x v="33"/>
    <n v="18"/>
    <n v="18"/>
    <n v="0"/>
  </r>
  <r>
    <n v="-40"/>
    <n v="-45258"/>
    <s v="Producto: 2106001702010101 / BISA BUDINERA 16 A/T"/>
    <x v="82"/>
    <x v="4"/>
    <x v="44"/>
    <s v="VT1"/>
    <s v="00003592"/>
    <x v="33"/>
    <n v="18"/>
    <n v="18"/>
    <n v="0"/>
  </r>
  <r>
    <n v="-40"/>
    <n v="-45258"/>
    <s v="Producto: 2106002102010101 / BISA BUDINERA 18 A/T"/>
    <x v="93"/>
    <x v="4"/>
    <x v="44"/>
    <s v="VT1"/>
    <s v="00003592"/>
    <x v="33"/>
    <n v="18"/>
    <n v="18"/>
    <n v="0"/>
  </r>
  <r>
    <n v="-40"/>
    <n v="-45258"/>
    <s v="Producto: 2106002202010101 / BISA BUDINERA 20 A/T"/>
    <x v="36"/>
    <x v="4"/>
    <x v="44"/>
    <s v="VT1"/>
    <s v="00003592"/>
    <x v="33"/>
    <n v="18"/>
    <n v="18"/>
    <n v="0"/>
  </r>
  <r>
    <n v="-40"/>
    <n v="-45258"/>
    <s v="Producto: 2106002402010101 / BISA BUDINERA 22 A/T"/>
    <x v="37"/>
    <x v="4"/>
    <x v="44"/>
    <s v="VT1"/>
    <s v="00003592"/>
    <x v="33"/>
    <n v="12"/>
    <n v="12"/>
    <n v="0"/>
  </r>
  <r>
    <n v="-40"/>
    <n v="-45258"/>
    <s v="Producto: 2106002502010101 / BISA BUDINERA 24 A/T"/>
    <x v="11"/>
    <x v="4"/>
    <x v="44"/>
    <s v="VT1"/>
    <s v="00003592"/>
    <x v="33"/>
    <n v="12"/>
    <n v="12"/>
    <n v="0"/>
  </r>
  <r>
    <n v="-40"/>
    <n v="-45258"/>
    <s v="Producto: 2106002514010101 / BISA BUDINERA 24 BICOLOR ROJO"/>
    <x v="11"/>
    <x v="7"/>
    <x v="44"/>
    <s v="VT1"/>
    <s v="00003592"/>
    <x v="33"/>
    <n v="12"/>
    <n v="12"/>
    <n v="0"/>
  </r>
  <r>
    <n v="-40"/>
    <n v="-45258"/>
    <s v="Producto: 2114003802010101 / BISA DESPACHADOR AGUA 19LTS A/T"/>
    <x v="123"/>
    <x v="4"/>
    <x v="44"/>
    <s v="VT1"/>
    <s v="00003592"/>
    <x v="33"/>
    <n v="1"/>
    <n v="1"/>
    <n v="0"/>
  </r>
  <r>
    <n v="-40"/>
    <n v="-45258"/>
    <s v="Producto: 2124001502010101 / BISA OLLA CONVEXA 14 A/T"/>
    <x v="40"/>
    <x v="4"/>
    <x v="44"/>
    <s v="VT1"/>
    <s v="00003592"/>
    <x v="33"/>
    <n v="18"/>
    <n v="18"/>
    <n v="0"/>
  </r>
  <r>
    <n v="-40"/>
    <n v="-45258"/>
    <s v="Producto: 2124001702010101 / BISA OLLA CONVEXA 16 A/T"/>
    <x v="41"/>
    <x v="4"/>
    <x v="44"/>
    <s v="VT1"/>
    <s v="00003592"/>
    <x v="33"/>
    <n v="12"/>
    <n v="12"/>
    <n v="0"/>
  </r>
  <r>
    <n v="-40"/>
    <n v="-45258"/>
    <s v="Producto: 2124002102010101 / BISA OLLA CONVEXA 18 A/T"/>
    <x v="14"/>
    <x v="4"/>
    <x v="44"/>
    <s v="VT1"/>
    <s v="00003592"/>
    <x v="33"/>
    <n v="12"/>
    <n v="12"/>
    <n v="0"/>
  </r>
  <r>
    <n v="-40"/>
    <n v="-45258"/>
    <s v="Producto: 2124002202010101 / BISA OLLA CONVEXA 20 A/T"/>
    <x v="15"/>
    <x v="4"/>
    <x v="44"/>
    <s v="VT1"/>
    <s v="00003592"/>
    <x v="33"/>
    <n v="12"/>
    <n v="12"/>
    <n v="0"/>
  </r>
  <r>
    <n v="-40"/>
    <n v="-45258"/>
    <s v="Producto: 2124002402010101 / BISA OLLA CONVEXA 22 A/T"/>
    <x v="16"/>
    <x v="4"/>
    <x v="44"/>
    <s v="VT1"/>
    <s v="00003592"/>
    <x v="33"/>
    <n v="6"/>
    <n v="6"/>
    <n v="0"/>
  </r>
  <r>
    <n v="-40"/>
    <n v="-45258"/>
    <s v="Producto: 2124002502010101 / BISA OLLA CONVEXA 24 A/T"/>
    <x v="17"/>
    <x v="4"/>
    <x v="44"/>
    <s v="VT1"/>
    <s v="00003592"/>
    <x v="33"/>
    <n v="6"/>
    <n v="6"/>
    <n v="0"/>
  </r>
  <r>
    <n v="-40"/>
    <n v="-45258"/>
    <s v="Producto: 2126002216050101 / BISA PLATO AVENERO 20 BLANCO C/F NEGRO"/>
    <x v="106"/>
    <x v="3"/>
    <x v="44"/>
    <s v="VT1"/>
    <s v="00003592"/>
    <x v="33"/>
    <n v="24"/>
    <n v="24"/>
    <n v="0"/>
  </r>
  <r>
    <n v="-40"/>
    <n v="-45258"/>
    <s v="Producto: 2129002716050101 / BISA PLATO HONDO 27 BLANCO C/F NEGRO"/>
    <x v="8"/>
    <x v="21"/>
    <x v="44"/>
    <s v="VT1"/>
    <s v="00003592"/>
    <x v="33"/>
    <n v="24"/>
    <n v="24"/>
    <n v="0"/>
  </r>
  <r>
    <n v="-40"/>
    <n v="-45258"/>
    <s v="Producto: 2133000902010101 / BISA POCILLO 5 A/T"/>
    <x v="9"/>
    <x v="4"/>
    <x v="44"/>
    <s v="VTT"/>
    <s v="00002199"/>
    <x v="33"/>
    <n v="72"/>
    <n v="72"/>
    <n v="0"/>
  </r>
  <r>
    <n v="-40"/>
    <n v="-45258"/>
    <s v="Producto: 2133000916050101 / BISA POCILLO 5 BLANCO C/F NEGRO"/>
    <x v="9"/>
    <x v="21"/>
    <x v="44"/>
    <s v="VT1"/>
    <s v="00003592"/>
    <x v="33"/>
    <n v="24"/>
    <n v="24"/>
    <n v="0"/>
  </r>
  <r>
    <n v="-40"/>
    <n v="-45258"/>
    <s v="Producto: 2133001216050101 / BISA POCILLO 8 BLANCO C/F NEGRO"/>
    <x v="75"/>
    <x v="21"/>
    <x v="44"/>
    <s v="VT1"/>
    <s v="00003592"/>
    <x v="33"/>
    <n v="24"/>
    <n v="24"/>
    <n v="0"/>
  </r>
  <r>
    <n v="-40"/>
    <n v="-45258"/>
    <s v="Producto: 2136002402010101 / BISA SARTEN 22 A/T"/>
    <x v="48"/>
    <x v="4"/>
    <x v="44"/>
    <s v="VT1"/>
    <s v="00003592"/>
    <x v="33"/>
    <n v="12"/>
    <n v="0"/>
    <n v="12"/>
  </r>
  <r>
    <n v="-40"/>
    <n v="-45258"/>
    <s v="Producto: 2151001502010101 / BISA VASO RECTO 14 CON TAPA"/>
    <x v="124"/>
    <x v="4"/>
    <x v="44"/>
    <s v="VT1"/>
    <s v="00003592"/>
    <x v="33"/>
    <n v="12"/>
    <n v="12"/>
    <n v="0"/>
  </r>
  <r>
    <n v="-40"/>
    <n v="-45258"/>
    <s v="Producto: 2154009702010101 / BISA JARRA ABOMBADA 3L A/T"/>
    <x v="125"/>
    <x v="4"/>
    <x v="44"/>
    <s v="VT1"/>
    <s v="00003592"/>
    <x v="33"/>
    <n v="1"/>
    <n v="1"/>
    <n v="0"/>
  </r>
  <r>
    <n v="-40"/>
    <n v="-45258"/>
    <s v="Producto: 2354009702010101 / SANSON JARRA ABOMBADA 3 L A/T"/>
    <x v="125"/>
    <x v="4"/>
    <x v="44"/>
    <s v="VT1"/>
    <s v="00003592"/>
    <x v="33"/>
    <n v="1"/>
    <n v="1"/>
    <n v="0"/>
  </r>
  <r>
    <n v="-40"/>
    <n v="-45258"/>
    <s v="Producto: 2354009713010101 / SANSON JARRA ABOMBADA 3L BICOLOR NEGRO MOTAS "/>
    <x v="125"/>
    <x v="29"/>
    <x v="44"/>
    <s v="VT1"/>
    <s v="00003592"/>
    <x v="33"/>
    <n v="2"/>
    <n v="2"/>
    <n v="0"/>
  </r>
  <r>
    <n v="-40"/>
    <n v="-45258"/>
    <s v="Producto: 2354009714010101 / SANSON JARRA ABOMBADA 3L BICOLOR ROJO"/>
    <x v="125"/>
    <x v="7"/>
    <x v="44"/>
    <s v="VT1"/>
    <s v="00003592"/>
    <x v="33"/>
    <n v="2"/>
    <n v="2"/>
    <n v="0"/>
  </r>
  <r>
    <n v="-40"/>
    <n v="-45258"/>
    <s v="Producto: 2354009757010101 / SANSON JARRA ABOMBADA 3L BICOLOR GRIS"/>
    <x v="125"/>
    <x v="30"/>
    <x v="44"/>
    <s v="VT1"/>
    <s v="00003592"/>
    <x v="33"/>
    <n v="2"/>
    <n v="2"/>
    <n v="0"/>
  </r>
  <r>
    <n v="-40"/>
    <n v="-45258"/>
    <s v="Producto: 2154009718010101 / BISA JARRA ABOMBADA 3L COBALTO MOTAS "/>
    <x v="125"/>
    <x v="31"/>
    <x v="44"/>
    <s v="VT1"/>
    <s v="00003592"/>
    <x v="33"/>
    <n v="2"/>
    <n v="2"/>
    <n v="0"/>
  </r>
  <r>
    <n v="-40"/>
    <n v="-45258"/>
    <s v="Producto: 2154009717010101 / BISA JARRA ABOMBADA 3L COBALTO"/>
    <x v="125"/>
    <x v="32"/>
    <x v="44"/>
    <s v="VT1"/>
    <s v="00003592"/>
    <x v="33"/>
    <n v="2"/>
    <n v="2"/>
    <n v="0"/>
  </r>
  <r>
    <n v="-40"/>
    <n v="-45258"/>
    <s v="Producto: 2114003816050101 / BISA DESPACHADOR AGUA 19LTS BLANCO C/F NEGRO"/>
    <x v="123"/>
    <x v="21"/>
    <x v="44"/>
    <s v="VT1"/>
    <s v="00003592"/>
    <x v="33"/>
    <n v="2"/>
    <n v="2"/>
    <n v="0"/>
  </r>
  <r>
    <n v="-78"/>
    <n v="-45258"/>
    <s v="Producto: 1103000719010101 / BISA BAÑO 3 GALVANIZADO"/>
    <x v="23"/>
    <x v="2"/>
    <x v="45"/>
    <s v="BO"/>
    <s v="00000853"/>
    <x v="20"/>
    <n v="10"/>
    <n v="10"/>
    <n v="0"/>
  </r>
  <r>
    <n v="-78"/>
    <n v="-45258"/>
    <s v="Producto: 1103000819010101 / BISA BAÑO 4 GALVANIZADO"/>
    <x v="4"/>
    <x v="2"/>
    <x v="45"/>
    <s v="BO"/>
    <s v="00000853"/>
    <x v="20"/>
    <n v="10"/>
    <n v="0"/>
    <n v="10"/>
  </r>
  <r>
    <n v="-78"/>
    <n v="-45258"/>
    <s v="Producto: 1103000919010101 / BISA BAÑO 5 GALVANIZADO"/>
    <x v="2"/>
    <x v="2"/>
    <x v="45"/>
    <s v="BO"/>
    <s v="00000853"/>
    <x v="20"/>
    <n v="10"/>
    <n v="0"/>
    <n v="10"/>
  </r>
  <r>
    <n v="-78"/>
    <n v="-45258"/>
    <s v="Producto: 1103001019010101 / BISA BAÑO 6 GALVANIZADO"/>
    <x v="3"/>
    <x v="2"/>
    <x v="45"/>
    <s v="BO"/>
    <s v="00000853"/>
    <x v="20"/>
    <n v="10"/>
    <n v="0"/>
    <n v="10"/>
  </r>
  <r>
    <n v="-78"/>
    <n v="-45258"/>
    <s v="Producto: 1103001219010101 / BISA BAÑO 8 GALVANIZADO"/>
    <x v="63"/>
    <x v="2"/>
    <x v="45"/>
    <s v="BO"/>
    <s v="00000853"/>
    <x v="20"/>
    <n v="9"/>
    <n v="9"/>
    <n v="0"/>
  </r>
  <r>
    <n v="-78"/>
    <n v="-45258"/>
    <s v="Producto: 1103001419010101 / BISA BAÑO 12 GALVANIZADO"/>
    <x v="65"/>
    <x v="2"/>
    <x v="45"/>
    <s v="BO"/>
    <s v="00000853"/>
    <x v="20"/>
    <n v="6"/>
    <n v="0"/>
    <n v="6"/>
  </r>
  <r>
    <n v="-78"/>
    <n v="-45258"/>
    <s v="Producto: 1111001219010101 / BISA CUBETA 8 GALVANIZADO"/>
    <x v="5"/>
    <x v="2"/>
    <x v="45"/>
    <s v="BO"/>
    <s v="00000853"/>
    <x v="20"/>
    <n v="25"/>
    <n v="25"/>
    <n v="0"/>
  </r>
  <r>
    <n v="-47"/>
    <n v="-45258"/>
    <s v="Producto: 2124001702010101 / BISA OLLA CONVEXA 16 A/T"/>
    <x v="41"/>
    <x v="4"/>
    <x v="46"/>
    <s v="BO"/>
    <s v="00000854"/>
    <x v="34"/>
    <n v="12"/>
    <n v="12"/>
    <n v="0"/>
  </r>
  <r>
    <n v="-47"/>
    <n v="-45258"/>
    <s v="Producto: 2136002402010101 / BISA SARTEN 22 A/T"/>
    <x v="48"/>
    <x v="4"/>
    <x v="46"/>
    <s v="BO"/>
    <s v="00000854"/>
    <x v="34"/>
    <n v="24"/>
    <n v="0"/>
    <n v="24"/>
  </r>
  <r>
    <n v="-47"/>
    <n v="-45258"/>
    <s v="Producto: 2136002502010101 / BISA SARTEN 24 A/T"/>
    <x v="85"/>
    <x v="4"/>
    <x v="46"/>
    <s v="BO"/>
    <s v="00000854"/>
    <x v="34"/>
    <n v="24"/>
    <n v="0"/>
    <n v="24"/>
  </r>
  <r>
    <n v="-35"/>
    <n v="-45258"/>
    <s v="Producto: 2106002902010101 / BISA BUDINERA 30 A/T"/>
    <x v="38"/>
    <x v="4"/>
    <x v="47"/>
    <s v="VT2"/>
    <s v="00004940"/>
    <x v="35"/>
    <n v="40"/>
    <n v="0"/>
    <n v="40"/>
  </r>
  <r>
    <n v="-35"/>
    <n v="-45258"/>
    <s v="Producto: 2106003302010101 / BISA BUDINERA 42 A/T"/>
    <x v="90"/>
    <x v="4"/>
    <x v="47"/>
    <s v="VT2"/>
    <s v="00004940"/>
    <x v="35"/>
    <n v="20"/>
    <n v="20"/>
    <n v="0"/>
  </r>
  <r>
    <n v="-35"/>
    <n v="-45258"/>
    <s v="Producto: 2110002427010101 / BISA COMAL 22 NEGRO MOTAS"/>
    <x v="28"/>
    <x v="0"/>
    <x v="47"/>
    <s v="VT2"/>
    <s v="00004940"/>
    <x v="35"/>
    <n v="240"/>
    <n v="240"/>
    <n v="0"/>
  </r>
  <r>
    <n v="-35"/>
    <n v="-45258"/>
    <s v="Producto: 2110002827010101 / BISA COMAL 28 NEGRO MOTAS"/>
    <x v="13"/>
    <x v="0"/>
    <x v="47"/>
    <s v="VT2"/>
    <s v="00004940"/>
    <x v="35"/>
    <n v="600"/>
    <n v="305"/>
    <n v="295"/>
  </r>
  <r>
    <n v="-35"/>
    <n v="-45258"/>
    <s v="Producto: 2110003227010101 / BISA COMAL 36 NEGRO MOTAS"/>
    <x v="52"/>
    <x v="0"/>
    <x v="47"/>
    <s v="VT2"/>
    <s v="00004940"/>
    <x v="35"/>
    <n v="180"/>
    <n v="180"/>
    <n v="0"/>
  </r>
  <r>
    <n v="-76"/>
    <n v="-45258"/>
    <s v="Producto: 2133000926010701 / BISA POCILLO 5 NEGRO DECORADO"/>
    <x v="9"/>
    <x v="23"/>
    <x v="48"/>
    <s v="VT2"/>
    <s v="00004906"/>
    <x v="36"/>
    <n v="312"/>
    <n v="0"/>
    <n v="312"/>
  </r>
  <r>
    <n v="-33"/>
    <n v="-45258"/>
    <s v="Producto: 2104005501010101 / BISA BATERIA ALASKA"/>
    <x v="87"/>
    <x v="6"/>
    <x v="49"/>
    <s v="VT2"/>
    <s v="00004943"/>
    <x v="37"/>
    <n v="20"/>
    <n v="0"/>
    <n v="20"/>
  </r>
  <r>
    <n v="-33"/>
    <n v="-45258"/>
    <s v="Producto: 2104006101010101 / BISA BATERIA CAMPESTRE"/>
    <x v="126"/>
    <x v="6"/>
    <x v="49"/>
    <s v="VT2"/>
    <s v="00004943"/>
    <x v="37"/>
    <n v="20"/>
    <n v="20"/>
    <n v="0"/>
  </r>
  <r>
    <n v="-33"/>
    <n v="-45258"/>
    <s v="Producto: 2106002202010101 / BISA BUDINERA 20 A/T"/>
    <x v="36"/>
    <x v="4"/>
    <x v="49"/>
    <s v="VT2"/>
    <s v="00004943"/>
    <x v="37"/>
    <n v="180"/>
    <n v="180"/>
    <n v="0"/>
  </r>
  <r>
    <n v="-33"/>
    <n v="-45258"/>
    <s v="Producto: 2106002902010101 / BISA BUDINERA 30 A/T"/>
    <x v="38"/>
    <x v="4"/>
    <x v="49"/>
    <s v="VT2"/>
    <s v="00004943"/>
    <x v="37"/>
    <n v="40"/>
    <n v="0"/>
    <n v="40"/>
  </r>
  <r>
    <n v="-33"/>
    <n v="-45258"/>
    <s v="Producto: 2106003102010101 / BISA BUDINERA 34 A/T"/>
    <x v="39"/>
    <x v="4"/>
    <x v="49"/>
    <s v="VT2"/>
    <s v="00004943"/>
    <x v="37"/>
    <n v="32"/>
    <n v="32"/>
    <n v="0"/>
  </r>
  <r>
    <n v="-33"/>
    <n v="-45258"/>
    <s v="Producto: 2106003302010101 / BISA BUDINERA 42 A/T"/>
    <x v="90"/>
    <x v="4"/>
    <x v="49"/>
    <s v="VT2"/>
    <s v="00004943"/>
    <x v="37"/>
    <n v="20"/>
    <n v="20"/>
    <n v="0"/>
  </r>
  <r>
    <n v="-33"/>
    <n v="-45258"/>
    <s v="Producto: 2121005801010110 / BISA JUEGO AZULEJO    5PZ/1"/>
    <x v="127"/>
    <x v="6"/>
    <x v="49"/>
    <s v="VT2"/>
    <s v="00004943"/>
    <x v="37"/>
    <n v="20"/>
    <n v="20"/>
    <n v="0"/>
  </r>
  <r>
    <n v="-33"/>
    <n v="-45258"/>
    <s v="Producto: 2124002102010101 / BISA OLLA CONVEXA 18 A/T"/>
    <x v="14"/>
    <x v="4"/>
    <x v="49"/>
    <s v="VT2"/>
    <s v="00004943"/>
    <x v="37"/>
    <n v="60"/>
    <n v="0"/>
    <n v="60"/>
  </r>
  <r>
    <n v="-33"/>
    <n v="-45258"/>
    <s v="Producto: 2124002202010101 / BISA OLLA CONVEXA 20 A/T"/>
    <x v="15"/>
    <x v="4"/>
    <x v="49"/>
    <s v="VT2"/>
    <s v="00004943"/>
    <x v="37"/>
    <n v="60"/>
    <n v="60"/>
    <n v="0"/>
  </r>
  <r>
    <n v="-33"/>
    <n v="-45258"/>
    <s v="Producto: 2133001302010101 / BISA POCILLO 10 A/T"/>
    <x v="98"/>
    <x v="4"/>
    <x v="49"/>
    <s v="VT2"/>
    <s v="00004943"/>
    <x v="37"/>
    <n v="96"/>
    <n v="96"/>
    <n v="0"/>
  </r>
  <r>
    <n v="-33"/>
    <n v="-45258"/>
    <s v="Producto: 2133001502010101 / BISA POCILLO 14 A/T"/>
    <x v="29"/>
    <x v="4"/>
    <x v="49"/>
    <s v="VT2"/>
    <s v="00004943"/>
    <x v="37"/>
    <n v="120"/>
    <n v="0"/>
    <n v="120"/>
  </r>
  <r>
    <n v="-33"/>
    <n v="-45258"/>
    <s v="Producto: 2136002402010101 / BISA SARTEN 22 A/T"/>
    <x v="48"/>
    <x v="4"/>
    <x v="49"/>
    <s v="VT2"/>
    <s v="00004943"/>
    <x v="37"/>
    <n v="60"/>
    <n v="0"/>
    <n v="60"/>
  </r>
  <r>
    <n v="-33"/>
    <n v="-45258"/>
    <s v="Producto: 2136002502010101 / BISA SARTEN 24 A/T"/>
    <x v="85"/>
    <x v="4"/>
    <x v="49"/>
    <s v="VT2"/>
    <s v="00004943"/>
    <x v="37"/>
    <n v="60"/>
    <n v="0"/>
    <n v="60"/>
  </r>
  <r>
    <n v="-33"/>
    <n v="-45258"/>
    <s v="Producto: 2148001502010101 / BISA VASO RECTO 14 CON ASA"/>
    <x v="124"/>
    <x v="4"/>
    <x v="49"/>
    <s v="VT2"/>
    <s v="00004943"/>
    <x v="37"/>
    <n v="240"/>
    <n v="240"/>
    <n v="0"/>
  </r>
  <r>
    <n v="-33"/>
    <n v="-45258"/>
    <s v="Producto: 2151001502010101 / BISA VASO RECTO 14 CON TAPA"/>
    <x v="124"/>
    <x v="4"/>
    <x v="49"/>
    <s v="VT2"/>
    <s v="00004943"/>
    <x v="37"/>
    <n v="60"/>
    <n v="55"/>
    <n v="5"/>
  </r>
  <r>
    <n v="-84"/>
    <n v="-45258"/>
    <s v="Producto: 2124002502010101 / BISA OLLA CONVEXA 24 A/T"/>
    <x v="17"/>
    <x v="4"/>
    <x v="50"/>
    <s v="BO"/>
    <s v="00000855"/>
    <x v="38"/>
    <n v="24"/>
    <n v="0"/>
    <n v="24"/>
  </r>
  <r>
    <n v="-84"/>
    <n v="-45258"/>
    <s v="Producto: 2125002802010101 / BISA OLLA RECTA 28 A/T"/>
    <x v="47"/>
    <x v="4"/>
    <x v="50"/>
    <s v="BO"/>
    <s v="00000855"/>
    <x v="38"/>
    <n v="4"/>
    <n v="4"/>
    <n v="0"/>
  </r>
  <r>
    <n v="-84"/>
    <n v="-45258"/>
    <s v="Producto: 2133001402010101 / BISA POCILLO 12 A/T"/>
    <x v="84"/>
    <x v="4"/>
    <x v="50"/>
    <s v="BO"/>
    <s v="00000855"/>
    <x v="38"/>
    <n v="24"/>
    <n v="0"/>
    <n v="24"/>
  </r>
  <r>
    <n v="-84"/>
    <n v="-45258"/>
    <s v="Producto: 2136002402010101 / BISA SARTEN 22 A/T"/>
    <x v="48"/>
    <x v="4"/>
    <x v="50"/>
    <s v="BO"/>
    <s v="00000855"/>
    <x v="38"/>
    <n v="48"/>
    <n v="0"/>
    <n v="48"/>
  </r>
  <r>
    <n v="-84"/>
    <n v="-45258"/>
    <s v="Producto: 2136002502010101 / BISA SARTEN 24 A/T"/>
    <x v="85"/>
    <x v="4"/>
    <x v="50"/>
    <s v="BO"/>
    <s v="00000855"/>
    <x v="38"/>
    <n v="48"/>
    <n v="0"/>
    <n v="48"/>
  </r>
  <r>
    <n v="-195"/>
    <n v="-45258"/>
    <s v="Producto: 2111000827010101 / BISA CUBETA 4 NEGRO MOTAS"/>
    <x v="55"/>
    <x v="20"/>
    <x v="51"/>
    <s v="BO"/>
    <s v="00000856"/>
    <x v="39"/>
    <n v="21"/>
    <n v="21"/>
    <n v="0"/>
  </r>
  <r>
    <n v="-195"/>
    <n v="-45258"/>
    <s v="Producto: 2111001027010101 / BISA CUBETA 6 NEGRO MOTAS"/>
    <x v="59"/>
    <x v="20"/>
    <x v="51"/>
    <s v="BO"/>
    <s v="00000856"/>
    <x v="39"/>
    <n v="31"/>
    <n v="31"/>
    <n v="0"/>
  </r>
  <r>
    <n v="-195"/>
    <n v="-45258"/>
    <s v="Producto: 2111001227010101 / BISA CUBETA 8 NEGRO MOTAS"/>
    <x v="5"/>
    <x v="20"/>
    <x v="51"/>
    <s v="BO"/>
    <s v="00000856"/>
    <x v="39"/>
    <n v="9"/>
    <n v="9"/>
    <n v="0"/>
  </r>
  <r>
    <n v="-158"/>
    <n v="-45258"/>
    <s v="Producto: 2108002117010101 / BISA CAZUELA 18 COBALTO"/>
    <x v="66"/>
    <x v="32"/>
    <x v="51"/>
    <s v="BO"/>
    <s v="00000857"/>
    <x v="40"/>
    <n v="48"/>
    <n v="6"/>
    <n v="42"/>
  </r>
  <r>
    <n v="-158"/>
    <n v="-45258"/>
    <s v="Producto: 2108002121010101 / BISA CAZUELA 18 GRIS"/>
    <x v="66"/>
    <x v="26"/>
    <x v="51"/>
    <s v="BO"/>
    <s v="00000857"/>
    <x v="40"/>
    <n v="36"/>
    <n v="0"/>
    <n v="36"/>
  </r>
  <r>
    <n v="-158"/>
    <n v="-45258"/>
    <s v="Producto: 2108002129010101 / BISA CAZUELA 18 ROJO"/>
    <x v="66"/>
    <x v="16"/>
    <x v="51"/>
    <s v="BO"/>
    <s v="00000857"/>
    <x v="40"/>
    <n v="36"/>
    <n v="3"/>
    <n v="33"/>
  </r>
  <r>
    <n v="-158"/>
    <n v="-45258"/>
    <s v="Producto: 2108002521010101 / BISA CAZUELA 24 GRIS"/>
    <x v="104"/>
    <x v="26"/>
    <x v="51"/>
    <s v="BO"/>
    <s v="00000857"/>
    <x v="40"/>
    <n v="24"/>
    <n v="15"/>
    <n v="9"/>
  </r>
  <r>
    <n v="-158"/>
    <n v="-45258"/>
    <s v="Producto: 2108002529010101 / BISA CAZUELA 24 ROJO"/>
    <x v="104"/>
    <x v="16"/>
    <x v="51"/>
    <s v="BO"/>
    <s v="00000857"/>
    <x v="40"/>
    <n v="24"/>
    <n v="24"/>
    <n v="0"/>
  </r>
  <r>
    <n v="-158"/>
    <n v="-45258"/>
    <s v="Producto: 2130001702010101 / BISA PLATO LISO 16 A/T"/>
    <x v="77"/>
    <x v="4"/>
    <x v="51"/>
    <s v="BO"/>
    <s v="00000857"/>
    <x v="40"/>
    <n v="24"/>
    <n v="24"/>
    <n v="0"/>
  </r>
  <r>
    <n v="-158"/>
    <n v="-45258"/>
    <s v="Producto: 2130001730010101 / BISA PLATO LISO 16 ROJO MOTAS"/>
    <x v="77"/>
    <x v="33"/>
    <x v="51"/>
    <s v="BO"/>
    <s v="00000857"/>
    <x v="40"/>
    <n v="30"/>
    <n v="30"/>
    <n v="0"/>
  </r>
  <r>
    <n v="-158"/>
    <n v="-45258"/>
    <s v="Producto: 2130002516070101 / BISA PLATO LISO 24 BLANCO C/F ROJO"/>
    <x v="26"/>
    <x v="17"/>
    <x v="51"/>
    <s v="BO"/>
    <s v="00000857"/>
    <x v="40"/>
    <n v="6"/>
    <n v="0"/>
    <n v="6"/>
  </r>
  <r>
    <n v="-158"/>
    <n v="-45258"/>
    <s v="Producto: 2130003027010101 / BISA PLATO LISO 32 NEGRO MOTAS"/>
    <x v="76"/>
    <x v="20"/>
    <x v="51"/>
    <s v="BO"/>
    <s v="00000857"/>
    <x v="40"/>
    <n v="30"/>
    <n v="2"/>
    <n v="28"/>
  </r>
  <r>
    <n v="-158"/>
    <n v="-45258"/>
    <s v="Producto: 2133000917010101 / BISA POCILLO 5 COBALTO"/>
    <x v="9"/>
    <x v="32"/>
    <x v="51"/>
    <s v="BO"/>
    <s v="00000857"/>
    <x v="40"/>
    <n v="48"/>
    <n v="42"/>
    <n v="6"/>
  </r>
  <r>
    <n v="-158"/>
    <n v="-45258"/>
    <s v="Producto: 2133000921010101 / BISA POCILLO 5 GRIS"/>
    <x v="9"/>
    <x v="26"/>
    <x v="51"/>
    <s v="BO"/>
    <s v="00000857"/>
    <x v="40"/>
    <n v="72"/>
    <n v="27"/>
    <n v="45"/>
  </r>
  <r>
    <n v="-158"/>
    <n v="-45258"/>
    <s v="Producto: 2133001002010101 / BISA POCILLO 6 A/T"/>
    <x v="107"/>
    <x v="4"/>
    <x v="51"/>
    <s v="BO"/>
    <s v="00000857"/>
    <x v="40"/>
    <n v="96"/>
    <n v="96"/>
    <n v="0"/>
  </r>
  <r>
    <n v="-158"/>
    <n v="-45258"/>
    <s v="Producto: 2133001217010101 / BISA POCILLO 8 COBALTO"/>
    <x v="75"/>
    <x v="32"/>
    <x v="51"/>
    <s v="BO"/>
    <s v="00000857"/>
    <x v="40"/>
    <n v="24"/>
    <n v="24"/>
    <n v="0"/>
  </r>
  <r>
    <n v="-158"/>
    <n v="-45258"/>
    <s v="Producto: 2139001602010101 / BISA TAZON 15.5 A/T"/>
    <x v="100"/>
    <x v="4"/>
    <x v="51"/>
    <s v="BO"/>
    <s v="00000857"/>
    <x v="40"/>
    <n v="120"/>
    <n v="8"/>
    <n v="112"/>
  </r>
  <r>
    <n v="-158"/>
    <n v="-45258"/>
    <s v="Producto: 2139002216030101 / BISA TAZON 20 BLANCO C/F COBALTO"/>
    <x v="112"/>
    <x v="34"/>
    <x v="51"/>
    <s v="BO"/>
    <s v="00000857"/>
    <x v="40"/>
    <n v="36"/>
    <n v="0"/>
    <n v="36"/>
  </r>
  <r>
    <n v="-158"/>
    <n v="-45258"/>
    <s v="Producto: 2139002421010101 / BISA TAZON 20 GRIS"/>
    <x v="112"/>
    <x v="26"/>
    <x v="51"/>
    <s v="BO"/>
    <s v="00000857"/>
    <x v="40"/>
    <n v="30"/>
    <n v="0"/>
    <n v="30"/>
  </r>
  <r>
    <n v="-158"/>
    <n v="-45258"/>
    <s v="Producto: 2140001202010101 / BISA TAZON INCLINADO 8 A/T"/>
    <x v="113"/>
    <x v="4"/>
    <x v="51"/>
    <s v="BO"/>
    <s v="00000857"/>
    <x v="40"/>
    <n v="72"/>
    <n v="72"/>
    <n v="0"/>
  </r>
  <r>
    <n v="-158"/>
    <n v="-45258"/>
    <s v="Producto: 2140001216030101 / BISA TAZON INCLINADO 8 BLANCO C/F COBALTO"/>
    <x v="113"/>
    <x v="34"/>
    <x v="51"/>
    <s v="BO"/>
    <s v="00000857"/>
    <x v="40"/>
    <n v="36"/>
    <n v="0"/>
    <n v="36"/>
  </r>
  <r>
    <n v="-158"/>
    <n v="-45258"/>
    <s v="Producto: 2140001216040101 / BISA TAZON INCLINADO 8 BLANCO C/F GRIS"/>
    <x v="113"/>
    <x v="35"/>
    <x v="51"/>
    <s v="BO"/>
    <s v="00000857"/>
    <x v="40"/>
    <n v="36"/>
    <n v="29"/>
    <n v="7"/>
  </r>
  <r>
    <n v="-158"/>
    <n v="-45258"/>
    <s v="Producto: 2140001216050101 / BISA TAZON INCLINADO 8 BLANCO C/F NEGRO"/>
    <x v="113"/>
    <x v="21"/>
    <x v="51"/>
    <s v="BO"/>
    <s v="00000857"/>
    <x v="40"/>
    <n v="72"/>
    <n v="32"/>
    <n v="40"/>
  </r>
  <r>
    <n v="-158"/>
    <n v="-45258"/>
    <s v="Producto: 2140001217010101 / BISA TAZON INCLINADO 8 COBALTO"/>
    <x v="113"/>
    <x v="32"/>
    <x v="51"/>
    <s v="BO"/>
    <s v="00000857"/>
    <x v="40"/>
    <n v="36"/>
    <n v="36"/>
    <n v="0"/>
  </r>
  <r>
    <n v="-158"/>
    <n v="-45258"/>
    <s v="Producto: 2140001227010101 / BISA TAZON INCLINADO 8 NEGRO MOTAS"/>
    <x v="113"/>
    <x v="20"/>
    <x v="51"/>
    <s v="BO"/>
    <s v="00000857"/>
    <x v="40"/>
    <n v="108"/>
    <n v="108"/>
    <n v="0"/>
  </r>
  <r>
    <n v="-158"/>
    <n v="-45258"/>
    <s v="Producto: 2133001216040101 / BISA POCILLO 8 BLANCO C/F GRIS  "/>
    <x v="75"/>
    <x v="35"/>
    <x v="51"/>
    <s v="BO"/>
    <s v="00000857"/>
    <x v="40"/>
    <n v="24"/>
    <n v="0"/>
    <n v="24"/>
  </r>
  <r>
    <n v="-158"/>
    <n v="-45258"/>
    <s v="Producto: 2140001902010101 / BISA TAZON INCLINADO 17 A/T"/>
    <x v="128"/>
    <x v="4"/>
    <x v="51"/>
    <s v="BO"/>
    <s v="00000857"/>
    <x v="40"/>
    <n v="60"/>
    <n v="57"/>
    <n v="3"/>
  </r>
  <r>
    <n v="-158"/>
    <n v="-45258"/>
    <s v="Producto: 2152003027010101 / BISA PLATO OVAL 32 NEGRO MOTAS"/>
    <x v="69"/>
    <x v="20"/>
    <x v="51"/>
    <s v="BO"/>
    <s v="00000857"/>
    <x v="40"/>
    <n v="30"/>
    <n v="4"/>
    <n v="26"/>
  </r>
  <r>
    <n v="-30"/>
    <n v="-45258"/>
    <s v="Producto: 2130002516070101 / BISA PLATO LISO 24 BLANCO C/F ROJO"/>
    <x v="26"/>
    <x v="17"/>
    <x v="52"/>
    <s v="COT"/>
    <s v="00000741"/>
    <x v="41"/>
    <n v="102"/>
    <n v="0"/>
    <n v="102"/>
  </r>
  <r>
    <n v="-118"/>
    <n v="-45223"/>
    <s v="Producto: 2106002102010101 / BISA BUDINERA 18 A/T"/>
    <x v="93"/>
    <x v="4"/>
    <x v="14"/>
    <s v="BOC"/>
    <s v="00000019"/>
    <x v="13"/>
    <n v="36"/>
    <n v="0"/>
    <n v="36"/>
  </r>
  <r>
    <n v="-118"/>
    <n v="-45246"/>
    <s v="Producto: 2106002602010101 / BISA BUDINERA 26 A/T"/>
    <x v="12"/>
    <x v="4"/>
    <x v="14"/>
    <s v="BOC"/>
    <s v="00000019"/>
    <x v="13"/>
    <n v="12"/>
    <n v="0"/>
    <n v="12"/>
  </r>
  <r>
    <n v="-118"/>
    <n v="-45250"/>
    <s v="Producto: 2106003102010101 / BISA BUDINERA 34 A/T"/>
    <x v="39"/>
    <x v="4"/>
    <x v="14"/>
    <s v="BOC"/>
    <s v="00000019"/>
    <x v="13"/>
    <n v="8"/>
    <n v="8"/>
    <n v="0"/>
  </r>
  <r>
    <n v="-118"/>
    <n v="-45234"/>
    <s v="Producto: 2124001702010101 / BISA OLLA CONVEXA 16 A/T"/>
    <x v="41"/>
    <x v="4"/>
    <x v="14"/>
    <s v="BOC"/>
    <s v="00000019"/>
    <x v="13"/>
    <n v="24"/>
    <n v="24"/>
    <n v="0"/>
  </r>
  <r>
    <n v="-118"/>
    <n v="-45234"/>
    <s v="Producto: 2124002102010101 / BISA OLLA CONVEXA 18 A/T"/>
    <x v="14"/>
    <x v="4"/>
    <x v="14"/>
    <s v="BOC"/>
    <s v="00000019"/>
    <x v="13"/>
    <n v="24"/>
    <n v="0"/>
    <n v="24"/>
  </r>
  <r>
    <n v="-118"/>
    <n v="-45246"/>
    <s v="Producto: 2124002202010101 / BISA OLLA CONVEXA 20 A/T"/>
    <x v="15"/>
    <x v="4"/>
    <x v="14"/>
    <s v="BOC"/>
    <s v="00000019"/>
    <x v="13"/>
    <n v="12"/>
    <n v="12"/>
    <n v="0"/>
  </r>
  <r>
    <n v="-118"/>
    <n v="-45246"/>
    <s v="Producto: 2124002502010101 / BISA OLLA CONVEXA 24 A/T"/>
    <x v="17"/>
    <x v="4"/>
    <x v="14"/>
    <s v="BOC"/>
    <s v="00000019"/>
    <x v="13"/>
    <n v="12"/>
    <n v="0"/>
    <n v="12"/>
  </r>
  <r>
    <n v="-118"/>
    <n v="-45254"/>
    <s v="Producto: 2124002902010101 / BISA OLLA CONVEXA 30 A/T"/>
    <x v="19"/>
    <x v="4"/>
    <x v="14"/>
    <s v="BOC"/>
    <s v="00000019"/>
    <x v="13"/>
    <n v="4"/>
    <n v="0"/>
    <n v="4"/>
  </r>
  <r>
    <n v="-118"/>
    <n v="-45223"/>
    <s v="Producto: 2125001502010101 / BISA OLLA RECTA 14 A/T"/>
    <x v="95"/>
    <x v="4"/>
    <x v="14"/>
    <s v="BOC"/>
    <s v="00000019"/>
    <x v="13"/>
    <n v="36"/>
    <n v="0"/>
    <n v="36"/>
  </r>
  <r>
    <n v="-118"/>
    <n v="-45254"/>
    <s v="Producto: 2125002902010101 / BISA OLLA RECTA 30 A/T"/>
    <x v="20"/>
    <x v="4"/>
    <x v="14"/>
    <s v="BOC"/>
    <s v="00000019"/>
    <x v="13"/>
    <n v="4"/>
    <n v="0"/>
    <n v="4"/>
  </r>
  <r>
    <n v="-118"/>
    <n v="-45254"/>
    <s v="Producto: 2125003102010101 / BISA OLLA RECTA 34 A/T"/>
    <x v="21"/>
    <x v="4"/>
    <x v="14"/>
    <s v="BOC"/>
    <s v="00000019"/>
    <x v="13"/>
    <n v="4"/>
    <n v="0"/>
    <n v="4"/>
  </r>
  <r>
    <n v="-118"/>
    <n v="-45139"/>
    <s v="Producto: 2133001302010101 / BISA POCILLO 10 A/T"/>
    <x v="98"/>
    <x v="4"/>
    <x v="14"/>
    <s v="BOC"/>
    <s v="00000019"/>
    <x v="13"/>
    <n v="120"/>
    <n v="120"/>
    <n v="0"/>
  </r>
  <r>
    <n v="-118"/>
    <n v="-45139"/>
    <s v="Producto: 2133001402010101 / BISA POCILLO 12 A/T"/>
    <x v="84"/>
    <x v="4"/>
    <x v="14"/>
    <s v="BOC"/>
    <s v="00000019"/>
    <x v="13"/>
    <n v="120"/>
    <n v="0"/>
    <n v="120"/>
  </r>
  <r>
    <n v="-118"/>
    <n v="-45199"/>
    <s v="Producto: 2133001502010101 / BISA POCILLO 14 A/T"/>
    <x v="29"/>
    <x v="4"/>
    <x v="14"/>
    <s v="BOC"/>
    <s v="00000019"/>
    <x v="13"/>
    <n v="60"/>
    <n v="0"/>
    <n v="60"/>
  </r>
  <r>
    <n v="-118"/>
    <n v="-45246"/>
    <s v="Producto: 2136002402010101 / BISA SARTEN 22 A/T"/>
    <x v="48"/>
    <x v="4"/>
    <x v="14"/>
    <s v="BOC"/>
    <s v="00000019"/>
    <x v="13"/>
    <n v="12"/>
    <n v="0"/>
    <n v="12"/>
  </r>
  <r>
    <n v="-118"/>
    <n v="-45246"/>
    <s v="Producto: 2136002502010101 / BISA SARTEN 24 A/T"/>
    <x v="85"/>
    <x v="4"/>
    <x v="14"/>
    <s v="BOC"/>
    <s v="00000019"/>
    <x v="13"/>
    <n v="12"/>
    <n v="0"/>
    <n v="12"/>
  </r>
  <r>
    <n v="-17"/>
    <n v="-45258"/>
    <s v="Producto: 2139001602010101 / BISA TAZON 15.5 A/T"/>
    <x v="100"/>
    <x v="4"/>
    <x v="53"/>
    <s v="BO"/>
    <s v="00000859"/>
    <x v="25"/>
    <n v="264"/>
    <n v="0"/>
    <n v="264"/>
  </r>
  <r>
    <n v="-17"/>
    <n v="-45258"/>
    <s v="Producto: 2139001616050101 / BISA TAZON 15.5 BLANCO C/F NEGRO"/>
    <x v="78"/>
    <x v="3"/>
    <x v="53"/>
    <s v="BO"/>
    <s v="00000859"/>
    <x v="25"/>
    <n v="744"/>
    <n v="0"/>
    <n v="744"/>
  </r>
  <r>
    <n v="-17"/>
    <n v="-45258"/>
    <s v="Producto: 2139002202010101 / BISA TAZON 20 A/T"/>
    <x v="129"/>
    <x v="4"/>
    <x v="53"/>
    <s v="BO"/>
    <s v="00000859"/>
    <x v="25"/>
    <n v="30"/>
    <n v="30"/>
    <n v="0"/>
  </r>
  <r>
    <n v="-17"/>
    <n v="-45258"/>
    <s v="Producto: 2139002216050101 / BISA TAZON 20 BLANCO C/F NEGRO"/>
    <x v="112"/>
    <x v="24"/>
    <x v="53"/>
    <s v="BO"/>
    <s v="00000859"/>
    <x v="25"/>
    <n v="450"/>
    <n v="0"/>
    <n v="450"/>
  </r>
  <r>
    <n v="-17"/>
    <n v="-45258"/>
    <s v="Producto: 1103001219010101 / BISA BAÑO 8 GALVANIZADO"/>
    <x v="63"/>
    <x v="2"/>
    <x v="53"/>
    <s v="BO"/>
    <s v="00000860"/>
    <x v="25"/>
    <n v="30"/>
    <n v="30"/>
    <n v="0"/>
  </r>
  <r>
    <n v="-61"/>
    <n v="-45209"/>
    <s v="Producto: 1103000919010101 / BISA BAÑO 5 GALVANIZADO"/>
    <x v="2"/>
    <x v="2"/>
    <x v="53"/>
    <s v="BO"/>
    <s v="00000860"/>
    <x v="25"/>
    <n v="50"/>
    <n v="0"/>
    <n v="50"/>
  </r>
  <r>
    <n v="-17"/>
    <n v="-45258"/>
    <s v="Producto: 1103001419010101 / BISA BAÑO 12 GALVANIZADO"/>
    <x v="65"/>
    <x v="2"/>
    <x v="53"/>
    <s v="BO"/>
    <s v="00000860"/>
    <x v="25"/>
    <n v="15"/>
    <n v="0"/>
    <n v="15"/>
  </r>
  <r>
    <n v="-17"/>
    <n v="-45258"/>
    <s v="Producto: 2330002216070701 / SANSON PLATO LISO 20 BLANCO C/F ROJO DECORADO "/>
    <x v="130"/>
    <x v="36"/>
    <x v="54"/>
    <s v="VT1"/>
    <s v="00003597"/>
    <x v="42"/>
    <n v="150"/>
    <n v="0"/>
    <n v="150"/>
  </r>
  <r>
    <n v="-17"/>
    <n v="-45258"/>
    <s v="Producto: 2329002716070701 / SANSON PLATO HONDO 27 BLANCO C/F ROJO DECORADO"/>
    <x v="130"/>
    <x v="36"/>
    <x v="54"/>
    <s v="VT1"/>
    <s v="00003597"/>
    <x v="42"/>
    <n v="20"/>
    <n v="24"/>
    <n v="-4"/>
  </r>
  <r>
    <n v="-17"/>
    <n v="-45258"/>
    <s v="Producto: 2333000916070701 / SANSON POCILLO 5 BLANCO C/F ROJO DECORADO"/>
    <x v="130"/>
    <x v="36"/>
    <x v="54"/>
    <s v="VT1"/>
    <s v="00003597"/>
    <x v="42"/>
    <n v="200"/>
    <n v="152"/>
    <n v="48"/>
  </r>
  <r>
    <n v="-17"/>
    <n v="-45258"/>
    <s v="Producto: 2342002129010701 / SANSON TORTILLERO ROJO DECORADO "/>
    <x v="130"/>
    <x v="36"/>
    <x v="54"/>
    <s v="VT1"/>
    <s v="00003597"/>
    <x v="42"/>
    <n v="30"/>
    <n v="35"/>
    <n v="-5"/>
  </r>
  <r>
    <n v="-17"/>
    <n v="-45258"/>
    <s v="Producto: 2306001416070701 / SANSON BUDINERA 12 BLANCO F/ROJO DECORADO "/>
    <x v="130"/>
    <x v="36"/>
    <x v="54"/>
    <s v="VT1"/>
    <s v="00003597"/>
    <x v="42"/>
    <n v="30"/>
    <n v="30"/>
    <n v="0"/>
  </r>
  <r>
    <n v="-17"/>
    <n v="-45258"/>
    <s v="Producto: 2330001716070701 / SANSON PLATO LISO 16 BLANCO C/F ROJO DECORADO"/>
    <x v="130"/>
    <x v="36"/>
    <x v="54"/>
    <s v="VT1"/>
    <s v="00003597"/>
    <x v="42"/>
    <n v="150"/>
    <n v="34"/>
    <n v="116"/>
  </r>
  <r>
    <n v="-17"/>
    <n v="-45258"/>
    <s v="Producto: 2330002516070701 / SANSON PLATO LISO 24 BLANCO C/F ROJO DECORADO"/>
    <x v="130"/>
    <x v="36"/>
    <x v="54"/>
    <s v="VT1"/>
    <s v="00003597"/>
    <x v="42"/>
    <n v="150"/>
    <n v="144"/>
    <n v="6"/>
  </r>
  <r>
    <n v="-17"/>
    <n v="-45258"/>
    <s v="Producto: 2330003016070701 / SANSON PLATO LISO 32 BLANCO C/F ROJO DECORADO"/>
    <x v="130"/>
    <x v="36"/>
    <x v="54"/>
    <s v="VT1"/>
    <s v="00003597"/>
    <x v="42"/>
    <n v="50"/>
    <n v="4"/>
    <n v="46"/>
  </r>
  <r>
    <n v="-17"/>
    <n v="-45258"/>
    <s v="Producto: 2352003016070701 / SANSON PLATO OVAL 32 BLANCO C/F ROJO DECORADO"/>
    <x v="130"/>
    <x v="36"/>
    <x v="54"/>
    <s v="VT1"/>
    <s v="00003597"/>
    <x v="42"/>
    <n v="40"/>
    <n v="6"/>
    <n v="34"/>
  </r>
  <r>
    <n v="-17"/>
    <n v="-45258"/>
    <s v="Producto: 2308002129010701 / SANSON CAZUELA 18 ROJO DECORADO"/>
    <x v="130"/>
    <x v="36"/>
    <x v="54"/>
    <s v="VT1"/>
    <s v="00003597"/>
    <x v="42"/>
    <n v="60"/>
    <n v="30"/>
    <n v="30"/>
  </r>
  <r>
    <n v="-17"/>
    <n v="-45258"/>
    <s v="Producto: 2338000116050701 / SANSON TAZA BISTRO BLANCO C/F NEGRO DECORADO"/>
    <x v="130"/>
    <x v="36"/>
    <x v="54"/>
    <s v="VT1"/>
    <s v="00003597"/>
    <x v="42"/>
    <n v="80"/>
    <n v="85"/>
    <n v="-5"/>
  </r>
  <r>
    <n v="-17"/>
    <n v="-45258"/>
    <s v="Producto: 2324001502010701 / SANSON OLLA CONVEXA 14 A/T DECORADO"/>
    <x v="130"/>
    <x v="36"/>
    <x v="54"/>
    <s v="VT1"/>
    <s v="00003597"/>
    <x v="42"/>
    <n v="15"/>
    <n v="20"/>
    <n v="-5"/>
  </r>
  <r>
    <n v="-17"/>
    <n v="-45258"/>
    <s v="Producto: 2354009716070701 / SANSON JARRA ABOMBADA 3L BLANCO C/F ROJO DECORADO"/>
    <x v="130"/>
    <x v="36"/>
    <x v="54"/>
    <s v="VT1"/>
    <s v="00003597"/>
    <x v="42"/>
    <n v="3"/>
    <n v="3"/>
    <n v="0"/>
  </r>
  <r>
    <n v="-319"/>
    <n v="-45258"/>
    <s v="Producto: 2119003727010101 / BISA JARRA RECTA 2.5LTS NEGRO MOTAS"/>
    <x v="131"/>
    <x v="0"/>
    <x v="55"/>
    <s v="BO"/>
    <s v="00000862"/>
    <x v="43"/>
    <n v="250"/>
    <n v="44"/>
    <n v="206"/>
  </r>
  <r>
    <n v="-319"/>
    <n v="-45258"/>
    <s v="Producto: 2125002510010101 / BISA OLLA RECTA 24 BICOLOR AZUL"/>
    <x v="45"/>
    <x v="13"/>
    <x v="55"/>
    <s v="BO"/>
    <s v="00000862"/>
    <x v="43"/>
    <n v="76"/>
    <n v="5"/>
    <n v="71"/>
  </r>
  <r>
    <n v="-319"/>
    <n v="-45258"/>
    <s v="Producto: 2125003102010101 / BISA OLLA RECTA 34 A/T"/>
    <x v="21"/>
    <x v="4"/>
    <x v="55"/>
    <s v="BO"/>
    <s v="00000862"/>
    <x v="43"/>
    <n v="16"/>
    <n v="0"/>
    <n v="16"/>
  </r>
  <r>
    <n v="-319"/>
    <n v="-45258"/>
    <s v="Producto: 2133001402010101 / BISA POCILLO 12 A/T"/>
    <x v="84"/>
    <x v="4"/>
    <x v="55"/>
    <s v="BO"/>
    <s v="00000862"/>
    <x v="43"/>
    <n v="576"/>
    <n v="35"/>
    <n v="541"/>
  </r>
  <r>
    <n v="-319"/>
    <n v="-45258"/>
    <s v="Producto: 2144003102010101 / BISA VAPORERA 34 A/T"/>
    <x v="50"/>
    <x v="4"/>
    <x v="55"/>
    <s v="BO"/>
    <s v="00000862"/>
    <x v="43"/>
    <n v="150"/>
    <n v="0"/>
    <n v="150"/>
  </r>
  <r>
    <n v="-185"/>
    <n v="-45258"/>
    <s v="Producto: 2106003102010101 / BISA BUDINERA 34 A/T"/>
    <x v="39"/>
    <x v="4"/>
    <x v="56"/>
    <s v="BO"/>
    <s v="00000863"/>
    <x v="44"/>
    <n v="25"/>
    <n v="25"/>
    <n v="0"/>
  </r>
  <r>
    <n v="-185"/>
    <n v="-45258"/>
    <s v="Producto: 2125002902010101 / BISA OLLA RECTA 30 A/T"/>
    <x v="20"/>
    <x v="4"/>
    <x v="56"/>
    <s v="VT2"/>
    <s v="00000863"/>
    <x v="44"/>
    <n v="20"/>
    <n v="0"/>
    <n v="20"/>
  </r>
  <r>
    <n v="-185"/>
    <n v="-45258"/>
    <s v="Producto: 2125003102010101 / BISA OLLA RECTA 34 A/T"/>
    <x v="21"/>
    <x v="4"/>
    <x v="56"/>
    <s v="VT2"/>
    <s v="00000863"/>
    <x v="44"/>
    <n v="50"/>
    <n v="0"/>
    <n v="50"/>
  </r>
  <r>
    <n v="-21"/>
    <n v="-45258"/>
    <s v="Producto: 2106001702010101 / BISA BUDINERA 16 A/T"/>
    <x v="82"/>
    <x v="4"/>
    <x v="50"/>
    <s v="VT2"/>
    <s v="00004944"/>
    <x v="45"/>
    <n v="18"/>
    <n v="18"/>
    <n v="0"/>
  </r>
  <r>
    <n v="-21"/>
    <n v="-45258"/>
    <s v="Producto: 2106002102010101 / BISA BUDINERA 18 A/T"/>
    <x v="93"/>
    <x v="4"/>
    <x v="50"/>
    <s v="VT2"/>
    <s v="00004944"/>
    <x v="45"/>
    <n v="18"/>
    <n v="0"/>
    <n v="18"/>
  </r>
  <r>
    <n v="-21"/>
    <n v="-45258"/>
    <s v="Producto: 2106002202010101 / BISA BUDINERA 20 A/T"/>
    <x v="36"/>
    <x v="4"/>
    <x v="50"/>
    <s v="VT2"/>
    <s v="00004944"/>
    <x v="45"/>
    <n v="36"/>
    <n v="36"/>
    <n v="0"/>
  </r>
  <r>
    <n v="-21"/>
    <n v="-45258"/>
    <s v="Producto: 2106002402010101 / BISA BUDINERA 22 A/T"/>
    <x v="37"/>
    <x v="4"/>
    <x v="50"/>
    <s v="VT2"/>
    <s v="00004944"/>
    <x v="45"/>
    <n v="12"/>
    <n v="0"/>
    <n v="12"/>
  </r>
  <r>
    <n v="-21"/>
    <n v="-45258"/>
    <s v="Producto: 2106002502010101 / BISA BUDINERA 24 A/T"/>
    <x v="11"/>
    <x v="4"/>
    <x v="50"/>
    <s v="VT2"/>
    <s v="00004944"/>
    <x v="45"/>
    <n v="12"/>
    <n v="12"/>
    <n v="0"/>
  </r>
  <r>
    <n v="-21"/>
    <n v="-45258"/>
    <s v="Producto: 2106003102010101 / BISA BUDINERA 34 A/T"/>
    <x v="39"/>
    <x v="4"/>
    <x v="50"/>
    <s v="VT2"/>
    <s v="00004944"/>
    <x v="45"/>
    <n v="8"/>
    <n v="8"/>
    <n v="0"/>
  </r>
  <r>
    <n v="-21"/>
    <n v="-45258"/>
    <s v="Producto: 2106003302010101 / BISA BUDINERA 42 A/T"/>
    <x v="90"/>
    <x v="4"/>
    <x v="50"/>
    <s v="VT2"/>
    <s v="00004944"/>
    <x v="45"/>
    <n v="4"/>
    <n v="4"/>
    <n v="0"/>
  </r>
  <r>
    <n v="-21"/>
    <n v="-45258"/>
    <s v="Producto: 2110002827010101 / BISA COMAL 28 NEGRO MOTAS"/>
    <x v="13"/>
    <x v="0"/>
    <x v="50"/>
    <s v="VT2"/>
    <s v="00004944"/>
    <x v="45"/>
    <n v="36"/>
    <n v="0"/>
    <n v="36"/>
  </r>
  <r>
    <n v="-21"/>
    <n v="-45258"/>
    <s v="Producto: 2110003227010101 / BISA COMAL 36 NEGRO MOTAS"/>
    <x v="52"/>
    <x v="0"/>
    <x v="50"/>
    <s v="VT2"/>
    <s v="00004944"/>
    <x v="45"/>
    <n v="12"/>
    <n v="12"/>
    <n v="0"/>
  </r>
  <r>
    <n v="-21"/>
    <n v="-45258"/>
    <s v="Producto: 2124001702010101 / BISA OLLA CONVEXA 16 A/T"/>
    <x v="41"/>
    <x v="4"/>
    <x v="50"/>
    <s v="VT2"/>
    <s v="00004944"/>
    <x v="45"/>
    <n v="12"/>
    <n v="12"/>
    <n v="0"/>
  </r>
  <r>
    <n v="-21"/>
    <n v="-45258"/>
    <s v="Producto: 2124002102010101 / BISA OLLA CONVEXA 18 A/T"/>
    <x v="14"/>
    <x v="4"/>
    <x v="50"/>
    <s v="VT2"/>
    <s v="00004944"/>
    <x v="45"/>
    <n v="12"/>
    <n v="0"/>
    <n v="12"/>
  </r>
  <r>
    <n v="-21"/>
    <n v="-45258"/>
    <s v="Producto: 2124002202010101 / BISA OLLA CONVEXA 20 A/T"/>
    <x v="15"/>
    <x v="4"/>
    <x v="50"/>
    <s v="VT2"/>
    <s v="00004944"/>
    <x v="45"/>
    <n v="24"/>
    <n v="24"/>
    <n v="0"/>
  </r>
  <r>
    <n v="-21"/>
    <n v="-45258"/>
    <s v="Producto: 2124002502010101 / BISA OLLA CONVEXA 24 A/T"/>
    <x v="17"/>
    <x v="4"/>
    <x v="50"/>
    <s v="VT2"/>
    <s v="00004944"/>
    <x v="45"/>
    <n v="12"/>
    <n v="0"/>
    <n v="12"/>
  </r>
  <r>
    <n v="-21"/>
    <n v="-45258"/>
    <s v="Producto: 2125002402010101 / BISA OLLA RECTA 22 A/T"/>
    <x v="44"/>
    <x v="4"/>
    <x v="50"/>
    <s v="VT2"/>
    <s v="00004944"/>
    <x v="45"/>
    <n v="6"/>
    <n v="6"/>
    <n v="0"/>
  </r>
  <r>
    <n v="-21"/>
    <n v="-45258"/>
    <s v="Producto: 2125002802010101 / BISA OLLA RECTA 28 A/T"/>
    <x v="47"/>
    <x v="4"/>
    <x v="50"/>
    <s v="VT2"/>
    <s v="00004944"/>
    <x v="45"/>
    <n v="12"/>
    <n v="12"/>
    <n v="0"/>
  </r>
  <r>
    <n v="-21"/>
    <n v="-45258"/>
    <s v="Producto: 2133001302010101 / BISA POCILLO 10 A/T"/>
    <x v="98"/>
    <x v="4"/>
    <x v="50"/>
    <s v="VT2"/>
    <s v="00004944"/>
    <x v="45"/>
    <n v="48"/>
    <n v="48"/>
    <n v="0"/>
  </r>
  <r>
    <n v="-21"/>
    <n v="-45258"/>
    <s v="Producto: 2133001402010101 / BISA POCILLO 12 A/T"/>
    <x v="84"/>
    <x v="4"/>
    <x v="50"/>
    <s v="VT2"/>
    <s v="00004944"/>
    <x v="45"/>
    <n v="36"/>
    <n v="0"/>
    <n v="36"/>
  </r>
  <r>
    <n v="-21"/>
    <n v="-45258"/>
    <s v="Producto: 2133001502010101 / BISA POCILLO 14 A/T"/>
    <x v="29"/>
    <x v="4"/>
    <x v="50"/>
    <s v="VT2"/>
    <s v="00004944"/>
    <x v="45"/>
    <n v="12"/>
    <n v="0"/>
    <n v="12"/>
  </r>
  <r>
    <n v="-21"/>
    <n v="-45258"/>
    <s v="Producto: 2136002202010101 / BISA SARTEN 20 A/T"/>
    <x v="91"/>
    <x v="4"/>
    <x v="50"/>
    <s v="VT2"/>
    <s v="00004944"/>
    <x v="45"/>
    <n v="48"/>
    <n v="48"/>
    <n v="0"/>
  </r>
  <r>
    <n v="-21"/>
    <n v="-45258"/>
    <s v="Producto: 2136002402010101 / BISA SARTEN 22 A/T"/>
    <x v="48"/>
    <x v="4"/>
    <x v="50"/>
    <s v="VT2"/>
    <s v="00004944"/>
    <x v="45"/>
    <n v="24"/>
    <n v="0"/>
    <n v="24"/>
  </r>
  <r>
    <n v="-21"/>
    <n v="-45258"/>
    <s v="Producto: 2136002502010101 / BISA SARTEN 24 A/T"/>
    <x v="85"/>
    <x v="4"/>
    <x v="50"/>
    <s v="VT2"/>
    <s v="00004944"/>
    <x v="45"/>
    <n v="24"/>
    <n v="0"/>
    <n v="24"/>
  </r>
  <r>
    <n v="-21"/>
    <n v="-45258"/>
    <s v="Producto: 2136002602010101 / BISA SARTEN 26 A/T"/>
    <x v="49"/>
    <x v="4"/>
    <x v="50"/>
    <s v="VT2"/>
    <s v="00004944"/>
    <x v="45"/>
    <n v="24"/>
    <n v="0"/>
    <n v="24"/>
  </r>
  <r>
    <n v="-21"/>
    <n v="-45258"/>
    <s v="Producto: 2151001502010101 / BISA VASO RECTO 14 CON TAPA"/>
    <x v="124"/>
    <x v="4"/>
    <x v="50"/>
    <s v="VT2"/>
    <s v="00004944"/>
    <x v="45"/>
    <n v="12"/>
    <n v="0"/>
    <n v="12"/>
  </r>
  <r>
    <n v="-21"/>
    <n v="-45258"/>
    <s v="Producto: 2133001501010701 / BISA POCILLO 14 DECORADO "/>
    <x v="29"/>
    <x v="6"/>
    <x v="50"/>
    <s v="VT2"/>
    <s v="00004944"/>
    <x v="45"/>
    <n v="12"/>
    <n v="0"/>
    <n v="12"/>
  </r>
  <r>
    <n v="-21"/>
    <n v="-45258"/>
    <s v="Producto: 2152002827010101 / BISA PLATO OVAL 28 NEGRO MOTAS"/>
    <x v="120"/>
    <x v="20"/>
    <x v="39"/>
    <s v="VT2"/>
    <s v="00004945"/>
    <x v="45"/>
    <n v="330"/>
    <n v="0"/>
    <n v="330"/>
  </r>
  <r>
    <n v="-21"/>
    <n v="-45258"/>
    <s v="Producto: 2133000916030115 / BISA POCILLO 5 BLANCO C/F COBALTO S"/>
    <x v="9"/>
    <x v="34"/>
    <x v="57"/>
    <s v="VT2"/>
    <s v="00004946"/>
    <x v="45"/>
    <n v="144"/>
    <n v="0"/>
    <n v="144"/>
  </r>
  <r>
    <n v="-21"/>
    <n v="-45258"/>
    <s v="Producto: 2133000916040115 / BISA POCILLO 5 BLANCO C/F GRIS S"/>
    <x v="9"/>
    <x v="35"/>
    <x v="57"/>
    <s v="VT2"/>
    <s v="00004946"/>
    <x v="45"/>
    <n v="144"/>
    <n v="0"/>
    <n v="144"/>
  </r>
  <r>
    <n v="-21"/>
    <n v="-45258"/>
    <s v="Producto: 2133000916050115 / BISA POCILLO 5 BLANCO C/F NEGRO S"/>
    <x v="9"/>
    <x v="21"/>
    <x v="57"/>
    <s v="VT2"/>
    <s v="00004946"/>
    <x v="45"/>
    <n v="144"/>
    <n v="0"/>
    <n v="144"/>
  </r>
  <r>
    <n v="-21"/>
    <n v="-45258"/>
    <s v="Producto: 2133000916070115 / BISA POCILLO 5 BLANCO C/F ROJO S"/>
    <x v="9"/>
    <x v="37"/>
    <x v="57"/>
    <s v="VT2"/>
    <s v="00004946"/>
    <x v="45"/>
    <n v="144"/>
    <n v="0"/>
    <n v="144"/>
  </r>
  <r>
    <n v="-20"/>
    <n v="-45258"/>
    <s v="Producto: 2106001402010101 / BISA BUDINERA 12 A/T"/>
    <x v="103"/>
    <x v="4"/>
    <x v="58"/>
    <s v="VT2"/>
    <s v="00004947"/>
    <x v="46"/>
    <n v="108"/>
    <n v="36"/>
    <n v="72"/>
  </r>
  <r>
    <n v="-20"/>
    <n v="-45258"/>
    <s v="Producto: 2106001502010101 / BISA BUDINERA 14 A/T"/>
    <x v="92"/>
    <x v="4"/>
    <x v="58"/>
    <s v="VT2"/>
    <s v="00004947"/>
    <x v="46"/>
    <n v="54"/>
    <n v="18"/>
    <n v="36"/>
  </r>
  <r>
    <n v="-20"/>
    <n v="-45258"/>
    <s v="Producto: 2106001702010101 / BISA BUDINERA 16 A/T"/>
    <x v="82"/>
    <x v="4"/>
    <x v="58"/>
    <s v="VT2"/>
    <s v="00004947"/>
    <x v="46"/>
    <n v="90"/>
    <n v="64"/>
    <n v="26"/>
  </r>
  <r>
    <n v="-20"/>
    <n v="-45258"/>
    <s v="Producto: 2106002102010101 / BISA BUDINERA 18 A/T"/>
    <x v="93"/>
    <x v="4"/>
    <x v="58"/>
    <s v="VT2"/>
    <s v="00004947"/>
    <x v="46"/>
    <n v="72"/>
    <n v="0"/>
    <n v="72"/>
  </r>
  <r>
    <n v="-20"/>
    <n v="-45258"/>
    <s v="Producto: 2106002202010101 / BISA BUDINERA 20 A/T"/>
    <x v="36"/>
    <x v="4"/>
    <x v="58"/>
    <s v="VT2"/>
    <s v="00004947"/>
    <x v="46"/>
    <n v="72"/>
    <n v="72"/>
    <n v="0"/>
  </r>
  <r>
    <n v="-20"/>
    <n v="-45258"/>
    <s v="Producto: 2106002402010101 / BISA BUDINERA 22 A/T"/>
    <x v="37"/>
    <x v="4"/>
    <x v="58"/>
    <s v="VT2"/>
    <s v="00004947"/>
    <x v="46"/>
    <n v="48"/>
    <n v="0"/>
    <n v="48"/>
  </r>
  <r>
    <n v="-20"/>
    <n v="-45258"/>
    <s v="Producto: 2106002502010101 / BISA BUDINERA 24 A/T"/>
    <x v="11"/>
    <x v="4"/>
    <x v="58"/>
    <s v="VT2"/>
    <s v="00004947"/>
    <x v="46"/>
    <n v="48"/>
    <n v="48"/>
    <n v="0"/>
  </r>
  <r>
    <n v="-20"/>
    <n v="-45258"/>
    <s v="Producto: 2106002602010101 / BISA BUDINERA 26 A/T"/>
    <x v="12"/>
    <x v="4"/>
    <x v="58"/>
    <s v="VT2"/>
    <s v="00004947"/>
    <x v="46"/>
    <n v="36"/>
    <n v="0"/>
    <n v="36"/>
  </r>
  <r>
    <n v="-20"/>
    <n v="-45258"/>
    <s v="Producto: 2106003102010101 / BISA BUDINERA 34 A/T"/>
    <x v="39"/>
    <x v="4"/>
    <x v="58"/>
    <s v="VT2"/>
    <s v="00004947"/>
    <x v="46"/>
    <n v="8"/>
    <n v="8"/>
    <n v="0"/>
  </r>
  <r>
    <n v="-20"/>
    <n v="-45258"/>
    <s v="Producto: 2106003302010101 / BISA BUDINERA 42 A/T"/>
    <x v="90"/>
    <x v="4"/>
    <x v="58"/>
    <s v="VT2"/>
    <s v="00004947"/>
    <x v="46"/>
    <n v="4"/>
    <n v="4"/>
    <n v="0"/>
  </r>
  <r>
    <n v="-20"/>
    <n v="-45258"/>
    <s v="Producto: 2107001502010101 / BISA CAZO 14 A/T"/>
    <x v="132"/>
    <x v="4"/>
    <x v="58"/>
    <s v="VT2"/>
    <s v="00004947"/>
    <x v="46"/>
    <n v="24"/>
    <n v="24"/>
    <n v="0"/>
  </r>
  <r>
    <n v="-20"/>
    <n v="-45258"/>
    <s v="Producto: 2107001702010101 / BISA CAZO 16 A/T"/>
    <x v="83"/>
    <x v="4"/>
    <x v="58"/>
    <s v="VT2"/>
    <s v="00004947"/>
    <x v="46"/>
    <n v="24"/>
    <n v="5"/>
    <n v="19"/>
  </r>
  <r>
    <n v="-20"/>
    <n v="-45258"/>
    <s v="Producto: 2110002427010101 / BISA COMAL 22 NEGRO MOTAS"/>
    <x v="28"/>
    <x v="0"/>
    <x v="58"/>
    <s v="VT2"/>
    <s v="00004947"/>
    <x v="46"/>
    <n v="360"/>
    <n v="360"/>
    <n v="0"/>
  </r>
  <r>
    <n v="-20"/>
    <n v="-45258"/>
    <s v="Producto: 2110002827010101 / BISA COMAL 28 NEGRO MOTAS"/>
    <x v="13"/>
    <x v="0"/>
    <x v="58"/>
    <s v="VT2"/>
    <s v="00004947"/>
    <x v="46"/>
    <n v="600"/>
    <n v="0"/>
    <n v="600"/>
  </r>
  <r>
    <n v="-20"/>
    <n v="-45258"/>
    <s v="Producto: 2110003227010101 / BISA COMAL 36 NEGRO MOTAS"/>
    <x v="52"/>
    <x v="0"/>
    <x v="58"/>
    <s v="VT2"/>
    <s v="00004947"/>
    <x v="46"/>
    <n v="120"/>
    <n v="120"/>
    <n v="0"/>
  </r>
  <r>
    <n v="-20"/>
    <n v="-45258"/>
    <s v="Producto: 2124001402010101 / BISA OLLA CONVEXA 12 A/T"/>
    <x v="133"/>
    <x v="4"/>
    <x v="58"/>
    <s v="VT2"/>
    <s v="00004947"/>
    <x v="46"/>
    <n v="54"/>
    <n v="54"/>
    <n v="0"/>
  </r>
  <r>
    <n v="-20"/>
    <n v="-45258"/>
    <s v="Producto: 2124001502010101 / BISA OLLA CONVEXA 14 A/T"/>
    <x v="134"/>
    <x v="4"/>
    <x v="58"/>
    <s v="VT2"/>
    <s v="00004947"/>
    <x v="46"/>
    <n v="54"/>
    <n v="0"/>
    <n v="54"/>
  </r>
  <r>
    <n v="-20"/>
    <n v="-45258"/>
    <s v="Producto: 2124001702010101 / BISA OLLA CONVEXA 16 A/T"/>
    <x v="41"/>
    <x v="4"/>
    <x v="58"/>
    <s v="VT2"/>
    <s v="00004947"/>
    <x v="46"/>
    <n v="48"/>
    <n v="48"/>
    <n v="0"/>
  </r>
  <r>
    <n v="-20"/>
    <n v="-45258"/>
    <s v="Producto: 2124002102010101 / BISA OLLA CONVEXA 18 A/T"/>
    <x v="14"/>
    <x v="4"/>
    <x v="58"/>
    <s v="VT2"/>
    <s v="00004947"/>
    <x v="46"/>
    <n v="24"/>
    <n v="0"/>
    <n v="24"/>
  </r>
  <r>
    <n v="-20"/>
    <n v="-45258"/>
    <s v="Producto: 2124002202010101 / BISA OLLA CONVEXA 20 A/T"/>
    <x v="15"/>
    <x v="4"/>
    <x v="58"/>
    <s v="VT2"/>
    <s v="00004947"/>
    <x v="46"/>
    <n v="24"/>
    <n v="2"/>
    <n v="22"/>
  </r>
  <r>
    <n v="-20"/>
    <n v="-45258"/>
    <s v="Producto: 2124002402010101 / BISA OLLA CONVEXA 22 A/T"/>
    <x v="16"/>
    <x v="4"/>
    <x v="58"/>
    <s v="VT2"/>
    <s v="00004947"/>
    <x v="46"/>
    <n v="24"/>
    <n v="24"/>
    <n v="0"/>
  </r>
  <r>
    <n v="-20"/>
    <n v="-45258"/>
    <s v="Producto: 2124002502010101 / BISA OLLA CONVEXA 24 A/T"/>
    <x v="17"/>
    <x v="4"/>
    <x v="58"/>
    <s v="VT2"/>
    <s v="00004947"/>
    <x v="46"/>
    <n v="12"/>
    <n v="0"/>
    <n v="12"/>
  </r>
  <r>
    <n v="-20"/>
    <n v="-45258"/>
    <s v="Producto: 2124002602010101 / BISA OLLA CONVEXA 26 A/T"/>
    <x v="18"/>
    <x v="4"/>
    <x v="58"/>
    <s v="VT2"/>
    <s v="00004947"/>
    <x v="46"/>
    <n v="12"/>
    <n v="0"/>
    <n v="12"/>
  </r>
  <r>
    <n v="-20"/>
    <n v="-45258"/>
    <s v="Producto: 2124002902010101 / BISA OLLA CONVEXA 30 A/T"/>
    <x v="19"/>
    <x v="4"/>
    <x v="58"/>
    <s v="VT2"/>
    <s v="00004947"/>
    <x v="46"/>
    <n v="4"/>
    <n v="0"/>
    <n v="4"/>
  </r>
  <r>
    <n v="-20"/>
    <n v="-45258"/>
    <s v="Producto: 2125001402010101 / BISA OLLA RECTA 12 A/T"/>
    <x v="94"/>
    <x v="4"/>
    <x v="58"/>
    <s v="VT2"/>
    <s v="00004947"/>
    <x v="46"/>
    <n v="72"/>
    <n v="72"/>
    <n v="0"/>
  </r>
  <r>
    <n v="-20"/>
    <n v="-45258"/>
    <s v="Producto: 2125001502010101 / BISA OLLA RECTA 14 A/T"/>
    <x v="95"/>
    <x v="4"/>
    <x v="58"/>
    <s v="VT2"/>
    <s v="00004947"/>
    <x v="46"/>
    <n v="72"/>
    <n v="0"/>
    <n v="72"/>
  </r>
  <r>
    <n v="-20"/>
    <n v="-45258"/>
    <s v="Producto: 2125001702010101 / BISA OLLA RECTA 16 A/T"/>
    <x v="96"/>
    <x v="4"/>
    <x v="58"/>
    <s v="VT2"/>
    <s v="00004947"/>
    <x v="46"/>
    <n v="48"/>
    <n v="48"/>
    <n v="0"/>
  </r>
  <r>
    <n v="-20"/>
    <n v="-45258"/>
    <s v="Producto: 2125002102010101 / BISA OLLA RECTA 18 A/T"/>
    <x v="97"/>
    <x v="4"/>
    <x v="58"/>
    <s v="VT2"/>
    <s v="00004947"/>
    <x v="46"/>
    <n v="24"/>
    <n v="24"/>
    <n v="0"/>
  </r>
  <r>
    <n v="-20"/>
    <n v="-45258"/>
    <s v="Producto: 2125002202010101 / BISA OLLA RECTA 20 A/T"/>
    <x v="43"/>
    <x v="4"/>
    <x v="58"/>
    <s v="VT2"/>
    <s v="00004947"/>
    <x v="46"/>
    <n v="24"/>
    <n v="24"/>
    <n v="0"/>
  </r>
  <r>
    <n v="-20"/>
    <n v="-45258"/>
    <s v="Producto: 2125002402010101 / BISA OLLA RECTA 22 A/T"/>
    <x v="44"/>
    <x v="4"/>
    <x v="58"/>
    <s v="VT2"/>
    <s v="00004947"/>
    <x v="46"/>
    <n v="18"/>
    <n v="18"/>
    <n v="0"/>
  </r>
  <r>
    <n v="-20"/>
    <n v="-45258"/>
    <s v="Producto: 2125002502010101 / BISA OLLA RECTA 24 A/T"/>
    <x v="45"/>
    <x v="4"/>
    <x v="58"/>
    <s v="VT2"/>
    <s v="00004947"/>
    <x v="46"/>
    <n v="12"/>
    <n v="12"/>
    <n v="0"/>
  </r>
  <r>
    <n v="-20"/>
    <n v="-45258"/>
    <s v="Producto: 2125002802010101 / BISA OLLA RECTA 28 A/T"/>
    <x v="47"/>
    <x v="4"/>
    <x v="58"/>
    <s v="VT2"/>
    <s v="00004947"/>
    <x v="46"/>
    <n v="4"/>
    <n v="4"/>
    <n v="0"/>
  </r>
  <r>
    <n v="-20"/>
    <n v="-45258"/>
    <s v="Producto: 2125003102010101 / BISA OLLA RECTA 34 A/T"/>
    <x v="21"/>
    <x v="4"/>
    <x v="58"/>
    <s v="VT2"/>
    <s v="00004947"/>
    <x v="46"/>
    <n v="4"/>
    <n v="0"/>
    <n v="4"/>
  </r>
  <r>
    <n v="-20"/>
    <n v="-45258"/>
    <s v="Producto: 2126002202010101 / BISA PLATO AVENERO 20 A/T"/>
    <x v="106"/>
    <x v="4"/>
    <x v="58"/>
    <s v="VT2"/>
    <s v="00004947"/>
    <x v="46"/>
    <n v="144"/>
    <n v="144"/>
    <n v="0"/>
  </r>
  <r>
    <n v="-20"/>
    <n v="-45258"/>
    <s v="Producto: 2126002216050101 / BISA PLATO AVENERO 20 BLANCO C/F NEGRO"/>
    <x v="106"/>
    <x v="21"/>
    <x v="58"/>
    <s v="VT2"/>
    <s v="00004947"/>
    <x v="46"/>
    <n v="144"/>
    <n v="0"/>
    <n v="144"/>
  </r>
  <r>
    <n v="-20"/>
    <n v="-45258"/>
    <s v="Producto: 2133001202010101 / BISA POCILLO 8 A/T"/>
    <x v="75"/>
    <x v="4"/>
    <x v="58"/>
    <s v="VT2"/>
    <s v="00004947"/>
    <x v="46"/>
    <n v="120"/>
    <n v="120"/>
    <n v="0"/>
  </r>
  <r>
    <n v="-20"/>
    <n v="-45258"/>
    <s v="Producto: 2133001302010101 / BISA POCILLO 10 A/T"/>
    <x v="98"/>
    <x v="4"/>
    <x v="58"/>
    <s v="VT2"/>
    <s v="00004947"/>
    <x v="46"/>
    <n v="240"/>
    <n v="240"/>
    <n v="0"/>
  </r>
  <r>
    <n v="-20"/>
    <n v="-45258"/>
    <s v="Producto: 2133001402010101 / BISA POCILLO 12 A/T"/>
    <x v="84"/>
    <x v="4"/>
    <x v="58"/>
    <s v="VT2"/>
    <s v="00004947"/>
    <x v="46"/>
    <n v="180"/>
    <n v="0"/>
    <n v="180"/>
  </r>
  <r>
    <n v="-20"/>
    <n v="-45258"/>
    <s v="Producto: 2133001502010101 / BISA POCILLO 14 A/T"/>
    <x v="29"/>
    <x v="4"/>
    <x v="58"/>
    <s v="VT2"/>
    <s v="00004947"/>
    <x v="46"/>
    <n v="240"/>
    <n v="0"/>
    <n v="240"/>
  </r>
  <r>
    <n v="-20"/>
    <n v="-45258"/>
    <s v="Producto: 2133001510010101 / BISA POCILLO 14 BICOLOR AZUL"/>
    <x v="29"/>
    <x v="13"/>
    <x v="58"/>
    <s v="VT2"/>
    <s v="00004947"/>
    <x v="46"/>
    <n v="60"/>
    <n v="60"/>
    <n v="0"/>
  </r>
  <r>
    <n v="-20"/>
    <n v="-45258"/>
    <s v="Producto: 2133001512010101 / BISA POCILLO 14 BICOLOR NARANJA"/>
    <x v="29"/>
    <x v="8"/>
    <x v="58"/>
    <s v="VT2"/>
    <s v="00004947"/>
    <x v="46"/>
    <n v="60"/>
    <n v="60"/>
    <n v="0"/>
  </r>
  <r>
    <n v="-20"/>
    <n v="-45258"/>
    <s v="Producto: 2133001514010101 / BISA POCILLO 14 BICOLOR ROJO"/>
    <x v="29"/>
    <x v="7"/>
    <x v="58"/>
    <s v="VT2"/>
    <s v="00004947"/>
    <x v="46"/>
    <n v="60"/>
    <n v="60"/>
    <n v="0"/>
  </r>
  <r>
    <n v="-20"/>
    <n v="-45258"/>
    <s v="Producto: 2139002216050101 / BISA TAZON 20 BLANCO C/F NEGRO"/>
    <x v="112"/>
    <x v="21"/>
    <x v="58"/>
    <s v="VT2"/>
    <s v="00004947"/>
    <x v="46"/>
    <n v="150"/>
    <n v="0"/>
    <n v="150"/>
  </r>
  <r>
    <n v="-20"/>
    <n v="-45258"/>
    <s v="Producto: 2130002716050101 / BISA PLATO LISO 27 BLANCO C/F NEGRO"/>
    <x v="79"/>
    <x v="21"/>
    <x v="58"/>
    <s v="VT2"/>
    <s v="00004948"/>
    <x v="46"/>
    <n v="60"/>
    <n v="0"/>
    <n v="60"/>
  </r>
  <r>
    <n v="-20"/>
    <n v="-45258"/>
    <s v="Producto: 2133000902010101 / BISA POCILLO 5 A/T"/>
    <x v="9"/>
    <x v="4"/>
    <x v="58"/>
    <s v="VT2"/>
    <s v="00004948"/>
    <x v="46"/>
    <n v="240"/>
    <n v="57"/>
    <n v="183"/>
  </r>
  <r>
    <n v="-20"/>
    <n v="-45258"/>
    <s v="Producto: 2133000926010101 / BISA POCILLO 5 NEGRO"/>
    <x v="135"/>
    <x v="18"/>
    <x v="58"/>
    <s v="VT2"/>
    <s v="00004948"/>
    <x v="46"/>
    <n v="240"/>
    <n v="0"/>
    <n v="240"/>
  </r>
  <r>
    <n v="-20"/>
    <n v="-45258"/>
    <s v="Producto: 2133001216050101 / BISA POCILLO 8 BLANCO C/F NEGRO"/>
    <x v="75"/>
    <x v="21"/>
    <x v="58"/>
    <s v="VT2"/>
    <s v="00004948"/>
    <x v="46"/>
    <n v="120"/>
    <n v="5"/>
    <n v="115"/>
  </r>
  <r>
    <n v="-23"/>
    <n v="-45258"/>
    <s v="Producto: 2108002529010101 / BISA CAZUELA 24 ROJO"/>
    <x v="104"/>
    <x v="16"/>
    <x v="59"/>
    <s v="VT1"/>
    <s v="00003598"/>
    <x v="47"/>
    <n v="96"/>
    <n v="0"/>
    <n v="96"/>
  </r>
  <r>
    <n v="-23"/>
    <n v="-45258"/>
    <s v="Producto: 2122000116050101 / BISA MULTIUSOS BLANCO C/F NEGRO"/>
    <x v="110"/>
    <x v="21"/>
    <x v="59"/>
    <s v="VT1"/>
    <s v="00003598"/>
    <x v="47"/>
    <n v="480"/>
    <n v="136"/>
    <n v="344"/>
  </r>
  <r>
    <n v="-23"/>
    <n v="-45258"/>
    <s v="Producto: 2126002216050101 / BISA PLATO AVENERO 20 BLANCO C/F NEGRO"/>
    <x v="106"/>
    <x v="21"/>
    <x v="59"/>
    <s v="VT1"/>
    <s v="00003598"/>
    <x v="47"/>
    <n v="120"/>
    <n v="0"/>
    <n v="120"/>
  </r>
  <r>
    <n v="-23"/>
    <n v="-45258"/>
    <s v="Producto: 2130001716050101 / BISA PLATO LISO 16 BLANCO C/F NEGRO"/>
    <x v="77"/>
    <x v="21"/>
    <x v="59"/>
    <s v="VT1"/>
    <s v="00003598"/>
    <x v="47"/>
    <n v="240"/>
    <n v="0"/>
    <n v="240"/>
  </r>
  <r>
    <n v="-23"/>
    <n v="-45258"/>
    <s v="Producto: 2130002516050101 / BISA PLATO LISO 24 BLANCO C/F NEGRO"/>
    <x v="26"/>
    <x v="21"/>
    <x v="59"/>
    <s v="VT1"/>
    <s v="00003598"/>
    <x v="47"/>
    <n v="120"/>
    <n v="0"/>
    <n v="120"/>
  </r>
  <r>
    <n v="-23"/>
    <n v="-45258"/>
    <s v="Producto: 2130002716050101 / BISA PLATO LISO 27 BLANCO C/F NEGRO"/>
    <x v="79"/>
    <x v="21"/>
    <x v="59"/>
    <s v="VT1"/>
    <s v="00003598"/>
    <x v="47"/>
    <n v="120"/>
    <n v="0"/>
    <n v="120"/>
  </r>
  <r>
    <n v="-23"/>
    <n v="-45258"/>
    <s v="Producto: 2130003016050101 / BISA PLATO LISO 32 BLANCO C/F NEGRO"/>
    <x v="76"/>
    <x v="21"/>
    <x v="59"/>
    <s v="VT1"/>
    <s v="00003598"/>
    <x v="47"/>
    <n v="120"/>
    <n v="0"/>
    <n v="120"/>
  </r>
  <r>
    <n v="-23"/>
    <n v="-45258"/>
    <s v="Producto: 2133000916050101 / BISA POCILLO 5 BLANCO C/F NEGRO"/>
    <x v="9"/>
    <x v="21"/>
    <x v="59"/>
    <s v="VT1"/>
    <s v="00003598"/>
    <x v="47"/>
    <n v="192"/>
    <n v="129"/>
    <n v="63"/>
  </r>
  <r>
    <n v="-23"/>
    <n v="-45258"/>
    <s v="Producto: 2142002129010101 / BISA TORTILLERO 18 ROJO"/>
    <x v="136"/>
    <x v="16"/>
    <x v="59"/>
    <s v="VT1"/>
    <s v="00003598"/>
    <x v="47"/>
    <n v="96"/>
    <n v="0"/>
    <n v="96"/>
  </r>
  <r>
    <n v="-23"/>
    <n v="-45258"/>
    <s v="Producto: 2152003016050101 / BISA PLATO OVAL 32 BLANCO C/F NEGRO"/>
    <x v="69"/>
    <x v="21"/>
    <x v="59"/>
    <s v="VT1"/>
    <s v="00003598"/>
    <x v="47"/>
    <n v="24"/>
    <n v="0"/>
    <n v="24"/>
  </r>
  <r>
    <n v="-23"/>
    <n v="-45258"/>
    <s v="Producto: 2152002816050101 / BISA PLATO OVAL 28 BLANCO C/F NEGRO"/>
    <x v="120"/>
    <x v="21"/>
    <x v="59"/>
    <s v="VT1"/>
    <s v="00003598"/>
    <x v="47"/>
    <n v="72"/>
    <n v="0"/>
    <n v="72"/>
  </r>
  <r>
    <n v="-17"/>
    <n v="-45258"/>
    <s v="Producto: 2106001402010101 / BISA BUDINERA 12 A/T"/>
    <x v="103"/>
    <x v="4"/>
    <x v="60"/>
    <s v="VT2"/>
    <s v="00004951"/>
    <x v="48"/>
    <n v="90"/>
    <n v="90"/>
    <n v="0"/>
  </r>
  <r>
    <n v="-17"/>
    <n v="-45258"/>
    <s v="Producto: 2106001502010101 / BISA BUDINERA 14 A/T"/>
    <x v="92"/>
    <x v="4"/>
    <x v="60"/>
    <s v="VT2"/>
    <s v="00004951"/>
    <x v="48"/>
    <n v="162"/>
    <n v="162"/>
    <n v="0"/>
  </r>
  <r>
    <n v="-17"/>
    <n v="-45258"/>
    <s v="Producto: 2106002102010101 / BISA BUDINERA 18 A/T"/>
    <x v="93"/>
    <x v="4"/>
    <x v="60"/>
    <s v="VT2"/>
    <s v="00004951"/>
    <x v="48"/>
    <n v="234"/>
    <n v="216"/>
    <n v="18"/>
  </r>
  <r>
    <n v="-17"/>
    <n v="-45258"/>
    <s v="Producto: 2106002202010101 / BISA BUDINERA 20 A/T"/>
    <x v="36"/>
    <x v="4"/>
    <x v="60"/>
    <s v="VT2"/>
    <s v="00004951"/>
    <x v="48"/>
    <n v="126"/>
    <n v="126"/>
    <n v="0"/>
  </r>
  <r>
    <n v="-17"/>
    <n v="-45258"/>
    <s v="Producto: 2106002402010101 / BISA BUDINERA 22 A/T"/>
    <x v="37"/>
    <x v="4"/>
    <x v="60"/>
    <s v="VT2"/>
    <s v="00004951"/>
    <x v="48"/>
    <n v="36"/>
    <n v="0"/>
    <n v="36"/>
  </r>
  <r>
    <n v="-17"/>
    <n v="-45258"/>
    <s v="Producto: 2106002602010101 / BISA BUDINERA 26 A/T"/>
    <x v="12"/>
    <x v="4"/>
    <x v="60"/>
    <s v="VT2"/>
    <s v="00004951"/>
    <x v="48"/>
    <n v="84"/>
    <n v="72"/>
    <n v="12"/>
  </r>
  <r>
    <n v="-17"/>
    <n v="-45258"/>
    <s v="Producto: 2106003102010101 / BISA BUDINERA 34 A/T"/>
    <x v="39"/>
    <x v="4"/>
    <x v="60"/>
    <s v="VT2"/>
    <s v="00004951"/>
    <x v="48"/>
    <n v="24"/>
    <n v="24"/>
    <n v="0"/>
  </r>
  <r>
    <n v="-17"/>
    <n v="-45258"/>
    <s v="Producto: 2110002427010101 / BISA COMAL 22 NEGRO MOTAS"/>
    <x v="28"/>
    <x v="0"/>
    <x v="60"/>
    <s v="VT2"/>
    <s v="00004951"/>
    <x v="48"/>
    <n v="168"/>
    <n v="168"/>
    <n v="0"/>
  </r>
  <r>
    <n v="-17"/>
    <n v="-45258"/>
    <s v="Producto: 2110002827010101 / BISA COMAL 28 NEGRO MOTAS"/>
    <x v="13"/>
    <x v="0"/>
    <x v="60"/>
    <s v="VT2"/>
    <s v="00004951"/>
    <x v="48"/>
    <n v="564"/>
    <n v="564"/>
    <n v="0"/>
  </r>
  <r>
    <n v="-17"/>
    <n v="-45258"/>
    <s v="Producto: 2124001502010101 / BISA OLLA CONVEXA 14 A/T"/>
    <x v="40"/>
    <x v="4"/>
    <x v="60"/>
    <s v="VT2"/>
    <s v="00004951"/>
    <x v="48"/>
    <n v="126"/>
    <n v="126"/>
    <n v="0"/>
  </r>
  <r>
    <n v="-17"/>
    <n v="-45258"/>
    <s v="Producto: 2124002102010101 / BISA OLLA CONVEXA 18 A/T"/>
    <x v="14"/>
    <x v="4"/>
    <x v="60"/>
    <s v="VT2"/>
    <s v="00004951"/>
    <x v="48"/>
    <n v="48"/>
    <n v="48"/>
    <n v="0"/>
  </r>
  <r>
    <n v="-17"/>
    <n v="-45258"/>
    <s v="Producto: 2124002502010101 / BISA OLLA CONVEXA 24 A/T"/>
    <x v="17"/>
    <x v="4"/>
    <x v="60"/>
    <s v="VT2"/>
    <s v="00004951"/>
    <x v="48"/>
    <n v="36"/>
    <n v="0"/>
    <n v="36"/>
  </r>
  <r>
    <n v="-17"/>
    <n v="-45258"/>
    <s v="Producto: 2124002602010101 / BISA OLLA CONVEXA 26 A/T"/>
    <x v="18"/>
    <x v="4"/>
    <x v="60"/>
    <s v="VT2"/>
    <s v="00004951"/>
    <x v="48"/>
    <n v="42"/>
    <n v="42"/>
    <n v="0"/>
  </r>
  <r>
    <n v="-17"/>
    <n v="-45258"/>
    <s v="Producto: 2124002902010101 / BISA OLLA CONVEXA 30 A/T"/>
    <x v="19"/>
    <x v="4"/>
    <x v="60"/>
    <s v="VT2"/>
    <s v="00004951"/>
    <x v="48"/>
    <n v="52"/>
    <n v="0"/>
    <n v="52"/>
  </r>
  <r>
    <n v="-17"/>
    <n v="-45258"/>
    <s v="Producto: 2125001402010101 / BISA OLLA RECTA 12 A/T"/>
    <x v="94"/>
    <x v="4"/>
    <x v="60"/>
    <s v="VT2"/>
    <s v="00004951"/>
    <x v="48"/>
    <n v="162"/>
    <n v="162"/>
    <n v="0"/>
  </r>
  <r>
    <n v="-17"/>
    <n v="-45258"/>
    <s v="Producto: 2125001502010101 / BISA OLLA RECTA 14 A/T"/>
    <x v="95"/>
    <x v="4"/>
    <x v="60"/>
    <s v="VT2"/>
    <s v="00004951"/>
    <x v="48"/>
    <n v="108"/>
    <n v="15"/>
    <n v="93"/>
  </r>
  <r>
    <n v="-17"/>
    <n v="-45258"/>
    <s v="Producto: 2133001402010101 / BISA POCILLO 12 A/T"/>
    <x v="84"/>
    <x v="4"/>
    <x v="60"/>
    <s v="VT2"/>
    <s v="00004951"/>
    <x v="48"/>
    <n v="84"/>
    <n v="84"/>
    <n v="0"/>
  </r>
  <r>
    <n v="-17"/>
    <n v="-45258"/>
    <s v="Producto: 2133001502010101 / BISA POCILLO 14 A/T"/>
    <x v="29"/>
    <x v="4"/>
    <x v="60"/>
    <s v="VT2"/>
    <s v="00004951"/>
    <x v="48"/>
    <n v="222"/>
    <n v="222"/>
    <n v="0"/>
  </r>
  <r>
    <n v="-17"/>
    <n v="-45258"/>
    <s v="Producto: 2133001501010701 / BISA POCILLO 14 DECORADO "/>
    <x v="29"/>
    <x v="6"/>
    <x v="60"/>
    <s v="VT2"/>
    <s v="00004951"/>
    <x v="48"/>
    <n v="156"/>
    <n v="0"/>
    <n v="156"/>
  </r>
  <r>
    <n v="-16"/>
    <n v="-45258"/>
    <s v="Producto: 2106002502010101 / BISA BUDINERA 24 A/T"/>
    <x v="11"/>
    <x v="4"/>
    <x v="61"/>
    <s v="VT1"/>
    <s v="00003602"/>
    <x v="49"/>
    <n v="24"/>
    <n v="24"/>
    <n v="0"/>
  </r>
  <r>
    <n v="-16"/>
    <n v="-45258"/>
    <s v="Producto: 2106002602010101 / BISA BUDINERA 26 A/T"/>
    <x v="12"/>
    <x v="4"/>
    <x v="61"/>
    <s v="VT1"/>
    <s v="00003602"/>
    <x v="49"/>
    <n v="24"/>
    <n v="24"/>
    <n v="0"/>
  </r>
  <r>
    <n v="-16"/>
    <n v="-45258"/>
    <s v="Producto: 2121004301010101 / BISA JUEGO 3+3"/>
    <x v="137"/>
    <x v="4"/>
    <x v="61"/>
    <s v="VT1"/>
    <s v="00003602"/>
    <x v="49"/>
    <n v="15"/>
    <n v="0"/>
    <n v="15"/>
  </r>
  <r>
    <n v="-16"/>
    <n v="-45258"/>
    <s v="Producto: 2121004401010101 / BISA JUEGO 5+5"/>
    <x v="138"/>
    <x v="4"/>
    <x v="61"/>
    <s v="VT1"/>
    <s v="00003602"/>
    <x v="49"/>
    <n v="25"/>
    <n v="25"/>
    <n v="0"/>
  </r>
  <r>
    <n v="-16"/>
    <n v="-45258"/>
    <s v="Producto: 2125002202010101 / BISA OLLA RECTA 20 A/T"/>
    <x v="43"/>
    <x v="4"/>
    <x v="61"/>
    <s v="VT1"/>
    <s v="00003602"/>
    <x v="49"/>
    <n v="96"/>
    <n v="96"/>
    <n v="0"/>
  </r>
  <r>
    <n v="-16"/>
    <n v="-45258"/>
    <s v="Producto: 2125002402010101 / BISA OLLA RECTA 22 A/T"/>
    <x v="44"/>
    <x v="4"/>
    <x v="61"/>
    <s v="VT1"/>
    <s v="00003602"/>
    <x v="49"/>
    <n v="144"/>
    <n v="144"/>
    <n v="0"/>
  </r>
  <r>
    <n v="-16"/>
    <n v="-45258"/>
    <s v="Producto: 2125002602010101 / BISA OLLA RECTA 26 A/T"/>
    <x v="46"/>
    <x v="4"/>
    <x v="61"/>
    <s v="VT1"/>
    <s v="00003602"/>
    <x v="49"/>
    <n v="96"/>
    <n v="96"/>
    <n v="0"/>
  </r>
  <r>
    <n v="-16"/>
    <n v="-45258"/>
    <s v="Producto: 2133001302010101 / BISA POCILLO 10 A/T"/>
    <x v="98"/>
    <x v="4"/>
    <x v="61"/>
    <s v="VT1"/>
    <s v="00003602"/>
    <x v="49"/>
    <n v="240"/>
    <n v="240"/>
    <n v="0"/>
  </r>
  <r>
    <n v="-16"/>
    <n v="-45258"/>
    <s v="Producto: 2133001402010101 / BISA POCILLO 12 A/T"/>
    <x v="84"/>
    <x v="4"/>
    <x v="61"/>
    <s v="VT1"/>
    <s v="00003602"/>
    <x v="49"/>
    <n v="360"/>
    <n v="360"/>
    <n v="0"/>
  </r>
  <r>
    <n v="-16"/>
    <n v="-45258"/>
    <s v="Producto: 2133001502010101 / BISA POCILLO 14 A/T"/>
    <x v="29"/>
    <x v="4"/>
    <x v="61"/>
    <s v="VT1"/>
    <s v="00003602"/>
    <x v="49"/>
    <n v="210"/>
    <n v="210"/>
    <n v="0"/>
  </r>
  <r>
    <n v="-16"/>
    <n v="-45258"/>
    <s v="Producto: 2151001502010101 / BISA VASO RECTO 14 CON TAPA"/>
    <x v="124"/>
    <x v="4"/>
    <x v="61"/>
    <s v="VT1"/>
    <s v="00003602"/>
    <x v="49"/>
    <n v="48"/>
    <n v="48"/>
    <n v="0"/>
  </r>
  <r>
    <n v="-16"/>
    <n v="-45258"/>
    <s v="Producto: 2133001501010701 / BISA POCILLO 14 DECORADO "/>
    <x v="29"/>
    <x v="6"/>
    <x v="61"/>
    <s v="VT1"/>
    <s v="00003602"/>
    <x v="49"/>
    <n v="120"/>
    <n v="0"/>
    <n v="120"/>
  </r>
  <r>
    <n v="-17"/>
    <n v="-45258"/>
    <s v="Producto: 2145001227010101 / BISA VASO 8 NEGRO MOTAS"/>
    <x v="116"/>
    <x v="20"/>
    <x v="62"/>
    <s v="BO"/>
    <s v="00000868"/>
    <x v="50"/>
    <n v="72"/>
    <n v="72"/>
    <n v="0"/>
  </r>
  <r>
    <n v="-17"/>
    <n v="-45258"/>
    <s v="Producto:2130002727010101 / BISA PLATO LISO 27 NEGRO MOTAS"/>
    <x v="79"/>
    <x v="20"/>
    <x v="62"/>
    <s v="BO"/>
    <s v="00000868"/>
    <x v="50"/>
    <n v="42"/>
    <n v="42"/>
    <n v="0"/>
  </r>
  <r>
    <n v="-17"/>
    <n v="-45258"/>
    <s v="Producto:2130002227010101 / BISA PLATO LISO 20 NEGRO MOTAS"/>
    <x v="80"/>
    <x v="20"/>
    <x v="62"/>
    <s v="BO"/>
    <s v="00000868"/>
    <x v="50"/>
    <n v="24"/>
    <n v="24"/>
    <n v="0"/>
  </r>
  <r>
    <n v="-17"/>
    <n v="-45258"/>
    <s v="Producto:2139001627010101 / BISA TAZON 15.5 NEGRO MOTAS"/>
    <x v="100"/>
    <x v="20"/>
    <x v="62"/>
    <s v="BO"/>
    <s v="00000868"/>
    <x v="50"/>
    <n v="48"/>
    <n v="48"/>
    <n v="0"/>
  </r>
  <r>
    <n v="-17"/>
    <n v="-45258"/>
    <s v="Producto:2133000916070101/ BISA POCILLO 5 BLANCO C/F ROJO"/>
    <x v="9"/>
    <x v="17"/>
    <x v="63"/>
    <s v="VT1"/>
    <s v="00003601"/>
    <x v="51"/>
    <n v="360"/>
    <n v="13"/>
    <n v="347"/>
  </r>
  <r>
    <n v="-17"/>
    <n v="-45258"/>
    <s v="Producto: 2133001402010101 / BISA POCILLO 12 A/T"/>
    <x v="84"/>
    <x v="4"/>
    <x v="64"/>
    <s v="VT3"/>
    <s v="00001067"/>
    <x v="52"/>
    <n v="3300"/>
    <n v="0"/>
    <n v="3300"/>
  </r>
  <r>
    <n v="-17"/>
    <n v="-45258"/>
    <s v="Producto: 2133001502010101 / BISA POCILLO 14 A/T"/>
    <x v="29"/>
    <x v="4"/>
    <x v="64"/>
    <s v="VT3"/>
    <s v="00001067"/>
    <x v="52"/>
    <n v="1500"/>
    <n v="0"/>
    <n v="1500"/>
  </r>
  <r>
    <n v="-17"/>
    <n v="-45258"/>
    <s v="Producto: 2101002516050101 / BISA BACINICA 24 BLANCO C/F NEGRO"/>
    <x v="86"/>
    <x v="21"/>
    <x v="65"/>
    <s v="VT2"/>
    <s v="00004941"/>
    <x v="35"/>
    <n v="12"/>
    <n v="0"/>
    <n v="12"/>
  </r>
  <r>
    <n v="-17"/>
    <n v="-45258"/>
    <s v="Producto: 2106001402010101 / BISA BUDINERA 12 A/T"/>
    <x v="103"/>
    <x v="4"/>
    <x v="65"/>
    <s v="VT2"/>
    <s v="00004941"/>
    <x v="35"/>
    <n v="18"/>
    <n v="0"/>
    <n v="18"/>
  </r>
  <r>
    <n v="-17"/>
    <n v="-45258"/>
    <s v="Producto: 2106001502010101 / BISA BUDINERA 14 A/T"/>
    <x v="92"/>
    <x v="4"/>
    <x v="65"/>
    <s v="VT2"/>
    <s v="00004941"/>
    <x v="35"/>
    <n v="18"/>
    <n v="0"/>
    <n v="18"/>
  </r>
  <r>
    <n v="-17"/>
    <n v="-45258"/>
    <s v="Producto: 2106001702010101 / BISA BUDINERA 16 A/T"/>
    <x v="82"/>
    <x v="4"/>
    <x v="65"/>
    <s v="VT2"/>
    <s v="00004941"/>
    <x v="35"/>
    <n v="18"/>
    <n v="0"/>
    <n v="18"/>
  </r>
  <r>
    <n v="-17"/>
    <n v="-45258"/>
    <s v="Producto: 2106002102010101 / BISA BUDINERA 18 A/T"/>
    <x v="93"/>
    <x v="4"/>
    <x v="65"/>
    <s v="VT2"/>
    <s v="00004941"/>
    <x v="35"/>
    <n v="18"/>
    <n v="0"/>
    <n v="18"/>
  </r>
  <r>
    <n v="-17"/>
    <n v="-45258"/>
    <s v="Producto: 2106002902010101 / BISA BUDINERA 30 A/T"/>
    <x v="38"/>
    <x v="4"/>
    <x v="65"/>
    <s v="VT2"/>
    <s v="00004941"/>
    <x v="35"/>
    <n v="4"/>
    <n v="0"/>
    <n v="4"/>
  </r>
  <r>
    <n v="-17"/>
    <n v="-45258"/>
    <s v="Producto: 2106003102010101 / BISA BUDINERA 34 A/T"/>
    <x v="39"/>
    <x v="4"/>
    <x v="65"/>
    <s v="VT2"/>
    <s v="00004941"/>
    <x v="35"/>
    <n v="4"/>
    <n v="4"/>
    <n v="0"/>
  </r>
  <r>
    <n v="-17"/>
    <n v="-45258"/>
    <s v="Producto: 2106003302010101 / BISA BUDINERA 42 A/T"/>
    <x v="90"/>
    <x v="4"/>
    <x v="65"/>
    <s v="VT2"/>
    <s v="00004941"/>
    <x v="35"/>
    <n v="2"/>
    <n v="2"/>
    <n v="0"/>
  </r>
  <r>
    <n v="-17"/>
    <n v="-45258"/>
    <s v="Producto: 2110002827010101 / BISA COMAL 28 NEGRO MOTAS"/>
    <x v="13"/>
    <x v="0"/>
    <x v="65"/>
    <s v="VT2"/>
    <s v="00004941"/>
    <x v="35"/>
    <n v="12"/>
    <n v="0"/>
    <n v="12"/>
  </r>
  <r>
    <n v="-17"/>
    <n v="-45258"/>
    <s v="Producto: 2110003227010101 / BISA COMAL 36 NEGRO MOTAS"/>
    <x v="52"/>
    <x v="0"/>
    <x v="65"/>
    <s v="VT2"/>
    <s v="00004941"/>
    <x v="35"/>
    <n v="12"/>
    <n v="12"/>
    <n v="0"/>
  </r>
  <r>
    <n v="-17"/>
    <n v="-45258"/>
    <s v="Producto: 2125001402010101 / BISA OLLA RECTA 12 A/T"/>
    <x v="94"/>
    <x v="4"/>
    <x v="65"/>
    <s v="VT2"/>
    <s v="00004941"/>
    <x v="35"/>
    <n v="18"/>
    <n v="18"/>
    <n v="0"/>
  </r>
  <r>
    <n v="-17"/>
    <n v="-45258"/>
    <s v="Producto: 2125001502010101 / BISA OLLA RECTA 14 A/T"/>
    <x v="95"/>
    <x v="4"/>
    <x v="65"/>
    <s v="VT2"/>
    <s v="00004941"/>
    <x v="35"/>
    <n v="18"/>
    <n v="0"/>
    <n v="18"/>
  </r>
  <r>
    <n v="-17"/>
    <n v="-45258"/>
    <s v="Producto: 2125001702010101 / BISA OLLA RECTA 16 A/T"/>
    <x v="96"/>
    <x v="4"/>
    <x v="65"/>
    <s v="VT2"/>
    <s v="00004941"/>
    <x v="35"/>
    <n v="12"/>
    <n v="0"/>
    <n v="12"/>
  </r>
  <r>
    <n v="-17"/>
    <n v="-45258"/>
    <s v="Producto: 2125002102010101 / BISA OLLA RECTA 18 A/T"/>
    <x v="97"/>
    <x v="4"/>
    <x v="65"/>
    <s v="VT2"/>
    <s v="00004941"/>
    <x v="35"/>
    <n v="12"/>
    <n v="12"/>
    <n v="0"/>
  </r>
  <r>
    <n v="-17"/>
    <n v="-45258"/>
    <s v="Producto: 2125002202010101 / BISA OLLA RECTA 20 A/T"/>
    <x v="43"/>
    <x v="4"/>
    <x v="65"/>
    <s v="VT2"/>
    <s v="00004941"/>
    <x v="35"/>
    <n v="12"/>
    <n v="12"/>
    <n v="0"/>
  </r>
  <r>
    <n v="-17"/>
    <n v="-45258"/>
    <s v="Producto: 2125002402010101 / BISA OLLA RECTA 22 A/T"/>
    <x v="44"/>
    <x v="4"/>
    <x v="65"/>
    <s v="VT2"/>
    <s v="00004941"/>
    <x v="35"/>
    <n v="6"/>
    <n v="6"/>
    <n v="0"/>
  </r>
  <r>
    <n v="-17"/>
    <n v="-45258"/>
    <s v="Producto: 2125002502010101 / BISA OLLA RECTA 24 A/T"/>
    <x v="45"/>
    <x v="4"/>
    <x v="65"/>
    <s v="VT2"/>
    <s v="00004941"/>
    <x v="35"/>
    <n v="6"/>
    <n v="0"/>
    <n v="6"/>
  </r>
  <r>
    <n v="-17"/>
    <n v="-45258"/>
    <s v="Producto: 2125002602010101 / BISA OLLA RECTA 26 A/T"/>
    <x v="46"/>
    <x v="4"/>
    <x v="65"/>
    <s v="VT2"/>
    <s v="00004941"/>
    <x v="35"/>
    <n v="6"/>
    <n v="6"/>
    <n v="0"/>
  </r>
  <r>
    <n v="-17"/>
    <n v="-45258"/>
    <s v="Producto: 2125002802010101 / BISA OLLA RECTA 28 A/T"/>
    <x v="47"/>
    <x v="4"/>
    <x v="65"/>
    <s v="VT2"/>
    <s v="00004941"/>
    <x v="35"/>
    <n v="4"/>
    <n v="0"/>
    <n v="4"/>
  </r>
  <r>
    <n v="-17"/>
    <n v="-45258"/>
    <s v="Producto: 2125002902010101 / BISA OLLA RECTA 30 A/T"/>
    <x v="20"/>
    <x v="4"/>
    <x v="65"/>
    <s v="VT2"/>
    <s v="00004941"/>
    <x v="35"/>
    <n v="4"/>
    <n v="0"/>
    <n v="4"/>
  </r>
  <r>
    <n v="-17"/>
    <n v="-45258"/>
    <s v="Producto: 2125003102010101 / BISA OLLA RECTA 34 A/T"/>
    <x v="21"/>
    <x v="4"/>
    <x v="65"/>
    <s v="VT2"/>
    <s v="00004941"/>
    <x v="35"/>
    <n v="4"/>
    <n v="0"/>
    <n v="4"/>
  </r>
  <r>
    <n v="-17"/>
    <n v="-45258"/>
    <s v="Producto: 2125003302010101 / BISA OLLA RECTA 42 A/T"/>
    <x v="22"/>
    <x v="4"/>
    <x v="65"/>
    <s v="VT2"/>
    <s v="00004941"/>
    <x v="35"/>
    <n v="2"/>
    <n v="2"/>
    <n v="0"/>
  </r>
  <r>
    <n v="-17"/>
    <n v="-45258"/>
    <s v="Producto: 2133001510010101 / BISA POCILLO 14 BICOLOR AZUL"/>
    <x v="29"/>
    <x v="13"/>
    <x v="65"/>
    <s v="VT2"/>
    <s v="00004941"/>
    <x v="35"/>
    <n v="12"/>
    <n v="8"/>
    <n v="4"/>
  </r>
  <r>
    <n v="-17"/>
    <n v="-45258"/>
    <s v="Producto: 2133001512010101 / BISA POCILLO 14 BICOLOR NARANJA"/>
    <x v="29"/>
    <x v="8"/>
    <x v="65"/>
    <s v="VT2"/>
    <s v="00004941"/>
    <x v="35"/>
    <n v="12"/>
    <n v="12"/>
    <n v="0"/>
  </r>
  <r>
    <n v="-17"/>
    <n v="-45258"/>
    <s v="Producto: 2133001514010101 / BISA POCILLO 14 BICOLOR ROJO"/>
    <x v="29"/>
    <x v="7"/>
    <x v="65"/>
    <s v="VT2"/>
    <s v="00004941"/>
    <x v="35"/>
    <n v="12"/>
    <n v="2"/>
    <n v="10"/>
  </r>
  <r>
    <n v="-17"/>
    <n v="-45258"/>
    <s v="Producto: 2125009902010101 / BISA OLLA RECTA 38 A/T"/>
    <x v="51"/>
    <x v="4"/>
    <x v="65"/>
    <s v="VT2"/>
    <s v="00004941"/>
    <x v="35"/>
    <n v="2"/>
    <n v="0"/>
    <n v="2"/>
  </r>
  <r>
    <n v="-17"/>
    <n v="-45258"/>
    <s v="Producto: 2143010301011605 / BISA VAJILLA CEMPASUCHIL 16 PZ"/>
    <x v="139"/>
    <x v="6"/>
    <x v="66"/>
    <s v="VT1"/>
    <s v="00003603"/>
    <x v="53"/>
    <n v="25"/>
    <n v="0"/>
    <n v="25"/>
  </r>
  <r>
    <n v="-17"/>
    <n v="-45258"/>
    <s v="Producto: 2143010401011705 /  BISA VAJILLA CALAVERAS 16 PZ"/>
    <x v="140"/>
    <x v="6"/>
    <x v="66"/>
    <s v="VT1"/>
    <s v="00003604"/>
    <x v="53"/>
    <n v="25"/>
    <n v="0"/>
    <n v="25"/>
  </r>
  <r>
    <n v="-17"/>
    <n v="-45258"/>
    <s v="Producto: 1103000619010101 / BISA BAÑO 2 GALVANIZADO"/>
    <x v="54"/>
    <x v="2"/>
    <x v="67"/>
    <s v="BOC"/>
    <s v="00000020"/>
    <x v="54"/>
    <n v="25"/>
    <n v="25"/>
    <n v="0"/>
  </r>
  <r>
    <n v="-17"/>
    <n v="-45258"/>
    <s v="Producto: 1103000719010101 / BISA BAÑO 3 GALVANIZADO"/>
    <x v="23"/>
    <x v="2"/>
    <x v="67"/>
    <s v="BOC"/>
    <s v="00000020"/>
    <x v="54"/>
    <n v="15"/>
    <n v="15"/>
    <n v="0"/>
  </r>
  <r>
    <n v="-17"/>
    <n v="-45258"/>
    <s v="Producto: 1103000919010101 / BISA BAÑO 5 GALVANIZADO"/>
    <x v="2"/>
    <x v="2"/>
    <x v="67"/>
    <s v="BOC"/>
    <s v="00000020"/>
    <x v="54"/>
    <n v="50"/>
    <n v="0"/>
    <n v="50"/>
  </r>
  <r>
    <n v="-17"/>
    <n v="-45258"/>
    <s v="Producto: 1103001419010101 / BISA BAÑO 12 GALVANIZADO"/>
    <x v="65"/>
    <x v="2"/>
    <x v="68"/>
    <s v="COT"/>
    <s v="00000742"/>
    <x v="55"/>
    <n v="100"/>
    <n v="0"/>
    <n v="100"/>
  </r>
  <r>
    <n v="-17"/>
    <n v="-45258"/>
    <s v="Producto: 1103001319010101 / BISA BAÑO 10 GALVANIZADO"/>
    <x v="64"/>
    <x v="2"/>
    <x v="68"/>
    <s v="COT"/>
    <s v="00000742"/>
    <x v="55"/>
    <n v="100"/>
    <n v="33"/>
    <n v="67"/>
  </r>
  <r>
    <n v="-17"/>
    <n v="-45258"/>
    <s v="Producto: 2110002827010101 / BISA COMAL 28 NEGRO MOTAS"/>
    <x v="13"/>
    <x v="0"/>
    <x v="69"/>
    <s v="VT2"/>
    <s v="00004953"/>
    <x v="56"/>
    <n v="36"/>
    <n v="0"/>
    <n v="36"/>
  </r>
  <r>
    <n v="-17"/>
    <n v="-45258"/>
    <s v="Producto: 2133000902010101 / BISA POCILLO 5 A/T"/>
    <x v="9"/>
    <x v="4"/>
    <x v="69"/>
    <s v="VT2"/>
    <s v="00004952"/>
    <x v="56"/>
    <n v="120"/>
    <n v="120"/>
    <n v="0"/>
  </r>
  <r>
    <n v="-17"/>
    <n v="-45258"/>
    <s v="Producto: 2133000917010101 / BISA POCILLO 5 COBALTO"/>
    <x v="9"/>
    <x v="32"/>
    <x v="69"/>
    <s v="VT2"/>
    <s v="00004952"/>
    <x v="56"/>
    <n v="120"/>
    <n v="0"/>
    <n v="120"/>
  </r>
  <r>
    <n v="-17"/>
    <n v="-45258"/>
    <s v="Producto: 2133000926010101 / BISA POCILLO 5 NEGRO"/>
    <x v="9"/>
    <x v="18"/>
    <x v="69"/>
    <s v="VT2"/>
    <s v="00004952"/>
    <x v="56"/>
    <n v="120"/>
    <n v="0"/>
    <n v="120"/>
  </r>
  <r>
    <n v="-17"/>
    <n v="-45258"/>
    <s v="Producto: 2133001216050101 / BISA POCILLO 8 BLANCO C/F NEGRO"/>
    <x v="75"/>
    <x v="21"/>
    <x v="69"/>
    <s v="VT2"/>
    <s v="00004952"/>
    <x v="56"/>
    <n v="240"/>
    <n v="0"/>
    <n v="240"/>
  </r>
  <r>
    <n v="-17"/>
    <n v="-45258"/>
    <s v="Producto: 2142002129010101 / BISA TORTILLERO 18 ROJO"/>
    <x v="136"/>
    <x v="16"/>
    <x v="69"/>
    <s v="VT2"/>
    <s v="00004952"/>
    <x v="56"/>
    <n v="30"/>
    <n v="0"/>
    <n v="30"/>
  </r>
  <r>
    <n v="-17"/>
    <n v="-45258"/>
    <s v="Producto: 2106002102010101 / BISA BUDINERA 18 A/T"/>
    <x v="93"/>
    <x v="4"/>
    <x v="70"/>
    <s v="VT1"/>
    <s v="00003605"/>
    <x v="56"/>
    <n v="18"/>
    <n v="0"/>
    <n v="18"/>
  </r>
  <r>
    <n v="-17"/>
    <n v="-45258"/>
    <s v="Producto: 2107001502010101 / BISA CAZO 14 A/T"/>
    <x v="132"/>
    <x v="4"/>
    <x v="70"/>
    <s v="VT1"/>
    <s v="00003605"/>
    <x v="56"/>
    <n v="24"/>
    <n v="24"/>
    <n v="0"/>
  </r>
  <r>
    <n v="-17"/>
    <n v="-45258"/>
    <s v="Producto: 2124002502010101 / BISA OLLA CONVEXA 24 A/T"/>
    <x v="17"/>
    <x v="4"/>
    <x v="70"/>
    <s v="VT1"/>
    <s v="00003605"/>
    <x v="56"/>
    <n v="6"/>
    <n v="0"/>
    <n v="6"/>
  </r>
  <r>
    <n v="-17"/>
    <n v="-45258"/>
    <s v="Producto: 2124002602010101 / BISA OLLA CONVEXA 26 A/T"/>
    <x v="18"/>
    <x v="4"/>
    <x v="70"/>
    <s v="VT1"/>
    <s v="00003605"/>
    <x v="56"/>
    <n v="6"/>
    <n v="0"/>
    <n v="6"/>
  </r>
  <r>
    <n v="-17"/>
    <n v="-45258"/>
    <s v="Producto: 2124002902010101 / BISA OLLA CONVEXA 30 A/T"/>
    <x v="19"/>
    <x v="38"/>
    <x v="70"/>
    <s v="VT1"/>
    <s v="00003605"/>
    <x v="56"/>
    <n v="4"/>
    <n v="0"/>
    <n v="4"/>
  </r>
  <r>
    <n v="-17"/>
    <n v="-45258"/>
    <s v="Producto: 2125003102010101 / BISA OLLA RECTA 34 A/T"/>
    <x v="21"/>
    <x v="38"/>
    <x v="70"/>
    <s v="VT1"/>
    <s v="00003605"/>
    <x v="56"/>
    <n v="8"/>
    <n v="0"/>
    <n v="8"/>
  </r>
  <r>
    <n v="-17"/>
    <n v="-45258"/>
    <s v="Producto: 2126002202010101 / BISA PLATO AVENERO 20 A/T"/>
    <x v="141"/>
    <x v="4"/>
    <x v="70"/>
    <s v="VT1"/>
    <s v="00003605"/>
    <x v="56"/>
    <n v="72"/>
    <n v="72"/>
    <n v="0"/>
  </r>
  <r>
    <n v="-17"/>
    <n v="-45258"/>
    <s v="Producto: 2133001502010101 / BISA POCILLO 14 A/T"/>
    <x v="29"/>
    <x v="4"/>
    <x v="70"/>
    <s v="VT1"/>
    <s v="00003605"/>
    <x v="56"/>
    <n v="36"/>
    <n v="0"/>
    <n v="36"/>
  </r>
  <r>
    <n v="-17"/>
    <n v="-45258"/>
    <s v="Producto: 2106001402010101 / BISA BUDINERA 12 A/T"/>
    <x v="103"/>
    <x v="4"/>
    <x v="69"/>
    <s v="BO"/>
    <s v="00000864"/>
    <x v="57"/>
    <n v="72"/>
    <n v="0"/>
    <n v="72"/>
  </r>
  <r>
    <n v="-17"/>
    <n v="-45258"/>
    <s v="Producto: 2106003102010101 / BISA BUDINERA 34 A/T"/>
    <x v="39"/>
    <x v="4"/>
    <x v="69"/>
    <s v="BO"/>
    <s v="00000864"/>
    <x v="57"/>
    <n v="4"/>
    <n v="4"/>
    <n v="0"/>
  </r>
  <r>
    <n v="-17"/>
    <n v="-45258"/>
    <s v="Producto: 2110002827010101 / BISA COMAL 28 NEGRO MOTAS"/>
    <x v="13"/>
    <x v="0"/>
    <x v="69"/>
    <s v="BO"/>
    <s v="00000864"/>
    <x v="57"/>
    <n v="60"/>
    <n v="0"/>
    <n v="60"/>
  </r>
  <r>
    <n v="-17"/>
    <n v="-45258"/>
    <s v="Producto: 2111001327010101 / BISA CUBETA 10 NEGRO MOTAS"/>
    <x v="0"/>
    <x v="0"/>
    <x v="69"/>
    <s v="BO"/>
    <s v="00000864"/>
    <x v="57"/>
    <n v="6"/>
    <n v="6"/>
    <n v="0"/>
  </r>
  <r>
    <n v="-17"/>
    <n v="-45258"/>
    <s v="Producto: 2125003102010101 / BISA OLLA RECTA 34 A/T"/>
    <x v="21"/>
    <x v="4"/>
    <x v="69"/>
    <s v="BO"/>
    <s v="00000864"/>
    <x v="57"/>
    <n v="6"/>
    <n v="0"/>
    <n v="6"/>
  </r>
  <r>
    <n v="-17"/>
    <n v="-45258"/>
    <s v="Producto: 2133000916050101 / BISA POCILLO 5 BLANCO C/F NEGRO"/>
    <x v="9"/>
    <x v="21"/>
    <x v="69"/>
    <s v="BO"/>
    <s v="00000865"/>
    <x v="57"/>
    <n v="24"/>
    <n v="24"/>
    <n v="0"/>
  </r>
  <r>
    <n v="-17"/>
    <n v="-45258"/>
    <s v="Producto: 2140001216050101 / BISA TAZON INCLINADO 8 BLANCO C/F NEGRO"/>
    <x v="113"/>
    <x v="21"/>
    <x v="69"/>
    <s v="BO"/>
    <s v="00000865"/>
    <x v="57"/>
    <n v="72"/>
    <n v="0"/>
    <n v="72"/>
  </r>
  <r>
    <n v="-17"/>
    <n v="-45258"/>
    <s v="Producto: 2142002121010101 / BISA TORTILLERO 18 GRIS"/>
    <x v="136"/>
    <x v="26"/>
    <x v="69"/>
    <s v="BO"/>
    <s v="00000865"/>
    <x v="57"/>
    <n v="6"/>
    <n v="0"/>
    <n v="6"/>
  </r>
  <r>
    <n v="-17"/>
    <n v="-45258"/>
    <s v="Producto: 2142002129010101 / BISA TORTILLERO 18 ROJO"/>
    <x v="136"/>
    <x v="16"/>
    <x v="69"/>
    <s v="BO"/>
    <s v="00000865"/>
    <x v="57"/>
    <n v="6"/>
    <n v="0"/>
    <n v="6"/>
  </r>
  <r>
    <n v="-17"/>
    <n v="-45258"/>
    <s v="Producto: 2133001016050101 / BISA POCILLO 6 BLANCO C/F NEGRO  "/>
    <x v="107"/>
    <x v="21"/>
    <x v="69"/>
    <s v="BO"/>
    <s v="00000865"/>
    <x v="57"/>
    <n v="72"/>
    <n v="72"/>
    <n v="0"/>
  </r>
  <r>
    <n v="-17"/>
    <n v="-45258"/>
    <s v="Producto: 2118004527010108 / BISA FUENTE P/HORNO 30X20 NEGRO MOTAS 2PZ/1 PH"/>
    <x v="142"/>
    <x v="20"/>
    <x v="71"/>
    <s v="VT1"/>
    <s v="00003606"/>
    <x v="58"/>
    <n v="1"/>
    <n v="1"/>
    <n v="0"/>
  </r>
  <r>
    <n v="-17"/>
    <n v="-45258"/>
    <s v="Producto: 2133001216050103 / BISA POCILLO 8 BLANCO C/F NEGRO 6PZ/1 PH"/>
    <x v="75"/>
    <x v="21"/>
    <x v="71"/>
    <s v="VT1"/>
    <s v="00003606"/>
    <x v="58"/>
    <n v="1"/>
    <n v="1"/>
    <n v="0"/>
  </r>
  <r>
    <n v="-17"/>
    <n v="-45258"/>
    <s v="Producto: 2142002121010103 / BISA TORTILLERO 18 GRIS 6PZ/1 PH"/>
    <x v="136"/>
    <x v="26"/>
    <x v="71"/>
    <s v="VT1"/>
    <s v="00003606"/>
    <x v="58"/>
    <n v="1"/>
    <n v="1"/>
    <n v="0"/>
  </r>
  <r>
    <n v="-17"/>
    <n v="-45258"/>
    <s v="Producto: 2142002127010103 / BISA TORTILLERO 18 NEGRO MOTAS 6PZ/1 PH"/>
    <x v="136"/>
    <x v="20"/>
    <x v="71"/>
    <s v="VT1"/>
    <s v="00003606"/>
    <x v="58"/>
    <n v="4"/>
    <n v="4"/>
    <n v="0"/>
  </r>
  <r>
    <n v="-17"/>
    <n v="-45258"/>
    <s v="Producto: 2110002827010103 / BISA COMAL 28 NEGRO MOTAS 6PZ/1 PH"/>
    <x v="13"/>
    <x v="20"/>
    <x v="71"/>
    <s v="VT1"/>
    <s v="00003606"/>
    <x v="58"/>
    <n v="12"/>
    <n v="12"/>
    <n v="0"/>
  </r>
  <r>
    <n v="-17"/>
    <n v="-45258"/>
    <s v="Producto: 2126002202010101 / BISA PLATO AVENERO 20 A/T"/>
    <x v="106"/>
    <x v="4"/>
    <x v="72"/>
    <s v="VT2"/>
    <s v="00004954"/>
    <x v="59"/>
    <n v="384"/>
    <n v="352"/>
    <n v="32"/>
  </r>
  <r>
    <n v="-17"/>
    <n v="-45258"/>
    <s v="Producto: 2126002216050101 / BISA PLATO AVENERO 20 BLANCO C/F NEGRO"/>
    <x v="106"/>
    <x v="21"/>
    <x v="72"/>
    <s v="VT2"/>
    <s v="00004954"/>
    <x v="59"/>
    <n v="384"/>
    <n v="0"/>
    <n v="384"/>
  </r>
  <r>
    <n v="-17"/>
    <n v="-45258"/>
    <s v="Producto: 2133001202010101 / BISA POCILLO 8 A/T"/>
    <x v="75"/>
    <x v="4"/>
    <x v="72"/>
    <s v="VT2"/>
    <s v="00004954"/>
    <x v="59"/>
    <n v="120"/>
    <n v="87"/>
    <n v="33"/>
  </r>
  <r>
    <n v="-17"/>
    <n v="-45258"/>
    <s v="Producto: 2133001302010101 / BISA POCILLO 10 A/T"/>
    <x v="98"/>
    <x v="4"/>
    <x v="72"/>
    <s v="VT2"/>
    <s v="00004954"/>
    <x v="59"/>
    <n v="120"/>
    <n v="83"/>
    <n v="37"/>
  </r>
  <r>
    <n v="-17"/>
    <n v="-45258"/>
    <s v="Producto: 2106002202010101 / BISA BUDINERA 20 A/T"/>
    <x v="143"/>
    <x v="4"/>
    <x v="73"/>
    <s v="COT"/>
    <s v="00000743"/>
    <x v="59"/>
    <n v="18"/>
    <n v="0"/>
    <n v="18"/>
  </r>
  <r>
    <n v="-17"/>
    <n v="-45258"/>
    <s v="Producto: 2106002402010101 / BISA BUDINERA 22 A/T"/>
    <x v="37"/>
    <x v="4"/>
    <x v="73"/>
    <s v="COT"/>
    <s v="00000743"/>
    <x v="59"/>
    <n v="12"/>
    <n v="0"/>
    <n v="12"/>
  </r>
  <r>
    <n v="-17"/>
    <n v="-45258"/>
    <s v="Producto: 2106002502010101 / BISA BUDINERA 24 A/T"/>
    <x v="144"/>
    <x v="4"/>
    <x v="73"/>
    <s v="COT"/>
    <s v="00000743"/>
    <x v="59"/>
    <n v="12"/>
    <n v="0"/>
    <n v="12"/>
  </r>
  <r>
    <n v="-17"/>
    <n v="-45258"/>
    <s v="Producto: 2106002602010101 / BISA BUDINERA 26 A/T"/>
    <x v="12"/>
    <x v="4"/>
    <x v="73"/>
    <s v="COT"/>
    <s v="00000743"/>
    <x v="59"/>
    <n v="12"/>
    <n v="0"/>
    <n v="12"/>
  </r>
  <r>
    <n v="-17"/>
    <n v="-45258"/>
    <s v="Producto: 2106002902010101 / BISA BUDINERA 30 A/T"/>
    <x v="38"/>
    <x v="4"/>
    <x v="73"/>
    <s v="COT"/>
    <s v="00000743"/>
    <x v="59"/>
    <n v="8"/>
    <n v="0"/>
    <n v="8"/>
  </r>
  <r>
    <n v="-17"/>
    <n v="-45258"/>
    <s v="Producto: 2106003302010101 / BISA BUDINERA 42 A/T"/>
    <x v="90"/>
    <x v="4"/>
    <x v="73"/>
    <s v="COT"/>
    <s v="00000743"/>
    <x v="59"/>
    <n v="4"/>
    <n v="4"/>
    <n v="0"/>
  </r>
  <r>
    <n v="-17"/>
    <n v="-45258"/>
    <s v="Producto: 2110002827010101 / BISA COMAL 28 NEGRO MOTAS"/>
    <x v="13"/>
    <x v="0"/>
    <x v="73"/>
    <s v="COT"/>
    <s v="00000743"/>
    <x v="59"/>
    <n v="24"/>
    <n v="0"/>
    <n v="24"/>
  </r>
  <r>
    <n v="-17"/>
    <n v="-45258"/>
    <s v="Producto: 2124002202010101 / BISA OLLA CONVEXA 20 A/T"/>
    <x v="15"/>
    <x v="4"/>
    <x v="73"/>
    <s v="COT"/>
    <s v="00000743"/>
    <x v="59"/>
    <n v="6"/>
    <n v="0"/>
    <n v="6"/>
  </r>
  <r>
    <n v="-17"/>
    <n v="-45258"/>
    <s v="Producto: 2124002402010101 / BISA OLLA CONVEXA 22 A/T"/>
    <x v="16"/>
    <x v="4"/>
    <x v="73"/>
    <s v="COT"/>
    <s v="00000743"/>
    <x v="59"/>
    <n v="12"/>
    <n v="12"/>
    <n v="0"/>
  </r>
  <r>
    <n v="-17"/>
    <n v="-45258"/>
    <s v="Producto: 2124002502010101 / BISA OLLA CONVEXA 24 A/T"/>
    <x v="17"/>
    <x v="4"/>
    <x v="73"/>
    <s v="COT"/>
    <s v="00000743"/>
    <x v="59"/>
    <n v="12"/>
    <n v="0"/>
    <n v="12"/>
  </r>
  <r>
    <n v="-17"/>
    <n v="-45258"/>
    <s v="Producto: 2124002602010101 / BISA OLLA CONVEXA 26 A/T"/>
    <x v="18"/>
    <x v="4"/>
    <x v="73"/>
    <s v="COT"/>
    <s v="00000743"/>
    <x v="59"/>
    <n v="12"/>
    <n v="0"/>
    <n v="12"/>
  </r>
  <r>
    <n v="-17"/>
    <n v="-45258"/>
    <s v="Producto: 2124002902010101 / BISA OLLA CONVEXA 30 A/T"/>
    <x v="19"/>
    <x v="4"/>
    <x v="73"/>
    <s v="COT"/>
    <s v="00000743"/>
    <x v="59"/>
    <n v="6"/>
    <n v="0"/>
    <n v="6"/>
  </r>
  <r>
    <n v="-17"/>
    <n v="-45258"/>
    <s v="Producto: 2133001402010101 / BISA POCILLO 12 A/T"/>
    <x v="84"/>
    <x v="4"/>
    <x v="73"/>
    <s v="COT"/>
    <s v="00000743"/>
    <x v="59"/>
    <n v="24"/>
    <n v="0"/>
    <n v="24"/>
  </r>
  <r>
    <n v="-17"/>
    <n v="-45258"/>
    <s v="Producto: 2133001502010101 / BISA POCILLO 14 A/T"/>
    <x v="29"/>
    <x v="4"/>
    <x v="73"/>
    <s v="COT"/>
    <s v="00000743"/>
    <x v="59"/>
    <n v="24"/>
    <n v="0"/>
    <n v="24"/>
  </r>
  <r>
    <n v="-17"/>
    <n v="-45258"/>
    <s v="Producto: 2136002202010101 / BISA SARTEN 20 A/T"/>
    <x v="91"/>
    <x v="4"/>
    <x v="73"/>
    <s v="COT"/>
    <s v="00000743"/>
    <x v="59"/>
    <n v="12"/>
    <n v="0"/>
    <n v="12"/>
  </r>
  <r>
    <n v="-17"/>
    <n v="-45258"/>
    <s v="Producto: 2136002502010101 / BISA SARTEN 24 A/T"/>
    <x v="85"/>
    <x v="4"/>
    <x v="73"/>
    <s v="COT"/>
    <s v="00000743"/>
    <x v="59"/>
    <n v="12"/>
    <n v="0"/>
    <n v="12"/>
  </r>
  <r>
    <n v="-17"/>
    <n v="-45258"/>
    <s v="Producto: 2136002602010101 / BISA SARTEN 26 A/T"/>
    <x v="49"/>
    <x v="4"/>
    <x v="73"/>
    <s v="COT"/>
    <s v="00000743"/>
    <x v="59"/>
    <n v="12"/>
    <n v="0"/>
    <n v="12"/>
  </r>
  <r>
    <n v="-17"/>
    <n v="-45258"/>
    <s v="Producto: 2133001501010701 / BISA POCILLO 14 DECORADO "/>
    <x v="29"/>
    <x v="6"/>
    <x v="73"/>
    <s v="COT"/>
    <s v="00000743"/>
    <x v="59"/>
    <n v="24"/>
    <n v="0"/>
    <n v="24"/>
  </r>
  <r>
    <n v="-17"/>
    <n v="-45258"/>
    <s v="Producto: 1103001319010101 / BISA BAÑO 10 GALVANIZADO"/>
    <x v="64"/>
    <x v="2"/>
    <x v="73"/>
    <s v="COT"/>
    <s v="00000744"/>
    <x v="59"/>
    <n v="3"/>
    <n v="0"/>
    <n v="3"/>
  </r>
  <r>
    <n v="-17"/>
    <n v="-45258"/>
    <s v="Producto: 1103001419010101 / BISA BAÑO 12 GALVANIZADO"/>
    <x v="65"/>
    <x v="2"/>
    <x v="73"/>
    <s v="COT"/>
    <s v="00000744"/>
    <x v="59"/>
    <n v="6"/>
    <n v="0"/>
    <n v="6"/>
  </r>
  <r>
    <n v="-17"/>
    <n v="-45258"/>
    <s v="Producto: 1103004819010101 / BISA BAÑO B GALVANIZADO"/>
    <x v="145"/>
    <x v="2"/>
    <x v="73"/>
    <s v="COT"/>
    <s v="00000744"/>
    <x v="59"/>
    <n v="12"/>
    <n v="12"/>
    <n v="0"/>
  </r>
  <r>
    <n v="-17"/>
    <n v="-45258"/>
    <s v="Producto: 2106002202010106 / BISA BUDINERA 20 A/T 18PZ/1 TG"/>
    <x v="143"/>
    <x v="4"/>
    <x v="74"/>
    <s v="VT2"/>
    <s v="00004955"/>
    <x v="60"/>
    <n v="1"/>
    <n v="0"/>
    <n v="1"/>
  </r>
  <r>
    <n v="-17"/>
    <n v="-45258"/>
    <s v="Producto: 2106002402010104 / BISA BUDINERA 22 A/T 12PZ/1 TG"/>
    <x v="146"/>
    <x v="4"/>
    <x v="74"/>
    <s v="VT2"/>
    <s v="00004955"/>
    <x v="60"/>
    <n v="1"/>
    <n v="0"/>
    <n v="1"/>
  </r>
  <r>
    <n v="-17"/>
    <n v="-45258"/>
    <s v="Producto: 2106002502010104 / BISA BUDINERA 24 A/T 12PZ/1 TG"/>
    <x v="144"/>
    <x v="4"/>
    <x v="74"/>
    <s v="VT2"/>
    <s v="00004955"/>
    <x v="60"/>
    <n v="2"/>
    <n v="0"/>
    <n v="2"/>
  </r>
  <r>
    <n v="-17"/>
    <n v="-45258"/>
    <s v="Producto: 2106002602010104 / BISA BUDINERA 26 A/T 12PZ/1 TG"/>
    <x v="147"/>
    <x v="4"/>
    <x v="74"/>
    <s v="VT2"/>
    <s v="00004955"/>
    <x v="60"/>
    <n v="1"/>
    <n v="0"/>
    <n v="1"/>
  </r>
  <r>
    <n v="-17"/>
    <n v="-45258"/>
    <s v="Producto: 2107001502010104 / BISA CAZO 14 A/T 12PZ/1 TG"/>
    <x v="132"/>
    <x v="4"/>
    <x v="74"/>
    <s v="VT2"/>
    <s v="00004955"/>
    <x v="60"/>
    <n v="1"/>
    <n v="0"/>
    <n v="1"/>
  </r>
  <r>
    <n v="-17"/>
    <n v="-45258"/>
    <s v="Producto: 2107001702010104 / BISA CAZO 16 A/T 12PZ/1 TG"/>
    <x v="83"/>
    <x v="4"/>
    <x v="74"/>
    <s v="VT2"/>
    <s v="00004955"/>
    <x v="60"/>
    <n v="2"/>
    <n v="0"/>
    <n v="2"/>
  </r>
  <r>
    <n v="-17"/>
    <n v="-45258"/>
    <s v="Producto: 2124002102010104 / BISA OLLA CONVEXA 18 A/T 12PZ/1 TG"/>
    <x v="14"/>
    <x v="4"/>
    <x v="74"/>
    <s v="VT2"/>
    <s v="00004955"/>
    <x v="60"/>
    <n v="1"/>
    <n v="0"/>
    <n v="1"/>
  </r>
  <r>
    <n v="-17"/>
    <n v="-45258"/>
    <s v="Producto: 2124002402010103 / BISA OLLA CONVEXA 22 A/T 6PZ/1 TG"/>
    <x v="16"/>
    <x v="4"/>
    <x v="74"/>
    <s v="VT2"/>
    <s v="00004955"/>
    <x v="60"/>
    <n v="2"/>
    <n v="0"/>
    <n v="2"/>
  </r>
  <r>
    <n v="-17"/>
    <n v="-45258"/>
    <s v="Producto: 2124002502010103 / BISA OLLA CONVEXA 24 A/T 6PZ/1 TG"/>
    <x v="17"/>
    <x v="4"/>
    <x v="74"/>
    <s v="VT2"/>
    <s v="00004955"/>
    <x v="60"/>
    <n v="1"/>
    <n v="0"/>
    <n v="1"/>
  </r>
  <r>
    <n v="-17"/>
    <n v="-45258"/>
    <s v="Producto: 2133001202010107 / BISA POCILLO 8 A/T 24PZ/1 TG"/>
    <x v="75"/>
    <x v="4"/>
    <x v="74"/>
    <s v="VT2"/>
    <s v="00004955"/>
    <x v="60"/>
    <n v="1"/>
    <n v="1"/>
    <n v="0"/>
  </r>
  <r>
    <n v="-17"/>
    <n v="-45258"/>
    <s v="Producto: 2133001302010107 / BISA POCILLO 10 A/T 24PZ/1 TG"/>
    <x v="98"/>
    <x v="4"/>
    <x v="74"/>
    <s v="VT2"/>
    <s v="00004955"/>
    <x v="60"/>
    <n v="3"/>
    <n v="3"/>
    <n v="0"/>
  </r>
  <r>
    <n v="-17"/>
    <n v="-45258"/>
    <s v="Producto: 2133001402010104 / BISA POCILLO 12 A/T 12PZ/1 TG"/>
    <x v="84"/>
    <x v="4"/>
    <x v="74"/>
    <s v="VT2"/>
    <s v="00004955"/>
    <x v="60"/>
    <n v="5"/>
    <n v="0"/>
    <n v="5"/>
  </r>
  <r>
    <n v="-17"/>
    <n v="-45258"/>
    <s v="Producto: 2148001502010104 / BISA VASO RECTO 14 A/T 12PZ/1 TG"/>
    <x v="124"/>
    <x v="4"/>
    <x v="74"/>
    <s v="VT2"/>
    <s v="00004955"/>
    <x v="60"/>
    <n v="2"/>
    <n v="0"/>
    <n v="2"/>
  </r>
  <r>
    <n v="-17"/>
    <n v="-45258"/>
    <s v="Producto: 2110002827010104 / BISA COMAL 28 NEGRO MOTAS 12PZ/1 TG"/>
    <x v="13"/>
    <x v="0"/>
    <x v="74"/>
    <s v="VT2"/>
    <s v="00004955"/>
    <x v="60"/>
    <n v="3"/>
    <n v="3"/>
    <n v="0"/>
  </r>
  <r>
    <n v="-17"/>
    <n v="-45258"/>
    <s v="Producto: 2106002102010106 / BISA BUDINERA 18 A/T 18PZ/1 TG"/>
    <x v="148"/>
    <x v="4"/>
    <x v="74"/>
    <s v="VT2"/>
    <s v="00004955"/>
    <x v="60"/>
    <n v="2"/>
    <n v="0"/>
    <n v="2"/>
  </r>
  <r>
    <n v="-17"/>
    <n v="-45258"/>
    <s v="Producto: 2106001702010106 / BISA BUDINERA 16 A/T 18PZS/1 TG"/>
    <x v="149"/>
    <x v="4"/>
    <x v="74"/>
    <s v="VT2"/>
    <s v="00004955"/>
    <x v="60"/>
    <n v="1"/>
    <n v="0"/>
    <n v="1"/>
  </r>
  <r>
    <n v="-17"/>
    <n v="-45258"/>
    <s v="Producto: 2106002512010101 / BISA BUDINERA 24 BICOLOR NARANJA"/>
    <x v="11"/>
    <x v="8"/>
    <x v="75"/>
    <s v="BO"/>
    <s v="00000867"/>
    <x v="61"/>
    <n v="60"/>
    <n v="0"/>
    <n v="60"/>
  </r>
  <r>
    <n v="-17"/>
    <n v="-45258"/>
    <s v="Producto: 2106003102010101 / BISA BUDINERA 34 A/T"/>
    <x v="39"/>
    <x v="4"/>
    <x v="75"/>
    <s v="BO"/>
    <s v="00000867"/>
    <x v="61"/>
    <n v="8"/>
    <n v="8"/>
    <n v="0"/>
  </r>
  <r>
    <n v="-17"/>
    <n v="-45258"/>
    <s v="Producto: 2124002902010101 / BISA OLLA CONVEXA 30 A/T"/>
    <x v="19"/>
    <x v="4"/>
    <x v="75"/>
    <s v="BO"/>
    <s v="00000867"/>
    <x v="61"/>
    <n v="4"/>
    <n v="0"/>
    <n v="4"/>
  </r>
  <r>
    <n v="-17"/>
    <n v="-45258"/>
    <s v="Producto: 2125002902010101 / BISA OLLA RECTA 30 A/T"/>
    <x v="20"/>
    <x v="4"/>
    <x v="75"/>
    <s v="BO"/>
    <s v="00000867"/>
    <x v="61"/>
    <n v="4"/>
    <n v="0"/>
    <n v="4"/>
  </r>
  <r>
    <n v="-17"/>
    <n v="-45258"/>
    <s v="Producto: 2125003102010101 / BISA OLLA RECTA 34 A/T"/>
    <x v="21"/>
    <x v="4"/>
    <x v="75"/>
    <s v="BO"/>
    <s v="00000867"/>
    <x v="61"/>
    <n v="4"/>
    <n v="0"/>
    <n v="4"/>
  </r>
  <r>
    <n v="-17"/>
    <n v="-45258"/>
    <s v="Producto: 2136002502010101 / BISA SARTEN 24 A/T"/>
    <x v="85"/>
    <x v="4"/>
    <x v="75"/>
    <s v="BO"/>
    <s v="00000867"/>
    <x v="61"/>
    <n v="240"/>
    <n v="0"/>
    <n v="240"/>
  </r>
  <r>
    <n v="-17"/>
    <n v="-45258"/>
    <s v="Producto: 2106003102010101 / BISA BUDINERA 34 A/T"/>
    <x v="39"/>
    <x v="4"/>
    <x v="76"/>
    <s v="BOC"/>
    <s v="00000021"/>
    <x v="61"/>
    <n v="20"/>
    <n v="20"/>
    <n v="0"/>
  </r>
  <r>
    <n v="-17"/>
    <n v="-45258"/>
    <s v="Producto: 2118004527010108 / BISA FUENTE P/HORNO 30X20 NEGRO MOTAS 2PZ/1 PH"/>
    <x v="142"/>
    <x v="20"/>
    <x v="71"/>
    <s v="VT1"/>
    <s v="00003607"/>
    <x v="62"/>
    <n v="2"/>
    <n v="0"/>
    <n v="2"/>
  </r>
  <r>
    <n v="-17"/>
    <n v="-45258"/>
    <s v="Producto: 2130002227010103 / BISA PLATO LISO 20 NEGRO MOTAS 6PZ/1 PH"/>
    <x v="80"/>
    <x v="20"/>
    <x v="71"/>
    <s v="VT1"/>
    <s v="00003607"/>
    <x v="62"/>
    <n v="1"/>
    <n v="0"/>
    <n v="1"/>
  </r>
  <r>
    <n v="-17"/>
    <n v="-45258"/>
    <s v="Producto: 2130002727010103 / BISA PLATO LISO 27 NEGRO MOTAS 6PZ/1 PH"/>
    <x v="79"/>
    <x v="20"/>
    <x v="71"/>
    <s v="VT1"/>
    <s v="00003607"/>
    <x v="62"/>
    <n v="1"/>
    <n v="0"/>
    <n v="1"/>
  </r>
  <r>
    <n v="-17"/>
    <n v="-45258"/>
    <s v="Producto: 2130001416050103 / BISA PLATO LISO 12 BLANCO C/F NEGRO 6PZ/1 PH"/>
    <x v="150"/>
    <x v="21"/>
    <x v="71"/>
    <s v="VT1"/>
    <s v="00003607"/>
    <x v="62"/>
    <n v="3"/>
    <n v="0"/>
    <n v="3"/>
  </r>
  <r>
    <n v="-17"/>
    <n v="-45258"/>
    <s v="Producto: 2106001416040103 / BISA BUDINERA 12 BLANCO C/F GRIS 6PZ/1 PH"/>
    <x v="103"/>
    <x v="35"/>
    <x v="71"/>
    <s v="VT1"/>
    <s v="00003607"/>
    <x v="62"/>
    <n v="2"/>
    <n v="0"/>
    <n v="2"/>
  </r>
  <r>
    <n v="-17"/>
    <n v="-45258"/>
    <s v="Producto: 2112005016010103 / BISA CUCHARA MOKA BLANCO 6PZ/1 PH"/>
    <x v="151"/>
    <x v="39"/>
    <x v="71"/>
    <s v="VT1"/>
    <s v="00003607"/>
    <x v="62"/>
    <n v="3"/>
    <n v="0"/>
    <n v="3"/>
  </r>
  <r>
    <n v="-17"/>
    <n v="-45258"/>
    <s v="Producto: 2112005027010103 / BISA CUCHARA MOKA NEGRO MOTAS 6PZ/1 PH"/>
    <x v="151"/>
    <x v="20"/>
    <x v="71"/>
    <s v="VT1"/>
    <s v="00003607"/>
    <x v="62"/>
    <n v="6"/>
    <n v="0"/>
    <n v="6"/>
  </r>
  <r>
    <n v="-17"/>
    <n v="-45258"/>
    <s v="Producto: 2122000116040103 / BISA MULTIUSOS BLANCO C/F GRIS 6PZ/1 PH"/>
    <x v="152"/>
    <x v="35"/>
    <x v="71"/>
    <s v="VT1"/>
    <s v="00003607"/>
    <x v="62"/>
    <n v="1"/>
    <n v="1"/>
    <n v="0"/>
  </r>
  <r>
    <n v="-17"/>
    <n v="-45258"/>
    <s v="Producto: 2122000121010103 / BISA MULTIUSOS GRIS 6PZ/1 PH"/>
    <x v="152"/>
    <x v="26"/>
    <x v="71"/>
    <s v="VT1"/>
    <s v="00003607"/>
    <x v="62"/>
    <n v="2"/>
    <n v="1"/>
    <n v="1"/>
  </r>
  <r>
    <n v="-17"/>
    <n v="-45258"/>
    <s v="Producto: 2139001227010103 / BISA TAZON 8 NEGRO MOTAS 6PZ/1 PH"/>
    <x v="108"/>
    <x v="20"/>
    <x v="71"/>
    <s v="VT1"/>
    <s v="00003607"/>
    <x v="62"/>
    <n v="1"/>
    <n v="1"/>
    <n v="0"/>
  </r>
  <r>
    <n v="-17"/>
    <n v="-45258"/>
    <s v="Producto: 2133000916050103 / BISA POCILLO 5 BLANCO C/F NEGRO 6PZ/1 PH"/>
    <x v="9"/>
    <x v="21"/>
    <x v="71"/>
    <s v="VT1"/>
    <s v="00003607"/>
    <x v="62"/>
    <n v="5"/>
    <n v="0"/>
    <n v="5"/>
  </r>
  <r>
    <n v="-17"/>
    <n v="-45258"/>
    <s v="Producto: 2133000927010103 / BISA POCILLO 5 NEGRO MOTAS 6PZ/1 PH"/>
    <x v="9"/>
    <x v="20"/>
    <x v="71"/>
    <s v="VT1"/>
    <s v="00003607"/>
    <x v="62"/>
    <n v="5"/>
    <n v="5"/>
    <n v="0"/>
  </r>
  <r>
    <n v="-17"/>
    <n v="-45258"/>
    <s v="Producto: 2133001216050103 / BISA POCILLO 8 BLANCO C/F NEGRO 6PZ/1 PH"/>
    <x v="75"/>
    <x v="21"/>
    <x v="71"/>
    <s v="VT1"/>
    <s v="00003607"/>
    <x v="62"/>
    <n v="2"/>
    <n v="0"/>
    <n v="2"/>
  </r>
  <r>
    <n v="-17"/>
    <n v="-45258"/>
    <s v="Producto: 2133001227010103 / BISA POCILLO 8 NEGRO MOTAS 6PZ/1 PH"/>
    <x v="75"/>
    <x v="20"/>
    <x v="71"/>
    <s v="VT1"/>
    <s v="00003607"/>
    <x v="62"/>
    <n v="2"/>
    <n v="2"/>
    <n v="0"/>
  </r>
  <r>
    <n v="-17"/>
    <n v="-45258"/>
    <s v="Producto: 2142002127010103 / BISA TORTILLERO 18 NEGRO MOTAS 6PZ/1 PH"/>
    <x v="136"/>
    <x v="20"/>
    <x v="71"/>
    <s v="VT1"/>
    <s v="00003607"/>
    <x v="62"/>
    <n v="6"/>
    <n v="0"/>
    <n v="6"/>
  </r>
  <r>
    <n v="-17"/>
    <n v="-45258"/>
    <s v="Producto: 2110002827010103 / BISA COMAL 28 NEGRO MOTAS 6PZ/1 PH"/>
    <x v="13"/>
    <x v="20"/>
    <x v="71"/>
    <s v="VT1"/>
    <s v="00003607"/>
    <x v="62"/>
    <n v="12"/>
    <n v="10"/>
    <n v="2"/>
  </r>
  <r>
    <n v="-17"/>
    <n v="-45258"/>
    <s v="Producto: 2123002027010103 / BISA MULTIUSOS RAYADO 17.5 NEGRO MOTAS 6PZ/1 PH"/>
    <x v="109"/>
    <x v="20"/>
    <x v="71"/>
    <s v="VT1"/>
    <s v="00003607"/>
    <x v="62"/>
    <n v="3"/>
    <n v="0"/>
    <n v="3"/>
  </r>
  <r>
    <n v="-17"/>
    <n v="-45258"/>
    <s v="Producto: 2142002127010103 / BISA TORTILLERO 18 NEGRO MOTAS 6PZ/1 PH"/>
    <x v="136"/>
    <x v="20"/>
    <x v="71"/>
    <s v="VT1"/>
    <s v="00003608"/>
    <x v="62"/>
    <n v="1"/>
    <n v="0"/>
    <n v="1"/>
  </r>
  <r>
    <n v="-17"/>
    <n v="-45258"/>
    <s v="Producto: 2110002827010103 / BISA COMAL 28 NEGRO MOTAS 6PZ/1 PH"/>
    <x v="13"/>
    <x v="20"/>
    <x v="71"/>
    <s v="VT1"/>
    <s v="00003608"/>
    <x v="62"/>
    <n v="3"/>
    <n v="0"/>
    <n v="3"/>
  </r>
  <r>
    <n v="-17"/>
    <n v="-45258"/>
    <s v="Producto: 2106002102010103 / BISA BUDINERA 18 A/T 6PZ/1 CF 746169031812"/>
    <x v="148"/>
    <x v="4"/>
    <x v="77"/>
    <s v="VT2"/>
    <s v="00004956"/>
    <x v="63"/>
    <n v="2"/>
    <n v="2"/>
    <n v="0"/>
  </r>
  <r>
    <n v="-17"/>
    <n v="-45258"/>
    <s v="Producto: 2106002502010102 / BISA BUDINERA 24 A/T 4PZ/1 CF 746169032413"/>
    <x v="144"/>
    <x v="4"/>
    <x v="77"/>
    <s v="VT2"/>
    <s v="00004956"/>
    <x v="63"/>
    <n v="1"/>
    <n v="0"/>
    <n v="1"/>
  </r>
  <r>
    <n v="-17"/>
    <n v="-45258"/>
    <s v="Producto: 2106002514010102 / BISA BUDINERA 24 BIC ROJO 4PZ/1 CF 746169032444"/>
    <x v="144"/>
    <x v="7"/>
    <x v="77"/>
    <s v="VT2"/>
    <s v="00004956"/>
    <x v="63"/>
    <n v="1"/>
    <n v="1"/>
    <n v="0"/>
  </r>
  <r>
    <n v="-17"/>
    <n v="-45258"/>
    <s v="Producto: 2110002826010104 / BISA COMAL 28 NEGRO 12PZ/1 CF 746169002874"/>
    <x v="13"/>
    <x v="20"/>
    <x v="77"/>
    <s v="VT2"/>
    <s v="00004956"/>
    <x v="63"/>
    <n v="6"/>
    <n v="0"/>
    <n v="6"/>
  </r>
  <r>
    <n v="-17"/>
    <n v="-45258"/>
    <s v="Producto: 2124002102010103 / BISA OLLA CONVEXA 18 A/T 6PZ/1 CF 746169011814"/>
    <x v="14"/>
    <x v="4"/>
    <x v="77"/>
    <s v="VT2"/>
    <s v="00004956"/>
    <x v="63"/>
    <n v="1"/>
    <n v="0"/>
    <n v="1"/>
  </r>
  <r>
    <n v="-17"/>
    <n v="-45258"/>
    <s v="Producto: 2124002402010102 / BISA OLLA CONVEXA 22 A/T 4PZ/1 CF 746169012217"/>
    <x v="16"/>
    <x v="4"/>
    <x v="77"/>
    <s v="VT2"/>
    <s v="00004956"/>
    <x v="63"/>
    <n v="5"/>
    <n v="0"/>
    <n v="5"/>
  </r>
  <r>
    <n v="-17"/>
    <n v="-45258"/>
    <s v="Producto: 2125002202010103 / BISA OLLA RECTA 20 A/T 6PZ/1 CF 746169022018"/>
    <x v="43"/>
    <x v="4"/>
    <x v="77"/>
    <s v="VT2"/>
    <s v="00004956"/>
    <x v="63"/>
    <n v="1"/>
    <n v="0"/>
    <n v="1"/>
  </r>
  <r>
    <n v="-17"/>
    <n v="-45258"/>
    <s v="Producto: 2125002210010103 / BISA OLLA RECTA 20 BIC AZUL6PZ/1 CF 746169022032"/>
    <x v="43"/>
    <x v="13"/>
    <x v="77"/>
    <s v="VT2"/>
    <s v="00004956"/>
    <x v="63"/>
    <n v="2"/>
    <n v="2"/>
    <n v="0"/>
  </r>
  <r>
    <n v="-17"/>
    <n v="-45258"/>
    <s v="Producto: 2125002214010103 / BISA OLLA RECTA 20 BIC ROJO6PZ/1 CF 746169022049"/>
    <x v="43"/>
    <x v="7"/>
    <x v="77"/>
    <s v="VT2"/>
    <s v="00004956"/>
    <x v="63"/>
    <n v="2"/>
    <n v="0"/>
    <n v="2"/>
  </r>
  <r>
    <n v="-17"/>
    <n v="-45258"/>
    <s v="Producto: 2125002510010102 / BISA OLLA RECTA 24 BIC AZUL 4PZ/1 CF 746169022438"/>
    <x v="45"/>
    <x v="13"/>
    <x v="77"/>
    <s v="VT2"/>
    <s v="00004956"/>
    <x v="63"/>
    <n v="1"/>
    <n v="0"/>
    <n v="1"/>
  </r>
  <r>
    <n v="-17"/>
    <n v="-45258"/>
    <s v="Producto: 2125002512010102 / BISA OLLA RECTA 24 BIC NARANJ4PZ/1 CF 746169022421"/>
    <x v="45"/>
    <x v="40"/>
    <x v="77"/>
    <s v="VT2"/>
    <s v="00004956"/>
    <x v="63"/>
    <n v="2"/>
    <n v="1"/>
    <n v="1"/>
  </r>
  <r>
    <n v="-17"/>
    <n v="-45258"/>
    <s v="Producto: 2125002514010102 / BISA OLLA RECTA 24 BIC ROJO 4PZ/1 CF 746169022445"/>
    <x v="45"/>
    <x v="7"/>
    <x v="77"/>
    <s v="VT2"/>
    <s v="00004956"/>
    <x v="63"/>
    <n v="4"/>
    <n v="4"/>
    <n v="0"/>
  </r>
  <r>
    <n v="-17"/>
    <n v="-45258"/>
    <s v="Producto: 2125002802010108 / BISA OLLA RECTA 28 A/T 2PZ/1 CF 746169022810"/>
    <x v="47"/>
    <x v="4"/>
    <x v="77"/>
    <s v="VT2"/>
    <s v="00004956"/>
    <x v="63"/>
    <n v="13"/>
    <n v="3"/>
    <n v="10"/>
  </r>
  <r>
    <n v="-17"/>
    <n v="-45258"/>
    <s v="Producto: 2133001501010703 / BISA POCILLO 14 DECORADO 6PZ/1 CF 746169141481"/>
    <x v="29"/>
    <x v="6"/>
    <x v="77"/>
    <s v="VT2"/>
    <s v="00004956"/>
    <x v="63"/>
    <n v="3"/>
    <n v="3"/>
    <n v="0"/>
  </r>
  <r>
    <n v="-17"/>
    <n v="-45258"/>
    <s v="Producto: 2133001502010103 / BISA POCILLO 14 A/T 6PZ/1 CF 746169041514"/>
    <x v="29"/>
    <x v="4"/>
    <x v="77"/>
    <s v="VT2"/>
    <s v="00004956"/>
    <x v="63"/>
    <n v="8"/>
    <n v="0"/>
    <n v="8"/>
  </r>
  <r>
    <n v="-17"/>
    <n v="-45258"/>
    <s v="Producto: 2133001510010103 / BISA POCILLO 14 BICOLOR AZUL 6PZ/1 CF 746169041439"/>
    <x v="29"/>
    <x v="41"/>
    <x v="77"/>
    <s v="VT2"/>
    <s v="00004956"/>
    <x v="63"/>
    <n v="6"/>
    <n v="6"/>
    <n v="0"/>
  </r>
  <r>
    <n v="-17"/>
    <n v="-45258"/>
    <s v="Producto: 2133001512010103 / BISA POCILLO 14 BIC NARANJA 6PZ/1 CF 746169041422"/>
    <x v="29"/>
    <x v="8"/>
    <x v="77"/>
    <s v="VT2"/>
    <s v="00004956"/>
    <x v="63"/>
    <n v="4"/>
    <n v="4"/>
    <n v="0"/>
  </r>
  <r>
    <n v="-17"/>
    <n v="-45258"/>
    <s v="Producto: 2133001514010103 / BISA POCILLO 14 BICOLOR ROJO 6PZ/1 CF 746169041446"/>
    <x v="29"/>
    <x v="42"/>
    <x v="77"/>
    <s v="VT2"/>
    <s v="00004956"/>
    <x v="63"/>
    <n v="8"/>
    <n v="8"/>
    <n v="0"/>
  </r>
  <r>
    <n v="-17"/>
    <n v="-45258"/>
    <s v="Producto: 2106001402010101 / BISA BUDINERA 12 A/T"/>
    <x v="103"/>
    <x v="4"/>
    <x v="78"/>
    <s v="VT2"/>
    <s v="00004958"/>
    <x v="63"/>
    <n v="18"/>
    <n v="0"/>
    <n v="18"/>
  </r>
  <r>
    <n v="-17"/>
    <n v="-45258"/>
    <s v="Producto: 2106001502010101 / BISA BUDINERA 14 A/T"/>
    <x v="92"/>
    <x v="4"/>
    <x v="78"/>
    <s v="VT2"/>
    <s v="00004958"/>
    <x v="63"/>
    <n v="18"/>
    <n v="0"/>
    <n v="18"/>
  </r>
  <r>
    <n v="-17"/>
    <n v="-45258"/>
    <s v="Producto: 2106001702010101 / BISA BUDINERA 16 A/T"/>
    <x v="149"/>
    <x v="4"/>
    <x v="78"/>
    <s v="VT2"/>
    <s v="00004958"/>
    <x v="63"/>
    <n v="18"/>
    <n v="0"/>
    <n v="18"/>
  </r>
  <r>
    <n v="-17"/>
    <n v="-45258"/>
    <s v="Producto: 2106002102010101 / BISA BUDINERA 18 A/T"/>
    <x v="148"/>
    <x v="4"/>
    <x v="78"/>
    <s v="VT2"/>
    <s v="00004958"/>
    <x v="63"/>
    <n v="18"/>
    <n v="0"/>
    <n v="18"/>
  </r>
  <r>
    <n v="-17"/>
    <n v="-45258"/>
    <s v="Producto: 2106002202010101 / BISA BUDINERA 20 A/T"/>
    <x v="143"/>
    <x v="4"/>
    <x v="78"/>
    <s v="VT2"/>
    <s v="00004958"/>
    <x v="63"/>
    <n v="18"/>
    <n v="0"/>
    <n v="18"/>
  </r>
  <r>
    <n v="-17"/>
    <n v="-45258"/>
    <s v="Producto: 2106002402010101 / BISA BUDINERA 22 A/T"/>
    <x v="146"/>
    <x v="4"/>
    <x v="78"/>
    <s v="VT2"/>
    <s v="00004958"/>
    <x v="63"/>
    <n v="12"/>
    <n v="0"/>
    <n v="12"/>
  </r>
  <r>
    <n v="-17"/>
    <n v="-45258"/>
    <s v="Producto: 2106002502010101 / BISA BUDINERA 24 A/T"/>
    <x v="144"/>
    <x v="4"/>
    <x v="78"/>
    <s v="VT2"/>
    <s v="00004958"/>
    <x v="63"/>
    <n v="12"/>
    <n v="0"/>
    <n v="12"/>
  </r>
  <r>
    <n v="-17"/>
    <n v="-45258"/>
    <s v="Producto: 2106002602010101 / BISA BUDINERA 26 A/T"/>
    <x v="147"/>
    <x v="4"/>
    <x v="78"/>
    <s v="VT2"/>
    <s v="00004958"/>
    <x v="63"/>
    <n v="12"/>
    <n v="0"/>
    <n v="12"/>
  </r>
  <r>
    <n v="-17"/>
    <n v="-45258"/>
    <s v="Producto: 2106002902010101 / BISA BUDINERA 30 A/T"/>
    <x v="153"/>
    <x v="4"/>
    <x v="78"/>
    <s v="VT2"/>
    <s v="00004958"/>
    <x v="63"/>
    <n v="8"/>
    <n v="0"/>
    <n v="8"/>
  </r>
  <r>
    <n v="-17"/>
    <n v="-45258"/>
    <s v="Producto: 2106003102010101 / BISA BUDINERA 34 A/T"/>
    <x v="154"/>
    <x v="4"/>
    <x v="78"/>
    <s v="VT2"/>
    <s v="00004958"/>
    <x v="63"/>
    <n v="8"/>
    <n v="0"/>
    <n v="8"/>
  </r>
  <r>
    <n v="-17"/>
    <n v="-45258"/>
    <s v="Producto: 2106003302010101 / BISA BUDINERA 42 A/T"/>
    <x v="155"/>
    <x v="4"/>
    <x v="78"/>
    <s v="VT2"/>
    <s v="00004958"/>
    <x v="63"/>
    <n v="4"/>
    <n v="0"/>
    <n v="4"/>
  </r>
  <r>
    <n v="-17"/>
    <n v="-45258"/>
    <s v="Producto: 2107001502010101 / BISA CAZO 14 A/T"/>
    <x v="132"/>
    <x v="4"/>
    <x v="78"/>
    <s v="VT2"/>
    <s v="00004958"/>
    <x v="63"/>
    <n v="24"/>
    <n v="0"/>
    <n v="24"/>
  </r>
  <r>
    <n v="-17"/>
    <n v="-45258"/>
    <s v="Producto: 2107001702010101 / BISA CAZO 16 A/T"/>
    <x v="83"/>
    <x v="4"/>
    <x v="78"/>
    <s v="VT2"/>
    <s v="00004958"/>
    <x v="63"/>
    <n v="24"/>
    <n v="0"/>
    <n v="24"/>
  </r>
  <r>
    <n v="-17"/>
    <n v="-45258"/>
    <s v="Producto: 2110002427010101 / BISA COMAL 22 NEGRO MOTAS"/>
    <x v="28"/>
    <x v="20"/>
    <x v="78"/>
    <s v="VT2"/>
    <s v="00004958"/>
    <x v="63"/>
    <n v="48"/>
    <n v="0"/>
    <n v="48"/>
  </r>
  <r>
    <n v="-17"/>
    <n v="-45258"/>
    <s v="Producto: 2110002827010101 / BISA COMAL 28 NEGRO MOTAS"/>
    <x v="13"/>
    <x v="20"/>
    <x v="78"/>
    <s v="VT2"/>
    <s v="00004958"/>
    <x v="63"/>
    <n v="24"/>
    <n v="0"/>
    <n v="24"/>
  </r>
  <r>
    <n v="-17"/>
    <n v="-45258"/>
    <s v="Producto: 2110003227010101 / BISA COMAL 36 NEGRO MOTAS"/>
    <x v="52"/>
    <x v="20"/>
    <x v="78"/>
    <s v="VT2"/>
    <s v="00004958"/>
    <x v="63"/>
    <n v="24"/>
    <n v="0"/>
    <n v="24"/>
  </r>
  <r>
    <n v="-17"/>
    <n v="-45258"/>
    <s v="Producto: 2124001402010101 / BISA OLLA CONVEXA 12 A/T"/>
    <x v="133"/>
    <x v="4"/>
    <x v="78"/>
    <s v="VT2"/>
    <s v="00004958"/>
    <x v="63"/>
    <n v="18"/>
    <n v="0"/>
    <n v="18"/>
  </r>
  <r>
    <n v="-17"/>
    <n v="-45258"/>
    <s v="Producto: 2124001502010101 / BISA OLLA CONVEXA 14 A/T"/>
    <x v="40"/>
    <x v="4"/>
    <x v="78"/>
    <s v="VT2"/>
    <s v="00004958"/>
    <x v="63"/>
    <n v="18"/>
    <n v="0"/>
    <n v="18"/>
  </r>
  <r>
    <n v="-17"/>
    <n v="-45258"/>
    <s v="Producto: 2124001702010101 / BISA OLLA CONVEXA 16 A/T"/>
    <x v="41"/>
    <x v="4"/>
    <x v="78"/>
    <s v="VT2"/>
    <s v="00004958"/>
    <x v="63"/>
    <n v="12"/>
    <n v="0"/>
    <n v="12"/>
  </r>
  <r>
    <n v="-17"/>
    <n v="-45258"/>
    <s v="Producto: 2124002102010101 / BISA OLLA CONVEXA 18 A/T"/>
    <x v="14"/>
    <x v="4"/>
    <x v="78"/>
    <s v="VT2"/>
    <s v="00004958"/>
    <x v="63"/>
    <n v="12"/>
    <n v="0"/>
    <n v="12"/>
  </r>
  <r>
    <n v="-17"/>
    <n v="-45258"/>
    <s v="Producto: 2124002202010101 / BISA OLLA CONVEXA 20 A/T"/>
    <x v="15"/>
    <x v="4"/>
    <x v="78"/>
    <s v="VT2"/>
    <s v="00004958"/>
    <x v="63"/>
    <n v="12"/>
    <n v="0"/>
    <n v="12"/>
  </r>
  <r>
    <n v="-17"/>
    <n v="-45258"/>
    <s v="Producto: 2124002402010101 / BISA OLLA CONVEXA 22 A/T"/>
    <x v="16"/>
    <x v="4"/>
    <x v="78"/>
    <s v="VT2"/>
    <s v="00004958"/>
    <x v="63"/>
    <n v="6"/>
    <n v="0"/>
    <n v="6"/>
  </r>
  <r>
    <n v="-17"/>
    <n v="-45258"/>
    <s v="Producto: 2124002502010101 / BISA OLLA CONVEXA 24 A/T"/>
    <x v="17"/>
    <x v="4"/>
    <x v="78"/>
    <s v="VT2"/>
    <s v="00004958"/>
    <x v="63"/>
    <n v="6"/>
    <n v="0"/>
    <n v="6"/>
  </r>
  <r>
    <n v="-17"/>
    <n v="-45258"/>
    <s v="Producto: 2124002602010101 / BISA OLLA CONVEXA 26 A/T"/>
    <x v="18"/>
    <x v="4"/>
    <x v="78"/>
    <s v="VT2"/>
    <s v="00004958"/>
    <x v="63"/>
    <n v="6"/>
    <n v="0"/>
    <n v="6"/>
  </r>
  <r>
    <n v="-17"/>
    <n v="-45258"/>
    <s v="Producto: 2124002902010101 / BISA OLLA CONVEXA 30 A/T"/>
    <x v="19"/>
    <x v="4"/>
    <x v="78"/>
    <s v="VT2"/>
    <s v="00004958"/>
    <x v="63"/>
    <n v="4"/>
    <n v="0"/>
    <n v="4"/>
  </r>
  <r>
    <n v="-17"/>
    <n v="-45258"/>
    <s v="Producto: 2124003102010101 / BISA OLLA CONVEXA 34 A/T"/>
    <x v="42"/>
    <x v="4"/>
    <x v="78"/>
    <s v="VT2"/>
    <s v="00004958"/>
    <x v="63"/>
    <n v="4"/>
    <n v="0"/>
    <n v="4"/>
  </r>
  <r>
    <n v="-17"/>
    <n v="-45258"/>
    <s v="Producto: 2125001402010101 / BISA OLLA RECTA 12 A/T"/>
    <x v="94"/>
    <x v="4"/>
    <x v="78"/>
    <s v="VT2"/>
    <s v="00004958"/>
    <x v="63"/>
    <n v="18"/>
    <n v="0"/>
    <n v="18"/>
  </r>
  <r>
    <n v="-17"/>
    <n v="-45258"/>
    <s v="Producto: 2125001502010101 / BISA OLLA RECTA 14 A/T"/>
    <x v="95"/>
    <x v="4"/>
    <x v="78"/>
    <s v="VT2"/>
    <s v="00004958"/>
    <x v="63"/>
    <n v="18"/>
    <n v="0"/>
    <n v="18"/>
  </r>
  <r>
    <n v="-17"/>
    <n v="-45258"/>
    <s v="Producto: 2125001702010101 / BISA OLLA RECTA 16 A/T"/>
    <x v="96"/>
    <x v="4"/>
    <x v="78"/>
    <s v="VT2"/>
    <s v="00004958"/>
    <x v="63"/>
    <n v="12"/>
    <n v="0"/>
    <n v="12"/>
  </r>
  <r>
    <n v="-17"/>
    <n v="-45258"/>
    <s v="Producto: 2125002102010101 / BISA OLLA RECTA 18 A/T"/>
    <x v="97"/>
    <x v="4"/>
    <x v="78"/>
    <s v="VT2"/>
    <s v="00004958"/>
    <x v="63"/>
    <n v="12"/>
    <n v="0"/>
    <n v="12"/>
  </r>
  <r>
    <n v="-17"/>
    <n v="-45258"/>
    <s v="Producto: 2125002202010101 / BISA OLLA RECTA 20 A/T"/>
    <x v="43"/>
    <x v="4"/>
    <x v="78"/>
    <s v="VT2"/>
    <s v="00004958"/>
    <x v="63"/>
    <n v="12"/>
    <n v="0"/>
    <n v="12"/>
  </r>
  <r>
    <n v="-17"/>
    <n v="-45258"/>
    <s v="Producto: 2125002402010101 / BISA OLLA RECTA 22 A/T"/>
    <x v="44"/>
    <x v="4"/>
    <x v="78"/>
    <s v="VT2"/>
    <s v="00004958"/>
    <x v="63"/>
    <n v="6"/>
    <n v="0"/>
    <n v="6"/>
  </r>
  <r>
    <n v="-17"/>
    <n v="-45258"/>
    <s v="Producto: 2125002502010101 / BISA OLLA RECTA 24 A/T"/>
    <x v="45"/>
    <x v="4"/>
    <x v="78"/>
    <s v="VT2"/>
    <s v="00004958"/>
    <x v="63"/>
    <n v="6"/>
    <n v="0"/>
    <n v="6"/>
  </r>
  <r>
    <n v="-17"/>
    <n v="-45258"/>
    <s v="Producto: 2125002602010101 / BISA OLLA RECTA 26 A/T"/>
    <x v="46"/>
    <x v="4"/>
    <x v="78"/>
    <s v="VT2"/>
    <s v="00004958"/>
    <x v="63"/>
    <n v="6"/>
    <n v="0"/>
    <n v="6"/>
  </r>
  <r>
    <n v="-17"/>
    <n v="-45258"/>
    <s v="Producto: 2125002802010101 / BISA OLLA RECTA 28 A/T"/>
    <x v="47"/>
    <x v="4"/>
    <x v="78"/>
    <s v="VT2"/>
    <s v="00004958"/>
    <x v="63"/>
    <n v="10"/>
    <n v="0"/>
    <n v="10"/>
  </r>
  <r>
    <n v="-17"/>
    <n v="-45258"/>
    <s v="Producto: 2125002902010101 / BISA OLLA RECTA 30 A/T"/>
    <x v="20"/>
    <x v="4"/>
    <x v="78"/>
    <s v="VT2"/>
    <s v="00004958"/>
    <x v="63"/>
    <n v="10"/>
    <n v="0"/>
    <n v="10"/>
  </r>
  <r>
    <n v="-17"/>
    <n v="-45258"/>
    <s v="Producto: 2125003102010101 / BISA OLLA RECTA 34 A/T"/>
    <x v="21"/>
    <x v="4"/>
    <x v="78"/>
    <s v="VT2"/>
    <s v="00004958"/>
    <x v="63"/>
    <n v="10"/>
    <n v="0"/>
    <n v="10"/>
  </r>
  <r>
    <n v="-17"/>
    <n v="-45258"/>
    <s v="Producto: 2125003302010101 / BISA OLLA RECTA 42 A/T"/>
    <x v="22"/>
    <x v="4"/>
    <x v="78"/>
    <s v="VT2"/>
    <s v="00004958"/>
    <x v="63"/>
    <n v="10"/>
    <n v="0"/>
    <n v="10"/>
  </r>
  <r>
    <n v="-17"/>
    <n v="-45258"/>
    <s v="Producto: 2133001202010101 / BISA POCILLO 8 A/T"/>
    <x v="75"/>
    <x v="4"/>
    <x v="78"/>
    <s v="VT2"/>
    <s v="00004958"/>
    <x v="63"/>
    <n v="48"/>
    <n v="0"/>
    <n v="48"/>
  </r>
  <r>
    <n v="-17"/>
    <n v="-45258"/>
    <s v="Producto: 2133001302010101 / BISA POCILLO 10 A/T"/>
    <x v="98"/>
    <x v="4"/>
    <x v="78"/>
    <s v="VT2"/>
    <s v="00004958"/>
    <x v="63"/>
    <n v="48"/>
    <n v="0"/>
    <n v="48"/>
  </r>
  <r>
    <n v="-17"/>
    <n v="-45258"/>
    <s v="Producto: 2133001402010101 / BISA POCILLO 12 A/T"/>
    <x v="84"/>
    <x v="4"/>
    <x v="78"/>
    <s v="VT2"/>
    <s v="00004958"/>
    <x v="63"/>
    <n v="48"/>
    <n v="0"/>
    <n v="48"/>
  </r>
  <r>
    <n v="-17"/>
    <n v="-45258"/>
    <s v="Producto: 2133001502010101 / BISA POCILLO 14 A/T"/>
    <x v="29"/>
    <x v="4"/>
    <x v="78"/>
    <s v="VT2"/>
    <s v="00004958"/>
    <x v="63"/>
    <n v="36"/>
    <n v="0"/>
    <n v="36"/>
  </r>
  <r>
    <n v="-17"/>
    <n v="-45258"/>
    <s v="Producto: 2133001510010101 / BISA POCILLO 14 BICOLOR AZUL"/>
    <x v="29"/>
    <x v="43"/>
    <x v="78"/>
    <s v="VT2"/>
    <s v="00004958"/>
    <x v="63"/>
    <n v="12"/>
    <n v="0"/>
    <n v="12"/>
  </r>
  <r>
    <n v="-17"/>
    <n v="-45258"/>
    <s v="Producto: 2133001512010101 / BISA POCILLO 14 BICOLOR NARANJA"/>
    <x v="29"/>
    <x v="44"/>
    <x v="78"/>
    <s v="VT2"/>
    <s v="00004958"/>
    <x v="63"/>
    <n v="12"/>
    <n v="0"/>
    <n v="12"/>
  </r>
  <r>
    <n v="-17"/>
    <n v="-45258"/>
    <s v="Producto: 2133001514010101 / BISA POCILLO 14 BICOLOR ROJO"/>
    <x v="29"/>
    <x v="45"/>
    <x v="78"/>
    <s v="VT2"/>
    <s v="00004958"/>
    <x v="63"/>
    <n v="12"/>
    <n v="0"/>
    <n v="12"/>
  </r>
  <r>
    <n v="-17"/>
    <n v="-45258"/>
    <s v="Producto: 2136002202010101 / BISA SARTEN 20 A/T"/>
    <x v="91"/>
    <x v="4"/>
    <x v="78"/>
    <s v="VT2"/>
    <s v="00004958"/>
    <x v="63"/>
    <n v="24"/>
    <n v="0"/>
    <n v="24"/>
  </r>
  <r>
    <n v="-17"/>
    <n v="-45258"/>
    <s v="Producto: 2136002402010101 / BISA SARTEN 22 A/T"/>
    <x v="48"/>
    <x v="4"/>
    <x v="78"/>
    <s v="VT2"/>
    <s v="00004958"/>
    <x v="63"/>
    <n v="24"/>
    <n v="0"/>
    <n v="24"/>
  </r>
  <r>
    <n v="-17"/>
    <n v="-45258"/>
    <s v="Producto: 2136002502010101 / BISA SARTEN 24 A/T"/>
    <x v="85"/>
    <x v="4"/>
    <x v="78"/>
    <s v="VT2"/>
    <s v="00004958"/>
    <x v="63"/>
    <n v="24"/>
    <n v="0"/>
    <n v="24"/>
  </r>
  <r>
    <n v="-17"/>
    <n v="-45258"/>
    <s v="Producto: 2136002602010101 / BISA SARTEN 26 A/T"/>
    <x v="49"/>
    <x v="4"/>
    <x v="78"/>
    <s v="VT2"/>
    <s v="00004958"/>
    <x v="63"/>
    <n v="24"/>
    <n v="0"/>
    <n v="24"/>
  </r>
  <r>
    <n v="-17"/>
    <n v="-45258"/>
    <s v="Producto: 2144002502010101 / BISA VAPORERA 24 A/T"/>
    <x v="156"/>
    <x v="4"/>
    <x v="78"/>
    <s v="VT2"/>
    <s v="00004958"/>
    <x v="63"/>
    <n v="12"/>
    <n v="0"/>
    <n v="12"/>
  </r>
  <r>
    <n v="-17"/>
    <n v="-45258"/>
    <s v="Producto: 2144002602010101 / BISA VAPORERA 26 A/T"/>
    <x v="157"/>
    <x v="4"/>
    <x v="78"/>
    <s v="VT2"/>
    <s v="00004958"/>
    <x v="63"/>
    <n v="12"/>
    <n v="0"/>
    <n v="12"/>
  </r>
  <r>
    <n v="-17"/>
    <n v="-45258"/>
    <s v="Producto: 2144002902010101 / BISA VAPORERA 30 A/T"/>
    <x v="158"/>
    <x v="4"/>
    <x v="78"/>
    <s v="VT2"/>
    <s v="00004958"/>
    <x v="63"/>
    <n v="4"/>
    <n v="0"/>
    <n v="4"/>
  </r>
  <r>
    <n v="-17"/>
    <n v="-45258"/>
    <s v="Producto: 2144003102010101 / BISA VAPORERA 34 A/T"/>
    <x v="50"/>
    <x v="4"/>
    <x v="78"/>
    <s v="VT2"/>
    <s v="00004958"/>
    <x v="63"/>
    <n v="4"/>
    <n v="0"/>
    <n v="4"/>
  </r>
  <r>
    <n v="-17"/>
    <n v="-45258"/>
    <s v="Producto: 2144003302010101 / BISA VAPORERA 42 A/T"/>
    <x v="159"/>
    <x v="4"/>
    <x v="78"/>
    <s v="VT2"/>
    <s v="00004958"/>
    <x v="63"/>
    <n v="2"/>
    <n v="0"/>
    <n v="2"/>
  </r>
  <r>
    <n v="-17"/>
    <n v="-45258"/>
    <s v="Producto: 2148001502010101 / BISA VASO RECTO 14 CON ASA"/>
    <x v="124"/>
    <x v="4"/>
    <x v="78"/>
    <s v="VT2"/>
    <s v="00004958"/>
    <x v="63"/>
    <n v="24"/>
    <n v="0"/>
    <n v="24"/>
  </r>
  <r>
    <n v="-17"/>
    <n v="-45258"/>
    <s v="Producto: 2151001502010101 / BISA VASO RECTO 14 CON TAPA"/>
    <x v="124"/>
    <x v="4"/>
    <x v="78"/>
    <s v="VT2"/>
    <s v="00004958"/>
    <x v="63"/>
    <n v="24"/>
    <n v="0"/>
    <n v="24"/>
  </r>
  <r>
    <n v="-17"/>
    <n v="-45258"/>
    <s v="Producto: 2133001501010701 / BISA POCILLO 14 DECORADO "/>
    <x v="29"/>
    <x v="6"/>
    <x v="78"/>
    <s v="VT2"/>
    <s v="00004958"/>
    <x v="63"/>
    <n v="30"/>
    <n v="0"/>
    <n v="30"/>
  </r>
  <r>
    <n v="-17"/>
    <n v="-45258"/>
    <s v="Producto: 2125009902010101 / BISA OLLA RECTA 38 A/T"/>
    <x v="51"/>
    <x v="4"/>
    <x v="78"/>
    <s v="VT2"/>
    <s v="00004958"/>
    <x v="63"/>
    <n v="10"/>
    <n v="0"/>
    <n v="10"/>
  </r>
  <r>
    <n v="-17"/>
    <n v="-45258"/>
    <s v="Producto: 2133000902010101 / BISA POCILLO 5 A/T"/>
    <x v="9"/>
    <x v="4"/>
    <x v="78"/>
    <s v="VT2"/>
    <s v="00004959"/>
    <x v="63"/>
    <n v="24"/>
    <n v="0"/>
    <n v="24"/>
  </r>
  <r>
    <n v="-17"/>
    <n v="-45258"/>
    <s v="Producto: 2133000926010101 / BISA POCILLO 5 NEGRO"/>
    <x v="9"/>
    <x v="18"/>
    <x v="78"/>
    <s v="VT2"/>
    <s v="00004959"/>
    <x v="63"/>
    <n v="24"/>
    <n v="0"/>
    <n v="24"/>
  </r>
  <r>
    <n v="-17"/>
    <n v="-45258"/>
    <s v="Producto: 2152002816050101 / BISA PLATO OVAL 28 BLANCO C/F NEGRO"/>
    <x v="120"/>
    <x v="21"/>
    <x v="78"/>
    <s v="VT2"/>
    <s v="00004959"/>
    <x v="63"/>
    <n v="6"/>
    <n v="0"/>
    <n v="6"/>
  </r>
  <r>
    <n v="-17"/>
    <n v="-45258"/>
    <s v="Producto: 2101002516050101 / BISA BACINICA 24 BLANCO C/F NEGRO"/>
    <x v="86"/>
    <x v="21"/>
    <x v="79"/>
    <s v="VT2"/>
    <s v="00004960"/>
    <x v="63"/>
    <n v="12"/>
    <n v="0"/>
    <n v="12"/>
  </r>
  <r>
    <n v="-17"/>
    <n v="-45258"/>
    <s v="Producto: 2106001502010101 / BISA BUDINERA 14 A/T"/>
    <x v="92"/>
    <x v="4"/>
    <x v="79"/>
    <s v="VT2"/>
    <s v="00004960"/>
    <x v="63"/>
    <n v="18"/>
    <n v="0"/>
    <n v="18"/>
  </r>
  <r>
    <n v="-17"/>
    <n v="-45258"/>
    <s v="Producto: 2106002502010101 / BISA BUDINERA 24 A/T"/>
    <x v="144"/>
    <x v="4"/>
    <x v="79"/>
    <s v="VT2"/>
    <s v="00004960"/>
    <x v="63"/>
    <n v="12"/>
    <n v="0"/>
    <n v="12"/>
  </r>
  <r>
    <n v="-17"/>
    <n v="-45258"/>
    <s v="Producto: 2106002602010101 / BISA BUDINERA 26 A/T"/>
    <x v="147"/>
    <x v="4"/>
    <x v="79"/>
    <s v="VT2"/>
    <s v="00004960"/>
    <x v="63"/>
    <n v="12"/>
    <n v="0"/>
    <n v="12"/>
  </r>
  <r>
    <n v="-17"/>
    <n v="-45258"/>
    <s v="Producto: 2106002902010101 / BISA BUDINERA 30 A/T"/>
    <x v="153"/>
    <x v="4"/>
    <x v="79"/>
    <s v="VT2"/>
    <s v="00004960"/>
    <x v="63"/>
    <n v="8"/>
    <n v="0"/>
    <n v="8"/>
  </r>
  <r>
    <n v="-17"/>
    <n v="-45258"/>
    <s v="Producto: 2106003102010101 / BISA BUDINERA 34 A/T"/>
    <x v="154"/>
    <x v="4"/>
    <x v="79"/>
    <s v="VT2"/>
    <s v="00004960"/>
    <x v="63"/>
    <n v="8"/>
    <n v="0"/>
    <n v="8"/>
  </r>
  <r>
    <n v="-17"/>
    <n v="-45258"/>
    <s v="Producto: 2106003302010101 / BISA BUDINERA 42 A/T"/>
    <x v="155"/>
    <x v="4"/>
    <x v="79"/>
    <s v="VT2"/>
    <s v="00004960"/>
    <x v="63"/>
    <n v="4"/>
    <n v="0"/>
    <n v="4"/>
  </r>
  <r>
    <n v="-17"/>
    <n v="-45258"/>
    <s v="Producto: 2124001702010101 / BISA OLLA CONVEXA 16 A/T"/>
    <x v="41"/>
    <x v="4"/>
    <x v="79"/>
    <s v="VT2"/>
    <s v="00004960"/>
    <x v="63"/>
    <n v="12"/>
    <n v="0"/>
    <n v="12"/>
  </r>
  <r>
    <n v="-17"/>
    <n v="-45258"/>
    <s v="Producto: 2124002402010101 / BISA OLLA CONVEXA 22 A/T"/>
    <x v="16"/>
    <x v="4"/>
    <x v="79"/>
    <s v="VT2"/>
    <s v="00004960"/>
    <x v="63"/>
    <n v="12"/>
    <n v="0"/>
    <n v="12"/>
  </r>
  <r>
    <n v="-17"/>
    <n v="-45258"/>
    <s v="Producto: 2124002902010101 / BISA OLLA CONVEXA 30 A/T"/>
    <x v="19"/>
    <x v="4"/>
    <x v="79"/>
    <s v="VT2"/>
    <s v="00004960"/>
    <x v="63"/>
    <n v="8"/>
    <n v="0"/>
    <n v="8"/>
  </r>
  <r>
    <n v="-17"/>
    <n v="-45258"/>
    <s v="Producto: 2125001402010101 / BISA OLLA RECTA 12 A/T"/>
    <x v="94"/>
    <x v="4"/>
    <x v="79"/>
    <s v="VT2"/>
    <s v="00004960"/>
    <x v="63"/>
    <n v="18"/>
    <n v="0"/>
    <n v="18"/>
  </r>
  <r>
    <n v="-17"/>
    <n v="-45258"/>
    <s v="Producto: 2125001502010101 / BISA OLLA RECTA 14 A/T"/>
    <x v="95"/>
    <x v="4"/>
    <x v="79"/>
    <s v="VT2"/>
    <s v="00004960"/>
    <x v="63"/>
    <n v="18"/>
    <n v="0"/>
    <n v="18"/>
  </r>
  <r>
    <n v="-17"/>
    <n v="-45258"/>
    <s v="Producto: 2125002202010101 / BISA OLLA RECTA 20 A/T"/>
    <x v="43"/>
    <x v="4"/>
    <x v="79"/>
    <s v="VT2"/>
    <s v="00004960"/>
    <x v="63"/>
    <n v="12"/>
    <n v="0"/>
    <n v="12"/>
  </r>
  <r>
    <n v="-17"/>
    <n v="-45258"/>
    <s v="Producto: 2125002402010101 / BISA OLLA RECTA 22 A/T"/>
    <x v="44"/>
    <x v="4"/>
    <x v="79"/>
    <s v="VT2"/>
    <s v="00004960"/>
    <x v="63"/>
    <n v="12"/>
    <n v="0"/>
    <n v="12"/>
  </r>
  <r>
    <n v="-17"/>
    <n v="-45258"/>
    <s v="Producto: 2125002502010101 / BISA OLLA RECTA 24 A/T"/>
    <x v="45"/>
    <x v="4"/>
    <x v="79"/>
    <s v="VT2"/>
    <s v="00004960"/>
    <x v="63"/>
    <n v="12"/>
    <n v="0"/>
    <n v="12"/>
  </r>
  <r>
    <n v="-17"/>
    <n v="-45258"/>
    <s v="Producto: 2133001402010101 / BISA POCILLO 12 A/T"/>
    <x v="84"/>
    <x v="4"/>
    <x v="79"/>
    <s v="VT2"/>
    <s v="00004960"/>
    <x v="63"/>
    <n v="24"/>
    <n v="0"/>
    <n v="24"/>
  </r>
  <r>
    <n v="-17"/>
    <n v="-45258"/>
    <s v="Producto: 2133001502010101 / BISA POCILLO 14 A/T"/>
    <x v="29"/>
    <x v="4"/>
    <x v="79"/>
    <s v="VT2"/>
    <s v="00004960"/>
    <x v="63"/>
    <n v="24"/>
    <n v="0"/>
    <n v="24"/>
  </r>
  <r>
    <n v="-17"/>
    <n v="-45258"/>
    <s v="Producto: 2133001510010101 / BISA POCILLO 14 BICOLOR AZUL"/>
    <x v="29"/>
    <x v="13"/>
    <x v="79"/>
    <s v="VT2"/>
    <s v="00004960"/>
    <x v="63"/>
    <n v="24"/>
    <n v="0"/>
    <n v="24"/>
  </r>
  <r>
    <n v="-17"/>
    <n v="-45258"/>
    <s v="Producto: 2133001514010101 / BISA POCILLO 14 BICOLOR ROJO"/>
    <x v="29"/>
    <x v="7"/>
    <x v="79"/>
    <s v="VT2"/>
    <s v="00004960"/>
    <x v="63"/>
    <n v="24"/>
    <n v="0"/>
    <n v="24"/>
  </r>
  <r>
    <n v="-17"/>
    <n v="-45258"/>
    <s v="Producto: 2136002202010101 / BISA SARTEN 20 A/T"/>
    <x v="91"/>
    <x v="4"/>
    <x v="79"/>
    <s v="VT2"/>
    <s v="00004960"/>
    <x v="63"/>
    <n v="12"/>
    <n v="0"/>
    <n v="12"/>
  </r>
  <r>
    <n v="-17"/>
    <n v="-45258"/>
    <s v="Producto: 2136002402010101 / BISA SARTEN 22 A/T"/>
    <x v="48"/>
    <x v="4"/>
    <x v="79"/>
    <s v="VT2"/>
    <s v="00004960"/>
    <x v="63"/>
    <n v="12"/>
    <n v="0"/>
    <n v="12"/>
  </r>
  <r>
    <n v="-17"/>
    <n v="-45258"/>
    <s v="Producto: 2136002502010101 / BISA SARTEN 24 A/T"/>
    <x v="85"/>
    <x v="4"/>
    <x v="79"/>
    <s v="VT2"/>
    <s v="00004960"/>
    <x v="63"/>
    <n v="12"/>
    <n v="0"/>
    <n v="12"/>
  </r>
  <r>
    <n v="-17"/>
    <n v="-45258"/>
    <s v="Producto: 2136002602010101 / BISA SARTEN 26 A/T"/>
    <x v="49"/>
    <x v="4"/>
    <x v="79"/>
    <s v="VT2"/>
    <s v="00004960"/>
    <x v="63"/>
    <n v="12"/>
    <n v="0"/>
    <n v="12"/>
  </r>
  <r>
    <n v="-17"/>
    <n v="-45258"/>
    <s v="Producto: 2155009827010101 / BISA PAVERA 45.7  NEGRO MOTAS"/>
    <x v="99"/>
    <x v="0"/>
    <x v="79"/>
    <s v="VT2"/>
    <s v="00004960"/>
    <x v="63"/>
    <n v="4"/>
    <n v="0"/>
    <n v="4"/>
  </r>
  <r>
    <n v="-17"/>
    <n v="-45258"/>
    <s v="Producto: 1103001419010101 / BISA BAÑO 12 GALVANIZADO"/>
    <x v="65"/>
    <x v="2"/>
    <x v="80"/>
    <s v="VT2"/>
    <s v="00004961"/>
    <x v="64"/>
    <n v="300"/>
    <n v="0"/>
    <n v="300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LOR" xr10:uid="{00000000-0013-0000-FFFF-FFFF01000000}" sourceName="COLOR">
  <data>
    <tabular pivotCacheId="36360085">
      <items count="46">
        <i x="4" s="1"/>
        <i x="25" s="1"/>
        <i x="43" s="1"/>
        <i x="13" s="1"/>
        <i x="30" s="1"/>
        <i x="40" s="1"/>
        <i x="44" s="1"/>
        <i x="8" s="1"/>
        <i x="29" s="1"/>
        <i x="45" s="1"/>
        <i x="7" s="1"/>
        <i x="41" s="1"/>
        <i x="42" s="1"/>
        <i x="39" s="1"/>
        <i x="11" s="1"/>
        <i x="3" s="1"/>
        <i x="10" s="1"/>
        <i x="22" s="1"/>
        <i x="24" s="1"/>
        <i x="34" s="1"/>
        <i x="35" s="1"/>
        <i x="21" s="1"/>
        <i x="17" s="1"/>
        <i x="37" s="1"/>
        <i x="32" s="1"/>
        <i x="31" s="1"/>
        <i x="9" s="1"/>
        <i x="28" s="1"/>
        <i x="2" s="1"/>
        <i x="19" s="1"/>
        <i x="26" s="1"/>
        <i x="5" s="1"/>
        <i x="15" s="1"/>
        <i x="12" s="1"/>
        <i x="18" s="1"/>
        <i x="23" s="1"/>
        <i x="20" s="1"/>
        <i x="27" s="1"/>
        <i x="0" s="1"/>
        <i x="14" s="1"/>
        <i x="16" s="1"/>
        <i x="33" s="1"/>
        <i x="1" s="1"/>
        <i x="6" s="1"/>
        <i x="38" s="1"/>
        <i x="3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IENTE" xr10:uid="{00000000-0013-0000-FFFF-FFFF02000000}" sourceName="CLIENTE">
  <data>
    <tabular pivotCacheId="36360085">
      <items count="81">
        <i x="27"/>
        <i x="65"/>
        <i x="30"/>
        <i x="67"/>
        <i x="0"/>
        <i x="26"/>
        <i x="77"/>
        <i x="1"/>
        <i x="29"/>
        <i x="66"/>
        <i x="50"/>
        <i x="60"/>
        <i x="68"/>
        <i x="28"/>
        <i x="16"/>
        <i x="25"/>
        <i x="64"/>
        <i x="71"/>
        <i x="54"/>
        <i x="20"/>
        <i x="78"/>
        <i x="2"/>
        <i x="3"/>
        <i x="12"/>
        <i x="18"/>
        <i x="70"/>
        <i x="4"/>
        <i x="51"/>
        <i x="80"/>
        <i x="76"/>
        <i x="49"/>
        <i x="31"/>
        <i x="5"/>
        <i x="14"/>
        <i x="40"/>
        <i x="13"/>
        <i x="37" s="1"/>
        <i x="79"/>
        <i x="45"/>
        <i x="46"/>
        <i x="48"/>
        <i x="47"/>
        <i x="6"/>
        <i x="7"/>
        <i x="35"/>
        <i x="34"/>
        <i x="33"/>
        <i x="36"/>
        <i x="73"/>
        <i x="8"/>
        <i x="22"/>
        <i x="72"/>
        <i x="56"/>
        <i x="75"/>
        <i x="55"/>
        <i x="41"/>
        <i x="43"/>
        <i x="39"/>
        <i x="63"/>
        <i x="24"/>
        <i x="15"/>
        <i x="38"/>
        <i x="19"/>
        <i x="53"/>
        <i x="52"/>
        <i x="44"/>
        <i x="69"/>
        <i x="62"/>
        <i x="23"/>
        <i x="61"/>
        <i x="74"/>
        <i x="9"/>
        <i x="32"/>
        <i x="10"/>
        <i x="11"/>
        <i x="17"/>
        <i x="59"/>
        <i x="57"/>
        <i x="21"/>
        <i x="42"/>
        <i x="58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Fecha" xr10:uid="{00000000-0013-0000-FFFF-FFFF03000000}" sourceName="Fecha">
  <data>
    <tabular pivotCacheId="36360085">
      <items count="65">
        <i x="21" s="1"/>
        <i x="48" s="1"/>
        <i x="22" s="1"/>
        <i x="49" s="1"/>
        <i x="3" s="1"/>
        <i x="39" s="1"/>
        <i x="15" s="1"/>
        <i x="52" s="1"/>
        <i x="1" s="1"/>
        <i x="56" s="1"/>
        <i x="10" s="1"/>
        <i x="8" s="1"/>
        <i x="33" s="1"/>
        <i x="58" s="1"/>
        <i x="2" s="1"/>
        <i x="54" s="1"/>
        <i x="23" s="1"/>
        <i x="59" s="1"/>
        <i x="7" s="1"/>
        <i x="16" s="1"/>
        <i x="60" s="1"/>
        <i x="57" s="1"/>
        <i x="62" s="1"/>
        <i x="11" s="1"/>
        <i x="61" s="1"/>
        <i x="63" s="1"/>
        <i x="44" s="1"/>
        <i x="30" s="1"/>
        <i x="35" s="1"/>
        <i x="24" s="1"/>
        <i x="37" s="1"/>
        <i x="5" s="1"/>
        <i x="31" s="1"/>
        <i x="25" s="1"/>
        <i x="17" s="1"/>
        <i x="13" s="1"/>
        <i x="4" s="1"/>
        <i x="14" s="1"/>
        <i x="42" s="1"/>
        <i x="32" s="1"/>
        <i x="26" s="1"/>
        <i x="38" s="1"/>
        <i x="27" s="1"/>
        <i x="6" s="1"/>
        <i x="18" s="1"/>
        <i x="47" s="1"/>
        <i x="19" s="1"/>
        <i x="45" s="1"/>
        <i x="9" s="1"/>
        <i x="12" s="1"/>
        <i x="29" s="1"/>
        <i x="46" s="1"/>
        <i x="28" s="1"/>
        <i x="43" s="1"/>
        <i x="0" s="1"/>
        <i x="20" s="1"/>
        <i x="34" s="1"/>
        <i x="40" s="1"/>
        <i x="36" s="1"/>
        <i x="50" s="1"/>
        <i x="41" s="1"/>
        <i x="51" s="1"/>
        <i x="53" s="1"/>
        <i x="55" s="1"/>
        <i x="6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LOR" xr10:uid="{00000000-0014-0000-FFFF-FFFF01000000}" cache="SegmentaciónDeDatos_COLOR" caption="COLOR" rowHeight="234710"/>
  <slicer name="CLIENTE" xr10:uid="{00000000-0014-0000-FFFF-FFFF02000000}" cache="SegmentaciónDeDatos_CLIENTE" caption="CLIENTE" startItem="41" rowHeight="234710"/>
  <slicer name="Fecha" xr10:uid="{00000000-0014-0000-FFFF-FFFF03000000}" cache="SegmentaciónDeDatos_Fecha" caption="Fecha" rowHeight="23471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8" tint="-0.249977111117893"/>
  </sheetPr>
  <dimension ref="A1:O1146"/>
  <sheetViews>
    <sheetView zoomScaleNormal="100" workbookViewId="0">
      <pane ySplit="1" topLeftCell="A5" activePane="bottomLeft" state="frozen"/>
      <selection activeCell="C1" sqref="C1"/>
      <selection pane="bottomLeft" activeCell="B17" sqref="B17"/>
    </sheetView>
  </sheetViews>
  <sheetFormatPr baseColWidth="10" defaultColWidth="11.42578125" defaultRowHeight="12" x14ac:dyDescent="0.2"/>
  <cols>
    <col min="1" max="3" width="66.28515625" style="11" customWidth="1"/>
    <col min="4" max="4" width="32.7109375" style="11" customWidth="1"/>
    <col min="5" max="5" width="4" style="11" customWidth="1"/>
    <col min="6" max="6" width="8.85546875" style="11" customWidth="1"/>
    <col min="7" max="7" width="9.85546875" style="41" customWidth="1"/>
    <col min="8" max="8" width="5.7109375" style="15" customWidth="1"/>
    <col min="9" max="9" width="7.42578125" style="15" customWidth="1"/>
    <col min="10" max="10" width="8" style="15" customWidth="1"/>
    <col min="11" max="11" width="5.5703125" style="24" customWidth="1"/>
    <col min="12" max="12" width="11.5703125" style="18" customWidth="1"/>
    <col min="13" max="13" width="5.42578125" style="19" customWidth="1"/>
    <col min="14" max="14" width="11" style="19" customWidth="1"/>
    <col min="15" max="15" width="5.5703125" style="20" customWidth="1"/>
    <col min="16" max="16384" width="11.42578125" style="11"/>
  </cols>
  <sheetData>
    <row r="1" spans="1:15" ht="27" customHeight="1" x14ac:dyDescent="0.2">
      <c r="A1" s="2">
        <v>0</v>
      </c>
      <c r="B1" s="2"/>
      <c r="C1" s="2"/>
      <c r="D1" s="3"/>
      <c r="E1" s="2" t="s">
        <v>0</v>
      </c>
      <c r="F1" s="2"/>
      <c r="G1" s="4" t="s">
        <v>1</v>
      </c>
      <c r="H1" s="5" t="s">
        <v>2</v>
      </c>
      <c r="I1" s="6" t="s">
        <v>3</v>
      </c>
      <c r="J1" s="6" t="s">
        <v>4</v>
      </c>
      <c r="K1" s="7" t="s">
        <v>5</v>
      </c>
      <c r="L1" s="8" t="s">
        <v>6</v>
      </c>
      <c r="M1" s="9" t="s">
        <v>7</v>
      </c>
      <c r="N1" s="9" t="s">
        <v>8</v>
      </c>
      <c r="O1" s="10"/>
    </row>
    <row r="2" spans="1:15" s="20" customFormat="1" x14ac:dyDescent="0.2">
      <c r="A2" s="11" t="s">
        <v>9</v>
      </c>
      <c r="B2" s="11" t="str">
        <f>+MID(A2,13,6)</f>
        <v>300027</v>
      </c>
      <c r="C2" s="11" t="str">
        <f>_xlfn.CONCAT(+VLOOKUP(VALUE(MID(A2,13,2)),'Tabla de codigos'!$A$2:$B$60,2,1)," ",VLOOKUP(VALUE(MID(A2,15,4)),'Tabla de codigos'!$E$2:$F$102,2,1))</f>
        <v>PLATO LISO 27</v>
      </c>
      <c r="D2" s="11" t="s">
        <v>10</v>
      </c>
      <c r="E2" s="12" t="s">
        <v>11</v>
      </c>
      <c r="F2" s="13" t="s">
        <v>12</v>
      </c>
      <c r="G2" s="14" t="s">
        <v>13</v>
      </c>
      <c r="H2" s="15">
        <v>357</v>
      </c>
      <c r="I2" s="15">
        <v>0</v>
      </c>
      <c r="J2" s="16">
        <f t="shared" ref="J2:J65" si="0">+H2-I2</f>
        <v>357</v>
      </c>
      <c r="K2" s="17">
        <f>(SUM(I2))/(SUM(H2))</f>
        <v>0</v>
      </c>
      <c r="L2" s="18"/>
      <c r="M2" s="19"/>
      <c r="N2" s="19"/>
    </row>
    <row r="3" spans="1:15" s="20" customFormat="1" x14ac:dyDescent="0.2">
      <c r="A3" s="11" t="s">
        <v>14</v>
      </c>
      <c r="B3" s="11" t="str">
        <f t="shared" ref="B3:B66" si="1">+MID(A3,13,6)</f>
        <v>110013</v>
      </c>
      <c r="C3" s="11" t="str">
        <f>_xlfn.CONCAT(+VLOOKUP(VALUE(MID(A3,13,2)),'Tabla de codigos'!$A$2:$B$60,2,1)," ",VLOOKUP(VALUE(MID(A3,15,4)),'Tabla de codigos'!$E$2:$F$102,2,1))</f>
        <v>CUBETA 10</v>
      </c>
      <c r="D3" s="12" t="s">
        <v>15</v>
      </c>
      <c r="E3" s="12" t="s">
        <v>16</v>
      </c>
      <c r="F3" s="12" t="s">
        <v>17</v>
      </c>
      <c r="G3" s="12" t="s">
        <v>18</v>
      </c>
      <c r="H3" s="12">
        <v>30</v>
      </c>
      <c r="I3" s="15">
        <v>1</v>
      </c>
      <c r="J3" s="16">
        <f t="shared" si="0"/>
        <v>29</v>
      </c>
      <c r="K3" s="17">
        <f>(SUM(I3))/(SUM(H3))</f>
        <v>3.3333333333333333E-2</v>
      </c>
      <c r="L3" s="18"/>
      <c r="M3" s="19"/>
      <c r="N3" s="19"/>
      <c r="O3" s="21">
        <f>(H3)/(IF(A3="","-",VLOOKUP(A3,'[1]CATALOGO PZXCAJA'!$A$2:$C$5000,2,0)))</f>
        <v>2.5</v>
      </c>
    </row>
    <row r="4" spans="1:15" x14ac:dyDescent="0.2">
      <c r="A4" s="11" t="s">
        <v>19</v>
      </c>
      <c r="B4" s="11" t="str">
        <f t="shared" si="1"/>
        <v>010025</v>
      </c>
      <c r="C4" s="11" t="str">
        <f>_xlfn.CONCAT(+VLOOKUP(VALUE(MID(A4,13,2)),'Tabla de codigos'!$A$2:$B$60,2,1)," ",VLOOKUP(VALUE(MID(A4,15,4)),'Tabla de codigos'!$E$2:$F$102,2,1))</f>
        <v>BACINICA 24</v>
      </c>
      <c r="D4" s="12" t="s">
        <v>20</v>
      </c>
      <c r="E4" s="12" t="s">
        <v>11</v>
      </c>
      <c r="F4" s="12" t="s">
        <v>21</v>
      </c>
      <c r="G4" s="12" t="s">
        <v>22</v>
      </c>
      <c r="H4" s="12">
        <v>36</v>
      </c>
      <c r="I4" s="15">
        <v>5</v>
      </c>
      <c r="J4" s="16">
        <f t="shared" si="0"/>
        <v>31</v>
      </c>
      <c r="K4" s="17">
        <f>(SUM(I4))/(SUM(H4))</f>
        <v>0.1388888888888889</v>
      </c>
      <c r="O4" s="21">
        <f>(H4)/(IF(A4="","-",VLOOKUP(A4,'[1]CATALOGO PZXCAJA'!$A$2:$C$5000,2,0)))</f>
        <v>3</v>
      </c>
    </row>
    <row r="5" spans="1:15" s="20" customFormat="1" ht="15" x14ac:dyDescent="0.25">
      <c r="A5" s="11" t="s">
        <v>23</v>
      </c>
      <c r="B5" s="11" t="str">
        <f t="shared" si="1"/>
        <v>420021</v>
      </c>
      <c r="C5" s="11" t="str">
        <f>_xlfn.CONCAT(+VLOOKUP(VALUE(MID(A5,13,2)),'Tabla de codigos'!$A$2:$B$60,2,1)," ",VLOOKUP(VALUE(MID(A5,15,4)),'Tabla de codigos'!$E$2:$F$102,2,1))</f>
        <v>TORTILLERO  18</v>
      </c>
      <c r="D5" s="12" t="s">
        <v>24</v>
      </c>
      <c r="E5" s="12" t="s">
        <v>16</v>
      </c>
      <c r="F5" s="12" t="s">
        <v>25</v>
      </c>
      <c r="G5" s="22" t="s">
        <v>26</v>
      </c>
      <c r="H5" s="23">
        <v>96</v>
      </c>
      <c r="I5" s="15">
        <v>0</v>
      </c>
      <c r="J5" s="15">
        <f t="shared" si="0"/>
        <v>96</v>
      </c>
      <c r="K5" s="17">
        <f>(SUM(I5))/(SUM(H5))</f>
        <v>0</v>
      </c>
      <c r="L5" s="18"/>
      <c r="M5" s="19"/>
      <c r="N5" s="19"/>
    </row>
    <row r="6" spans="1:15" s="20" customFormat="1" x14ac:dyDescent="0.2">
      <c r="A6" s="11" t="s">
        <v>27</v>
      </c>
      <c r="B6" s="11" t="str">
        <f t="shared" si="1"/>
        <v>300017</v>
      </c>
      <c r="C6" s="11" t="str">
        <f>_xlfn.CONCAT(+VLOOKUP(VALUE(MID(A6,13,2)),'Tabla de codigos'!$A$2:$B$60,2,1)," ",VLOOKUP(VALUE(MID(A6,15,4)),'Tabla de codigos'!$E$2:$F$102,2,1))</f>
        <v>PLATO LISO 16</v>
      </c>
      <c r="D6" s="12" t="s">
        <v>28</v>
      </c>
      <c r="E6" s="12" t="s">
        <v>16</v>
      </c>
      <c r="F6" s="12" t="s">
        <v>29</v>
      </c>
      <c r="G6" s="12" t="s">
        <v>26</v>
      </c>
      <c r="H6" s="12">
        <v>48</v>
      </c>
      <c r="I6" s="15">
        <v>3</v>
      </c>
      <c r="J6" s="16">
        <f t="shared" si="0"/>
        <v>45</v>
      </c>
      <c r="K6" s="24"/>
      <c r="L6" s="18"/>
      <c r="M6" s="19"/>
      <c r="N6" s="19"/>
      <c r="O6" s="21">
        <f>(H6)/(IF(A6="","-",VLOOKUP(A6,'[1]CATALOGO PZXCAJA'!$A$2:$C$5000,2,0)))</f>
        <v>8</v>
      </c>
    </row>
    <row r="7" spans="1:15" s="20" customFormat="1" x14ac:dyDescent="0.2">
      <c r="A7" s="11" t="s">
        <v>30</v>
      </c>
      <c r="B7" s="11" t="str">
        <f t="shared" si="1"/>
        <v>300022</v>
      </c>
      <c r="C7" s="11" t="str">
        <f>_xlfn.CONCAT(+VLOOKUP(VALUE(MID(A7,13,2)),'Tabla de codigos'!$A$2:$B$60,2,1)," ",VLOOKUP(VALUE(MID(A7,15,4)),'Tabla de codigos'!$E$2:$F$102,2,1))</f>
        <v>PLATO LISO 20</v>
      </c>
      <c r="D7" s="12" t="s">
        <v>28</v>
      </c>
      <c r="E7" s="12" t="s">
        <v>16</v>
      </c>
      <c r="F7" s="12" t="s">
        <v>29</v>
      </c>
      <c r="G7" s="12" t="s">
        <v>26</v>
      </c>
      <c r="H7" s="12">
        <v>72</v>
      </c>
      <c r="I7" s="15">
        <f>6+3</f>
        <v>9</v>
      </c>
      <c r="J7" s="16">
        <f t="shared" si="0"/>
        <v>63</v>
      </c>
      <c r="K7" s="24"/>
      <c r="L7" s="18"/>
      <c r="M7" s="19"/>
      <c r="N7" s="19"/>
      <c r="O7" s="21">
        <f>(H7)/(IF(A7="","-",VLOOKUP(A7,'[1]CATALOGO PZXCAJA'!$A$2:$C$5000,2,0)))</f>
        <v>12</v>
      </c>
    </row>
    <row r="8" spans="1:15" s="20" customFormat="1" x14ac:dyDescent="0.2">
      <c r="A8" s="11" t="s">
        <v>31</v>
      </c>
      <c r="B8" s="11" t="str">
        <f t="shared" si="1"/>
        <v>300027</v>
      </c>
      <c r="C8" s="11" t="str">
        <f>_xlfn.CONCAT(+VLOOKUP(VALUE(MID(A8,13,2)),'Tabla de codigos'!$A$2:$B$60,2,1)," ",VLOOKUP(VALUE(MID(A8,15,4)),'Tabla de codigos'!$E$2:$F$102,2,1))</f>
        <v>PLATO LISO 27</v>
      </c>
      <c r="D8" s="12" t="s">
        <v>28</v>
      </c>
      <c r="E8" s="12" t="s">
        <v>16</v>
      </c>
      <c r="F8" s="12" t="s">
        <v>29</v>
      </c>
      <c r="G8" s="12" t="s">
        <v>26</v>
      </c>
      <c r="H8" s="12">
        <v>72</v>
      </c>
      <c r="I8" s="15">
        <f>6+66</f>
        <v>72</v>
      </c>
      <c r="J8" s="16">
        <f t="shared" si="0"/>
        <v>0</v>
      </c>
      <c r="K8" s="17">
        <f>(SUM(I6:I8))/(SUM(H6:H8))</f>
        <v>0.4375</v>
      </c>
      <c r="L8" s="18"/>
      <c r="M8" s="19"/>
      <c r="N8" s="19"/>
      <c r="O8" s="21">
        <f>(H8)/(IF(A8="","-",VLOOKUP(A8,'[1]CATALOGO PZXCAJA'!$A$2:$C$5000,2,0)))</f>
        <v>12</v>
      </c>
    </row>
    <row r="9" spans="1:15" s="20" customFormat="1" x14ac:dyDescent="0.2">
      <c r="A9" s="20" t="s">
        <v>32</v>
      </c>
      <c r="B9" s="11" t="str">
        <f t="shared" si="1"/>
        <v>030009</v>
      </c>
      <c r="C9" s="11" t="str">
        <f>_xlfn.CONCAT(+VLOOKUP(VALUE(MID(A9,13,2)),'Tabla de codigos'!$A$2:$B$60,2,1)," ",VLOOKUP(VALUE(MID(A9,15,4)),'Tabla de codigos'!$E$2:$F$102,2,1))</f>
        <v>BAÑO 5</v>
      </c>
      <c r="D9" s="25" t="s">
        <v>33</v>
      </c>
      <c r="E9" s="12" t="s">
        <v>34</v>
      </c>
      <c r="F9" s="25" t="s">
        <v>35</v>
      </c>
      <c r="G9" s="25" t="s">
        <v>36</v>
      </c>
      <c r="H9" s="25">
        <v>40</v>
      </c>
      <c r="I9" s="15">
        <v>0</v>
      </c>
      <c r="J9" s="16">
        <f t="shared" si="0"/>
        <v>40</v>
      </c>
      <c r="K9" s="24"/>
      <c r="L9" s="18"/>
      <c r="M9" s="19"/>
      <c r="N9" s="19"/>
      <c r="O9" s="21" t="e">
        <f>(H9)/(IF(A9="","-",VLOOKUP(A9,'[1]CATALOGO PZXCAJA'!$A$2:$C$5000,2,0)))</f>
        <v>#N/A</v>
      </c>
    </row>
    <row r="10" spans="1:15" s="20" customFormat="1" x14ac:dyDescent="0.2">
      <c r="A10" s="20" t="s">
        <v>37</v>
      </c>
      <c r="B10" s="11" t="str">
        <f t="shared" si="1"/>
        <v>030010</v>
      </c>
      <c r="C10" s="11" t="str">
        <f>_xlfn.CONCAT(+VLOOKUP(VALUE(MID(A10,13,2)),'Tabla de codigos'!$A$2:$B$60,2,1)," ",VLOOKUP(VALUE(MID(A10,15,4)),'Tabla de codigos'!$E$2:$F$102,2,1))</f>
        <v>BAÑO 6</v>
      </c>
      <c r="D10" s="25" t="s">
        <v>33</v>
      </c>
      <c r="E10" s="12" t="s">
        <v>34</v>
      </c>
      <c r="F10" s="25" t="s">
        <v>35</v>
      </c>
      <c r="G10" s="25" t="s">
        <v>36</v>
      </c>
      <c r="H10" s="25">
        <v>14</v>
      </c>
      <c r="I10" s="15">
        <v>0</v>
      </c>
      <c r="J10" s="16">
        <f t="shared" si="0"/>
        <v>14</v>
      </c>
      <c r="K10" s="17">
        <f>(SUM(I9:I10))/(SUM(H9:H10))</f>
        <v>0</v>
      </c>
      <c r="L10" s="18"/>
      <c r="M10" s="19"/>
      <c r="N10" s="19"/>
      <c r="O10" s="21" t="e">
        <f>(H10)/(IF(A10="","-",VLOOKUP(A10,'[1]CATALOGO PZXCAJA'!$A$2:$C$5000,2,0)))</f>
        <v>#N/A</v>
      </c>
    </row>
    <row r="11" spans="1:15" s="20" customFormat="1" x14ac:dyDescent="0.2">
      <c r="A11" s="20" t="s">
        <v>38</v>
      </c>
      <c r="B11" s="11" t="str">
        <f t="shared" si="1"/>
        <v>060033</v>
      </c>
      <c r="C11" s="11" t="str">
        <f>_xlfn.CONCAT(+VLOOKUP(VALUE(MID(A11,13,2)),'Tabla de codigos'!$A$2:$B$60,2,1)," ",VLOOKUP(VALUE(MID(A11,15,4)),'Tabla de codigos'!$E$2:$F$102,2,1))</f>
        <v>BUDINERA   42</v>
      </c>
      <c r="D11" s="25" t="s">
        <v>33</v>
      </c>
      <c r="E11" s="12" t="s">
        <v>34</v>
      </c>
      <c r="F11" s="25" t="s">
        <v>39</v>
      </c>
      <c r="G11" s="25" t="s">
        <v>36</v>
      </c>
      <c r="H11" s="25">
        <v>12</v>
      </c>
      <c r="I11" s="15">
        <v>0</v>
      </c>
      <c r="J11" s="16">
        <f t="shared" si="0"/>
        <v>12</v>
      </c>
      <c r="K11" s="24"/>
      <c r="L11" s="18"/>
      <c r="M11" s="19"/>
      <c r="N11" s="19"/>
      <c r="O11" s="21">
        <f>(H11)/(IF(A11="","-",VLOOKUP(A11,'[1]CATALOGO PZXCAJA'!$A$2:$C$5000,2,0)))</f>
        <v>6</v>
      </c>
    </row>
    <row r="12" spans="1:15" s="20" customFormat="1" x14ac:dyDescent="0.2">
      <c r="A12" s="20" t="s">
        <v>40</v>
      </c>
      <c r="B12" s="11" t="str">
        <f t="shared" si="1"/>
        <v>110012</v>
      </c>
      <c r="C12" s="11" t="str">
        <f>_xlfn.CONCAT(+VLOOKUP(VALUE(MID(A12,13,2)),'Tabla de codigos'!$A$2:$B$60,2,1)," ",VLOOKUP(VALUE(MID(A12,15,4)),'Tabla de codigos'!$E$2:$F$102,2,1))</f>
        <v>CUBETA 8</v>
      </c>
      <c r="D12" s="26" t="s">
        <v>33</v>
      </c>
      <c r="E12" s="12" t="s">
        <v>34</v>
      </c>
      <c r="F12" s="25" t="s">
        <v>39</v>
      </c>
      <c r="G12" s="25" t="s">
        <v>36</v>
      </c>
      <c r="H12" s="25">
        <v>24</v>
      </c>
      <c r="I12" s="15">
        <v>24</v>
      </c>
      <c r="J12" s="16">
        <f t="shared" si="0"/>
        <v>0</v>
      </c>
      <c r="K12" s="24"/>
      <c r="L12" s="18"/>
      <c r="M12" s="19"/>
      <c r="N12" s="19"/>
      <c r="O12" s="21">
        <f>(H12)/(IF(A12="","-",VLOOKUP(A12,'[1]CATALOGO PZXCAJA'!$A$2:$C$5000,2,0)))</f>
        <v>2</v>
      </c>
    </row>
    <row r="13" spans="1:15" s="20" customFormat="1" x14ac:dyDescent="0.2">
      <c r="A13" s="20" t="s">
        <v>14</v>
      </c>
      <c r="B13" s="11" t="str">
        <f t="shared" si="1"/>
        <v>110013</v>
      </c>
      <c r="C13" s="11" t="str">
        <f>_xlfn.CONCAT(+VLOOKUP(VALUE(MID(A13,13,2)),'Tabla de codigos'!$A$2:$B$60,2,1)," ",VLOOKUP(VALUE(MID(A13,15,4)),'Tabla de codigos'!$E$2:$F$102,2,1))</f>
        <v>CUBETA 10</v>
      </c>
      <c r="D13" s="26" t="s">
        <v>33</v>
      </c>
      <c r="E13" s="12" t="s">
        <v>34</v>
      </c>
      <c r="F13" s="25" t="s">
        <v>39</v>
      </c>
      <c r="G13" s="25" t="s">
        <v>36</v>
      </c>
      <c r="H13" s="25">
        <v>2</v>
      </c>
      <c r="I13" s="15">
        <v>2</v>
      </c>
      <c r="J13" s="16">
        <f t="shared" si="0"/>
        <v>0</v>
      </c>
      <c r="K13" s="24"/>
      <c r="L13" s="18"/>
      <c r="M13" s="19"/>
      <c r="N13" s="19"/>
      <c r="O13" s="21">
        <f>(H13)/(IF(A13="","-",VLOOKUP(A13,'[1]CATALOGO PZXCAJA'!$A$2:$C$5000,2,0)))</f>
        <v>0.16666666666666666</v>
      </c>
    </row>
    <row r="14" spans="1:15" s="20" customFormat="1" x14ac:dyDescent="0.2">
      <c r="A14" s="20" t="s">
        <v>41</v>
      </c>
      <c r="B14" s="11" t="str">
        <f t="shared" si="1"/>
        <v>110014</v>
      </c>
      <c r="C14" s="11" t="str">
        <f>_xlfn.CONCAT(+VLOOKUP(VALUE(MID(A14,13,2)),'Tabla de codigos'!$A$2:$B$60,2,1)," ",VLOOKUP(VALUE(MID(A14,15,4)),'Tabla de codigos'!$E$2:$F$102,2,1))</f>
        <v>CUBETA 12</v>
      </c>
      <c r="D14" s="26" t="s">
        <v>33</v>
      </c>
      <c r="E14" s="12" t="s">
        <v>34</v>
      </c>
      <c r="F14" s="25" t="s">
        <v>39</v>
      </c>
      <c r="G14" s="25" t="s">
        <v>36</v>
      </c>
      <c r="H14" s="25">
        <v>24</v>
      </c>
      <c r="I14" s="15">
        <v>24</v>
      </c>
      <c r="J14" s="16">
        <f t="shared" si="0"/>
        <v>0</v>
      </c>
      <c r="K14" s="24"/>
      <c r="L14" s="18"/>
      <c r="M14" s="19"/>
      <c r="N14" s="19"/>
      <c r="O14" s="21">
        <f>(H14)/(IF(A14="","-",VLOOKUP(A14,'[1]CATALOGO PZXCAJA'!$A$2:$C$5000,2,0)))</f>
        <v>2</v>
      </c>
    </row>
    <row r="15" spans="1:15" s="20" customFormat="1" x14ac:dyDescent="0.2">
      <c r="A15" s="20" t="s">
        <v>42</v>
      </c>
      <c r="B15" s="11" t="str">
        <f t="shared" si="1"/>
        <v>110015</v>
      </c>
      <c r="C15" s="11" t="str">
        <f>_xlfn.CONCAT(+VLOOKUP(VALUE(MID(A15,13,2)),'Tabla de codigos'!$A$2:$B$60,2,1)," ",VLOOKUP(VALUE(MID(A15,15,4)),'Tabla de codigos'!$E$2:$F$102,2,1))</f>
        <v>CUBETA 14</v>
      </c>
      <c r="D15" s="26" t="s">
        <v>33</v>
      </c>
      <c r="E15" s="12" t="s">
        <v>34</v>
      </c>
      <c r="F15" s="25" t="s">
        <v>39</v>
      </c>
      <c r="G15" s="25" t="s">
        <v>36</v>
      </c>
      <c r="H15" s="25">
        <v>16</v>
      </c>
      <c r="I15" s="15">
        <v>16</v>
      </c>
      <c r="J15" s="16">
        <f t="shared" si="0"/>
        <v>0</v>
      </c>
      <c r="K15" s="24"/>
      <c r="L15" s="18"/>
      <c r="M15" s="19"/>
      <c r="N15" s="19"/>
      <c r="O15" s="21">
        <f>(H15)/(IF(A15="","-",VLOOKUP(A15,'[1]CATALOGO PZXCAJA'!$A$2:$C$5000,2,0)))</f>
        <v>1.3333333333333333</v>
      </c>
    </row>
    <row r="16" spans="1:15" s="20" customFormat="1" x14ac:dyDescent="0.2">
      <c r="A16" s="20" t="s">
        <v>43</v>
      </c>
      <c r="B16" s="11" t="str">
        <f t="shared" si="1"/>
        <v>240024</v>
      </c>
      <c r="C16" s="11" t="str">
        <f>_xlfn.CONCAT(+VLOOKUP(VALUE(MID(A16,13,2)),'Tabla de codigos'!$A$2:$B$60,2,1)," ",VLOOKUP(VALUE(MID(A16,15,4)),'Tabla de codigos'!$E$2:$F$102,2,1))</f>
        <v>OLLA CONVEXA 22</v>
      </c>
      <c r="D16" s="26" t="s">
        <v>33</v>
      </c>
      <c r="E16" s="12" t="s">
        <v>34</v>
      </c>
      <c r="F16" s="25" t="s">
        <v>39</v>
      </c>
      <c r="G16" s="25" t="s">
        <v>36</v>
      </c>
      <c r="H16" s="25">
        <v>6</v>
      </c>
      <c r="I16" s="15">
        <v>6</v>
      </c>
      <c r="J16" s="16">
        <f t="shared" si="0"/>
        <v>0</v>
      </c>
      <c r="K16" s="24"/>
      <c r="L16" s="18"/>
      <c r="M16" s="19"/>
      <c r="N16" s="19"/>
      <c r="O16" s="21">
        <f>(H16)/(IF(A16="","-",VLOOKUP(A16,'[1]CATALOGO PZXCAJA'!$A$2:$C$5000,2,0)))</f>
        <v>1</v>
      </c>
    </row>
    <row r="17" spans="1:15" s="20" customFormat="1" x14ac:dyDescent="0.2">
      <c r="A17" s="20" t="s">
        <v>44</v>
      </c>
      <c r="B17" s="11" t="str">
        <f t="shared" si="1"/>
        <v>360025</v>
      </c>
      <c r="C17" s="11" t="str">
        <f>_xlfn.CONCAT(+VLOOKUP(VALUE(MID(A17,13,2)),'Tabla de codigos'!$A$2:$B$60,2,1)," ",VLOOKUP(VALUE(MID(A17,15,4)),'Tabla de codigos'!$E$2:$F$102,2,1))</f>
        <v>SARTEN 24</v>
      </c>
      <c r="D17" s="25" t="s">
        <v>33</v>
      </c>
      <c r="E17" s="12" t="s">
        <v>34</v>
      </c>
      <c r="F17" s="25" t="s">
        <v>39</v>
      </c>
      <c r="G17" s="25" t="s">
        <v>36</v>
      </c>
      <c r="H17" s="25">
        <v>36</v>
      </c>
      <c r="I17" s="15">
        <v>3</v>
      </c>
      <c r="J17" s="16">
        <f t="shared" si="0"/>
        <v>33</v>
      </c>
      <c r="K17" s="17">
        <f>(SUM(I11:I17))/(SUM(H11:H17))</f>
        <v>0.625</v>
      </c>
      <c r="L17" s="18"/>
      <c r="M17" s="19"/>
      <c r="N17" s="19"/>
      <c r="O17" s="21">
        <f>(H17)/(IF(A17="","-",VLOOKUP(A17,'[1]CATALOGO PZXCAJA'!$A$2:$C$5000,2,0)))</f>
        <v>3</v>
      </c>
    </row>
    <row r="18" spans="1:15" s="20" customFormat="1" x14ac:dyDescent="0.2">
      <c r="A18" s="20" t="s">
        <v>45</v>
      </c>
      <c r="B18" s="11" t="str">
        <f t="shared" si="1"/>
        <v>030008</v>
      </c>
      <c r="C18" s="11" t="str">
        <f>_xlfn.CONCAT(+VLOOKUP(VALUE(MID(A18,13,2)),'Tabla de codigos'!$A$2:$B$60,2,1)," ",VLOOKUP(VALUE(MID(A18,15,4)),'Tabla de codigos'!$E$2:$F$102,2,1))</f>
        <v>BAÑO 4</v>
      </c>
      <c r="D18" s="25" t="s">
        <v>46</v>
      </c>
      <c r="E18" s="12" t="s">
        <v>34</v>
      </c>
      <c r="F18" s="25" t="s">
        <v>47</v>
      </c>
      <c r="G18" s="25" t="s">
        <v>48</v>
      </c>
      <c r="H18" s="25">
        <v>50</v>
      </c>
      <c r="I18" s="15">
        <v>0</v>
      </c>
      <c r="J18" s="16">
        <f t="shared" si="0"/>
        <v>50</v>
      </c>
      <c r="K18" s="24"/>
      <c r="L18" s="18"/>
      <c r="M18" s="19"/>
      <c r="N18" s="18"/>
      <c r="O18" s="21" t="e">
        <f>(H18)/(IF(A18="","-",VLOOKUP(A18,'[1]CATALOGO PZXCAJA'!$A$2:$C$5000,2,0)))</f>
        <v>#N/A</v>
      </c>
    </row>
    <row r="19" spans="1:15" s="20" customFormat="1" x14ac:dyDescent="0.2">
      <c r="A19" s="20" t="s">
        <v>32</v>
      </c>
      <c r="B19" s="11" t="str">
        <f t="shared" si="1"/>
        <v>030009</v>
      </c>
      <c r="C19" s="11" t="str">
        <f>_xlfn.CONCAT(+VLOOKUP(VALUE(MID(A19,13,2)),'Tabla de codigos'!$A$2:$B$60,2,1)," ",VLOOKUP(VALUE(MID(A19,15,4)),'Tabla de codigos'!$E$2:$F$102,2,1))</f>
        <v>BAÑO 5</v>
      </c>
      <c r="D19" s="25" t="s">
        <v>46</v>
      </c>
      <c r="E19" s="12" t="s">
        <v>34</v>
      </c>
      <c r="F19" s="25" t="s">
        <v>47</v>
      </c>
      <c r="G19" s="25" t="s">
        <v>48</v>
      </c>
      <c r="H19" s="25">
        <v>100</v>
      </c>
      <c r="I19" s="15">
        <v>0</v>
      </c>
      <c r="J19" s="16">
        <f t="shared" si="0"/>
        <v>100</v>
      </c>
      <c r="K19" s="24"/>
      <c r="L19" s="18"/>
      <c r="M19" s="19"/>
      <c r="N19" s="18"/>
      <c r="O19" s="21" t="e">
        <f>(H19)/(IF(A19="","-",VLOOKUP(A19,'[1]CATALOGO PZXCAJA'!$A$2:$C$5000,2,0)))</f>
        <v>#N/A</v>
      </c>
    </row>
    <row r="20" spans="1:15" x14ac:dyDescent="0.2">
      <c r="A20" s="20" t="s">
        <v>49</v>
      </c>
      <c r="B20" s="11" t="str">
        <f t="shared" si="1"/>
        <v>110012</v>
      </c>
      <c r="C20" s="11" t="str">
        <f>_xlfn.CONCAT(+VLOOKUP(VALUE(MID(A20,13,2)),'Tabla de codigos'!$A$2:$B$60,2,1)," ",VLOOKUP(VALUE(MID(A20,15,4)),'Tabla de codigos'!$E$2:$F$102,2,1))</f>
        <v>CUBETA 8</v>
      </c>
      <c r="D20" s="25" t="s">
        <v>46</v>
      </c>
      <c r="E20" s="12" t="s">
        <v>34</v>
      </c>
      <c r="F20" s="25" t="s">
        <v>47</v>
      </c>
      <c r="G20" s="25" t="s">
        <v>48</v>
      </c>
      <c r="H20" s="25">
        <v>25</v>
      </c>
      <c r="I20" s="15">
        <v>0</v>
      </c>
      <c r="J20" s="16">
        <f t="shared" si="0"/>
        <v>25</v>
      </c>
      <c r="N20" s="18"/>
      <c r="O20" s="21" t="e">
        <f>(H20)/(IF(A20="","-",VLOOKUP(A20,'[1]CATALOGO PZXCAJA'!$A$2:$C$5000,2,0)))</f>
        <v>#N/A</v>
      </c>
    </row>
    <row r="21" spans="1:15" x14ac:dyDescent="0.2">
      <c r="A21" s="20" t="s">
        <v>50</v>
      </c>
      <c r="B21" s="11" t="str">
        <f t="shared" si="1"/>
        <v>110014</v>
      </c>
      <c r="C21" s="11" t="str">
        <f>_xlfn.CONCAT(+VLOOKUP(VALUE(MID(A21,13,2)),'Tabla de codigos'!$A$2:$B$60,2,1)," ",VLOOKUP(VALUE(MID(A21,15,4)),'Tabla de codigos'!$E$2:$F$102,2,1))</f>
        <v>CUBETA 12</v>
      </c>
      <c r="D21" s="25" t="s">
        <v>46</v>
      </c>
      <c r="E21" s="12" t="s">
        <v>34</v>
      </c>
      <c r="F21" s="25" t="s">
        <v>47</v>
      </c>
      <c r="G21" s="25" t="s">
        <v>48</v>
      </c>
      <c r="H21" s="25">
        <v>50</v>
      </c>
      <c r="I21" s="15">
        <v>50</v>
      </c>
      <c r="J21" s="16">
        <f t="shared" si="0"/>
        <v>0</v>
      </c>
      <c r="K21" s="17">
        <f>(SUM(I18:I21))/(SUM(H18:H21))</f>
        <v>0.22222222222222221</v>
      </c>
      <c r="N21" s="18"/>
      <c r="O21" s="21" t="e">
        <f>(H21)/(IF(A21="","-",VLOOKUP(A21,'[1]CATALOGO PZXCAJA'!$A$2:$C$5000,2,0)))</f>
        <v>#N/A</v>
      </c>
    </row>
    <row r="22" spans="1:15" ht="15" x14ac:dyDescent="0.25">
      <c r="A22" s="11" t="s">
        <v>51</v>
      </c>
      <c r="B22" s="11" t="str">
        <f t="shared" si="1"/>
        <v>110009</v>
      </c>
      <c r="C22" s="11" t="str">
        <f>_xlfn.CONCAT(+VLOOKUP(VALUE(MID(A22,13,2)),'Tabla de codigos'!$A$2:$B$60,2,1)," ",VLOOKUP(VALUE(MID(A22,15,4)),'Tabla de codigos'!$E$2:$F$102,2,1))</f>
        <v>CUBETA 5</v>
      </c>
      <c r="D22" s="12" t="s">
        <v>52</v>
      </c>
      <c r="E22" s="12" t="s">
        <v>16</v>
      </c>
      <c r="F22" s="12" t="s">
        <v>53</v>
      </c>
      <c r="G22" s="22" t="s">
        <v>54</v>
      </c>
      <c r="H22" s="23">
        <v>24</v>
      </c>
      <c r="I22" s="15">
        <v>0</v>
      </c>
      <c r="J22" s="15">
        <f t="shared" si="0"/>
        <v>24</v>
      </c>
    </row>
    <row r="23" spans="1:15" ht="15" x14ac:dyDescent="0.25">
      <c r="A23" s="11" t="s">
        <v>55</v>
      </c>
      <c r="B23" s="11" t="str">
        <f t="shared" si="1"/>
        <v>330009</v>
      </c>
      <c r="C23" s="11" t="str">
        <f>_xlfn.CONCAT(+VLOOKUP(VALUE(MID(A23,13,2)),'Tabla de codigos'!$A$2:$B$60,2,1)," ",VLOOKUP(VALUE(MID(A23,15,4)),'Tabla de codigos'!$E$2:$F$102,2,1))</f>
        <v>POCILLO 5</v>
      </c>
      <c r="D23" s="12" t="s">
        <v>52</v>
      </c>
      <c r="E23" s="12" t="s">
        <v>16</v>
      </c>
      <c r="F23" s="12" t="s">
        <v>53</v>
      </c>
      <c r="G23" s="22" t="s">
        <v>54</v>
      </c>
      <c r="H23" s="23">
        <v>144</v>
      </c>
      <c r="I23" s="15">
        <v>144</v>
      </c>
      <c r="J23" s="15">
        <f t="shared" si="0"/>
        <v>0</v>
      </c>
      <c r="K23" s="17">
        <f>(SUM(I22:I23))/(SUM(H22:H23))</f>
        <v>0.8571428571428571</v>
      </c>
    </row>
    <row r="24" spans="1:15" x14ac:dyDescent="0.2">
      <c r="A24" s="11" t="s">
        <v>56</v>
      </c>
      <c r="B24" s="11" t="str">
        <f t="shared" si="1"/>
        <v>080021</v>
      </c>
      <c r="C24" s="11" t="str">
        <f>_xlfn.CONCAT(+VLOOKUP(VALUE(MID(A24,13,2)),'Tabla de codigos'!$A$2:$B$60,2,1)," ",VLOOKUP(VALUE(MID(A24,15,4)),'Tabla de codigos'!$E$2:$F$102,2,1))</f>
        <v>CAZUELA 18</v>
      </c>
      <c r="D24" s="11" t="s">
        <v>57</v>
      </c>
      <c r="E24" s="11" t="s">
        <v>34</v>
      </c>
      <c r="F24" s="11" t="s">
        <v>58</v>
      </c>
      <c r="G24" s="11" t="s">
        <v>59</v>
      </c>
      <c r="H24" s="11">
        <v>48</v>
      </c>
      <c r="I24" s="15">
        <v>6</v>
      </c>
      <c r="J24" s="15">
        <f t="shared" si="0"/>
        <v>42</v>
      </c>
    </row>
    <row r="25" spans="1:15" x14ac:dyDescent="0.2">
      <c r="A25" s="11" t="s">
        <v>60</v>
      </c>
      <c r="B25" s="11" t="str">
        <f t="shared" si="1"/>
        <v>080021</v>
      </c>
      <c r="C25" s="11" t="str">
        <f>_xlfn.CONCAT(+VLOOKUP(VALUE(MID(A25,13,2)),'Tabla de codigos'!$A$2:$B$60,2,1)," ",VLOOKUP(VALUE(MID(A25,15,4)),'Tabla de codigos'!$E$2:$F$102,2,1))</f>
        <v>CAZUELA 18</v>
      </c>
      <c r="D25" s="11" t="s">
        <v>57</v>
      </c>
      <c r="E25" s="11" t="s">
        <v>34</v>
      </c>
      <c r="F25" s="11" t="s">
        <v>58</v>
      </c>
      <c r="G25" s="11" t="s">
        <v>59</v>
      </c>
      <c r="H25" s="11">
        <v>48</v>
      </c>
      <c r="I25" s="15">
        <f>5+7+12</f>
        <v>24</v>
      </c>
      <c r="J25" s="15">
        <f t="shared" si="0"/>
        <v>24</v>
      </c>
    </row>
    <row r="26" spans="1:15" x14ac:dyDescent="0.2">
      <c r="A26" s="11" t="s">
        <v>61</v>
      </c>
      <c r="B26" s="11" t="str">
        <f t="shared" si="1"/>
        <v>080021</v>
      </c>
      <c r="C26" s="11" t="str">
        <f>_xlfn.CONCAT(+VLOOKUP(VALUE(MID(A26,13,2)),'Tabla de codigos'!$A$2:$B$60,2,1)," ",VLOOKUP(VALUE(MID(A26,15,4)),'Tabla de codigos'!$E$2:$F$102,2,1))</f>
        <v>CAZUELA 18</v>
      </c>
      <c r="D26" s="11" t="s">
        <v>57</v>
      </c>
      <c r="E26" s="11" t="s">
        <v>34</v>
      </c>
      <c r="F26" s="11" t="s">
        <v>58</v>
      </c>
      <c r="G26" s="11" t="s">
        <v>59</v>
      </c>
      <c r="H26" s="11">
        <v>36</v>
      </c>
      <c r="I26" s="15">
        <v>2</v>
      </c>
      <c r="J26" s="15">
        <f t="shared" si="0"/>
        <v>34</v>
      </c>
    </row>
    <row r="27" spans="1:15" x14ac:dyDescent="0.2">
      <c r="A27" s="11" t="s">
        <v>62</v>
      </c>
      <c r="B27" s="11" t="str">
        <f t="shared" si="1"/>
        <v>080025</v>
      </c>
      <c r="C27" s="11" t="str">
        <f>_xlfn.CONCAT(+VLOOKUP(VALUE(MID(A27,13,2)),'Tabla de codigos'!$A$2:$B$60,2,1)," ",VLOOKUP(VALUE(MID(A27,15,4)),'Tabla de codigos'!$E$2:$F$102,2,1))</f>
        <v>CAZUELA 24</v>
      </c>
      <c r="D27" s="11" t="s">
        <v>57</v>
      </c>
      <c r="E27" s="11" t="s">
        <v>34</v>
      </c>
      <c r="F27" s="11" t="s">
        <v>58</v>
      </c>
      <c r="G27" s="11" t="s">
        <v>59</v>
      </c>
      <c r="H27" s="11">
        <v>24</v>
      </c>
      <c r="I27" s="15">
        <v>0</v>
      </c>
      <c r="J27" s="15">
        <f t="shared" si="0"/>
        <v>24</v>
      </c>
    </row>
    <row r="28" spans="1:15" x14ac:dyDescent="0.2">
      <c r="A28" s="11" t="s">
        <v>63</v>
      </c>
      <c r="B28" s="11" t="str">
        <f t="shared" si="1"/>
        <v>080025</v>
      </c>
      <c r="C28" s="11" t="str">
        <f>_xlfn.CONCAT(+VLOOKUP(VALUE(MID(A28,13,2)),'Tabla de codigos'!$A$2:$B$60,2,1)," ",VLOOKUP(VALUE(MID(A28,15,4)),'Tabla de codigos'!$E$2:$F$102,2,1))</f>
        <v>CAZUELA 24</v>
      </c>
      <c r="D28" s="11" t="s">
        <v>57</v>
      </c>
      <c r="E28" s="11" t="s">
        <v>34</v>
      </c>
      <c r="F28" s="11" t="s">
        <v>58</v>
      </c>
      <c r="G28" s="11" t="s">
        <v>59</v>
      </c>
      <c r="H28" s="11">
        <v>24</v>
      </c>
      <c r="I28" s="15">
        <v>0</v>
      </c>
      <c r="J28" s="15">
        <f t="shared" si="0"/>
        <v>24</v>
      </c>
    </row>
    <row r="29" spans="1:15" x14ac:dyDescent="0.2">
      <c r="A29" s="11" t="s">
        <v>64</v>
      </c>
      <c r="B29" s="11" t="str">
        <f t="shared" si="1"/>
        <v>080025</v>
      </c>
      <c r="C29" s="11" t="str">
        <f>_xlfn.CONCAT(+VLOOKUP(VALUE(MID(A29,13,2)),'Tabla de codigos'!$A$2:$B$60,2,1)," ",VLOOKUP(VALUE(MID(A29,15,4)),'Tabla de codigos'!$E$2:$F$102,2,1))</f>
        <v>CAZUELA 24</v>
      </c>
      <c r="D29" s="11" t="s">
        <v>57</v>
      </c>
      <c r="E29" s="11" t="s">
        <v>34</v>
      </c>
      <c r="F29" s="11" t="s">
        <v>58</v>
      </c>
      <c r="G29" s="11" t="s">
        <v>59</v>
      </c>
      <c r="H29" s="11">
        <v>24</v>
      </c>
      <c r="I29" s="15">
        <v>1</v>
      </c>
      <c r="J29" s="15">
        <f t="shared" si="0"/>
        <v>23</v>
      </c>
    </row>
    <row r="30" spans="1:15" x14ac:dyDescent="0.2">
      <c r="A30" s="11" t="s">
        <v>65</v>
      </c>
      <c r="B30" s="11" t="str">
        <f t="shared" si="1"/>
        <v>230018</v>
      </c>
      <c r="C30" s="11" t="str">
        <f>_xlfn.CONCAT(+VLOOKUP(VALUE(MID(A30,13,2)),'Tabla de codigos'!$A$2:$B$60,2,1)," ",VLOOKUP(VALUE(MID(A30,15,4)),'Tabla de codigos'!$E$2:$F$102,2,1))</f>
        <v>MULTIUSOS RAYADO 16.5</v>
      </c>
      <c r="D30" s="11" t="s">
        <v>57</v>
      </c>
      <c r="E30" s="11" t="s">
        <v>34</v>
      </c>
      <c r="F30" s="11" t="s">
        <v>58</v>
      </c>
      <c r="G30" s="11" t="s">
        <v>59</v>
      </c>
      <c r="H30" s="11">
        <v>12</v>
      </c>
      <c r="I30" s="15">
        <v>1</v>
      </c>
      <c r="J30" s="15">
        <f t="shared" si="0"/>
        <v>11</v>
      </c>
    </row>
    <row r="31" spans="1:15" x14ac:dyDescent="0.2">
      <c r="A31" s="11" t="s">
        <v>66</v>
      </c>
      <c r="B31" s="11" t="str">
        <f t="shared" si="1"/>
        <v>260022</v>
      </c>
      <c r="C31" s="11" t="str">
        <f>_xlfn.CONCAT(+VLOOKUP(VALUE(MID(A31,13,2)),'Tabla de codigos'!$A$2:$B$60,2,1)," ",VLOOKUP(VALUE(MID(A31,15,4)),'Tabla de codigos'!$E$2:$F$102,2,1))</f>
        <v>PLATO AVENERO 20</v>
      </c>
      <c r="D31" s="11" t="s">
        <v>57</v>
      </c>
      <c r="E31" s="11" t="s">
        <v>34</v>
      </c>
      <c r="F31" s="11" t="s">
        <v>58</v>
      </c>
      <c r="G31" s="11" t="s">
        <v>59</v>
      </c>
      <c r="H31" s="11">
        <v>120</v>
      </c>
      <c r="I31" s="15">
        <f>91+29</f>
        <v>120</v>
      </c>
      <c r="J31" s="15">
        <f t="shared" si="0"/>
        <v>0</v>
      </c>
    </row>
    <row r="32" spans="1:15" x14ac:dyDescent="0.2">
      <c r="A32" s="11" t="s">
        <v>67</v>
      </c>
      <c r="B32" s="11" t="str">
        <f t="shared" si="1"/>
        <v>280017</v>
      </c>
      <c r="C32" s="11" t="str">
        <f>_xlfn.CONCAT(+VLOOKUP(VALUE(MID(A32,13,2)),'Tabla de codigos'!$A$2:$B$60,2,1)," ",VLOOKUP(VALUE(MID(A32,15,4)),'Tabla de codigos'!$E$2:$F$102,2,1))</f>
        <v>PLATO BISTRO 16</v>
      </c>
      <c r="D32" s="11" t="s">
        <v>57</v>
      </c>
      <c r="E32" s="11" t="s">
        <v>34</v>
      </c>
      <c r="F32" s="11" t="s">
        <v>58</v>
      </c>
      <c r="G32" s="11" t="s">
        <v>59</v>
      </c>
      <c r="H32" s="11">
        <v>12</v>
      </c>
      <c r="I32" s="15">
        <v>4</v>
      </c>
      <c r="J32" s="15">
        <f t="shared" si="0"/>
        <v>8</v>
      </c>
    </row>
    <row r="33" spans="1:15" x14ac:dyDescent="0.2">
      <c r="A33" s="11" t="s">
        <v>68</v>
      </c>
      <c r="B33" s="11" t="str">
        <f t="shared" si="1"/>
        <v>300017</v>
      </c>
      <c r="C33" s="11" t="str">
        <f>_xlfn.CONCAT(+VLOOKUP(VALUE(MID(A33,13,2)),'Tabla de codigos'!$A$2:$B$60,2,1)," ",VLOOKUP(VALUE(MID(A33,15,4)),'Tabla de codigos'!$E$2:$F$102,2,1))</f>
        <v>PLATO LISO 16</v>
      </c>
      <c r="D33" s="11" t="s">
        <v>57</v>
      </c>
      <c r="E33" s="11" t="s">
        <v>34</v>
      </c>
      <c r="F33" s="11" t="s">
        <v>58</v>
      </c>
      <c r="G33" s="11" t="s">
        <v>59</v>
      </c>
      <c r="H33" s="11">
        <v>30</v>
      </c>
      <c r="I33" s="15">
        <v>0</v>
      </c>
      <c r="J33" s="15">
        <f t="shared" si="0"/>
        <v>30</v>
      </c>
    </row>
    <row r="34" spans="1:15" x14ac:dyDescent="0.2">
      <c r="A34" s="11" t="s">
        <v>69</v>
      </c>
      <c r="B34" s="11" t="str">
        <f t="shared" si="1"/>
        <v>300025</v>
      </c>
      <c r="C34" s="11" t="str">
        <f>_xlfn.CONCAT(+VLOOKUP(VALUE(MID(A34,13,2)),'Tabla de codigos'!$A$2:$B$60,2,1)," ",VLOOKUP(VALUE(MID(A34,15,4)),'Tabla de codigos'!$E$2:$F$102,2,1))</f>
        <v>PLATO LISO 24</v>
      </c>
      <c r="D34" s="11" t="s">
        <v>57</v>
      </c>
      <c r="E34" s="11" t="s">
        <v>34</v>
      </c>
      <c r="F34" s="11" t="s">
        <v>58</v>
      </c>
      <c r="G34" s="11" t="s">
        <v>59</v>
      </c>
      <c r="H34" s="11">
        <v>24</v>
      </c>
      <c r="I34" s="15">
        <v>24</v>
      </c>
      <c r="J34" s="15">
        <f t="shared" si="0"/>
        <v>0</v>
      </c>
    </row>
    <row r="35" spans="1:15" x14ac:dyDescent="0.2">
      <c r="A35" s="11" t="s">
        <v>70</v>
      </c>
      <c r="B35" s="11" t="str">
        <f t="shared" si="1"/>
        <v>300025</v>
      </c>
      <c r="C35" s="11" t="str">
        <f>_xlfn.CONCAT(+VLOOKUP(VALUE(MID(A35,13,2)),'Tabla de codigos'!$A$2:$B$60,2,1)," ",VLOOKUP(VALUE(MID(A35,15,4)),'Tabla de codigos'!$E$2:$F$102,2,1))</f>
        <v>PLATO LISO 24</v>
      </c>
      <c r="D35" s="11" t="s">
        <v>57</v>
      </c>
      <c r="E35" s="11" t="s">
        <v>34</v>
      </c>
      <c r="F35" s="11" t="s">
        <v>58</v>
      </c>
      <c r="G35" s="11" t="s">
        <v>59</v>
      </c>
      <c r="H35" s="11">
        <v>6</v>
      </c>
      <c r="I35" s="15">
        <v>0</v>
      </c>
      <c r="J35" s="15">
        <f t="shared" si="0"/>
        <v>6</v>
      </c>
    </row>
    <row r="36" spans="1:15" x14ac:dyDescent="0.2">
      <c r="A36" s="11" t="s">
        <v>71</v>
      </c>
      <c r="B36" s="11" t="str">
        <f t="shared" si="1"/>
        <v>300027</v>
      </c>
      <c r="C36" s="11" t="str">
        <f>_xlfn.CONCAT(+VLOOKUP(VALUE(MID(A36,13,2)),'Tabla de codigos'!$A$2:$B$60,2,1)," ",VLOOKUP(VALUE(MID(A36,15,4)),'Tabla de codigos'!$E$2:$F$102,2,1))</f>
        <v>PLATO LISO 27</v>
      </c>
      <c r="D36" s="11" t="s">
        <v>57</v>
      </c>
      <c r="E36" s="11" t="s">
        <v>34</v>
      </c>
      <c r="F36" s="11" t="s">
        <v>58</v>
      </c>
      <c r="G36" s="11" t="s">
        <v>59</v>
      </c>
      <c r="H36" s="11">
        <v>24</v>
      </c>
      <c r="I36" s="15">
        <v>12</v>
      </c>
      <c r="J36" s="15">
        <f t="shared" si="0"/>
        <v>12</v>
      </c>
    </row>
    <row r="37" spans="1:15" x14ac:dyDescent="0.2">
      <c r="A37" s="11" t="s">
        <v>72</v>
      </c>
      <c r="B37" s="11" t="str">
        <f t="shared" si="1"/>
        <v>300027</v>
      </c>
      <c r="C37" s="11" t="str">
        <f>_xlfn.CONCAT(+VLOOKUP(VALUE(MID(A37,13,2)),'Tabla de codigos'!$A$2:$B$60,2,1)," ",VLOOKUP(VALUE(MID(A37,15,4)),'Tabla de codigos'!$E$2:$F$102,2,1))</f>
        <v>PLATO LISO 27</v>
      </c>
      <c r="D37" s="11" t="s">
        <v>57</v>
      </c>
      <c r="E37" s="11" t="s">
        <v>34</v>
      </c>
      <c r="F37" s="11" t="s">
        <v>58</v>
      </c>
      <c r="G37" s="11" t="s">
        <v>59</v>
      </c>
      <c r="H37" s="11">
        <v>30</v>
      </c>
      <c r="I37" s="15">
        <v>30</v>
      </c>
      <c r="J37" s="15">
        <f t="shared" si="0"/>
        <v>0</v>
      </c>
    </row>
    <row r="38" spans="1:15" s="27" customFormat="1" x14ac:dyDescent="0.2">
      <c r="A38" s="11" t="s">
        <v>73</v>
      </c>
      <c r="B38" s="11" t="str">
        <f t="shared" si="1"/>
        <v>330009</v>
      </c>
      <c r="C38" s="11" t="str">
        <f>_xlfn.CONCAT(+VLOOKUP(VALUE(MID(A38,13,2)),'Tabla de codigos'!$A$2:$B$60,2,1)," ",VLOOKUP(VALUE(MID(A38,15,4)),'Tabla de codigos'!$E$2:$F$102,2,1))</f>
        <v>POCILLO 5</v>
      </c>
      <c r="D38" s="11" t="s">
        <v>57</v>
      </c>
      <c r="E38" s="11" t="s">
        <v>34</v>
      </c>
      <c r="F38" s="11" t="s">
        <v>58</v>
      </c>
      <c r="G38" s="11" t="s">
        <v>59</v>
      </c>
      <c r="H38" s="11">
        <v>120</v>
      </c>
      <c r="I38" s="15">
        <f>12+96+12</f>
        <v>120</v>
      </c>
      <c r="J38" s="15">
        <f t="shared" si="0"/>
        <v>0</v>
      </c>
      <c r="K38" s="24"/>
      <c r="L38" s="18"/>
      <c r="M38" s="19"/>
      <c r="N38" s="19"/>
      <c r="O38" s="20"/>
    </row>
    <row r="39" spans="1:15" s="27" customFormat="1" x14ac:dyDescent="0.2">
      <c r="A39" s="11" t="s">
        <v>74</v>
      </c>
      <c r="B39" s="11" t="str">
        <f t="shared" si="1"/>
        <v>330009</v>
      </c>
      <c r="C39" s="11" t="str">
        <f>_xlfn.CONCAT(+VLOOKUP(VALUE(MID(A39,13,2)),'Tabla de codigos'!$A$2:$B$60,2,1)," ",VLOOKUP(VALUE(MID(A39,15,4)),'Tabla de codigos'!$E$2:$F$102,2,1))</f>
        <v>POCILLO 5</v>
      </c>
      <c r="D39" s="11" t="s">
        <v>57</v>
      </c>
      <c r="E39" s="11" t="s">
        <v>34</v>
      </c>
      <c r="F39" s="11" t="s">
        <v>58</v>
      </c>
      <c r="G39" s="11" t="s">
        <v>59</v>
      </c>
      <c r="H39" s="11">
        <v>120</v>
      </c>
      <c r="I39" s="15">
        <f>3+117</f>
        <v>120</v>
      </c>
      <c r="J39" s="15">
        <f t="shared" si="0"/>
        <v>0</v>
      </c>
      <c r="K39" s="24"/>
      <c r="L39" s="18"/>
      <c r="M39" s="19"/>
      <c r="N39" s="19"/>
      <c r="O39" s="20"/>
    </row>
    <row r="40" spans="1:15" x14ac:dyDescent="0.2">
      <c r="A40" s="11" t="s">
        <v>75</v>
      </c>
      <c r="B40" s="11" t="str">
        <f t="shared" si="1"/>
        <v>330009</v>
      </c>
      <c r="C40" s="11" t="str">
        <f>_xlfn.CONCAT(+VLOOKUP(VALUE(MID(A40,13,2)),'Tabla de codigos'!$A$2:$B$60,2,1)," ",VLOOKUP(VALUE(MID(A40,15,4)),'Tabla de codigos'!$E$2:$F$102,2,1))</f>
        <v>POCILLO 5</v>
      </c>
      <c r="D40" s="11" t="s">
        <v>57</v>
      </c>
      <c r="E40" s="11" t="s">
        <v>34</v>
      </c>
      <c r="F40" s="11" t="s">
        <v>58</v>
      </c>
      <c r="G40" s="11" t="s">
        <v>59</v>
      </c>
      <c r="H40" s="11">
        <v>120</v>
      </c>
      <c r="I40" s="15">
        <f>51+69</f>
        <v>120</v>
      </c>
      <c r="J40" s="15">
        <f t="shared" si="0"/>
        <v>0</v>
      </c>
    </row>
    <row r="41" spans="1:15" x14ac:dyDescent="0.2">
      <c r="A41" s="11" t="s">
        <v>76</v>
      </c>
      <c r="B41" s="11" t="str">
        <f t="shared" si="1"/>
        <v>330009</v>
      </c>
      <c r="C41" s="11" t="str">
        <f>_xlfn.CONCAT(+VLOOKUP(VALUE(MID(A41,13,2)),'Tabla de codigos'!$A$2:$B$60,2,1)," ",VLOOKUP(VALUE(MID(A41,15,4)),'Tabla de codigos'!$E$2:$F$102,2,1))</f>
        <v>POCILLO 5</v>
      </c>
      <c r="D41" s="11" t="s">
        <v>57</v>
      </c>
      <c r="E41" s="11" t="s">
        <v>34</v>
      </c>
      <c r="F41" s="11" t="s">
        <v>58</v>
      </c>
      <c r="G41" s="11" t="s">
        <v>59</v>
      </c>
      <c r="H41" s="11">
        <v>120</v>
      </c>
      <c r="I41" s="15">
        <v>22</v>
      </c>
      <c r="J41" s="15">
        <f t="shared" si="0"/>
        <v>98</v>
      </c>
    </row>
    <row r="42" spans="1:15" x14ac:dyDescent="0.2">
      <c r="A42" s="11" t="s">
        <v>77</v>
      </c>
      <c r="B42" s="11" t="str">
        <f t="shared" si="1"/>
        <v>330009</v>
      </c>
      <c r="C42" s="11" t="str">
        <f>_xlfn.CONCAT(+VLOOKUP(VALUE(MID(A42,13,2)),'Tabla de codigos'!$A$2:$B$60,2,1)," ",VLOOKUP(VALUE(MID(A42,15,4)),'Tabla de codigos'!$E$2:$F$102,2,1))</f>
        <v>POCILLO 5</v>
      </c>
      <c r="D42" s="11" t="s">
        <v>57</v>
      </c>
      <c r="E42" s="11" t="s">
        <v>34</v>
      </c>
      <c r="F42" s="11" t="s">
        <v>58</v>
      </c>
      <c r="G42" s="11" t="s">
        <v>59</v>
      </c>
      <c r="H42" s="11">
        <v>72</v>
      </c>
      <c r="I42" s="15">
        <v>72</v>
      </c>
      <c r="J42" s="15">
        <f t="shared" si="0"/>
        <v>0</v>
      </c>
    </row>
    <row r="43" spans="1:15" x14ac:dyDescent="0.2">
      <c r="A43" s="11" t="s">
        <v>78</v>
      </c>
      <c r="B43" s="11" t="str">
        <f t="shared" si="1"/>
        <v>330010</v>
      </c>
      <c r="C43" s="11" t="str">
        <f>_xlfn.CONCAT(+VLOOKUP(VALUE(MID(A43,13,2)),'Tabla de codigos'!$A$2:$B$60,2,1)," ",VLOOKUP(VALUE(MID(A43,15,4)),'Tabla de codigos'!$E$2:$F$102,2,1))</f>
        <v>POCILLO 6</v>
      </c>
      <c r="D43" s="11" t="s">
        <v>57</v>
      </c>
      <c r="E43" s="11" t="s">
        <v>34</v>
      </c>
      <c r="F43" s="11" t="s">
        <v>58</v>
      </c>
      <c r="G43" s="11" t="s">
        <v>59</v>
      </c>
      <c r="H43" s="11">
        <v>96</v>
      </c>
      <c r="I43" s="15">
        <f>86+10</f>
        <v>96</v>
      </c>
      <c r="J43" s="15">
        <f t="shared" si="0"/>
        <v>0</v>
      </c>
    </row>
    <row r="44" spans="1:15" x14ac:dyDescent="0.2">
      <c r="A44" s="11" t="s">
        <v>79</v>
      </c>
      <c r="B44" s="11" t="str">
        <f t="shared" si="1"/>
        <v>330012</v>
      </c>
      <c r="C44" s="11" t="str">
        <f>_xlfn.CONCAT(+VLOOKUP(VALUE(MID(A44,13,2)),'Tabla de codigos'!$A$2:$B$60,2,1)," ",VLOOKUP(VALUE(MID(A44,15,4)),'Tabla de codigos'!$E$2:$F$102,2,1))</f>
        <v>POCILLO 8</v>
      </c>
      <c r="D44" s="11" t="s">
        <v>57</v>
      </c>
      <c r="E44" s="11" t="s">
        <v>34</v>
      </c>
      <c r="F44" s="11" t="s">
        <v>58</v>
      </c>
      <c r="G44" s="11" t="s">
        <v>59</v>
      </c>
      <c r="H44" s="11">
        <v>96</v>
      </c>
      <c r="I44" s="15">
        <v>16</v>
      </c>
      <c r="J44" s="15">
        <f t="shared" si="0"/>
        <v>80</v>
      </c>
    </row>
    <row r="45" spans="1:15" x14ac:dyDescent="0.2">
      <c r="A45" s="11" t="s">
        <v>80</v>
      </c>
      <c r="B45" s="11" t="str">
        <f t="shared" si="1"/>
        <v>390016</v>
      </c>
      <c r="C45" s="11" t="str">
        <f>_xlfn.CONCAT(+VLOOKUP(VALUE(MID(A45,13,2)),'Tabla de codigos'!$A$2:$B$60,2,1)," ",VLOOKUP(VALUE(MID(A45,15,4)),'Tabla de codigos'!$E$2:$F$102,2,1))</f>
        <v>TAZON  15.5</v>
      </c>
      <c r="D45" s="11" t="s">
        <v>57</v>
      </c>
      <c r="E45" s="11" t="s">
        <v>34</v>
      </c>
      <c r="F45" s="11" t="s">
        <v>58</v>
      </c>
      <c r="G45" s="11" t="s">
        <v>59</v>
      </c>
      <c r="H45" s="11">
        <v>120</v>
      </c>
      <c r="I45" s="15">
        <f>8+12</f>
        <v>20</v>
      </c>
      <c r="J45" s="15">
        <f t="shared" si="0"/>
        <v>100</v>
      </c>
    </row>
    <row r="46" spans="1:15" x14ac:dyDescent="0.2">
      <c r="A46" s="11" t="s">
        <v>81</v>
      </c>
      <c r="B46" s="11" t="str">
        <f t="shared" si="1"/>
        <v>390016</v>
      </c>
      <c r="C46" s="11" t="str">
        <f>_xlfn.CONCAT(+VLOOKUP(VALUE(MID(A46,13,2)),'Tabla de codigos'!$A$2:$B$60,2,1)," ",VLOOKUP(VALUE(MID(A46,15,4)),'Tabla de codigos'!$E$2:$F$102,2,1))</f>
        <v>TAZON  15.5</v>
      </c>
      <c r="D46" s="11" t="s">
        <v>57</v>
      </c>
      <c r="E46" s="11" t="s">
        <v>34</v>
      </c>
      <c r="F46" s="11" t="s">
        <v>58</v>
      </c>
      <c r="G46" s="11" t="s">
        <v>59</v>
      </c>
      <c r="H46" s="11">
        <v>96</v>
      </c>
      <c r="I46" s="15">
        <f>2+12+82</f>
        <v>96</v>
      </c>
      <c r="J46" s="15">
        <f t="shared" si="0"/>
        <v>0</v>
      </c>
    </row>
    <row r="47" spans="1:15" x14ac:dyDescent="0.2">
      <c r="A47" s="11" t="s">
        <v>82</v>
      </c>
      <c r="B47" s="11" t="str">
        <f t="shared" si="1"/>
        <v>390016</v>
      </c>
      <c r="C47" s="11" t="str">
        <f>_xlfn.CONCAT(+VLOOKUP(VALUE(MID(A47,13,2)),'Tabla de codigos'!$A$2:$B$60,2,1)," ",VLOOKUP(VALUE(MID(A47,15,4)),'Tabla de codigos'!$E$2:$F$102,2,1))</f>
        <v>TAZON  15.5</v>
      </c>
      <c r="D47" s="11" t="s">
        <v>57</v>
      </c>
      <c r="E47" s="11" t="s">
        <v>34</v>
      </c>
      <c r="F47" s="11" t="s">
        <v>58</v>
      </c>
      <c r="G47" s="11" t="s">
        <v>59</v>
      </c>
      <c r="H47" s="11">
        <v>120</v>
      </c>
      <c r="I47" s="15">
        <f>24+7</f>
        <v>31</v>
      </c>
      <c r="J47" s="15">
        <f t="shared" si="0"/>
        <v>89</v>
      </c>
    </row>
    <row r="48" spans="1:15" x14ac:dyDescent="0.2">
      <c r="A48" s="11" t="s">
        <v>83</v>
      </c>
      <c r="B48" s="11" t="str">
        <f t="shared" si="1"/>
        <v>390016</v>
      </c>
      <c r="C48" s="11" t="str">
        <f>_xlfn.CONCAT(+VLOOKUP(VALUE(MID(A48,13,2)),'Tabla de codigos'!$A$2:$B$60,2,1)," ",VLOOKUP(VALUE(MID(A48,15,4)),'Tabla de codigos'!$E$2:$F$102,2,1))</f>
        <v>TAZON  15.5</v>
      </c>
      <c r="D48" s="11" t="s">
        <v>57</v>
      </c>
      <c r="E48" s="11" t="s">
        <v>34</v>
      </c>
      <c r="F48" s="11" t="s">
        <v>58</v>
      </c>
      <c r="G48" s="11" t="s">
        <v>59</v>
      </c>
      <c r="H48" s="11">
        <v>120</v>
      </c>
      <c r="I48" s="15">
        <v>0</v>
      </c>
      <c r="J48" s="15">
        <f t="shared" si="0"/>
        <v>120</v>
      </c>
    </row>
    <row r="49" spans="1:12" x14ac:dyDescent="0.2">
      <c r="A49" s="11" t="s">
        <v>84</v>
      </c>
      <c r="B49" s="11" t="str">
        <f t="shared" si="1"/>
        <v>390016</v>
      </c>
      <c r="C49" s="11" t="str">
        <f>_xlfn.CONCAT(+VLOOKUP(VALUE(MID(A49,13,2)),'Tabla de codigos'!$A$2:$B$60,2,1)," ",VLOOKUP(VALUE(MID(A49,15,4)),'Tabla de codigos'!$E$2:$F$102,2,1))</f>
        <v>TAZON  15.5</v>
      </c>
      <c r="D49" s="11" t="s">
        <v>57</v>
      </c>
      <c r="E49" s="11" t="s">
        <v>34</v>
      </c>
      <c r="F49" s="11" t="s">
        <v>58</v>
      </c>
      <c r="G49" s="11" t="s">
        <v>59</v>
      </c>
      <c r="H49" s="11">
        <v>120</v>
      </c>
      <c r="I49" s="15">
        <f>19+101</f>
        <v>120</v>
      </c>
      <c r="J49" s="15">
        <f t="shared" si="0"/>
        <v>0</v>
      </c>
    </row>
    <row r="50" spans="1:12" x14ac:dyDescent="0.2">
      <c r="A50" s="11" t="s">
        <v>85</v>
      </c>
      <c r="B50" s="11" t="str">
        <f t="shared" si="1"/>
        <v>390022</v>
      </c>
      <c r="C50" s="11" t="str">
        <f>_xlfn.CONCAT(+VLOOKUP(VALUE(MID(A50,13,2)),'Tabla de codigos'!$A$2:$B$60,2,1)," ",VLOOKUP(VALUE(MID(A50,15,4)),'Tabla de codigos'!$E$2:$F$102,2,1))</f>
        <v>TAZON  20</v>
      </c>
      <c r="D50" s="11" t="s">
        <v>57</v>
      </c>
      <c r="E50" s="11" t="s">
        <v>34</v>
      </c>
      <c r="F50" s="11" t="s">
        <v>58</v>
      </c>
      <c r="G50" s="11" t="s">
        <v>59</v>
      </c>
      <c r="H50" s="11">
        <v>60</v>
      </c>
      <c r="I50" s="15">
        <f>6+3+48+3</f>
        <v>60</v>
      </c>
      <c r="J50" s="15">
        <f t="shared" si="0"/>
        <v>0</v>
      </c>
    </row>
    <row r="51" spans="1:12" x14ac:dyDescent="0.2">
      <c r="A51" s="11" t="s">
        <v>86</v>
      </c>
      <c r="B51" s="11" t="str">
        <f t="shared" si="1"/>
        <v>390022</v>
      </c>
      <c r="C51" s="11" t="str">
        <f>_xlfn.CONCAT(+VLOOKUP(VALUE(MID(A51,13,2)),'Tabla de codigos'!$A$2:$B$60,2,1)," ",VLOOKUP(VALUE(MID(A51,15,4)),'Tabla de codigos'!$E$2:$F$102,2,1))</f>
        <v>TAZON  20</v>
      </c>
      <c r="D51" s="11" t="s">
        <v>57</v>
      </c>
      <c r="E51" s="11" t="s">
        <v>34</v>
      </c>
      <c r="F51" s="11" t="s">
        <v>58</v>
      </c>
      <c r="G51" s="11" t="s">
        <v>59</v>
      </c>
      <c r="H51" s="11">
        <v>36</v>
      </c>
      <c r="I51" s="15">
        <v>0</v>
      </c>
      <c r="J51" s="15">
        <f t="shared" si="0"/>
        <v>36</v>
      </c>
    </row>
    <row r="52" spans="1:12" x14ac:dyDescent="0.2">
      <c r="A52" s="11" t="s">
        <v>87</v>
      </c>
      <c r="B52" s="11" t="str">
        <f t="shared" si="1"/>
        <v>390022</v>
      </c>
      <c r="C52" s="11" t="str">
        <f>_xlfn.CONCAT(+VLOOKUP(VALUE(MID(A52,13,2)),'Tabla de codigos'!$A$2:$B$60,2,1)," ",VLOOKUP(VALUE(MID(A52,15,4)),'Tabla de codigos'!$E$2:$F$102,2,1))</f>
        <v>TAZON  20</v>
      </c>
      <c r="D52" s="11" t="s">
        <v>57</v>
      </c>
      <c r="E52" s="11" t="s">
        <v>34</v>
      </c>
      <c r="F52" s="11" t="s">
        <v>58</v>
      </c>
      <c r="G52" s="11" t="s">
        <v>59</v>
      </c>
      <c r="H52" s="11">
        <v>54</v>
      </c>
      <c r="I52" s="15">
        <f>5+12</f>
        <v>17</v>
      </c>
      <c r="J52" s="15">
        <f t="shared" si="0"/>
        <v>37</v>
      </c>
    </row>
    <row r="53" spans="1:12" x14ac:dyDescent="0.2">
      <c r="A53" s="11" t="s">
        <v>88</v>
      </c>
      <c r="B53" s="11" t="str">
        <f t="shared" si="1"/>
        <v>390022</v>
      </c>
      <c r="C53" s="11" t="str">
        <f>_xlfn.CONCAT(+VLOOKUP(VALUE(MID(A53,13,2)),'Tabla de codigos'!$A$2:$B$60,2,1)," ",VLOOKUP(VALUE(MID(A53,15,4)),'Tabla de codigos'!$E$2:$F$102,2,1))</f>
        <v>TAZON  20</v>
      </c>
      <c r="D53" s="11" t="s">
        <v>57</v>
      </c>
      <c r="E53" s="11" t="s">
        <v>34</v>
      </c>
      <c r="F53" s="11" t="s">
        <v>58</v>
      </c>
      <c r="G53" s="11" t="s">
        <v>59</v>
      </c>
      <c r="H53" s="11">
        <v>42</v>
      </c>
      <c r="I53" s="15">
        <v>29</v>
      </c>
      <c r="J53" s="15">
        <f t="shared" si="0"/>
        <v>13</v>
      </c>
    </row>
    <row r="54" spans="1:12" x14ac:dyDescent="0.2">
      <c r="A54" s="11" t="s">
        <v>89</v>
      </c>
      <c r="B54" s="11" t="str">
        <f t="shared" si="1"/>
        <v>390024</v>
      </c>
      <c r="C54" s="11" t="str">
        <f>_xlfn.CONCAT(+VLOOKUP(VALUE(MID(A54,13,2)),'Tabla de codigos'!$A$2:$B$60,2,1)," ",VLOOKUP(VALUE(MID(A54,15,4)),'Tabla de codigos'!$E$2:$F$102,2,1))</f>
        <v>TAZON  22</v>
      </c>
      <c r="D54" s="11" t="s">
        <v>57</v>
      </c>
      <c r="E54" s="11" t="s">
        <v>34</v>
      </c>
      <c r="F54" s="11" t="s">
        <v>58</v>
      </c>
      <c r="G54" s="11" t="s">
        <v>59</v>
      </c>
      <c r="H54" s="11">
        <v>30</v>
      </c>
      <c r="I54" s="15">
        <v>0</v>
      </c>
      <c r="J54" s="15">
        <f t="shared" si="0"/>
        <v>30</v>
      </c>
    </row>
    <row r="55" spans="1:12" x14ac:dyDescent="0.2">
      <c r="A55" s="11" t="s">
        <v>90</v>
      </c>
      <c r="B55" s="11" t="str">
        <f t="shared" si="1"/>
        <v>400012</v>
      </c>
      <c r="C55" s="11" t="str">
        <f>_xlfn.CONCAT(+VLOOKUP(VALUE(MID(A55,13,2)),'Tabla de codigos'!$A$2:$B$60,2,1)," ",VLOOKUP(VALUE(MID(A55,15,4)),'Tabla de codigos'!$E$2:$F$102,2,1))</f>
        <v>TAZON INCLINADO 8</v>
      </c>
      <c r="D55" s="11" t="s">
        <v>57</v>
      </c>
      <c r="E55" s="11" t="s">
        <v>34</v>
      </c>
      <c r="F55" s="11" t="s">
        <v>58</v>
      </c>
      <c r="G55" s="11" t="s">
        <v>59</v>
      </c>
      <c r="H55" s="11">
        <v>72</v>
      </c>
      <c r="I55" s="15">
        <v>8</v>
      </c>
      <c r="J55" s="15">
        <f t="shared" si="0"/>
        <v>64</v>
      </c>
    </row>
    <row r="56" spans="1:12" x14ac:dyDescent="0.2">
      <c r="A56" s="11" t="s">
        <v>91</v>
      </c>
      <c r="B56" s="11" t="str">
        <f t="shared" si="1"/>
        <v>400012</v>
      </c>
      <c r="C56" s="11" t="str">
        <f>_xlfn.CONCAT(+VLOOKUP(VALUE(MID(A56,13,2)),'Tabla de codigos'!$A$2:$B$60,2,1)," ",VLOOKUP(VALUE(MID(A56,15,4)),'Tabla de codigos'!$E$2:$F$102,2,1))</f>
        <v>TAZON INCLINADO 8</v>
      </c>
      <c r="D56" s="11" t="s">
        <v>57</v>
      </c>
      <c r="E56" s="11" t="s">
        <v>34</v>
      </c>
      <c r="F56" s="11" t="s">
        <v>58</v>
      </c>
      <c r="G56" s="11" t="s">
        <v>59</v>
      </c>
      <c r="H56" s="11">
        <v>36</v>
      </c>
      <c r="I56" s="15">
        <v>0</v>
      </c>
      <c r="J56" s="15">
        <f t="shared" si="0"/>
        <v>36</v>
      </c>
    </row>
    <row r="57" spans="1:12" x14ac:dyDescent="0.2">
      <c r="A57" s="11" t="s">
        <v>92</v>
      </c>
      <c r="B57" s="11" t="str">
        <f t="shared" si="1"/>
        <v>400012</v>
      </c>
      <c r="C57" s="11" t="str">
        <f>_xlfn.CONCAT(+VLOOKUP(VALUE(MID(A57,13,2)),'Tabla de codigos'!$A$2:$B$60,2,1)," ",VLOOKUP(VALUE(MID(A57,15,4)),'Tabla de codigos'!$E$2:$F$102,2,1))</f>
        <v>TAZON INCLINADO 8</v>
      </c>
      <c r="D57" s="11" t="s">
        <v>57</v>
      </c>
      <c r="E57" s="11" t="s">
        <v>34</v>
      </c>
      <c r="F57" s="11" t="s">
        <v>58</v>
      </c>
      <c r="G57" s="11" t="s">
        <v>59</v>
      </c>
      <c r="H57" s="11">
        <v>36</v>
      </c>
      <c r="I57" s="15">
        <v>29</v>
      </c>
      <c r="J57" s="15">
        <f t="shared" si="0"/>
        <v>7</v>
      </c>
    </row>
    <row r="58" spans="1:12" x14ac:dyDescent="0.2">
      <c r="A58" s="11" t="s">
        <v>93</v>
      </c>
      <c r="B58" s="11" t="str">
        <f t="shared" si="1"/>
        <v>400012</v>
      </c>
      <c r="C58" s="11" t="str">
        <f>_xlfn.CONCAT(+VLOOKUP(VALUE(MID(A58,13,2)),'Tabla de codigos'!$A$2:$B$60,2,1)," ",VLOOKUP(VALUE(MID(A58,15,4)),'Tabla de codigos'!$E$2:$F$102,2,1))</f>
        <v>TAZON INCLINADO 8</v>
      </c>
      <c r="D58" s="11" t="s">
        <v>57</v>
      </c>
      <c r="E58" s="11" t="s">
        <v>34</v>
      </c>
      <c r="F58" s="11" t="s">
        <v>58</v>
      </c>
      <c r="G58" s="11" t="s">
        <v>59</v>
      </c>
      <c r="H58" s="11">
        <v>72</v>
      </c>
      <c r="I58" s="15">
        <v>29</v>
      </c>
      <c r="J58" s="15">
        <f t="shared" si="0"/>
        <v>43</v>
      </c>
    </row>
    <row r="59" spans="1:12" x14ac:dyDescent="0.2">
      <c r="A59" s="11" t="s">
        <v>94</v>
      </c>
      <c r="B59" s="11" t="str">
        <f t="shared" si="1"/>
        <v>400012</v>
      </c>
      <c r="C59" s="11" t="str">
        <f>_xlfn.CONCAT(+VLOOKUP(VALUE(MID(A59,13,2)),'Tabla de codigos'!$A$2:$B$60,2,1)," ",VLOOKUP(VALUE(MID(A59,15,4)),'Tabla de codigos'!$E$2:$F$102,2,1))</f>
        <v>TAZON INCLINADO 8</v>
      </c>
      <c r="D59" s="11" t="s">
        <v>57</v>
      </c>
      <c r="E59" s="11" t="s">
        <v>34</v>
      </c>
      <c r="F59" s="11" t="s">
        <v>58</v>
      </c>
      <c r="G59" s="11" t="s">
        <v>59</v>
      </c>
      <c r="H59" s="11">
        <v>108</v>
      </c>
      <c r="I59" s="15">
        <v>0</v>
      </c>
      <c r="J59" s="15">
        <f t="shared" si="0"/>
        <v>108</v>
      </c>
    </row>
    <row r="60" spans="1:12" x14ac:dyDescent="0.2">
      <c r="A60" s="11" t="s">
        <v>95</v>
      </c>
      <c r="B60" s="11" t="str">
        <f t="shared" si="1"/>
        <v>400012</v>
      </c>
      <c r="C60" s="11" t="str">
        <f>_xlfn.CONCAT(+VLOOKUP(VALUE(MID(A60,13,2)),'Tabla de codigos'!$A$2:$B$60,2,1)," ",VLOOKUP(VALUE(MID(A60,15,4)),'Tabla de codigos'!$E$2:$F$102,2,1))</f>
        <v>TAZON INCLINADO 8</v>
      </c>
      <c r="D60" s="11" t="s">
        <v>57</v>
      </c>
      <c r="E60" s="11" t="s">
        <v>34</v>
      </c>
      <c r="F60" s="11" t="s">
        <v>58</v>
      </c>
      <c r="G60" s="11" t="s">
        <v>59</v>
      </c>
      <c r="H60" s="11">
        <v>108</v>
      </c>
      <c r="I60" s="15">
        <v>14</v>
      </c>
      <c r="J60" s="15">
        <f t="shared" si="0"/>
        <v>94</v>
      </c>
    </row>
    <row r="61" spans="1:12" x14ac:dyDescent="0.2">
      <c r="A61" s="11" t="s">
        <v>96</v>
      </c>
      <c r="B61" s="11" t="str">
        <f t="shared" si="1"/>
        <v>400012</v>
      </c>
      <c r="C61" s="11" t="str">
        <f>_xlfn.CONCAT(+VLOOKUP(VALUE(MID(A61,13,2)),'Tabla de codigos'!$A$2:$B$60,2,1)," ",VLOOKUP(VALUE(MID(A61,15,4)),'Tabla de codigos'!$E$2:$F$102,2,1))</f>
        <v>TAZON INCLINADO 8</v>
      </c>
      <c r="D61" s="11" t="s">
        <v>57</v>
      </c>
      <c r="E61" s="11" t="s">
        <v>34</v>
      </c>
      <c r="F61" s="11" t="s">
        <v>58</v>
      </c>
      <c r="G61" s="11" t="s">
        <v>59</v>
      </c>
      <c r="H61" s="11">
        <v>108</v>
      </c>
      <c r="I61" s="15">
        <v>31</v>
      </c>
      <c r="J61" s="15">
        <f t="shared" si="0"/>
        <v>77</v>
      </c>
    </row>
    <row r="62" spans="1:12" x14ac:dyDescent="0.2">
      <c r="A62" s="11" t="s">
        <v>97</v>
      </c>
      <c r="B62" s="11" t="str">
        <f t="shared" si="1"/>
        <v>330012</v>
      </c>
      <c r="C62" s="11" t="str">
        <f>_xlfn.CONCAT(+VLOOKUP(VALUE(MID(A62,13,2)),'Tabla de codigos'!$A$2:$B$60,2,1)," ",VLOOKUP(VALUE(MID(A62,15,4)),'Tabla de codigos'!$E$2:$F$102,2,1))</f>
        <v>POCILLO 8</v>
      </c>
      <c r="D62" s="11" t="s">
        <v>57</v>
      </c>
      <c r="E62" s="11" t="s">
        <v>34</v>
      </c>
      <c r="F62" s="11" t="s">
        <v>58</v>
      </c>
      <c r="G62" s="11" t="s">
        <v>59</v>
      </c>
      <c r="H62" s="11">
        <v>48</v>
      </c>
      <c r="I62" s="15">
        <f>2+24+10</f>
        <v>36</v>
      </c>
      <c r="J62" s="15">
        <f t="shared" si="0"/>
        <v>12</v>
      </c>
    </row>
    <row r="63" spans="1:12" x14ac:dyDescent="0.2">
      <c r="A63" s="11" t="s">
        <v>98</v>
      </c>
      <c r="B63" s="11" t="str">
        <f t="shared" si="1"/>
        <v>400019</v>
      </c>
      <c r="C63" s="11" t="str">
        <f>_xlfn.CONCAT(+VLOOKUP(VALUE(MID(A63,13,2)),'Tabla de codigos'!$A$2:$B$60,2,1)," ",VLOOKUP(VALUE(MID(A63,15,4)),'Tabla de codigos'!$E$2:$F$102,2,1))</f>
        <v>TAZON INCLINADO 17</v>
      </c>
      <c r="D63" s="11" t="s">
        <v>57</v>
      </c>
      <c r="E63" s="11" t="s">
        <v>34</v>
      </c>
      <c r="F63" s="11" t="s">
        <v>58</v>
      </c>
      <c r="G63" s="11" t="s">
        <v>59</v>
      </c>
      <c r="H63" s="11">
        <v>60</v>
      </c>
      <c r="I63" s="15">
        <v>1</v>
      </c>
      <c r="J63" s="15">
        <f t="shared" si="0"/>
        <v>59</v>
      </c>
    </row>
    <row r="64" spans="1:12" x14ac:dyDescent="0.2">
      <c r="A64" s="11" t="s">
        <v>99</v>
      </c>
      <c r="B64" s="11" t="str">
        <f t="shared" si="1"/>
        <v>520030</v>
      </c>
      <c r="C64" s="11" t="str">
        <f>_xlfn.CONCAT(+VLOOKUP(VALUE(MID(A64,13,2)),'Tabla de codigos'!$A$2:$B$60,2,1)," ",VLOOKUP(VALUE(MID(A64,15,4)),'Tabla de codigos'!$E$2:$F$102,2,1))</f>
        <v>PLATO OVAL 32</v>
      </c>
      <c r="D64" s="11" t="s">
        <v>57</v>
      </c>
      <c r="E64" s="11" t="s">
        <v>34</v>
      </c>
      <c r="F64" s="11" t="s">
        <v>58</v>
      </c>
      <c r="G64" s="11" t="s">
        <v>59</v>
      </c>
      <c r="H64" s="11">
        <v>30</v>
      </c>
      <c r="I64" s="15">
        <v>22</v>
      </c>
      <c r="J64" s="15">
        <f t="shared" si="0"/>
        <v>8</v>
      </c>
      <c r="L64" s="24"/>
    </row>
    <row r="65" spans="1:15" x14ac:dyDescent="0.2">
      <c r="A65" s="11" t="s">
        <v>27</v>
      </c>
      <c r="B65" s="11" t="str">
        <f t="shared" si="1"/>
        <v>300017</v>
      </c>
      <c r="C65" s="11" t="str">
        <f>_xlfn.CONCAT(+VLOOKUP(VALUE(MID(A65,13,2)),'Tabla de codigos'!$A$2:$B$60,2,1)," ",VLOOKUP(VALUE(MID(A65,15,4)),'Tabla de codigos'!$E$2:$F$102,2,1))</f>
        <v>PLATO LISO 16</v>
      </c>
      <c r="D65" s="11" t="s">
        <v>57</v>
      </c>
      <c r="E65" s="11" t="s">
        <v>34</v>
      </c>
      <c r="F65" s="11" t="s">
        <v>58</v>
      </c>
      <c r="G65" s="11" t="s">
        <v>59</v>
      </c>
      <c r="H65" s="11">
        <v>24</v>
      </c>
      <c r="I65" s="15">
        <v>0</v>
      </c>
      <c r="J65" s="15">
        <f t="shared" si="0"/>
        <v>24</v>
      </c>
      <c r="L65" s="24"/>
    </row>
    <row r="66" spans="1:15" x14ac:dyDescent="0.2">
      <c r="A66" s="11" t="s">
        <v>100</v>
      </c>
      <c r="B66" s="11" t="str">
        <f t="shared" si="1"/>
        <v>300030</v>
      </c>
      <c r="C66" s="11" t="str">
        <f>_xlfn.CONCAT(+VLOOKUP(VALUE(MID(A66,13,2)),'Tabla de codigos'!$A$2:$B$60,2,1)," ",VLOOKUP(VALUE(MID(A66,15,4)),'Tabla de codigos'!$E$2:$F$102,2,1))</f>
        <v>PLATO LISO 32</v>
      </c>
      <c r="D66" s="11" t="s">
        <v>57</v>
      </c>
      <c r="E66" s="11" t="s">
        <v>34</v>
      </c>
      <c r="F66" s="11" t="s">
        <v>58</v>
      </c>
      <c r="G66" s="11" t="s">
        <v>59</v>
      </c>
      <c r="H66" s="11">
        <v>30</v>
      </c>
      <c r="I66" s="15">
        <v>0</v>
      </c>
      <c r="J66" s="15">
        <f t="shared" ref="J66:J129" si="2">+H66-I66</f>
        <v>30</v>
      </c>
      <c r="L66" s="24"/>
    </row>
    <row r="67" spans="1:15" x14ac:dyDescent="0.2">
      <c r="A67" s="11" t="s">
        <v>101</v>
      </c>
      <c r="B67" s="11" t="str">
        <f t="shared" ref="B67:B130" si="3">+MID(A67,13,6)</f>
        <v>330010</v>
      </c>
      <c r="C67" s="11" t="str">
        <f>_xlfn.CONCAT(+VLOOKUP(VALUE(MID(A67,13,2)),'Tabla de codigos'!$A$2:$B$60,2,1)," ",VLOOKUP(VALUE(MID(A67,15,4)),'Tabla de codigos'!$E$2:$F$102,2,1))</f>
        <v>POCILLO 6</v>
      </c>
      <c r="D67" s="11" t="s">
        <v>57</v>
      </c>
      <c r="E67" s="11" t="s">
        <v>34</v>
      </c>
      <c r="F67" s="11" t="s">
        <v>58</v>
      </c>
      <c r="G67" s="11" t="s">
        <v>59</v>
      </c>
      <c r="H67" s="11">
        <v>96</v>
      </c>
      <c r="I67" s="15">
        <v>8</v>
      </c>
      <c r="J67" s="15">
        <f t="shared" si="2"/>
        <v>88</v>
      </c>
      <c r="K67" s="17">
        <f>(SUM(I24:I67))/(SUM(H24:H67))</f>
        <v>0.47351694915254239</v>
      </c>
    </row>
    <row r="68" spans="1:15" x14ac:dyDescent="0.2">
      <c r="A68" s="11" t="s">
        <v>102</v>
      </c>
      <c r="B68" s="11" t="str">
        <f t="shared" si="3"/>
        <v>030009</v>
      </c>
      <c r="C68" s="11" t="str">
        <f>_xlfn.CONCAT(+VLOOKUP(VALUE(MID(A68,13,2)),'Tabla de codigos'!$A$2:$B$60,2,1)," ",VLOOKUP(VALUE(MID(A68,15,4)),'Tabla de codigos'!$E$2:$F$102,2,1))</f>
        <v>BAÑO 5</v>
      </c>
      <c r="D68" s="11" t="s">
        <v>57</v>
      </c>
      <c r="E68" s="11" t="s">
        <v>34</v>
      </c>
      <c r="F68" s="11" t="s">
        <v>103</v>
      </c>
      <c r="G68" s="11" t="s">
        <v>104</v>
      </c>
      <c r="H68" s="11">
        <v>5</v>
      </c>
      <c r="I68" s="11">
        <v>0</v>
      </c>
      <c r="J68" s="15">
        <f t="shared" si="2"/>
        <v>5</v>
      </c>
    </row>
    <row r="69" spans="1:15" x14ac:dyDescent="0.2">
      <c r="A69" s="11" t="s">
        <v>105</v>
      </c>
      <c r="B69" s="11" t="str">
        <f t="shared" si="3"/>
        <v>110009</v>
      </c>
      <c r="C69" s="11" t="str">
        <f>_xlfn.CONCAT(+VLOOKUP(VALUE(MID(A69,13,2)),'Tabla de codigos'!$A$2:$B$60,2,1)," ",VLOOKUP(VALUE(MID(A69,15,4)),'Tabla de codigos'!$E$2:$F$102,2,1))</f>
        <v>CUBETA 5</v>
      </c>
      <c r="D69" s="11" t="s">
        <v>57</v>
      </c>
      <c r="E69" s="11" t="s">
        <v>34</v>
      </c>
      <c r="F69" s="11" t="s">
        <v>103</v>
      </c>
      <c r="G69" s="11" t="s">
        <v>104</v>
      </c>
      <c r="H69" s="11">
        <v>50</v>
      </c>
      <c r="I69" s="11">
        <v>0</v>
      </c>
      <c r="J69" s="15">
        <f t="shared" si="2"/>
        <v>50</v>
      </c>
    </row>
    <row r="70" spans="1:15" s="27" customFormat="1" x14ac:dyDescent="0.2">
      <c r="A70" s="11" t="s">
        <v>106</v>
      </c>
      <c r="B70" s="11" t="str">
        <f t="shared" si="3"/>
        <v>110012</v>
      </c>
      <c r="C70" s="11" t="str">
        <f>_xlfn.CONCAT(+VLOOKUP(VALUE(MID(A70,13,2)),'Tabla de codigos'!$A$2:$B$60,2,1)," ",VLOOKUP(VALUE(MID(A70,15,4)),'Tabla de codigos'!$E$2:$F$102,2,1))</f>
        <v>CUBETA 8</v>
      </c>
      <c r="D70" s="11" t="s">
        <v>57</v>
      </c>
      <c r="E70" s="11" t="s">
        <v>34</v>
      </c>
      <c r="F70" s="11" t="s">
        <v>103</v>
      </c>
      <c r="G70" s="11" t="s">
        <v>104</v>
      </c>
      <c r="H70" s="11">
        <v>20</v>
      </c>
      <c r="I70" s="11">
        <v>20</v>
      </c>
      <c r="J70" s="15">
        <f t="shared" si="2"/>
        <v>0</v>
      </c>
      <c r="K70" s="17">
        <f>(SUM(I68:I70))/(SUM(H68:H70))</f>
        <v>0.26666666666666666</v>
      </c>
      <c r="L70" s="18"/>
      <c r="M70" s="19"/>
      <c r="N70" s="19"/>
      <c r="O70" s="20"/>
    </row>
    <row r="71" spans="1:15" s="27" customFormat="1" x14ac:dyDescent="0.2">
      <c r="A71" s="11" t="s">
        <v>19</v>
      </c>
      <c r="B71" s="11" t="str">
        <f t="shared" si="3"/>
        <v>010025</v>
      </c>
      <c r="C71" s="11" t="str">
        <f>_xlfn.CONCAT(+VLOOKUP(VALUE(MID(A71,13,2)),'Tabla de codigos'!$A$2:$B$60,2,1)," ",VLOOKUP(VALUE(MID(A71,15,4)),'Tabla de codigos'!$E$2:$F$102,2,1))</f>
        <v>BACINICA 24</v>
      </c>
      <c r="D71" s="11" t="s">
        <v>107</v>
      </c>
      <c r="E71" s="12" t="s">
        <v>11</v>
      </c>
      <c r="F71" s="12" t="s">
        <v>108</v>
      </c>
      <c r="G71" s="12" t="s">
        <v>109</v>
      </c>
      <c r="H71" s="15">
        <v>24</v>
      </c>
      <c r="I71" s="15">
        <v>0</v>
      </c>
      <c r="J71" s="16">
        <f t="shared" si="2"/>
        <v>24</v>
      </c>
      <c r="K71" s="24"/>
      <c r="L71" s="18"/>
      <c r="M71" s="19"/>
      <c r="N71" s="19"/>
      <c r="O71" s="21">
        <f>(H71)/(IF(A71="","-",VLOOKUP(A71,'[1]CATALOGO PZXCAJA'!$A$2:$C$5000,2,0)))</f>
        <v>2</v>
      </c>
    </row>
    <row r="72" spans="1:15" s="27" customFormat="1" x14ac:dyDescent="0.2">
      <c r="A72" s="11" t="s">
        <v>110</v>
      </c>
      <c r="B72" s="11" t="str">
        <f t="shared" si="3"/>
        <v>110008</v>
      </c>
      <c r="C72" s="11" t="str">
        <f>_xlfn.CONCAT(+VLOOKUP(VALUE(MID(A72,13,2)),'Tabla de codigos'!$A$2:$B$60,2,1)," ",VLOOKUP(VALUE(MID(A72,15,4)),'Tabla de codigos'!$E$2:$F$102,2,1))</f>
        <v>CUBETA 4</v>
      </c>
      <c r="D72" s="11" t="s">
        <v>107</v>
      </c>
      <c r="E72" s="12" t="s">
        <v>11</v>
      </c>
      <c r="F72" s="12" t="s">
        <v>108</v>
      </c>
      <c r="G72" s="12" t="s">
        <v>109</v>
      </c>
      <c r="H72" s="15">
        <v>36</v>
      </c>
      <c r="I72" s="15">
        <v>14</v>
      </c>
      <c r="J72" s="16">
        <f t="shared" si="2"/>
        <v>22</v>
      </c>
      <c r="K72" s="24"/>
      <c r="L72" s="18"/>
      <c r="M72" s="19"/>
      <c r="N72" s="19"/>
      <c r="O72" s="21">
        <f>(H72)/(IF(A72="","-",VLOOKUP(A72,'[1]CATALOGO PZXCAJA'!$A$2:$C$5000,2,0)))</f>
        <v>3</v>
      </c>
    </row>
    <row r="73" spans="1:15" s="27" customFormat="1" x14ac:dyDescent="0.2">
      <c r="A73" s="11" t="s">
        <v>51</v>
      </c>
      <c r="B73" s="11" t="str">
        <f t="shared" si="3"/>
        <v>110009</v>
      </c>
      <c r="C73" s="11" t="str">
        <f>_xlfn.CONCAT(+VLOOKUP(VALUE(MID(A73,13,2)),'Tabla de codigos'!$A$2:$B$60,2,1)," ",VLOOKUP(VALUE(MID(A73,15,4)),'Tabla de codigos'!$E$2:$F$102,2,1))</f>
        <v>CUBETA 5</v>
      </c>
      <c r="D73" s="11" t="s">
        <v>107</v>
      </c>
      <c r="E73" s="12" t="s">
        <v>11</v>
      </c>
      <c r="F73" s="12" t="s">
        <v>108</v>
      </c>
      <c r="G73" s="12" t="s">
        <v>109</v>
      </c>
      <c r="H73" s="15">
        <v>36</v>
      </c>
      <c r="I73" s="15">
        <v>1</v>
      </c>
      <c r="J73" s="16">
        <f t="shared" si="2"/>
        <v>35</v>
      </c>
      <c r="K73" s="24"/>
      <c r="L73" s="18"/>
      <c r="M73" s="19"/>
      <c r="N73" s="19"/>
      <c r="O73" s="21">
        <f>(H73)/(IF(A73="","-",VLOOKUP(A73,'[1]CATALOGO PZXCAJA'!$A$2:$C$5000,2,0)))</f>
        <v>3</v>
      </c>
    </row>
    <row r="74" spans="1:15" s="27" customFormat="1" x14ac:dyDescent="0.2">
      <c r="A74" s="11" t="s">
        <v>111</v>
      </c>
      <c r="B74" s="11" t="str">
        <f t="shared" si="3"/>
        <v>110010</v>
      </c>
      <c r="C74" s="11" t="str">
        <f>_xlfn.CONCAT(+VLOOKUP(VALUE(MID(A74,13,2)),'Tabla de codigos'!$A$2:$B$60,2,1)," ",VLOOKUP(VALUE(MID(A74,15,4)),'Tabla de codigos'!$E$2:$F$102,2,1))</f>
        <v>CUBETA 6</v>
      </c>
      <c r="D74" s="11" t="s">
        <v>107</v>
      </c>
      <c r="E74" s="12" t="s">
        <v>11</v>
      </c>
      <c r="F74" s="12" t="s">
        <v>108</v>
      </c>
      <c r="G74" s="12" t="s">
        <v>109</v>
      </c>
      <c r="H74" s="15">
        <v>36</v>
      </c>
      <c r="I74" s="15">
        <v>2</v>
      </c>
      <c r="J74" s="16">
        <f t="shared" si="2"/>
        <v>34</v>
      </c>
      <c r="K74" s="24"/>
      <c r="L74" s="18"/>
      <c r="M74" s="19"/>
      <c r="N74" s="19"/>
      <c r="O74" s="21">
        <f>(H74)/(IF(A74="","-",VLOOKUP(A74,'[1]CATALOGO PZXCAJA'!$A$2:$C$5000,2,0)))</f>
        <v>3</v>
      </c>
    </row>
    <row r="75" spans="1:15" s="27" customFormat="1" x14ac:dyDescent="0.2">
      <c r="A75" s="11" t="s">
        <v>40</v>
      </c>
      <c r="B75" s="11" t="str">
        <f t="shared" si="3"/>
        <v>110012</v>
      </c>
      <c r="C75" s="11" t="str">
        <f>_xlfn.CONCAT(+VLOOKUP(VALUE(MID(A75,13,2)),'Tabla de codigos'!$A$2:$B$60,2,1)," ",VLOOKUP(VALUE(MID(A75,15,4)),'Tabla de codigos'!$E$2:$F$102,2,1))</f>
        <v>CUBETA 8</v>
      </c>
      <c r="D75" s="11" t="s">
        <v>107</v>
      </c>
      <c r="E75" s="12" t="s">
        <v>11</v>
      </c>
      <c r="F75" s="12" t="s">
        <v>108</v>
      </c>
      <c r="G75" s="12" t="s">
        <v>109</v>
      </c>
      <c r="H75" s="15">
        <v>36</v>
      </c>
      <c r="I75" s="15">
        <v>4</v>
      </c>
      <c r="J75" s="16">
        <f t="shared" si="2"/>
        <v>32</v>
      </c>
      <c r="K75" s="24"/>
      <c r="L75" s="18"/>
      <c r="M75" s="19"/>
      <c r="N75" s="19"/>
      <c r="O75" s="21">
        <f>(H75)/(IF(A75="","-",VLOOKUP(A75,'[1]CATALOGO PZXCAJA'!$A$2:$C$5000,2,0)))</f>
        <v>3</v>
      </c>
    </row>
    <row r="76" spans="1:15" s="27" customFormat="1" x14ac:dyDescent="0.2">
      <c r="A76" s="11" t="s">
        <v>14</v>
      </c>
      <c r="B76" s="11" t="str">
        <f t="shared" si="3"/>
        <v>110013</v>
      </c>
      <c r="C76" s="11" t="str">
        <f>_xlfn.CONCAT(+VLOOKUP(VALUE(MID(A76,13,2)),'Tabla de codigos'!$A$2:$B$60,2,1)," ",VLOOKUP(VALUE(MID(A76,15,4)),'Tabla de codigos'!$E$2:$F$102,2,1))</f>
        <v>CUBETA 10</v>
      </c>
      <c r="D76" s="11" t="s">
        <v>107</v>
      </c>
      <c r="E76" s="12" t="s">
        <v>11</v>
      </c>
      <c r="F76" s="12" t="s">
        <v>108</v>
      </c>
      <c r="G76" s="12" t="s">
        <v>109</v>
      </c>
      <c r="H76" s="15">
        <v>12</v>
      </c>
      <c r="I76" s="15">
        <v>0</v>
      </c>
      <c r="J76" s="16">
        <f t="shared" si="2"/>
        <v>12</v>
      </c>
      <c r="K76" s="24"/>
      <c r="L76" s="18"/>
      <c r="M76" s="19"/>
      <c r="N76" s="19"/>
      <c r="O76" s="21">
        <f>(H76)/(IF(A76="","-",VLOOKUP(A76,'[1]CATALOGO PZXCAJA'!$A$2:$C$5000,2,0)))</f>
        <v>1</v>
      </c>
    </row>
    <row r="77" spans="1:15" s="27" customFormat="1" x14ac:dyDescent="0.2">
      <c r="A77" s="11" t="s">
        <v>41</v>
      </c>
      <c r="B77" s="11" t="str">
        <f t="shared" si="3"/>
        <v>110014</v>
      </c>
      <c r="C77" s="11" t="str">
        <f>_xlfn.CONCAT(+VLOOKUP(VALUE(MID(A77,13,2)),'Tabla de codigos'!$A$2:$B$60,2,1)," ",VLOOKUP(VALUE(MID(A77,15,4)),'Tabla de codigos'!$E$2:$F$102,2,1))</f>
        <v>CUBETA 12</v>
      </c>
      <c r="D77" s="11" t="s">
        <v>107</v>
      </c>
      <c r="E77" s="12" t="s">
        <v>11</v>
      </c>
      <c r="F77" s="12" t="s">
        <v>108</v>
      </c>
      <c r="G77" s="12" t="s">
        <v>109</v>
      </c>
      <c r="H77" s="15">
        <v>12</v>
      </c>
      <c r="I77" s="15">
        <v>10</v>
      </c>
      <c r="J77" s="16">
        <f t="shared" si="2"/>
        <v>2</v>
      </c>
      <c r="K77" s="17">
        <f>(SUM(I71:I77))/(SUM(H71:H77))</f>
        <v>0.16145833333333334</v>
      </c>
      <c r="L77" s="18"/>
      <c r="M77" s="19"/>
      <c r="N77" s="19"/>
      <c r="O77" s="21">
        <f>(H77)/(IF(A77="","-",VLOOKUP(A77,'[1]CATALOGO PZXCAJA'!$A$2:$C$5000,2,0)))</f>
        <v>1</v>
      </c>
    </row>
    <row r="78" spans="1:15" x14ac:dyDescent="0.2">
      <c r="A78" s="11" t="s">
        <v>112</v>
      </c>
      <c r="B78" s="11" t="str">
        <f t="shared" si="3"/>
        <v>250024</v>
      </c>
      <c r="C78" s="11" t="str">
        <f>_xlfn.CONCAT(+VLOOKUP(VALUE(MID(A78,13,2)),'Tabla de codigos'!$A$2:$B$60,2,1)," ",VLOOKUP(VALUE(MID(A78,15,4)),'Tabla de codigos'!$E$2:$F$102,2,1))</f>
        <v>OLLA RECTA 22</v>
      </c>
      <c r="D78" s="12" t="s">
        <v>113</v>
      </c>
      <c r="E78" s="12" t="s">
        <v>114</v>
      </c>
      <c r="F78" s="12" t="s">
        <v>115</v>
      </c>
      <c r="G78" s="12" t="s">
        <v>18</v>
      </c>
      <c r="H78" s="12">
        <v>7120</v>
      </c>
      <c r="I78" s="15">
        <f>8+271+480+480+96+92+248+1+148+2</f>
        <v>1826</v>
      </c>
      <c r="J78" s="16">
        <f t="shared" si="2"/>
        <v>5294</v>
      </c>
      <c r="L78" s="18">
        <v>45874</v>
      </c>
      <c r="O78" s="21">
        <f>(H78)/(IF(A78="","-",VLOOKUP(A78,'[1]CATALOGO PZXCAJA'!$A$2:$C$5000,2,0)))</f>
        <v>3560</v>
      </c>
    </row>
    <row r="79" spans="1:15" x14ac:dyDescent="0.2">
      <c r="A79" s="11" t="s">
        <v>116</v>
      </c>
      <c r="B79" s="11" t="str">
        <f t="shared" si="3"/>
        <v>250028</v>
      </c>
      <c r="C79" s="11" t="str">
        <f>_xlfn.CONCAT(+VLOOKUP(VALUE(MID(A79,13,2)),'Tabla de codigos'!$A$2:$B$60,2,1)," ",VLOOKUP(VALUE(MID(A79,15,4)),'Tabla de codigos'!$E$2:$F$102,2,1))</f>
        <v>OLLA RECTA 28</v>
      </c>
      <c r="D79" s="12" t="s">
        <v>113</v>
      </c>
      <c r="E79" s="12" t="s">
        <v>114</v>
      </c>
      <c r="F79" s="12" t="s">
        <v>115</v>
      </c>
      <c r="G79" s="12" t="s">
        <v>18</v>
      </c>
      <c r="H79" s="12">
        <v>250</v>
      </c>
      <c r="I79" s="15">
        <v>0</v>
      </c>
      <c r="J79" s="16">
        <f t="shared" si="2"/>
        <v>250</v>
      </c>
      <c r="L79" s="18">
        <v>45874</v>
      </c>
      <c r="O79" s="21">
        <f>(H79)/(IF(A79="","-",VLOOKUP(A79,'[1]CATALOGO PZXCAJA'!$A$2:$C$5000,2,0)))</f>
        <v>125</v>
      </c>
    </row>
    <row r="80" spans="1:15" x14ac:dyDescent="0.2">
      <c r="A80" s="11" t="s">
        <v>117</v>
      </c>
      <c r="B80" s="11" t="str">
        <f t="shared" si="3"/>
        <v>330014</v>
      </c>
      <c r="C80" s="11" t="str">
        <f>_xlfn.CONCAT(+VLOOKUP(VALUE(MID(A80,13,2)),'Tabla de codigos'!$A$2:$B$60,2,1)," ",VLOOKUP(VALUE(MID(A80,15,4)),'Tabla de codigos'!$E$2:$F$102,2,1))</f>
        <v>POCILLO 12</v>
      </c>
      <c r="D80" s="12" t="s">
        <v>113</v>
      </c>
      <c r="E80" s="12" t="s">
        <v>114</v>
      </c>
      <c r="F80" s="12" t="s">
        <v>115</v>
      </c>
      <c r="G80" s="12" t="s">
        <v>18</v>
      </c>
      <c r="H80" s="12">
        <v>1734</v>
      </c>
      <c r="I80" s="15">
        <v>0</v>
      </c>
      <c r="J80" s="16">
        <f t="shared" si="2"/>
        <v>1734</v>
      </c>
      <c r="L80" s="18">
        <v>45874</v>
      </c>
      <c r="O80" s="21">
        <f>(H80)/(IF(A80="","-",VLOOKUP(A80,'[1]CATALOGO PZXCAJA'!$A$2:$C$5000,2,0)))</f>
        <v>289</v>
      </c>
    </row>
    <row r="81" spans="1:15" x14ac:dyDescent="0.2">
      <c r="A81" s="11" t="s">
        <v>118</v>
      </c>
      <c r="B81" s="11" t="str">
        <f t="shared" si="3"/>
        <v>440029</v>
      </c>
      <c r="C81" s="11" t="str">
        <f>_xlfn.CONCAT(+VLOOKUP(VALUE(MID(A81,13,2)),'Tabla de codigos'!$A$2:$B$60,2,1)," ",VLOOKUP(VALUE(MID(A81,15,4)),'Tabla de codigos'!$E$2:$F$102,2,1))</f>
        <v>VAPORERA 30</v>
      </c>
      <c r="D81" s="12" t="s">
        <v>113</v>
      </c>
      <c r="E81" s="12" t="s">
        <v>114</v>
      </c>
      <c r="F81" s="12" t="s">
        <v>115</v>
      </c>
      <c r="G81" s="12" t="s">
        <v>18</v>
      </c>
      <c r="H81" s="12">
        <v>610</v>
      </c>
      <c r="I81" s="15">
        <f>66+62+4+1</f>
        <v>133</v>
      </c>
      <c r="J81" s="16">
        <f t="shared" si="2"/>
        <v>477</v>
      </c>
      <c r="L81" s="18">
        <v>45874</v>
      </c>
      <c r="O81" s="21">
        <f>(H81)/(IF(A81="","-",VLOOKUP(A81,'[1]CATALOGO PZXCAJA'!$A$2:$C$5000,2,0)))</f>
        <v>305</v>
      </c>
    </row>
    <row r="82" spans="1:15" x14ac:dyDescent="0.2">
      <c r="A82" s="11" t="s">
        <v>119</v>
      </c>
      <c r="B82" s="11" t="str">
        <f t="shared" si="3"/>
        <v>250022</v>
      </c>
      <c r="C82" s="11" t="str">
        <f>_xlfn.CONCAT(+VLOOKUP(VALUE(MID(A82,13,2)),'Tabla de codigos'!$A$2:$B$60,2,1)," ",VLOOKUP(VALUE(MID(A82,15,4)),'Tabla de codigos'!$E$2:$F$102,2,1))</f>
        <v>OLLA RECTA 20</v>
      </c>
      <c r="D82" s="12" t="s">
        <v>113</v>
      </c>
      <c r="E82" s="12" t="s">
        <v>114</v>
      </c>
      <c r="F82" s="12" t="s">
        <v>115</v>
      </c>
      <c r="G82" s="12" t="s">
        <v>18</v>
      </c>
      <c r="H82" s="12">
        <v>750</v>
      </c>
      <c r="I82" s="15">
        <v>66</v>
      </c>
      <c r="J82" s="16">
        <f t="shared" si="2"/>
        <v>684</v>
      </c>
      <c r="L82" s="18">
        <v>45874</v>
      </c>
      <c r="O82" s="21">
        <f>(H82)/(IF(A82="","-",VLOOKUP(A82,'[1]CATALOGO PZXCAJA'!$A$2:$C$5000,2,0)))</f>
        <v>375</v>
      </c>
    </row>
    <row r="83" spans="1:15" x14ac:dyDescent="0.2">
      <c r="A83" s="11" t="s">
        <v>120</v>
      </c>
      <c r="B83" s="11" t="str">
        <f t="shared" si="3"/>
        <v>060025</v>
      </c>
      <c r="C83" s="11" t="str">
        <f>_xlfn.CONCAT(+VLOOKUP(VALUE(MID(A83,13,2)),'Tabla de codigos'!$A$2:$B$60,2,1)," ",VLOOKUP(VALUE(MID(A83,15,4)),'Tabla de codigos'!$E$2:$F$102,2,1))</f>
        <v>BUDINERA   24</v>
      </c>
      <c r="D83" s="12" t="s">
        <v>113</v>
      </c>
      <c r="E83" s="12" t="s">
        <v>114</v>
      </c>
      <c r="F83" s="12" t="s">
        <v>115</v>
      </c>
      <c r="G83" s="12" t="s">
        <v>18</v>
      </c>
      <c r="H83" s="12">
        <v>480</v>
      </c>
      <c r="I83" s="15">
        <f>22</f>
        <v>22</v>
      </c>
      <c r="J83" s="16">
        <f t="shared" si="2"/>
        <v>458</v>
      </c>
      <c r="K83" s="17">
        <f>(SUM(I78:I83))/(SUM(H78:H83))</f>
        <v>0.18704312865497075</v>
      </c>
      <c r="L83" s="18">
        <v>45874</v>
      </c>
      <c r="O83" s="21" t="e">
        <f>(H83)/(IF(A83="","-",VLOOKUP(A83,'[1]CATALOGO PZXCAJA'!$A$2:$C$5000,2,0)))</f>
        <v>#N/A</v>
      </c>
    </row>
    <row r="84" spans="1:15" x14ac:dyDescent="0.2">
      <c r="A84" s="11" t="s">
        <v>121</v>
      </c>
      <c r="B84" s="11" t="str">
        <f t="shared" si="3"/>
        <v>290027</v>
      </c>
      <c r="C84" s="11" t="str">
        <f>_xlfn.CONCAT(+VLOOKUP(VALUE(MID(A84,13,2)),'Tabla de codigos'!$A$2:$B$60,2,1)," ",VLOOKUP(VALUE(MID(A84,15,4)),'Tabla de codigos'!$E$2:$F$102,2,1))</f>
        <v>PLATO HONDO 27</v>
      </c>
      <c r="D84" s="12" t="s">
        <v>122</v>
      </c>
      <c r="E84" s="12" t="s">
        <v>11</v>
      </c>
      <c r="F84" s="12" t="s">
        <v>123</v>
      </c>
      <c r="G84" s="12" t="s">
        <v>26</v>
      </c>
      <c r="H84" s="12">
        <v>24</v>
      </c>
      <c r="I84" s="15">
        <f>12+12</f>
        <v>24</v>
      </c>
      <c r="J84" s="16">
        <f t="shared" si="2"/>
        <v>0</v>
      </c>
      <c r="O84" s="21">
        <f>(H84)/(IF(A84="","-",VLOOKUP(A84,'[1]CATALOGO PZXCAJA'!$A$2:$C$5000,2,0)))</f>
        <v>4</v>
      </c>
    </row>
    <row r="85" spans="1:15" x14ac:dyDescent="0.2">
      <c r="A85" s="11" t="s">
        <v>124</v>
      </c>
      <c r="B85" s="11" t="str">
        <f t="shared" si="3"/>
        <v>330009</v>
      </c>
      <c r="C85" s="11" t="str">
        <f>_xlfn.CONCAT(+VLOOKUP(VALUE(MID(A85,13,2)),'Tabla de codigos'!$A$2:$B$60,2,1)," ",VLOOKUP(VALUE(MID(A85,15,4)),'Tabla de codigos'!$E$2:$F$102,2,1))</f>
        <v>POCILLO 5</v>
      </c>
      <c r="D85" s="12" t="s">
        <v>122</v>
      </c>
      <c r="E85" s="12" t="s">
        <v>11</v>
      </c>
      <c r="F85" s="12" t="s">
        <v>123</v>
      </c>
      <c r="G85" s="12" t="s">
        <v>26</v>
      </c>
      <c r="H85" s="12">
        <v>96</v>
      </c>
      <c r="I85" s="15">
        <v>0</v>
      </c>
      <c r="J85" s="16">
        <f t="shared" si="2"/>
        <v>96</v>
      </c>
      <c r="K85" s="17">
        <f>(SUM(I84:I85))/(SUM(H84:H85))</f>
        <v>0.2</v>
      </c>
      <c r="O85" s="21">
        <f>(H85)/(IF(A85="","-",VLOOKUP(A85,'[1]CATALOGO PZXCAJA'!$A$2:$C$5000,2,0)))</f>
        <v>4</v>
      </c>
    </row>
    <row r="86" spans="1:15" x14ac:dyDescent="0.2">
      <c r="A86" s="11" t="s">
        <v>125</v>
      </c>
      <c r="B86" s="11" t="str">
        <f t="shared" si="3"/>
        <v>330015</v>
      </c>
      <c r="C86" s="11" t="str">
        <f>_xlfn.CONCAT(+VLOOKUP(VALUE(MID(A86,13,2)),'Tabla de codigos'!$A$2:$B$60,2,1)," ",VLOOKUP(VALUE(MID(A86,15,4)),'Tabla de codigos'!$E$2:$F$102,2,1))</f>
        <v>POCILLO 14</v>
      </c>
      <c r="D86" s="12" t="s">
        <v>126</v>
      </c>
      <c r="E86" s="12" t="s">
        <v>11</v>
      </c>
      <c r="F86" s="12" t="s">
        <v>127</v>
      </c>
      <c r="G86" s="12" t="s">
        <v>128</v>
      </c>
      <c r="H86" s="12">
        <v>18</v>
      </c>
      <c r="I86" s="15">
        <f>1+17</f>
        <v>18</v>
      </c>
      <c r="J86" s="16">
        <f t="shared" si="2"/>
        <v>0</v>
      </c>
      <c r="O86" s="21">
        <f>(H86)/(IF(A86="","-",VLOOKUP(A86,'[1]CATALOGO PZXCAJA'!$A$2:$C$5000,2,0)))</f>
        <v>3</v>
      </c>
    </row>
    <row r="87" spans="1:15" x14ac:dyDescent="0.2">
      <c r="A87" s="11" t="s">
        <v>129</v>
      </c>
      <c r="B87" s="11" t="str">
        <f t="shared" si="3"/>
        <v>330015</v>
      </c>
      <c r="C87" s="11" t="str">
        <f>_xlfn.CONCAT(+VLOOKUP(VALUE(MID(A87,13,2)),'Tabla de codigos'!$A$2:$B$60,2,1)," ",VLOOKUP(VALUE(MID(A87,15,4)),'Tabla de codigos'!$E$2:$F$102,2,1))</f>
        <v>POCILLO 14</v>
      </c>
      <c r="D87" s="12" t="s">
        <v>126</v>
      </c>
      <c r="E87" s="12" t="s">
        <v>11</v>
      </c>
      <c r="F87" s="12" t="s">
        <v>127</v>
      </c>
      <c r="G87" s="12" t="s">
        <v>128</v>
      </c>
      <c r="H87" s="12">
        <v>18</v>
      </c>
      <c r="I87" s="15">
        <v>4</v>
      </c>
      <c r="J87" s="16">
        <f t="shared" si="2"/>
        <v>14</v>
      </c>
      <c r="O87" s="21">
        <f>(H87)/(IF(A87="","-",VLOOKUP(A87,'[1]CATALOGO PZXCAJA'!$A$2:$C$5000,2,0)))</f>
        <v>3</v>
      </c>
    </row>
    <row r="88" spans="1:15" x14ac:dyDescent="0.2">
      <c r="A88" s="11" t="s">
        <v>130</v>
      </c>
      <c r="B88" s="11" t="str">
        <f t="shared" si="3"/>
        <v>330015</v>
      </c>
      <c r="C88" s="11" t="str">
        <f>_xlfn.CONCAT(+VLOOKUP(VALUE(MID(A88,13,2)),'Tabla de codigos'!$A$2:$B$60,2,1)," ",VLOOKUP(VALUE(MID(A88,15,4)),'Tabla de codigos'!$E$2:$F$102,2,1))</f>
        <v>POCILLO 14</v>
      </c>
      <c r="D88" s="12" t="s">
        <v>126</v>
      </c>
      <c r="E88" s="12" t="s">
        <v>11</v>
      </c>
      <c r="F88" s="12" t="s">
        <v>127</v>
      </c>
      <c r="G88" s="12" t="s">
        <v>128</v>
      </c>
      <c r="H88" s="12">
        <v>18</v>
      </c>
      <c r="I88" s="15">
        <v>18</v>
      </c>
      <c r="J88" s="16">
        <f t="shared" si="2"/>
        <v>0</v>
      </c>
      <c r="O88" s="21">
        <f>(H88)/(IF(A88="","-",VLOOKUP(A88,'[1]CATALOGO PZXCAJA'!$A$2:$C$5000,2,0)))</f>
        <v>3</v>
      </c>
    </row>
    <row r="89" spans="1:15" x14ac:dyDescent="0.2">
      <c r="A89" s="11" t="s">
        <v>80</v>
      </c>
      <c r="B89" s="11" t="str">
        <f t="shared" si="3"/>
        <v>390016</v>
      </c>
      <c r="C89" s="11" t="str">
        <f>_xlfn.CONCAT(+VLOOKUP(VALUE(MID(A89,13,2)),'Tabla de codigos'!$A$2:$B$60,2,1)," ",VLOOKUP(VALUE(MID(A89,15,4)),'Tabla de codigos'!$E$2:$F$102,2,1))</f>
        <v>TAZON  15.5</v>
      </c>
      <c r="D89" s="12" t="s">
        <v>126</v>
      </c>
      <c r="E89" s="12" t="s">
        <v>11</v>
      </c>
      <c r="F89" s="12" t="s">
        <v>127</v>
      </c>
      <c r="G89" s="12" t="s">
        <v>128</v>
      </c>
      <c r="H89" s="12">
        <v>60</v>
      </c>
      <c r="I89" s="15">
        <f>10+12+3+35</f>
        <v>60</v>
      </c>
      <c r="J89" s="16">
        <f t="shared" si="2"/>
        <v>0</v>
      </c>
      <c r="O89" s="21">
        <f>(H89)/(IF(A89="","-",VLOOKUP(A89,'[1]CATALOGO PZXCAJA'!$A$2:$C$5000,2,0)))</f>
        <v>5</v>
      </c>
    </row>
    <row r="90" spans="1:15" x14ac:dyDescent="0.2">
      <c r="A90" s="11" t="s">
        <v>83</v>
      </c>
      <c r="B90" s="11" t="str">
        <f t="shared" si="3"/>
        <v>390016</v>
      </c>
      <c r="C90" s="11" t="str">
        <f>_xlfn.CONCAT(+VLOOKUP(VALUE(MID(A90,13,2)),'Tabla de codigos'!$A$2:$B$60,2,1)," ",VLOOKUP(VALUE(MID(A90,15,4)),'Tabla de codigos'!$E$2:$F$102,2,1))</f>
        <v>TAZON  15.5</v>
      </c>
      <c r="D90" s="12" t="s">
        <v>126</v>
      </c>
      <c r="E90" s="12" t="s">
        <v>11</v>
      </c>
      <c r="F90" s="12" t="s">
        <v>127</v>
      </c>
      <c r="G90" s="12" t="s">
        <v>128</v>
      </c>
      <c r="H90" s="12">
        <v>36</v>
      </c>
      <c r="I90" s="15">
        <v>0</v>
      </c>
      <c r="J90" s="16">
        <f t="shared" si="2"/>
        <v>36</v>
      </c>
      <c r="K90" s="17">
        <f>(SUM(I86:I90))/(SUM(H86:H90))</f>
        <v>0.66666666666666663</v>
      </c>
      <c r="O90" s="21">
        <f>(H90)/(IF(A90="","-",VLOOKUP(A90,'[1]CATALOGO PZXCAJA'!$A$2:$C$5000,2,0)))</f>
        <v>3</v>
      </c>
    </row>
    <row r="91" spans="1:15" x14ac:dyDescent="0.2">
      <c r="A91" s="11" t="s">
        <v>131</v>
      </c>
      <c r="B91" s="11" t="str">
        <f t="shared" si="3"/>
        <v>390016</v>
      </c>
      <c r="C91" s="11" t="str">
        <f>_xlfn.CONCAT(+VLOOKUP(VALUE(MID(A91,13,2)),'Tabla de codigos'!$A$2:$B$60,2,1)," ",VLOOKUP(VALUE(MID(A91,15,4)),'Tabla de codigos'!$E$2:$F$102,2,1))</f>
        <v>TAZON  15.5</v>
      </c>
      <c r="D91" s="12" t="s">
        <v>126</v>
      </c>
      <c r="E91" s="12" t="s">
        <v>11</v>
      </c>
      <c r="F91" s="12" t="s">
        <v>132</v>
      </c>
      <c r="G91" s="12" t="s">
        <v>128</v>
      </c>
      <c r="H91" s="12">
        <v>60</v>
      </c>
      <c r="I91" s="15">
        <v>0</v>
      </c>
      <c r="J91" s="16">
        <f t="shared" si="2"/>
        <v>60</v>
      </c>
      <c r="O91" s="21">
        <f>(H91)/(IF(A91="","-",VLOOKUP(A91,'[1]CATALOGO PZXCAJA'!$A$2:$C$5000,2,0)))</f>
        <v>5</v>
      </c>
    </row>
    <row r="92" spans="1:15" x14ac:dyDescent="0.2">
      <c r="A92" s="11" t="s">
        <v>81</v>
      </c>
      <c r="B92" s="11" t="str">
        <f t="shared" si="3"/>
        <v>390016</v>
      </c>
      <c r="C92" s="11" t="str">
        <f>_xlfn.CONCAT(+VLOOKUP(VALUE(MID(A92,13,2)),'Tabla de codigos'!$A$2:$B$60,2,1)," ",VLOOKUP(VALUE(MID(A92,15,4)),'Tabla de codigos'!$E$2:$F$102,2,1))</f>
        <v>TAZON  15.5</v>
      </c>
      <c r="D92" s="12" t="s">
        <v>126</v>
      </c>
      <c r="E92" s="12" t="s">
        <v>11</v>
      </c>
      <c r="F92" s="12" t="s">
        <v>132</v>
      </c>
      <c r="G92" s="12" t="s">
        <v>128</v>
      </c>
      <c r="H92" s="12">
        <v>36</v>
      </c>
      <c r="I92" s="15">
        <v>36</v>
      </c>
      <c r="J92" s="16">
        <f t="shared" si="2"/>
        <v>0</v>
      </c>
      <c r="O92" s="21">
        <f>(H92)/(IF(A92="","-",VLOOKUP(A92,'[1]CATALOGO PZXCAJA'!$A$2:$C$5000,2,0)))</f>
        <v>3</v>
      </c>
    </row>
    <row r="93" spans="1:15" x14ac:dyDescent="0.2">
      <c r="A93" s="11" t="s">
        <v>133</v>
      </c>
      <c r="B93" s="11" t="str">
        <f t="shared" si="3"/>
        <v>390016</v>
      </c>
      <c r="C93" s="11" t="str">
        <f>_xlfn.CONCAT(+VLOOKUP(VALUE(MID(A93,13,2)),'Tabla de codigos'!$A$2:$B$60,2,1)," ",VLOOKUP(VALUE(MID(A93,15,4)),'Tabla de codigos'!$E$2:$F$102,2,1))</f>
        <v>TAZON  15.5</v>
      </c>
      <c r="D93" s="12" t="s">
        <v>126</v>
      </c>
      <c r="E93" s="12" t="s">
        <v>11</v>
      </c>
      <c r="F93" s="12" t="s">
        <v>132</v>
      </c>
      <c r="G93" s="12" t="s">
        <v>128</v>
      </c>
      <c r="H93" s="12">
        <v>36</v>
      </c>
      <c r="I93" s="15">
        <f>20+16</f>
        <v>36</v>
      </c>
      <c r="J93" s="16">
        <f t="shared" si="2"/>
        <v>0</v>
      </c>
      <c r="K93" s="17">
        <f>(SUM(I91:I93))/(SUM(H91:H93))</f>
        <v>0.54545454545454541</v>
      </c>
      <c r="O93" s="21">
        <f>(H93)/(IF(A93="","-",VLOOKUP(A93,'[1]CATALOGO PZXCAJA'!$A$2:$C$5000,2,0)))</f>
        <v>3</v>
      </c>
    </row>
    <row r="94" spans="1:15" x14ac:dyDescent="0.2">
      <c r="A94" s="11" t="s">
        <v>134</v>
      </c>
      <c r="B94" s="11" t="str">
        <f t="shared" si="3"/>
        <v>520032</v>
      </c>
      <c r="C94" s="11" t="str">
        <f>_xlfn.CONCAT(+VLOOKUP(VALUE(MID(A94,13,2)),'Tabla de codigos'!$A$2:$B$60,2,1)," ",VLOOKUP(VALUE(MID(A94,15,4)),'Tabla de codigos'!$E$2:$F$102,2,1))</f>
        <v>PLATO OVAL 36</v>
      </c>
      <c r="D94" s="28" t="s">
        <v>135</v>
      </c>
      <c r="E94" s="12" t="s">
        <v>34</v>
      </c>
      <c r="F94" s="12" t="s">
        <v>136</v>
      </c>
      <c r="G94" s="12" t="s">
        <v>137</v>
      </c>
      <c r="H94" s="12">
        <v>54</v>
      </c>
      <c r="I94" s="15">
        <v>0</v>
      </c>
      <c r="J94" s="29">
        <f t="shared" si="2"/>
        <v>54</v>
      </c>
      <c r="K94" s="30">
        <f>(SUM(I94))/(SUM(H94))</f>
        <v>0</v>
      </c>
      <c r="L94" s="31"/>
      <c r="M94" s="32"/>
      <c r="N94" s="32"/>
      <c r="O94" s="33">
        <f>(H94)/(IF(A94="","-",VLOOKUP(A94,'[1]CATALOGO PZXCAJA'!$A$2:$C$5000,2,0)))</f>
        <v>9</v>
      </c>
    </row>
    <row r="95" spans="1:15" x14ac:dyDescent="0.2">
      <c r="A95" s="11" t="s">
        <v>138</v>
      </c>
      <c r="B95" s="11" t="str">
        <f t="shared" si="3"/>
        <v>660005</v>
      </c>
      <c r="C95" s="11" t="str">
        <f>_xlfn.CONCAT(+VLOOKUP(VALUE(MID(A95,13,2)),'Tabla de codigos'!$A$2:$B$60,2,1)," ",VLOOKUP(VALUE(MID(A95,15,4)),'Tabla de codigos'!$E$2:$F$102,2,1))</f>
        <v>CUBETA SIN ASA SIN OREJA 1</v>
      </c>
      <c r="D95" s="11" t="s">
        <v>139</v>
      </c>
      <c r="E95" s="12" t="s">
        <v>140</v>
      </c>
      <c r="F95" s="13" t="s">
        <v>141</v>
      </c>
      <c r="G95" s="14" t="s">
        <v>142</v>
      </c>
      <c r="H95" s="15">
        <v>1</v>
      </c>
      <c r="I95" s="15">
        <v>0</v>
      </c>
      <c r="J95" s="16">
        <f t="shared" si="2"/>
        <v>1</v>
      </c>
      <c r="K95" s="17">
        <f>(SUM(I95))/(SUM(H95))</f>
        <v>0</v>
      </c>
      <c r="O95" s="21" t="e">
        <f>(H95)/(IF(A95="","-",VLOOKUP(A95,'[1]CATALOGO PZXCAJA'!$A$2:$C$5000,2,0)))</f>
        <v>#N/A</v>
      </c>
    </row>
    <row r="96" spans="1:15" ht="15" x14ac:dyDescent="0.25">
      <c r="A96" s="11" t="s">
        <v>143</v>
      </c>
      <c r="B96" s="11" t="str">
        <f t="shared" si="3"/>
        <v>060025</v>
      </c>
      <c r="C96" s="11" t="str">
        <f>_xlfn.CONCAT(+VLOOKUP(VALUE(MID(A96,13,2)),'Tabla de codigos'!$A$2:$B$60,2,1)," ",VLOOKUP(VALUE(MID(A96,15,4)),'Tabla de codigos'!$E$2:$F$102,2,1))</f>
        <v>BUDINERA   24</v>
      </c>
      <c r="D96" s="12" t="s">
        <v>144</v>
      </c>
      <c r="E96" s="12" t="s">
        <v>145</v>
      </c>
      <c r="F96" s="12" t="s">
        <v>146</v>
      </c>
      <c r="G96" s="22" t="s">
        <v>147</v>
      </c>
      <c r="H96" s="23">
        <v>12</v>
      </c>
      <c r="I96" s="15">
        <v>12</v>
      </c>
      <c r="J96" s="15">
        <f t="shared" si="2"/>
        <v>0</v>
      </c>
    </row>
    <row r="97" spans="1:11" ht="15" x14ac:dyDescent="0.25">
      <c r="A97" s="11" t="s">
        <v>148</v>
      </c>
      <c r="B97" s="11" t="str">
        <f t="shared" si="3"/>
        <v>060026</v>
      </c>
      <c r="C97" s="11" t="str">
        <f>_xlfn.CONCAT(+VLOOKUP(VALUE(MID(A97,13,2)),'Tabla de codigos'!$A$2:$B$60,2,1)," ",VLOOKUP(VALUE(MID(A97,15,4)),'Tabla de codigos'!$E$2:$F$102,2,1))</f>
        <v>BUDINERA   26</v>
      </c>
      <c r="D97" s="12" t="s">
        <v>144</v>
      </c>
      <c r="E97" s="12" t="s">
        <v>145</v>
      </c>
      <c r="F97" s="12" t="s">
        <v>146</v>
      </c>
      <c r="G97" s="22" t="s">
        <v>147</v>
      </c>
      <c r="H97" s="23">
        <v>12</v>
      </c>
      <c r="I97" s="15">
        <v>12</v>
      </c>
      <c r="J97" s="16">
        <f t="shared" si="2"/>
        <v>0</v>
      </c>
    </row>
    <row r="98" spans="1:11" ht="15" x14ac:dyDescent="0.25">
      <c r="A98" s="11" t="s">
        <v>149</v>
      </c>
      <c r="B98" s="11" t="str">
        <f t="shared" si="3"/>
        <v>100028</v>
      </c>
      <c r="C98" s="11" t="str">
        <f>_xlfn.CONCAT(+VLOOKUP(VALUE(MID(A98,13,2)),'Tabla de codigos'!$A$2:$B$60,2,1)," ",VLOOKUP(VALUE(MID(A98,15,4)),'Tabla de codigos'!$E$2:$F$102,2,1))</f>
        <v>COMAL 28</v>
      </c>
      <c r="D98" s="12" t="s">
        <v>144</v>
      </c>
      <c r="E98" s="12" t="s">
        <v>145</v>
      </c>
      <c r="F98" s="12" t="s">
        <v>146</v>
      </c>
      <c r="G98" s="22" t="s">
        <v>147</v>
      </c>
      <c r="H98" s="23">
        <v>12</v>
      </c>
      <c r="I98" s="15">
        <v>12</v>
      </c>
      <c r="J98" s="15">
        <f t="shared" si="2"/>
        <v>0</v>
      </c>
    </row>
    <row r="99" spans="1:11" ht="15" x14ac:dyDescent="0.25">
      <c r="A99" s="11" t="s">
        <v>150</v>
      </c>
      <c r="B99" s="11" t="str">
        <f t="shared" si="3"/>
        <v>240021</v>
      </c>
      <c r="C99" s="11" t="str">
        <f>_xlfn.CONCAT(+VLOOKUP(VALUE(MID(A99,13,2)),'Tabla de codigos'!$A$2:$B$60,2,1)," ",VLOOKUP(VALUE(MID(A99,15,4)),'Tabla de codigos'!$E$2:$F$102,2,1))</f>
        <v>OLLA CONVEXA 18</v>
      </c>
      <c r="D99" s="12" t="s">
        <v>144</v>
      </c>
      <c r="E99" s="12" t="s">
        <v>145</v>
      </c>
      <c r="F99" s="12" t="s">
        <v>146</v>
      </c>
      <c r="G99" s="22" t="s">
        <v>147</v>
      </c>
      <c r="H99" s="23">
        <v>24</v>
      </c>
      <c r="I99" s="15">
        <v>0</v>
      </c>
      <c r="J99" s="15">
        <f t="shared" si="2"/>
        <v>24</v>
      </c>
    </row>
    <row r="100" spans="1:11" ht="15" x14ac:dyDescent="0.25">
      <c r="A100" s="11" t="s">
        <v>151</v>
      </c>
      <c r="B100" s="11" t="str">
        <f t="shared" si="3"/>
        <v>240022</v>
      </c>
      <c r="C100" s="11" t="str">
        <f>_xlfn.CONCAT(+VLOOKUP(VALUE(MID(A100,13,2)),'Tabla de codigos'!$A$2:$B$60,2,1)," ",VLOOKUP(VALUE(MID(A100,15,4)),'Tabla de codigos'!$E$2:$F$102,2,1))</f>
        <v>OLLA CONVEXA 20</v>
      </c>
      <c r="D100" s="12" t="s">
        <v>144</v>
      </c>
      <c r="E100" s="12" t="s">
        <v>145</v>
      </c>
      <c r="F100" s="12" t="s">
        <v>146</v>
      </c>
      <c r="G100" s="22" t="s">
        <v>147</v>
      </c>
      <c r="H100" s="23">
        <v>24</v>
      </c>
      <c r="I100" s="15">
        <v>0</v>
      </c>
      <c r="J100" s="15">
        <f t="shared" si="2"/>
        <v>24</v>
      </c>
    </row>
    <row r="101" spans="1:11" ht="15" x14ac:dyDescent="0.25">
      <c r="A101" s="11" t="s">
        <v>43</v>
      </c>
      <c r="B101" s="11" t="str">
        <f t="shared" si="3"/>
        <v>240024</v>
      </c>
      <c r="C101" s="11" t="str">
        <f>_xlfn.CONCAT(+VLOOKUP(VALUE(MID(A101,13,2)),'Tabla de codigos'!$A$2:$B$60,2,1)," ",VLOOKUP(VALUE(MID(A101,15,4)),'Tabla de codigos'!$E$2:$F$102,2,1))</f>
        <v>OLLA CONVEXA 22</v>
      </c>
      <c r="D101" s="12" t="s">
        <v>144</v>
      </c>
      <c r="E101" s="12" t="s">
        <v>145</v>
      </c>
      <c r="F101" s="12" t="s">
        <v>146</v>
      </c>
      <c r="G101" s="22" t="s">
        <v>147</v>
      </c>
      <c r="H101" s="23">
        <v>18</v>
      </c>
      <c r="I101" s="15">
        <v>18</v>
      </c>
      <c r="J101" s="15">
        <f t="shared" si="2"/>
        <v>0</v>
      </c>
    </row>
    <row r="102" spans="1:11" ht="15" x14ac:dyDescent="0.25">
      <c r="A102" s="11" t="s">
        <v>152</v>
      </c>
      <c r="B102" s="11" t="str">
        <f t="shared" si="3"/>
        <v>240025</v>
      </c>
      <c r="C102" s="11" t="str">
        <f>_xlfn.CONCAT(+VLOOKUP(VALUE(MID(A102,13,2)),'Tabla de codigos'!$A$2:$B$60,2,1)," ",VLOOKUP(VALUE(MID(A102,15,4)),'Tabla de codigos'!$E$2:$F$102,2,1))</f>
        <v>OLLA CONVEXA 24</v>
      </c>
      <c r="D102" s="12" t="s">
        <v>144</v>
      </c>
      <c r="E102" s="12" t="s">
        <v>145</v>
      </c>
      <c r="F102" s="12" t="s">
        <v>146</v>
      </c>
      <c r="G102" s="22" t="s">
        <v>147</v>
      </c>
      <c r="H102" s="23">
        <v>18</v>
      </c>
      <c r="I102" s="15">
        <v>18</v>
      </c>
      <c r="J102" s="15">
        <f t="shared" si="2"/>
        <v>0</v>
      </c>
    </row>
    <row r="103" spans="1:11" ht="15" x14ac:dyDescent="0.25">
      <c r="A103" s="11" t="s">
        <v>153</v>
      </c>
      <c r="B103" s="11" t="str">
        <f t="shared" si="3"/>
        <v>240026</v>
      </c>
      <c r="C103" s="11" t="str">
        <f>_xlfn.CONCAT(+VLOOKUP(VALUE(MID(A103,13,2)),'Tabla de codigos'!$A$2:$B$60,2,1)," ",VLOOKUP(VALUE(MID(A103,15,4)),'Tabla de codigos'!$E$2:$F$102,2,1))</f>
        <v>OLLA CONVEXA 26</v>
      </c>
      <c r="D103" s="12" t="s">
        <v>144</v>
      </c>
      <c r="E103" s="12" t="s">
        <v>145</v>
      </c>
      <c r="F103" s="12" t="s">
        <v>146</v>
      </c>
      <c r="G103" s="22" t="s">
        <v>147</v>
      </c>
      <c r="H103" s="23">
        <v>24</v>
      </c>
      <c r="I103" s="15">
        <v>24</v>
      </c>
      <c r="J103" s="15">
        <f t="shared" si="2"/>
        <v>0</v>
      </c>
    </row>
    <row r="104" spans="1:11" ht="15" x14ac:dyDescent="0.25">
      <c r="A104" s="11" t="s">
        <v>154</v>
      </c>
      <c r="B104" s="11" t="str">
        <f t="shared" si="3"/>
        <v>240029</v>
      </c>
      <c r="C104" s="11" t="str">
        <f>_xlfn.CONCAT(+VLOOKUP(VALUE(MID(A104,13,2)),'Tabla de codigos'!$A$2:$B$60,2,1)," ",VLOOKUP(VALUE(MID(A104,15,4)),'Tabla de codigos'!$E$2:$F$102,2,1))</f>
        <v>OLLA CONVEXA 30</v>
      </c>
      <c r="D104" s="12" t="s">
        <v>144</v>
      </c>
      <c r="E104" s="12" t="s">
        <v>145</v>
      </c>
      <c r="F104" s="12" t="s">
        <v>146</v>
      </c>
      <c r="G104" s="22" t="s">
        <v>147</v>
      </c>
      <c r="H104" s="23">
        <v>6</v>
      </c>
      <c r="I104" s="15">
        <f>1+5</f>
        <v>6</v>
      </c>
      <c r="J104" s="15">
        <f t="shared" si="2"/>
        <v>0</v>
      </c>
    </row>
    <row r="105" spans="1:11" ht="15" x14ac:dyDescent="0.25">
      <c r="A105" s="11" t="s">
        <v>155</v>
      </c>
      <c r="B105" s="11" t="str">
        <f t="shared" si="3"/>
        <v>250029</v>
      </c>
      <c r="C105" s="11" t="str">
        <f>_xlfn.CONCAT(+VLOOKUP(VALUE(MID(A105,13,2)),'Tabla de codigos'!$A$2:$B$60,2,1)," ",VLOOKUP(VALUE(MID(A105,15,4)),'Tabla de codigos'!$E$2:$F$102,2,1))</f>
        <v>OLLA RECTA 30</v>
      </c>
      <c r="D105" s="12" t="s">
        <v>144</v>
      </c>
      <c r="E105" s="12" t="s">
        <v>145</v>
      </c>
      <c r="F105" s="12" t="s">
        <v>146</v>
      </c>
      <c r="G105" s="22" t="s">
        <v>147</v>
      </c>
      <c r="H105" s="23">
        <v>4</v>
      </c>
      <c r="I105" s="15">
        <v>4</v>
      </c>
      <c r="J105" s="15">
        <f t="shared" si="2"/>
        <v>0</v>
      </c>
    </row>
    <row r="106" spans="1:11" ht="15" x14ac:dyDescent="0.25">
      <c r="A106" s="11" t="s">
        <v>156</v>
      </c>
      <c r="B106" s="11" t="str">
        <f t="shared" si="3"/>
        <v>250031</v>
      </c>
      <c r="C106" s="11" t="str">
        <f>_xlfn.CONCAT(+VLOOKUP(VALUE(MID(A106,13,2)),'Tabla de codigos'!$A$2:$B$60,2,1)," ",VLOOKUP(VALUE(MID(A106,15,4)),'Tabla de codigos'!$E$2:$F$102,2,1))</f>
        <v>OLLA RECTA 34</v>
      </c>
      <c r="D106" s="12" t="s">
        <v>144</v>
      </c>
      <c r="E106" s="12" t="s">
        <v>145</v>
      </c>
      <c r="F106" s="12" t="s">
        <v>146</v>
      </c>
      <c r="G106" s="22" t="s">
        <v>147</v>
      </c>
      <c r="H106" s="23">
        <v>4</v>
      </c>
      <c r="I106" s="15">
        <v>0</v>
      </c>
      <c r="J106" s="15">
        <f t="shared" si="2"/>
        <v>4</v>
      </c>
    </row>
    <row r="107" spans="1:11" ht="15" x14ac:dyDescent="0.25">
      <c r="A107" s="11" t="s">
        <v>157</v>
      </c>
      <c r="B107" s="11" t="str">
        <f t="shared" si="3"/>
        <v>250033</v>
      </c>
      <c r="C107" s="11" t="str">
        <f>_xlfn.CONCAT(+VLOOKUP(VALUE(MID(A107,13,2)),'Tabla de codigos'!$A$2:$B$60,2,1)," ",VLOOKUP(VALUE(MID(A107,15,4)),'Tabla de codigos'!$E$2:$F$102,2,1))</f>
        <v>OLLA RECTA 42</v>
      </c>
      <c r="D107" s="12" t="s">
        <v>144</v>
      </c>
      <c r="E107" s="12" t="s">
        <v>145</v>
      </c>
      <c r="F107" s="12" t="s">
        <v>146</v>
      </c>
      <c r="G107" s="22" t="s">
        <v>147</v>
      </c>
      <c r="H107" s="23">
        <v>3</v>
      </c>
      <c r="I107" s="15">
        <f>3</f>
        <v>3</v>
      </c>
      <c r="J107" s="16">
        <f t="shared" si="2"/>
        <v>0</v>
      </c>
      <c r="K107" s="17">
        <f>(SUM(I96:I107))/(SUM(H96:H107))</f>
        <v>0.67701863354037262</v>
      </c>
    </row>
    <row r="108" spans="1:11" ht="15" x14ac:dyDescent="0.25">
      <c r="A108" s="11" t="s">
        <v>158</v>
      </c>
      <c r="B108" s="11" t="str">
        <f t="shared" si="3"/>
        <v>030007</v>
      </c>
      <c r="C108" s="11" t="str">
        <f>_xlfn.CONCAT(+VLOOKUP(VALUE(MID(A108,13,2)),'Tabla de codigos'!$A$2:$B$60,2,1)," ",VLOOKUP(VALUE(MID(A108,15,4)),'Tabla de codigos'!$E$2:$F$102,2,1))</f>
        <v>BAÑO 3</v>
      </c>
      <c r="D108" s="12" t="s">
        <v>144</v>
      </c>
      <c r="E108" s="12" t="s">
        <v>145</v>
      </c>
      <c r="F108" s="12" t="s">
        <v>159</v>
      </c>
      <c r="G108" s="22" t="s">
        <v>147</v>
      </c>
      <c r="H108" s="23">
        <v>5</v>
      </c>
      <c r="I108" s="15">
        <v>0</v>
      </c>
      <c r="J108" s="15">
        <f t="shared" si="2"/>
        <v>5</v>
      </c>
    </row>
    <row r="109" spans="1:11" ht="15" x14ac:dyDescent="0.25">
      <c r="A109" s="11" t="s">
        <v>45</v>
      </c>
      <c r="B109" s="11" t="str">
        <f t="shared" si="3"/>
        <v>030008</v>
      </c>
      <c r="C109" s="11" t="str">
        <f>_xlfn.CONCAT(+VLOOKUP(VALUE(MID(A109,13,2)),'Tabla de codigos'!$A$2:$B$60,2,1)," ",VLOOKUP(VALUE(MID(A109,15,4)),'Tabla de codigos'!$E$2:$F$102,2,1))</f>
        <v>BAÑO 4</v>
      </c>
      <c r="D109" s="12" t="s">
        <v>144</v>
      </c>
      <c r="E109" s="12" t="s">
        <v>145</v>
      </c>
      <c r="F109" s="12" t="s">
        <v>159</v>
      </c>
      <c r="G109" s="22" t="s">
        <v>147</v>
      </c>
      <c r="H109" s="23">
        <v>5</v>
      </c>
      <c r="I109" s="15">
        <v>0</v>
      </c>
      <c r="J109" s="15">
        <f t="shared" si="2"/>
        <v>5</v>
      </c>
    </row>
    <row r="110" spans="1:11" ht="15" x14ac:dyDescent="0.25">
      <c r="A110" s="11" t="s">
        <v>32</v>
      </c>
      <c r="B110" s="11" t="str">
        <f t="shared" si="3"/>
        <v>030009</v>
      </c>
      <c r="C110" s="11" t="str">
        <f>_xlfn.CONCAT(+VLOOKUP(VALUE(MID(A110,13,2)),'Tabla de codigos'!$A$2:$B$60,2,1)," ",VLOOKUP(VALUE(MID(A110,15,4)),'Tabla de codigos'!$E$2:$F$102,2,1))</f>
        <v>BAÑO 5</v>
      </c>
      <c r="D110" s="12" t="s">
        <v>144</v>
      </c>
      <c r="E110" s="12" t="s">
        <v>145</v>
      </c>
      <c r="F110" s="12" t="s">
        <v>159</v>
      </c>
      <c r="G110" s="22" t="s">
        <v>147</v>
      </c>
      <c r="H110" s="23">
        <v>5</v>
      </c>
      <c r="I110" s="15">
        <v>0</v>
      </c>
      <c r="J110" s="15">
        <f t="shared" si="2"/>
        <v>5</v>
      </c>
      <c r="K110" s="17">
        <f>(SUM(I108:I110))/(SUM(H108:H110))</f>
        <v>0</v>
      </c>
    </row>
    <row r="111" spans="1:11" x14ac:dyDescent="0.2">
      <c r="A111" s="11" t="s">
        <v>160</v>
      </c>
      <c r="B111" s="11" t="str">
        <f t="shared" si="3"/>
        <v>120049</v>
      </c>
      <c r="C111" s="11" t="str">
        <f>_xlfn.CONCAT(+VLOOKUP(VALUE(MID(A111,13,2)),'Tabla de codigos'!$A$2:$B$60,2,1)," ",VLOOKUP(VALUE(MID(A111,15,4)),'Tabla de codigos'!$E$2:$F$102,2,1))</f>
        <v>CUCHARA CAFÉ</v>
      </c>
      <c r="D111" s="11" t="s">
        <v>161</v>
      </c>
      <c r="E111" s="11" t="s">
        <v>16</v>
      </c>
      <c r="F111" s="11" t="s">
        <v>162</v>
      </c>
      <c r="G111" s="14" t="s">
        <v>163</v>
      </c>
      <c r="H111" s="15">
        <v>100</v>
      </c>
      <c r="I111" s="15">
        <v>0</v>
      </c>
      <c r="J111" s="16">
        <f t="shared" si="2"/>
        <v>100</v>
      </c>
    </row>
    <row r="112" spans="1:11" x14ac:dyDescent="0.2">
      <c r="A112" s="11" t="s">
        <v>164</v>
      </c>
      <c r="B112" s="11" t="str">
        <f t="shared" si="3"/>
        <v>120049</v>
      </c>
      <c r="C112" s="11" t="str">
        <f>_xlfn.CONCAT(+VLOOKUP(VALUE(MID(A112,13,2)),'Tabla de codigos'!$A$2:$B$60,2,1)," ",VLOOKUP(VALUE(MID(A112,15,4)),'Tabla de codigos'!$E$2:$F$102,2,1))</f>
        <v>CUCHARA CAFÉ</v>
      </c>
      <c r="D112" s="11" t="s">
        <v>161</v>
      </c>
      <c r="E112" s="11" t="s">
        <v>16</v>
      </c>
      <c r="F112" s="11" t="s">
        <v>162</v>
      </c>
      <c r="G112" s="14" t="s">
        <v>163</v>
      </c>
      <c r="H112" s="15">
        <v>100</v>
      </c>
      <c r="I112" s="15">
        <v>0</v>
      </c>
      <c r="J112" s="16">
        <f t="shared" si="2"/>
        <v>100</v>
      </c>
    </row>
    <row r="113" spans="1:11" x14ac:dyDescent="0.2">
      <c r="A113" s="11" t="s">
        <v>165</v>
      </c>
      <c r="B113" s="11" t="str">
        <f t="shared" si="3"/>
        <v>120049</v>
      </c>
      <c r="C113" s="11" t="str">
        <f>_xlfn.CONCAT(+VLOOKUP(VALUE(MID(A113,13,2)),'Tabla de codigos'!$A$2:$B$60,2,1)," ",VLOOKUP(VALUE(MID(A113,15,4)),'Tabla de codigos'!$E$2:$F$102,2,1))</f>
        <v>CUCHARA CAFÉ</v>
      </c>
      <c r="D113" s="11" t="s">
        <v>161</v>
      </c>
      <c r="E113" s="11" t="s">
        <v>16</v>
      </c>
      <c r="F113" s="11" t="s">
        <v>162</v>
      </c>
      <c r="G113" s="14" t="s">
        <v>163</v>
      </c>
      <c r="H113" s="15">
        <v>100</v>
      </c>
      <c r="I113" s="15">
        <v>0</v>
      </c>
      <c r="J113" s="16">
        <f t="shared" si="2"/>
        <v>100</v>
      </c>
    </row>
    <row r="114" spans="1:11" x14ac:dyDescent="0.2">
      <c r="A114" s="11" t="s">
        <v>166</v>
      </c>
      <c r="B114" s="11" t="str">
        <f t="shared" si="3"/>
        <v>120050</v>
      </c>
      <c r="C114" s="11" t="str">
        <f>_xlfn.CONCAT(+VLOOKUP(VALUE(MID(A114,13,2)),'Tabla de codigos'!$A$2:$B$60,2,1)," ",VLOOKUP(VALUE(MID(A114,15,4)),'Tabla de codigos'!$E$2:$F$102,2,1))</f>
        <v>CUCHARA MOKA</v>
      </c>
      <c r="D114" s="11" t="s">
        <v>161</v>
      </c>
      <c r="E114" s="11" t="s">
        <v>16</v>
      </c>
      <c r="F114" s="11" t="s">
        <v>162</v>
      </c>
      <c r="G114" s="14" t="s">
        <v>163</v>
      </c>
      <c r="H114" s="15">
        <v>100</v>
      </c>
      <c r="I114" s="15">
        <v>0</v>
      </c>
      <c r="J114" s="16">
        <f t="shared" si="2"/>
        <v>100</v>
      </c>
    </row>
    <row r="115" spans="1:11" x14ac:dyDescent="0.2">
      <c r="A115" s="11" t="s">
        <v>167</v>
      </c>
      <c r="B115" s="11" t="str">
        <f t="shared" si="3"/>
        <v>120050</v>
      </c>
      <c r="C115" s="11" t="str">
        <f>_xlfn.CONCAT(+VLOOKUP(VALUE(MID(A115,13,2)),'Tabla de codigos'!$A$2:$B$60,2,1)," ",VLOOKUP(VALUE(MID(A115,15,4)),'Tabla de codigos'!$E$2:$F$102,2,1))</f>
        <v>CUCHARA MOKA</v>
      </c>
      <c r="D115" s="11" t="s">
        <v>161</v>
      </c>
      <c r="E115" s="11" t="s">
        <v>16</v>
      </c>
      <c r="F115" s="11" t="s">
        <v>162</v>
      </c>
      <c r="G115" s="14" t="s">
        <v>163</v>
      </c>
      <c r="H115" s="15">
        <v>100</v>
      </c>
      <c r="I115" s="15">
        <v>0</v>
      </c>
      <c r="J115" s="16">
        <f t="shared" si="2"/>
        <v>100</v>
      </c>
    </row>
    <row r="116" spans="1:11" x14ac:dyDescent="0.2">
      <c r="A116" s="11" t="s">
        <v>168</v>
      </c>
      <c r="B116" s="11" t="str">
        <f t="shared" si="3"/>
        <v>120050</v>
      </c>
      <c r="C116" s="11" t="str">
        <f>_xlfn.CONCAT(+VLOOKUP(VALUE(MID(A116,13,2)),'Tabla de codigos'!$A$2:$B$60,2,1)," ",VLOOKUP(VALUE(MID(A116,15,4)),'Tabla de codigos'!$E$2:$F$102,2,1))</f>
        <v>CUCHARA MOKA</v>
      </c>
      <c r="D116" s="11" t="s">
        <v>161</v>
      </c>
      <c r="E116" s="11" t="s">
        <v>16</v>
      </c>
      <c r="F116" s="11" t="s">
        <v>162</v>
      </c>
      <c r="G116" s="14" t="s">
        <v>163</v>
      </c>
      <c r="H116" s="15">
        <v>100</v>
      </c>
      <c r="I116" s="15">
        <v>0</v>
      </c>
      <c r="J116" s="16">
        <f t="shared" si="2"/>
        <v>100</v>
      </c>
      <c r="K116" s="17">
        <f>(SUM(I111:I116))/(SUM(H111:H116))</f>
        <v>0</v>
      </c>
    </row>
    <row r="117" spans="1:11" ht="15" x14ac:dyDescent="0.25">
      <c r="A117" s="11" t="s">
        <v>169</v>
      </c>
      <c r="B117" s="11" t="str">
        <f t="shared" si="3"/>
        <v>060029</v>
      </c>
      <c r="C117" s="11" t="str">
        <f>_xlfn.CONCAT(+VLOOKUP(VALUE(MID(A117,13,2)),'Tabla de codigos'!$A$2:$B$60,2,1)," ",VLOOKUP(VALUE(MID(A117,15,4)),'Tabla de codigos'!$E$2:$F$102,2,1))</f>
        <v>BUDINERA   30</v>
      </c>
      <c r="D117" s="12" t="s">
        <v>170</v>
      </c>
      <c r="E117" s="12" t="s">
        <v>11</v>
      </c>
      <c r="F117" s="12" t="s">
        <v>171</v>
      </c>
      <c r="G117" s="22" t="s">
        <v>172</v>
      </c>
      <c r="H117" s="23">
        <v>25</v>
      </c>
      <c r="I117" s="15">
        <v>25</v>
      </c>
      <c r="J117" s="15">
        <f t="shared" si="2"/>
        <v>0</v>
      </c>
    </row>
    <row r="118" spans="1:11" ht="15" x14ac:dyDescent="0.25">
      <c r="A118" s="11" t="s">
        <v>173</v>
      </c>
      <c r="B118" s="11" t="str">
        <f t="shared" si="3"/>
        <v>060031</v>
      </c>
      <c r="C118" s="11" t="str">
        <f>_xlfn.CONCAT(+VLOOKUP(VALUE(MID(A118,13,2)),'Tabla de codigos'!$A$2:$B$60,2,1)," ",VLOOKUP(VALUE(MID(A118,15,4)),'Tabla de codigos'!$E$2:$F$102,2,1))</f>
        <v>BUDINERA   34</v>
      </c>
      <c r="D118" s="12" t="s">
        <v>170</v>
      </c>
      <c r="E118" s="12" t="s">
        <v>114</v>
      </c>
      <c r="F118" s="12" t="s">
        <v>171</v>
      </c>
      <c r="G118" s="22" t="s">
        <v>172</v>
      </c>
      <c r="H118" s="23">
        <v>25</v>
      </c>
      <c r="I118" s="15">
        <v>25</v>
      </c>
      <c r="J118" s="15">
        <f t="shared" si="2"/>
        <v>0</v>
      </c>
    </row>
    <row r="119" spans="1:11" ht="15" x14ac:dyDescent="0.25">
      <c r="A119" s="11" t="s">
        <v>38</v>
      </c>
      <c r="B119" s="11" t="str">
        <f t="shared" si="3"/>
        <v>060033</v>
      </c>
      <c r="C119" s="11" t="str">
        <f>_xlfn.CONCAT(+VLOOKUP(VALUE(MID(A119,13,2)),'Tabla de codigos'!$A$2:$B$60,2,1)," ",VLOOKUP(VALUE(MID(A119,15,4)),'Tabla de codigos'!$E$2:$F$102,2,1))</f>
        <v>BUDINERA   42</v>
      </c>
      <c r="D119" s="12" t="s">
        <v>170</v>
      </c>
      <c r="E119" s="12" t="s">
        <v>174</v>
      </c>
      <c r="F119" s="12" t="s">
        <v>171</v>
      </c>
      <c r="G119" s="22" t="s">
        <v>172</v>
      </c>
      <c r="H119" s="23">
        <v>25</v>
      </c>
      <c r="I119" s="15">
        <v>0</v>
      </c>
      <c r="J119" s="15">
        <f t="shared" si="2"/>
        <v>25</v>
      </c>
    </row>
    <row r="120" spans="1:11" ht="15" x14ac:dyDescent="0.25">
      <c r="A120" s="11" t="s">
        <v>175</v>
      </c>
      <c r="B120" s="11" t="str">
        <f t="shared" si="3"/>
        <v>210043</v>
      </c>
      <c r="C120" s="11" t="str">
        <f>_xlfn.CONCAT(+VLOOKUP(VALUE(MID(A120,13,2)),'Tabla de codigos'!$A$2:$B$60,2,1)," ",VLOOKUP(VALUE(MID(A120,15,4)),'Tabla de codigos'!$E$2:$F$102,2,1))</f>
        <v>JUEGO 3+3</v>
      </c>
      <c r="D120" s="12" t="s">
        <v>170</v>
      </c>
      <c r="E120" s="12" t="s">
        <v>176</v>
      </c>
      <c r="F120" s="12" t="s">
        <v>171</v>
      </c>
      <c r="G120" s="22" t="s">
        <v>172</v>
      </c>
      <c r="H120" s="23">
        <v>500</v>
      </c>
      <c r="I120" s="15">
        <v>0</v>
      </c>
      <c r="J120" s="15">
        <f t="shared" si="2"/>
        <v>500</v>
      </c>
    </row>
    <row r="121" spans="1:11" ht="15" x14ac:dyDescent="0.25">
      <c r="A121" s="11" t="s">
        <v>155</v>
      </c>
      <c r="B121" s="11" t="str">
        <f t="shared" si="3"/>
        <v>250029</v>
      </c>
      <c r="C121" s="11" t="str">
        <f>_xlfn.CONCAT(+VLOOKUP(VALUE(MID(A121,13,2)),'Tabla de codigos'!$A$2:$B$60,2,1)," ",VLOOKUP(VALUE(MID(A121,15,4)),'Tabla de codigos'!$E$2:$F$102,2,1))</f>
        <v>OLLA RECTA 30</v>
      </c>
      <c r="D121" s="12" t="s">
        <v>170</v>
      </c>
      <c r="E121" s="12" t="s">
        <v>177</v>
      </c>
      <c r="F121" s="12" t="s">
        <v>171</v>
      </c>
      <c r="G121" s="22" t="s">
        <v>172</v>
      </c>
      <c r="H121" s="23">
        <v>50</v>
      </c>
      <c r="I121" s="15">
        <f>2+46+1</f>
        <v>49</v>
      </c>
      <c r="J121" s="15">
        <f t="shared" si="2"/>
        <v>1</v>
      </c>
    </row>
    <row r="122" spans="1:11" ht="15" x14ac:dyDescent="0.25">
      <c r="A122" s="11" t="s">
        <v>156</v>
      </c>
      <c r="B122" s="11" t="str">
        <f t="shared" si="3"/>
        <v>250031</v>
      </c>
      <c r="C122" s="11" t="str">
        <f>_xlfn.CONCAT(+VLOOKUP(VALUE(MID(A122,13,2)),'Tabla de codigos'!$A$2:$B$60,2,1)," ",VLOOKUP(VALUE(MID(A122,15,4)),'Tabla de codigos'!$E$2:$F$102,2,1))</f>
        <v>OLLA RECTA 34</v>
      </c>
      <c r="D122" s="12" t="s">
        <v>170</v>
      </c>
      <c r="E122" s="12" t="s">
        <v>178</v>
      </c>
      <c r="F122" s="12" t="s">
        <v>171</v>
      </c>
      <c r="G122" s="22" t="s">
        <v>172</v>
      </c>
      <c r="H122" s="23">
        <v>50</v>
      </c>
      <c r="I122" s="15">
        <v>1</v>
      </c>
      <c r="J122" s="15">
        <f t="shared" si="2"/>
        <v>49</v>
      </c>
    </row>
    <row r="123" spans="1:11" ht="15" x14ac:dyDescent="0.25">
      <c r="A123" s="11" t="s">
        <v>157</v>
      </c>
      <c r="B123" s="11" t="str">
        <f t="shared" si="3"/>
        <v>250033</v>
      </c>
      <c r="C123" s="11" t="str">
        <f>_xlfn.CONCAT(+VLOOKUP(VALUE(MID(A123,13,2)),'Tabla de codigos'!$A$2:$B$60,2,1)," ",VLOOKUP(VALUE(MID(A123,15,4)),'Tabla de codigos'!$E$2:$F$102,2,1))</f>
        <v>OLLA RECTA 42</v>
      </c>
      <c r="D123" s="12" t="s">
        <v>170</v>
      </c>
      <c r="E123" s="12" t="s">
        <v>179</v>
      </c>
      <c r="F123" s="12" t="s">
        <v>171</v>
      </c>
      <c r="G123" s="22" t="s">
        <v>172</v>
      </c>
      <c r="H123" s="23">
        <v>150</v>
      </c>
      <c r="I123" s="15">
        <v>150</v>
      </c>
      <c r="J123" s="16">
        <f t="shared" si="2"/>
        <v>0</v>
      </c>
    </row>
    <row r="124" spans="1:11" ht="15" x14ac:dyDescent="0.25">
      <c r="A124" s="11" t="s">
        <v>180</v>
      </c>
      <c r="B124" s="11" t="str">
        <f t="shared" si="3"/>
        <v>330014</v>
      </c>
      <c r="C124" s="11" t="str">
        <f>_xlfn.CONCAT(+VLOOKUP(VALUE(MID(A124,13,2)),'Tabla de codigos'!$A$2:$B$60,2,1)," ",VLOOKUP(VALUE(MID(A124,15,4)),'Tabla de codigos'!$E$2:$F$102,2,1))</f>
        <v>POCILLO 12</v>
      </c>
      <c r="D124" s="12" t="s">
        <v>170</v>
      </c>
      <c r="E124" s="12" t="s">
        <v>181</v>
      </c>
      <c r="F124" s="12" t="s">
        <v>171</v>
      </c>
      <c r="G124" s="22" t="s">
        <v>172</v>
      </c>
      <c r="H124" s="23">
        <v>300</v>
      </c>
      <c r="I124" s="15">
        <f>80+96+124</f>
        <v>300</v>
      </c>
      <c r="J124" s="16">
        <f t="shared" si="2"/>
        <v>0</v>
      </c>
    </row>
    <row r="125" spans="1:11" ht="15" x14ac:dyDescent="0.25">
      <c r="A125" s="11" t="s">
        <v>182</v>
      </c>
      <c r="B125" s="11" t="str">
        <f t="shared" si="3"/>
        <v>330015</v>
      </c>
      <c r="C125" s="11" t="str">
        <f>_xlfn.CONCAT(+VLOOKUP(VALUE(MID(A125,13,2)),'Tabla de codigos'!$A$2:$B$60,2,1)," ",VLOOKUP(VALUE(MID(A125,15,4)),'Tabla de codigos'!$E$2:$F$102,2,1))</f>
        <v>POCILLO 14</v>
      </c>
      <c r="D125" s="12" t="s">
        <v>170</v>
      </c>
      <c r="E125" s="12" t="s">
        <v>183</v>
      </c>
      <c r="F125" s="12" t="s">
        <v>171</v>
      </c>
      <c r="G125" s="22" t="s">
        <v>172</v>
      </c>
      <c r="H125" s="23">
        <v>300</v>
      </c>
      <c r="I125" s="15">
        <f>272+6+1+6+1+14</f>
        <v>300</v>
      </c>
      <c r="J125" s="15">
        <f t="shared" si="2"/>
        <v>0</v>
      </c>
      <c r="K125" s="17">
        <f>(SUM(I117:I125))/(SUM(H117:H125))</f>
        <v>0.59649122807017541</v>
      </c>
    </row>
    <row r="126" spans="1:11" x14ac:dyDescent="0.2">
      <c r="A126" s="11" t="s">
        <v>38</v>
      </c>
      <c r="B126" s="11" t="str">
        <f t="shared" si="3"/>
        <v>060033</v>
      </c>
      <c r="C126" s="11" t="str">
        <f>_xlfn.CONCAT(+VLOOKUP(VALUE(MID(A126,13,2)),'Tabla de codigos'!$A$2:$B$60,2,1)," ",VLOOKUP(VALUE(MID(A126,15,4)),'Tabla de codigos'!$E$2:$F$102,2,1))</f>
        <v>BUDINERA   42</v>
      </c>
      <c r="D126" s="11" t="s">
        <v>184</v>
      </c>
      <c r="E126" s="12" t="s">
        <v>34</v>
      </c>
      <c r="F126" s="13" t="s">
        <v>185</v>
      </c>
      <c r="G126" s="14" t="s">
        <v>186</v>
      </c>
      <c r="H126" s="15">
        <v>6</v>
      </c>
      <c r="I126" s="15">
        <v>0</v>
      </c>
      <c r="J126" s="15">
        <f t="shared" si="2"/>
        <v>6</v>
      </c>
    </row>
    <row r="127" spans="1:11" x14ac:dyDescent="0.2">
      <c r="A127" s="11" t="s">
        <v>149</v>
      </c>
      <c r="B127" s="11" t="str">
        <f t="shared" si="3"/>
        <v>100028</v>
      </c>
      <c r="C127" s="11" t="str">
        <f>_xlfn.CONCAT(+VLOOKUP(VALUE(MID(A127,13,2)),'Tabla de codigos'!$A$2:$B$60,2,1)," ",VLOOKUP(VALUE(MID(A127,15,4)),'Tabla de codigos'!$E$2:$F$102,2,1))</f>
        <v>COMAL 28</v>
      </c>
      <c r="D127" s="11" t="s">
        <v>184</v>
      </c>
      <c r="E127" s="12" t="s">
        <v>34</v>
      </c>
      <c r="F127" s="13" t="s">
        <v>185</v>
      </c>
      <c r="G127" s="14" t="s">
        <v>186</v>
      </c>
      <c r="H127" s="15">
        <v>36</v>
      </c>
      <c r="I127" s="15">
        <v>36</v>
      </c>
      <c r="J127" s="15">
        <f t="shared" si="2"/>
        <v>0</v>
      </c>
    </row>
    <row r="128" spans="1:11" x14ac:dyDescent="0.2">
      <c r="A128" s="11" t="s">
        <v>187</v>
      </c>
      <c r="B128" s="11" t="str">
        <f t="shared" si="3"/>
        <v>240014</v>
      </c>
      <c r="C128" s="11" t="str">
        <f>_xlfn.CONCAT(+VLOOKUP(VALUE(MID(A128,13,2)),'Tabla de codigos'!$A$2:$B$60,2,1)," ",VLOOKUP(VALUE(MID(A128,15,4)),'Tabla de codigos'!$E$2:$F$102,2,1))</f>
        <v>OLLA CONVEXA 12</v>
      </c>
      <c r="D128" s="11" t="s">
        <v>184</v>
      </c>
      <c r="E128" s="12" t="s">
        <v>34</v>
      </c>
      <c r="F128" s="13" t="s">
        <v>185</v>
      </c>
      <c r="G128" s="14" t="s">
        <v>186</v>
      </c>
      <c r="H128" s="15">
        <v>36</v>
      </c>
      <c r="I128" s="15">
        <v>11</v>
      </c>
      <c r="J128" s="15">
        <f t="shared" si="2"/>
        <v>25</v>
      </c>
    </row>
    <row r="129" spans="1:11" x14ac:dyDescent="0.2">
      <c r="A129" s="11" t="s">
        <v>153</v>
      </c>
      <c r="B129" s="11" t="str">
        <f t="shared" si="3"/>
        <v>240026</v>
      </c>
      <c r="C129" s="11" t="str">
        <f>_xlfn.CONCAT(+VLOOKUP(VALUE(MID(A129,13,2)),'Tabla de codigos'!$A$2:$B$60,2,1)," ",VLOOKUP(VALUE(MID(A129,15,4)),'Tabla de codigos'!$E$2:$F$102,2,1))</f>
        <v>OLLA CONVEXA 26</v>
      </c>
      <c r="D129" s="11" t="s">
        <v>184</v>
      </c>
      <c r="E129" s="12" t="s">
        <v>34</v>
      </c>
      <c r="F129" s="13" t="s">
        <v>185</v>
      </c>
      <c r="G129" s="14" t="s">
        <v>186</v>
      </c>
      <c r="H129" s="15">
        <v>18</v>
      </c>
      <c r="I129" s="15">
        <v>18</v>
      </c>
      <c r="J129" s="15">
        <f t="shared" si="2"/>
        <v>0</v>
      </c>
    </row>
    <row r="130" spans="1:11" x14ac:dyDescent="0.2">
      <c r="A130" s="11" t="s">
        <v>182</v>
      </c>
      <c r="B130" s="11" t="str">
        <f t="shared" si="3"/>
        <v>330015</v>
      </c>
      <c r="C130" s="11" t="str">
        <f>_xlfn.CONCAT(+VLOOKUP(VALUE(MID(A130,13,2)),'Tabla de codigos'!$A$2:$B$60,2,1)," ",VLOOKUP(VALUE(MID(A130,15,4)),'Tabla de codigos'!$E$2:$F$102,2,1))</f>
        <v>POCILLO 14</v>
      </c>
      <c r="D130" s="11" t="s">
        <v>184</v>
      </c>
      <c r="E130" s="12" t="s">
        <v>34</v>
      </c>
      <c r="F130" s="13" t="s">
        <v>185</v>
      </c>
      <c r="G130" s="14" t="s">
        <v>186</v>
      </c>
      <c r="H130" s="15">
        <v>60</v>
      </c>
      <c r="I130" s="15">
        <v>60</v>
      </c>
      <c r="J130" s="15">
        <f t="shared" ref="J130:J193" si="4">+H130-I130</f>
        <v>0</v>
      </c>
    </row>
    <row r="131" spans="1:11" x14ac:dyDescent="0.2">
      <c r="A131" s="11" t="s">
        <v>130</v>
      </c>
      <c r="B131" s="11" t="str">
        <f t="shared" ref="B131:B194" si="5">+MID(A131,13,6)</f>
        <v>330015</v>
      </c>
      <c r="C131" s="11" t="str">
        <f>_xlfn.CONCAT(+VLOOKUP(VALUE(MID(A131,13,2)),'Tabla de codigos'!$A$2:$B$60,2,1)," ",VLOOKUP(VALUE(MID(A131,15,4)),'Tabla de codigos'!$E$2:$F$102,2,1))</f>
        <v>POCILLO 14</v>
      </c>
      <c r="D131" s="11" t="s">
        <v>184</v>
      </c>
      <c r="E131" s="12" t="s">
        <v>34</v>
      </c>
      <c r="F131" s="13" t="s">
        <v>185</v>
      </c>
      <c r="G131" s="14" t="s">
        <v>186</v>
      </c>
      <c r="H131" s="15">
        <v>60</v>
      </c>
      <c r="I131" s="15">
        <f>17+6+24</f>
        <v>47</v>
      </c>
      <c r="J131" s="15">
        <f t="shared" si="4"/>
        <v>13</v>
      </c>
    </row>
    <row r="132" spans="1:11" x14ac:dyDescent="0.2">
      <c r="A132" s="11" t="s">
        <v>44</v>
      </c>
      <c r="B132" s="11" t="str">
        <f t="shared" si="5"/>
        <v>360025</v>
      </c>
      <c r="C132" s="11" t="str">
        <f>_xlfn.CONCAT(+VLOOKUP(VALUE(MID(A132,13,2)),'Tabla de codigos'!$A$2:$B$60,2,1)," ",VLOOKUP(VALUE(MID(A132,15,4)),'Tabla de codigos'!$E$2:$F$102,2,1))</f>
        <v>SARTEN 24</v>
      </c>
      <c r="D132" s="11" t="s">
        <v>184</v>
      </c>
      <c r="E132" s="12" t="s">
        <v>34</v>
      </c>
      <c r="F132" s="13" t="s">
        <v>185</v>
      </c>
      <c r="G132" s="14" t="s">
        <v>186</v>
      </c>
      <c r="H132" s="15">
        <v>36</v>
      </c>
      <c r="I132" s="15">
        <v>0</v>
      </c>
      <c r="J132" s="15">
        <f t="shared" si="4"/>
        <v>36</v>
      </c>
    </row>
    <row r="133" spans="1:11" x14ac:dyDescent="0.2">
      <c r="A133" s="11" t="s">
        <v>188</v>
      </c>
      <c r="B133" s="11" t="str">
        <f t="shared" si="5"/>
        <v>330015</v>
      </c>
      <c r="C133" s="11" t="str">
        <f>_xlfn.CONCAT(+VLOOKUP(VALUE(MID(A133,13,2)),'Tabla de codigos'!$A$2:$B$60,2,1)," ",VLOOKUP(VALUE(MID(A133,15,4)),'Tabla de codigos'!$E$2:$F$102,2,1))</f>
        <v>POCILLO 14</v>
      </c>
      <c r="D133" s="11" t="s">
        <v>184</v>
      </c>
      <c r="E133" s="12" t="s">
        <v>34</v>
      </c>
      <c r="F133" s="13" t="s">
        <v>185</v>
      </c>
      <c r="G133" s="14" t="s">
        <v>186</v>
      </c>
      <c r="H133" s="15">
        <v>48</v>
      </c>
      <c r="I133" s="15">
        <v>4</v>
      </c>
      <c r="J133" s="15">
        <f t="shared" si="4"/>
        <v>44</v>
      </c>
      <c r="K133" s="17">
        <f>(SUM(I126:I133))/(SUM(H126:H133))</f>
        <v>0.58666666666666667</v>
      </c>
    </row>
    <row r="134" spans="1:11" ht="15" x14ac:dyDescent="0.25">
      <c r="A134" s="11" t="s">
        <v>189</v>
      </c>
      <c r="B134" s="11" t="str">
        <f t="shared" si="5"/>
        <v>060017</v>
      </c>
      <c r="C134" s="11" t="str">
        <f>_xlfn.CONCAT(+VLOOKUP(VALUE(MID(A134,13,2)),'Tabla de codigos'!$A$2:$B$60,2,1)," ",VLOOKUP(VALUE(MID(A134,15,4)),'Tabla de codigos'!$E$2:$F$102,2,1))</f>
        <v>BUDINERA   16</v>
      </c>
      <c r="D134" s="12" t="s">
        <v>190</v>
      </c>
      <c r="E134" s="12" t="s">
        <v>11</v>
      </c>
      <c r="F134" s="12" t="s">
        <v>191</v>
      </c>
      <c r="G134" s="22" t="s">
        <v>192</v>
      </c>
      <c r="H134" s="23">
        <v>18</v>
      </c>
      <c r="I134" s="15">
        <v>0</v>
      </c>
      <c r="J134" s="15">
        <f t="shared" si="4"/>
        <v>18</v>
      </c>
    </row>
    <row r="135" spans="1:11" ht="15" x14ac:dyDescent="0.25">
      <c r="A135" s="11" t="s">
        <v>150</v>
      </c>
      <c r="B135" s="11" t="str">
        <f t="shared" si="5"/>
        <v>240021</v>
      </c>
      <c r="C135" s="11" t="str">
        <f>_xlfn.CONCAT(+VLOOKUP(VALUE(MID(A135,13,2)),'Tabla de codigos'!$A$2:$B$60,2,1)," ",VLOOKUP(VALUE(MID(A135,15,4)),'Tabla de codigos'!$E$2:$F$102,2,1))</f>
        <v>OLLA CONVEXA 18</v>
      </c>
      <c r="D135" s="12" t="s">
        <v>190</v>
      </c>
      <c r="E135" s="12" t="s">
        <v>11</v>
      </c>
      <c r="F135" s="12" t="s">
        <v>191</v>
      </c>
      <c r="G135" s="22" t="s">
        <v>192</v>
      </c>
      <c r="H135" s="23">
        <v>12</v>
      </c>
      <c r="I135" s="15">
        <v>0</v>
      </c>
      <c r="J135" s="15">
        <f t="shared" si="4"/>
        <v>12</v>
      </c>
    </row>
    <row r="136" spans="1:11" ht="15" x14ac:dyDescent="0.25">
      <c r="A136" s="11" t="s">
        <v>153</v>
      </c>
      <c r="B136" s="11" t="str">
        <f t="shared" si="5"/>
        <v>240026</v>
      </c>
      <c r="C136" s="11" t="str">
        <f>_xlfn.CONCAT(+VLOOKUP(VALUE(MID(A136,13,2)),'Tabla de codigos'!$A$2:$B$60,2,1)," ",VLOOKUP(VALUE(MID(A136,15,4)),'Tabla de codigos'!$E$2:$F$102,2,1))</f>
        <v>OLLA CONVEXA 26</v>
      </c>
      <c r="D136" s="12" t="s">
        <v>190</v>
      </c>
      <c r="E136" s="12" t="s">
        <v>11</v>
      </c>
      <c r="F136" s="12" t="s">
        <v>191</v>
      </c>
      <c r="G136" s="22" t="s">
        <v>192</v>
      </c>
      <c r="H136" s="23">
        <v>6</v>
      </c>
      <c r="I136" s="15">
        <v>6</v>
      </c>
      <c r="J136" s="15">
        <f t="shared" si="4"/>
        <v>0</v>
      </c>
    </row>
    <row r="137" spans="1:11" ht="15" x14ac:dyDescent="0.25">
      <c r="A137" s="11" t="s">
        <v>154</v>
      </c>
      <c r="B137" s="11" t="str">
        <f t="shared" si="5"/>
        <v>240029</v>
      </c>
      <c r="C137" s="11" t="str">
        <f>_xlfn.CONCAT(+VLOOKUP(VALUE(MID(A137,13,2)),'Tabla de codigos'!$A$2:$B$60,2,1)," ",VLOOKUP(VALUE(MID(A137,15,4)),'Tabla de codigos'!$E$2:$F$102,2,1))</f>
        <v>OLLA CONVEXA 30</v>
      </c>
      <c r="D137" s="12" t="s">
        <v>190</v>
      </c>
      <c r="E137" s="12" t="s">
        <v>11</v>
      </c>
      <c r="F137" s="12" t="s">
        <v>191</v>
      </c>
      <c r="G137" s="22" t="s">
        <v>192</v>
      </c>
      <c r="H137" s="23">
        <v>2</v>
      </c>
      <c r="I137" s="15">
        <v>2</v>
      </c>
      <c r="J137" s="15">
        <f t="shared" si="4"/>
        <v>0</v>
      </c>
    </row>
    <row r="138" spans="1:11" ht="15" x14ac:dyDescent="0.25">
      <c r="A138" s="11" t="s">
        <v>180</v>
      </c>
      <c r="B138" s="11" t="str">
        <f t="shared" si="5"/>
        <v>330014</v>
      </c>
      <c r="C138" s="11" t="str">
        <f>_xlfn.CONCAT(+VLOOKUP(VALUE(MID(A138,13,2)),'Tabla de codigos'!$A$2:$B$60,2,1)," ",VLOOKUP(VALUE(MID(A138,15,4)),'Tabla de codigos'!$E$2:$F$102,2,1))</f>
        <v>POCILLO 12</v>
      </c>
      <c r="D138" s="12" t="s">
        <v>190</v>
      </c>
      <c r="E138" s="12" t="s">
        <v>11</v>
      </c>
      <c r="F138" s="12" t="s">
        <v>191</v>
      </c>
      <c r="G138" s="22" t="s">
        <v>192</v>
      </c>
      <c r="H138" s="23">
        <v>24</v>
      </c>
      <c r="I138" s="15">
        <v>10</v>
      </c>
      <c r="J138" s="16">
        <f t="shared" si="4"/>
        <v>14</v>
      </c>
    </row>
    <row r="139" spans="1:11" ht="15" x14ac:dyDescent="0.25">
      <c r="A139" s="11" t="s">
        <v>188</v>
      </c>
      <c r="B139" s="11" t="str">
        <f t="shared" si="5"/>
        <v>330015</v>
      </c>
      <c r="C139" s="11" t="str">
        <f>_xlfn.CONCAT(+VLOOKUP(VALUE(MID(A139,13,2)),'Tabla de codigos'!$A$2:$B$60,2,1)," ",VLOOKUP(VALUE(MID(A139,15,4)),'Tabla de codigos'!$E$2:$F$102,2,1))</f>
        <v>POCILLO 14</v>
      </c>
      <c r="D139" s="12" t="s">
        <v>190</v>
      </c>
      <c r="E139" s="12" t="s">
        <v>11</v>
      </c>
      <c r="F139" s="12" t="s">
        <v>191</v>
      </c>
      <c r="G139" s="22" t="s">
        <v>192</v>
      </c>
      <c r="H139" s="23">
        <v>24</v>
      </c>
      <c r="I139" s="15">
        <v>0</v>
      </c>
      <c r="J139" s="15">
        <f t="shared" si="4"/>
        <v>24</v>
      </c>
      <c r="K139" s="17">
        <f>(SUM(I134:I139))/(SUM(H134:H139))</f>
        <v>0.20930232558139536</v>
      </c>
    </row>
    <row r="140" spans="1:11" ht="15" x14ac:dyDescent="0.25">
      <c r="A140" s="11" t="s">
        <v>193</v>
      </c>
      <c r="B140" s="11" t="str">
        <f t="shared" si="5"/>
        <v>020002</v>
      </c>
      <c r="C140" s="11" t="str">
        <f>_xlfn.CONCAT(+VLOOKUP(VALUE(MID(A140,13,2)),'Tabla de codigos'!$A$2:$B$60,2,1)," ",VLOOKUP(VALUE(MID(A140,15,4)),'Tabla de codigos'!$E$2:$F$102,2,1))</f>
        <v>BANDEJA 0</v>
      </c>
      <c r="D140" s="12" t="s">
        <v>190</v>
      </c>
      <c r="E140" s="12" t="s">
        <v>11</v>
      </c>
      <c r="F140" s="12" t="s">
        <v>194</v>
      </c>
      <c r="G140" s="22" t="s">
        <v>192</v>
      </c>
      <c r="H140" s="23">
        <v>10</v>
      </c>
      <c r="I140" s="15">
        <v>10</v>
      </c>
      <c r="J140" s="15">
        <f t="shared" si="4"/>
        <v>0</v>
      </c>
    </row>
    <row r="141" spans="1:11" ht="15" x14ac:dyDescent="0.25">
      <c r="A141" s="11" t="s">
        <v>195</v>
      </c>
      <c r="B141" s="11" t="str">
        <f t="shared" si="5"/>
        <v>020005</v>
      </c>
      <c r="C141" s="11" t="str">
        <f>_xlfn.CONCAT(+VLOOKUP(VALUE(MID(A141,13,2)),'Tabla de codigos'!$A$2:$B$60,2,1)," ",VLOOKUP(VALUE(MID(A141,15,4)),'Tabla de codigos'!$E$2:$F$102,2,1))</f>
        <v>BANDEJA 1</v>
      </c>
      <c r="D141" s="12" t="s">
        <v>190</v>
      </c>
      <c r="E141" s="12" t="s">
        <v>11</v>
      </c>
      <c r="F141" s="12" t="s">
        <v>194</v>
      </c>
      <c r="G141" s="22" t="s">
        <v>192</v>
      </c>
      <c r="H141" s="23">
        <v>10</v>
      </c>
      <c r="I141" s="15">
        <v>10</v>
      </c>
      <c r="J141" s="15">
        <f t="shared" si="4"/>
        <v>0</v>
      </c>
    </row>
    <row r="142" spans="1:11" ht="15" x14ac:dyDescent="0.25">
      <c r="A142" s="11" t="s">
        <v>196</v>
      </c>
      <c r="B142" s="11" t="str">
        <f t="shared" si="5"/>
        <v>020006</v>
      </c>
      <c r="C142" s="11" t="str">
        <f>_xlfn.CONCAT(+VLOOKUP(VALUE(MID(A142,13,2)),'Tabla de codigos'!$A$2:$B$60,2,1)," ",VLOOKUP(VALUE(MID(A142,15,4)),'Tabla de codigos'!$E$2:$F$102,2,1))</f>
        <v>BANDEJA 2</v>
      </c>
      <c r="D142" s="12" t="s">
        <v>190</v>
      </c>
      <c r="E142" s="12" t="s">
        <v>11</v>
      </c>
      <c r="F142" s="12" t="s">
        <v>194</v>
      </c>
      <c r="G142" s="22" t="s">
        <v>192</v>
      </c>
      <c r="H142" s="23">
        <v>10</v>
      </c>
      <c r="I142" s="15">
        <v>0</v>
      </c>
      <c r="J142" s="15">
        <f t="shared" si="4"/>
        <v>10</v>
      </c>
    </row>
    <row r="143" spans="1:11" ht="15" x14ac:dyDescent="0.25">
      <c r="A143" s="11" t="s">
        <v>197</v>
      </c>
      <c r="B143" s="11" t="str">
        <f t="shared" si="5"/>
        <v>020007</v>
      </c>
      <c r="C143" s="11" t="str">
        <f>_xlfn.CONCAT(+VLOOKUP(VALUE(MID(A143,13,2)),'Tabla de codigos'!$A$2:$B$60,2,1)," ",VLOOKUP(VALUE(MID(A143,15,4)),'Tabla de codigos'!$E$2:$F$102,2,1))</f>
        <v>BANDEJA 3</v>
      </c>
      <c r="D143" s="12" t="s">
        <v>190</v>
      </c>
      <c r="E143" s="12" t="s">
        <v>11</v>
      </c>
      <c r="F143" s="12" t="s">
        <v>194</v>
      </c>
      <c r="G143" s="22" t="s">
        <v>192</v>
      </c>
      <c r="H143" s="23">
        <v>10</v>
      </c>
      <c r="I143" s="15">
        <v>10</v>
      </c>
      <c r="J143" s="15">
        <f t="shared" si="4"/>
        <v>0</v>
      </c>
    </row>
    <row r="144" spans="1:11" ht="15" x14ac:dyDescent="0.25">
      <c r="A144" s="11" t="s">
        <v>198</v>
      </c>
      <c r="B144" s="11" t="str">
        <f t="shared" si="5"/>
        <v>020008</v>
      </c>
      <c r="C144" s="11" t="str">
        <f>_xlfn.CONCAT(+VLOOKUP(VALUE(MID(A144,13,2)),'Tabla de codigos'!$A$2:$B$60,2,1)," ",VLOOKUP(VALUE(MID(A144,15,4)),'Tabla de codigos'!$E$2:$F$102,2,1))</f>
        <v>BANDEJA 4</v>
      </c>
      <c r="D144" s="12" t="s">
        <v>190</v>
      </c>
      <c r="E144" s="12" t="s">
        <v>11</v>
      </c>
      <c r="F144" s="12" t="s">
        <v>194</v>
      </c>
      <c r="G144" s="22" t="s">
        <v>192</v>
      </c>
      <c r="H144" s="23">
        <v>10</v>
      </c>
      <c r="I144" s="15">
        <v>10</v>
      </c>
      <c r="J144" s="15">
        <f t="shared" si="4"/>
        <v>0</v>
      </c>
    </row>
    <row r="145" spans="1:15" ht="15" x14ac:dyDescent="0.25">
      <c r="A145" s="11" t="s">
        <v>199</v>
      </c>
      <c r="B145" s="11" t="str">
        <f t="shared" si="5"/>
        <v>030002</v>
      </c>
      <c r="C145" s="11" t="str">
        <f>_xlfn.CONCAT(+VLOOKUP(VALUE(MID(A145,13,2)),'Tabla de codigos'!$A$2:$B$60,2,1)," ",VLOOKUP(VALUE(MID(A145,15,4)),'Tabla de codigos'!$E$2:$F$102,2,1))</f>
        <v>BAÑO 0</v>
      </c>
      <c r="D145" s="12" t="s">
        <v>190</v>
      </c>
      <c r="E145" s="12" t="s">
        <v>11</v>
      </c>
      <c r="F145" s="12" t="s">
        <v>194</v>
      </c>
      <c r="G145" s="22" t="s">
        <v>192</v>
      </c>
      <c r="H145" s="23">
        <v>10</v>
      </c>
      <c r="I145" s="15">
        <v>0</v>
      </c>
      <c r="J145" s="15">
        <f t="shared" si="4"/>
        <v>10</v>
      </c>
    </row>
    <row r="146" spans="1:15" ht="15" x14ac:dyDescent="0.25">
      <c r="A146" s="11" t="s">
        <v>200</v>
      </c>
      <c r="B146" s="11" t="str">
        <f t="shared" si="5"/>
        <v>030003</v>
      </c>
      <c r="C146" s="11" t="str">
        <f>_xlfn.CONCAT(+VLOOKUP(VALUE(MID(A146,13,2)),'Tabla de codigos'!$A$2:$B$60,2,1)," ",VLOOKUP(VALUE(MID(A146,15,4)),'Tabla de codigos'!$E$2:$F$102,2,1))</f>
        <v>BAÑO 0</v>
      </c>
      <c r="D146" s="12" t="s">
        <v>190</v>
      </c>
      <c r="E146" s="12" t="s">
        <v>11</v>
      </c>
      <c r="F146" s="12" t="s">
        <v>194</v>
      </c>
      <c r="G146" s="22" t="s">
        <v>192</v>
      </c>
      <c r="H146" s="23">
        <v>10</v>
      </c>
      <c r="I146" s="15">
        <v>10</v>
      </c>
      <c r="J146" s="15">
        <f t="shared" si="4"/>
        <v>0</v>
      </c>
    </row>
    <row r="147" spans="1:15" ht="15" x14ac:dyDescent="0.25">
      <c r="A147" s="11" t="s">
        <v>201</v>
      </c>
      <c r="B147" s="11" t="str">
        <f t="shared" si="5"/>
        <v>030004</v>
      </c>
      <c r="C147" s="11" t="str">
        <f>_xlfn.CONCAT(+VLOOKUP(VALUE(MID(A147,13,2)),'Tabla de codigos'!$A$2:$B$60,2,1)," ",VLOOKUP(VALUE(MID(A147,15,4)),'Tabla de codigos'!$E$2:$F$102,2,1))</f>
        <v>BAÑO 0</v>
      </c>
      <c r="D147" s="12" t="s">
        <v>190</v>
      </c>
      <c r="E147" s="12" t="s">
        <v>11</v>
      </c>
      <c r="F147" s="12" t="s">
        <v>194</v>
      </c>
      <c r="G147" s="22" t="s">
        <v>192</v>
      </c>
      <c r="H147" s="23">
        <v>10</v>
      </c>
      <c r="I147" s="15">
        <v>10</v>
      </c>
      <c r="J147" s="15">
        <f t="shared" si="4"/>
        <v>0</v>
      </c>
    </row>
    <row r="148" spans="1:15" ht="15" x14ac:dyDescent="0.25">
      <c r="A148" s="11" t="s">
        <v>32</v>
      </c>
      <c r="B148" s="11" t="str">
        <f t="shared" si="5"/>
        <v>030009</v>
      </c>
      <c r="C148" s="11" t="str">
        <f>_xlfn.CONCAT(+VLOOKUP(VALUE(MID(A148,13,2)),'Tabla de codigos'!$A$2:$B$60,2,1)," ",VLOOKUP(VALUE(MID(A148,15,4)),'Tabla de codigos'!$E$2:$F$102,2,1))</f>
        <v>BAÑO 5</v>
      </c>
      <c r="D148" s="12" t="s">
        <v>190</v>
      </c>
      <c r="E148" s="12" t="s">
        <v>11</v>
      </c>
      <c r="F148" s="12" t="s">
        <v>194</v>
      </c>
      <c r="G148" s="22" t="s">
        <v>192</v>
      </c>
      <c r="H148" s="23">
        <v>10</v>
      </c>
      <c r="I148" s="15">
        <v>0</v>
      </c>
      <c r="J148" s="15">
        <f t="shared" si="4"/>
        <v>10</v>
      </c>
    </row>
    <row r="149" spans="1:15" ht="15" x14ac:dyDescent="0.25">
      <c r="A149" s="11" t="s">
        <v>37</v>
      </c>
      <c r="B149" s="11" t="str">
        <f t="shared" si="5"/>
        <v>030010</v>
      </c>
      <c r="C149" s="11" t="str">
        <f>_xlfn.CONCAT(+VLOOKUP(VALUE(MID(A149,13,2)),'Tabla de codigos'!$A$2:$B$60,2,1)," ",VLOOKUP(VALUE(MID(A149,15,4)),'Tabla de codigos'!$E$2:$F$102,2,1))</f>
        <v>BAÑO 6</v>
      </c>
      <c r="D149" s="12" t="s">
        <v>190</v>
      </c>
      <c r="E149" s="12" t="s">
        <v>11</v>
      </c>
      <c r="F149" s="12" t="s">
        <v>194</v>
      </c>
      <c r="G149" s="22" t="s">
        <v>192</v>
      </c>
      <c r="H149" s="23">
        <v>10</v>
      </c>
      <c r="I149" s="15">
        <v>0</v>
      </c>
      <c r="J149" s="15">
        <f t="shared" si="4"/>
        <v>10</v>
      </c>
    </row>
    <row r="150" spans="1:15" ht="15" x14ac:dyDescent="0.25">
      <c r="A150" s="11" t="s">
        <v>202</v>
      </c>
      <c r="B150" s="11" t="str">
        <f t="shared" si="5"/>
        <v>110010</v>
      </c>
      <c r="C150" s="11" t="str">
        <f>_xlfn.CONCAT(+VLOOKUP(VALUE(MID(A150,13,2)),'Tabla de codigos'!$A$2:$B$60,2,1)," ",VLOOKUP(VALUE(MID(A150,15,4)),'Tabla de codigos'!$E$2:$F$102,2,1))</f>
        <v>CUBETA 6</v>
      </c>
      <c r="D150" s="12" t="s">
        <v>190</v>
      </c>
      <c r="E150" s="12" t="s">
        <v>11</v>
      </c>
      <c r="F150" s="12" t="s">
        <v>194</v>
      </c>
      <c r="G150" s="22" t="s">
        <v>192</v>
      </c>
      <c r="H150" s="23">
        <v>15</v>
      </c>
      <c r="I150" s="15">
        <v>15</v>
      </c>
      <c r="J150" s="15">
        <f t="shared" si="4"/>
        <v>0</v>
      </c>
    </row>
    <row r="151" spans="1:15" ht="15" x14ac:dyDescent="0.25">
      <c r="A151" s="11" t="s">
        <v>49</v>
      </c>
      <c r="B151" s="11" t="str">
        <f t="shared" si="5"/>
        <v>110012</v>
      </c>
      <c r="C151" s="11" t="str">
        <f>_xlfn.CONCAT(+VLOOKUP(VALUE(MID(A151,13,2)),'Tabla de codigos'!$A$2:$B$60,2,1)," ",VLOOKUP(VALUE(MID(A151,15,4)),'Tabla de codigos'!$E$2:$F$102,2,1))</f>
        <v>CUBETA 8</v>
      </c>
      <c r="D151" s="12" t="s">
        <v>190</v>
      </c>
      <c r="E151" s="12" t="s">
        <v>11</v>
      </c>
      <c r="F151" s="12" t="s">
        <v>194</v>
      </c>
      <c r="G151" s="22" t="s">
        <v>192</v>
      </c>
      <c r="H151" s="23">
        <v>15</v>
      </c>
      <c r="I151" s="15">
        <v>0</v>
      </c>
      <c r="J151" s="15">
        <f t="shared" si="4"/>
        <v>15</v>
      </c>
    </row>
    <row r="152" spans="1:15" ht="15" x14ac:dyDescent="0.25">
      <c r="A152" s="11" t="s">
        <v>203</v>
      </c>
      <c r="B152" s="11" t="str">
        <f t="shared" si="5"/>
        <v>110013</v>
      </c>
      <c r="C152" s="11" t="str">
        <f>_xlfn.CONCAT(+VLOOKUP(VALUE(MID(A152,13,2)),'Tabla de codigos'!$A$2:$B$60,2,1)," ",VLOOKUP(VALUE(MID(A152,15,4)),'Tabla de codigos'!$E$2:$F$102,2,1))</f>
        <v>CUBETA 10</v>
      </c>
      <c r="D152" s="12" t="s">
        <v>190</v>
      </c>
      <c r="E152" s="12" t="s">
        <v>11</v>
      </c>
      <c r="F152" s="12" t="s">
        <v>194</v>
      </c>
      <c r="G152" s="22" t="s">
        <v>192</v>
      </c>
      <c r="H152" s="23">
        <v>15</v>
      </c>
      <c r="I152" s="15">
        <v>15</v>
      </c>
      <c r="J152" s="15">
        <f t="shared" si="4"/>
        <v>0</v>
      </c>
    </row>
    <row r="153" spans="1:15" ht="15" x14ac:dyDescent="0.25">
      <c r="A153" s="11" t="s">
        <v>50</v>
      </c>
      <c r="B153" s="11" t="str">
        <f t="shared" si="5"/>
        <v>110014</v>
      </c>
      <c r="C153" s="11" t="str">
        <f>_xlfn.CONCAT(+VLOOKUP(VALUE(MID(A153,13,2)),'Tabla de codigos'!$A$2:$B$60,2,1)," ",VLOOKUP(VALUE(MID(A153,15,4)),'Tabla de codigos'!$E$2:$F$102,2,1))</f>
        <v>CUBETA 12</v>
      </c>
      <c r="D153" s="12" t="s">
        <v>190</v>
      </c>
      <c r="E153" s="12" t="s">
        <v>11</v>
      </c>
      <c r="F153" s="12" t="s">
        <v>194</v>
      </c>
      <c r="G153" s="22" t="s">
        <v>192</v>
      </c>
      <c r="H153" s="23">
        <v>15</v>
      </c>
      <c r="I153" s="15">
        <v>15</v>
      </c>
      <c r="J153" s="15">
        <f t="shared" si="4"/>
        <v>0</v>
      </c>
    </row>
    <row r="154" spans="1:15" ht="12.2" customHeight="1" x14ac:dyDescent="0.25">
      <c r="A154" s="11" t="s">
        <v>204</v>
      </c>
      <c r="B154" s="11" t="str">
        <f t="shared" si="5"/>
        <v>110015</v>
      </c>
      <c r="C154" s="11" t="str">
        <f>_xlfn.CONCAT(+VLOOKUP(VALUE(MID(A154,13,2)),'Tabla de codigos'!$A$2:$B$60,2,1)," ",VLOOKUP(VALUE(MID(A154,15,4)),'Tabla de codigos'!$E$2:$F$102,2,1))</f>
        <v>CUBETA 14</v>
      </c>
      <c r="D154" s="12" t="s">
        <v>190</v>
      </c>
      <c r="E154" s="12" t="s">
        <v>11</v>
      </c>
      <c r="F154" s="12" t="s">
        <v>194</v>
      </c>
      <c r="G154" s="22" t="s">
        <v>192</v>
      </c>
      <c r="H154" s="23">
        <v>15</v>
      </c>
      <c r="I154" s="15">
        <v>0</v>
      </c>
      <c r="J154" s="15">
        <f t="shared" si="4"/>
        <v>15</v>
      </c>
    </row>
    <row r="155" spans="1:15" ht="12.2" customHeight="1" x14ac:dyDescent="0.25">
      <c r="A155" s="11" t="s">
        <v>205</v>
      </c>
      <c r="B155" s="11" t="str">
        <f t="shared" si="5"/>
        <v>110017</v>
      </c>
      <c r="C155" s="11" t="str">
        <f>_xlfn.CONCAT(+VLOOKUP(VALUE(MID(A155,13,2)),'Tabla de codigos'!$A$2:$B$60,2,1)," ",VLOOKUP(VALUE(MID(A155,15,4)),'Tabla de codigos'!$E$2:$F$102,2,1))</f>
        <v>CUBETA 16</v>
      </c>
      <c r="D155" s="12" t="s">
        <v>190</v>
      </c>
      <c r="E155" s="12" t="s">
        <v>11</v>
      </c>
      <c r="F155" s="12" t="s">
        <v>194</v>
      </c>
      <c r="G155" s="22" t="s">
        <v>192</v>
      </c>
      <c r="H155" s="23">
        <v>10</v>
      </c>
      <c r="I155" s="15">
        <v>10</v>
      </c>
      <c r="J155" s="15">
        <f t="shared" si="4"/>
        <v>0</v>
      </c>
      <c r="K155" s="17">
        <f>(SUM(I140:I155))/(SUM(H140:H155))</f>
        <v>0.6216216216216216</v>
      </c>
    </row>
    <row r="156" spans="1:15" x14ac:dyDescent="0.2">
      <c r="A156" s="11" t="s">
        <v>206</v>
      </c>
      <c r="B156" s="11" t="str">
        <f t="shared" si="5"/>
        <v>030005</v>
      </c>
      <c r="C156" s="11" t="str">
        <f>_xlfn.CONCAT(+VLOOKUP(VALUE(MID(A156,13,2)),'Tabla de codigos'!$A$2:$B$60,2,1)," ",VLOOKUP(VALUE(MID(A156,15,4)),'Tabla de codigos'!$E$2:$F$102,2,1))</f>
        <v>BAÑO 1</v>
      </c>
      <c r="D156" s="12" t="s">
        <v>207</v>
      </c>
      <c r="E156" s="12" t="s">
        <v>114</v>
      </c>
      <c r="F156" s="12" t="s">
        <v>208</v>
      </c>
      <c r="G156" s="12" t="s">
        <v>26</v>
      </c>
      <c r="H156" s="12">
        <v>20</v>
      </c>
      <c r="I156" s="15">
        <v>20</v>
      </c>
      <c r="J156" s="16">
        <f t="shared" si="4"/>
        <v>0</v>
      </c>
      <c r="O156" s="21" t="e">
        <f>(H156)/(IF(A156="","-",VLOOKUP(A156,'[1]CATALOGO PZXCAJA'!$A$2:$C$5000,2,0)))</f>
        <v>#N/A</v>
      </c>
    </row>
    <row r="157" spans="1:15" x14ac:dyDescent="0.2">
      <c r="A157" s="11" t="s">
        <v>209</v>
      </c>
      <c r="B157" s="11" t="str">
        <f t="shared" si="5"/>
        <v>030006</v>
      </c>
      <c r="C157" s="11" t="str">
        <f>_xlfn.CONCAT(+VLOOKUP(VALUE(MID(A157,13,2)),'Tabla de codigos'!$A$2:$B$60,2,1)," ",VLOOKUP(VALUE(MID(A157,15,4)),'Tabla de codigos'!$E$2:$F$102,2,1))</f>
        <v>BAÑO 2</v>
      </c>
      <c r="D157" s="12" t="s">
        <v>207</v>
      </c>
      <c r="E157" s="12" t="s">
        <v>114</v>
      </c>
      <c r="F157" s="12" t="s">
        <v>208</v>
      </c>
      <c r="G157" s="12" t="s">
        <v>26</v>
      </c>
      <c r="H157" s="12">
        <v>20</v>
      </c>
      <c r="I157" s="15">
        <v>0</v>
      </c>
      <c r="J157" s="16">
        <f t="shared" si="4"/>
        <v>20</v>
      </c>
      <c r="O157" s="21" t="e">
        <f>(H157)/(IF(A157="","-",VLOOKUP(A157,'[1]CATALOGO PZXCAJA'!$A$2:$C$5000,2,0)))</f>
        <v>#N/A</v>
      </c>
    </row>
    <row r="158" spans="1:15" x14ac:dyDescent="0.2">
      <c r="A158" s="11" t="s">
        <v>158</v>
      </c>
      <c r="B158" s="11" t="str">
        <f t="shared" si="5"/>
        <v>030007</v>
      </c>
      <c r="C158" s="11" t="str">
        <f>_xlfn.CONCAT(+VLOOKUP(VALUE(MID(A158,13,2)),'Tabla de codigos'!$A$2:$B$60,2,1)," ",VLOOKUP(VALUE(MID(A158,15,4)),'Tabla de codigos'!$E$2:$F$102,2,1))</f>
        <v>BAÑO 3</v>
      </c>
      <c r="D158" s="12" t="s">
        <v>207</v>
      </c>
      <c r="E158" s="12" t="s">
        <v>114</v>
      </c>
      <c r="F158" s="12" t="s">
        <v>208</v>
      </c>
      <c r="G158" s="12" t="s">
        <v>26</v>
      </c>
      <c r="H158" s="12">
        <v>30</v>
      </c>
      <c r="I158" s="15">
        <f>27</f>
        <v>27</v>
      </c>
      <c r="J158" s="16">
        <f t="shared" si="4"/>
        <v>3</v>
      </c>
      <c r="O158" s="21" t="e">
        <f>(H158)/(IF(A158="","-",VLOOKUP(A158,'[1]CATALOGO PZXCAJA'!$A$2:$C$5000,2,0)))</f>
        <v>#N/A</v>
      </c>
    </row>
    <row r="159" spans="1:15" x14ac:dyDescent="0.2">
      <c r="A159" s="11" t="s">
        <v>32</v>
      </c>
      <c r="B159" s="11" t="str">
        <f t="shared" si="5"/>
        <v>030009</v>
      </c>
      <c r="C159" s="11" t="str">
        <f>_xlfn.CONCAT(+VLOOKUP(VALUE(MID(A159,13,2)),'Tabla de codigos'!$A$2:$B$60,2,1)," ",VLOOKUP(VALUE(MID(A159,15,4)),'Tabla de codigos'!$E$2:$F$102,2,1))</f>
        <v>BAÑO 5</v>
      </c>
      <c r="D159" s="12" t="s">
        <v>207</v>
      </c>
      <c r="E159" s="12" t="s">
        <v>114</v>
      </c>
      <c r="F159" s="12" t="s">
        <v>208</v>
      </c>
      <c r="G159" s="12" t="s">
        <v>26</v>
      </c>
      <c r="H159" s="12">
        <v>20</v>
      </c>
      <c r="I159" s="15">
        <v>0</v>
      </c>
      <c r="J159" s="16">
        <f t="shared" si="4"/>
        <v>20</v>
      </c>
      <c r="O159" s="21" t="e">
        <f>(H159)/(IF(A159="","-",VLOOKUP(A159,'[1]CATALOGO PZXCAJA'!$A$2:$C$5000,2,0)))</f>
        <v>#N/A</v>
      </c>
    </row>
    <row r="160" spans="1:15" x14ac:dyDescent="0.2">
      <c r="A160" s="11" t="s">
        <v>210</v>
      </c>
      <c r="B160" s="11" t="str">
        <f t="shared" si="5"/>
        <v>030012</v>
      </c>
      <c r="C160" s="11" t="str">
        <f>_xlfn.CONCAT(+VLOOKUP(VALUE(MID(A160,13,2)),'Tabla de codigos'!$A$2:$B$60,2,1)," ",VLOOKUP(VALUE(MID(A160,15,4)),'Tabla de codigos'!$E$2:$F$102,2,1))</f>
        <v>BAÑO 8</v>
      </c>
      <c r="D160" s="12" t="s">
        <v>207</v>
      </c>
      <c r="E160" s="12" t="s">
        <v>114</v>
      </c>
      <c r="F160" s="12" t="s">
        <v>208</v>
      </c>
      <c r="G160" s="12" t="s">
        <v>26</v>
      </c>
      <c r="H160" s="12">
        <v>15</v>
      </c>
      <c r="I160" s="15">
        <v>15</v>
      </c>
      <c r="J160" s="16">
        <f t="shared" si="4"/>
        <v>0</v>
      </c>
      <c r="O160" s="21" t="e">
        <f>(H160)/(IF(A160="","-",VLOOKUP(A160,'[1]CATALOGO PZXCAJA'!$A$2:$C$5000,2,0)))</f>
        <v>#N/A</v>
      </c>
    </row>
    <row r="161" spans="1:15" x14ac:dyDescent="0.2">
      <c r="A161" s="11" t="s">
        <v>211</v>
      </c>
      <c r="B161" s="11" t="str">
        <f t="shared" si="5"/>
        <v>030013</v>
      </c>
      <c r="C161" s="11" t="str">
        <f>_xlfn.CONCAT(+VLOOKUP(VALUE(MID(A161,13,2)),'Tabla de codigos'!$A$2:$B$60,2,1)," ",VLOOKUP(VALUE(MID(A161,15,4)),'Tabla de codigos'!$E$2:$F$102,2,1))</f>
        <v>BAÑO 10</v>
      </c>
      <c r="D161" s="12" t="s">
        <v>207</v>
      </c>
      <c r="E161" s="12" t="s">
        <v>114</v>
      </c>
      <c r="F161" s="12" t="s">
        <v>208</v>
      </c>
      <c r="G161" s="12" t="s">
        <v>26</v>
      </c>
      <c r="H161" s="12">
        <v>20</v>
      </c>
      <c r="I161" s="15">
        <f>7+13</f>
        <v>20</v>
      </c>
      <c r="J161" s="15">
        <f t="shared" si="4"/>
        <v>0</v>
      </c>
      <c r="K161" s="34"/>
      <c r="L161" s="35"/>
      <c r="M161" s="36"/>
      <c r="N161" s="36"/>
      <c r="O161" s="37" t="e">
        <f>(H161)/(IF(A161="","-",VLOOKUP(A161,'[1]CATALOGO PZXCAJA'!$A$2:$C$5000,2,0)))</f>
        <v>#N/A</v>
      </c>
    </row>
    <row r="162" spans="1:15" x14ac:dyDescent="0.2">
      <c r="A162" s="11" t="s">
        <v>212</v>
      </c>
      <c r="B162" s="11" t="str">
        <f t="shared" si="5"/>
        <v>030014</v>
      </c>
      <c r="C162" s="11" t="str">
        <f>_xlfn.CONCAT(+VLOOKUP(VALUE(MID(A162,13,2)),'Tabla de codigos'!$A$2:$B$60,2,1)," ",VLOOKUP(VALUE(MID(A162,15,4)),'Tabla de codigos'!$E$2:$F$102,2,1))</f>
        <v>BAÑO 12</v>
      </c>
      <c r="D162" s="12" t="s">
        <v>207</v>
      </c>
      <c r="E162" s="12" t="s">
        <v>114</v>
      </c>
      <c r="F162" s="12" t="s">
        <v>208</v>
      </c>
      <c r="G162" s="12" t="s">
        <v>26</v>
      </c>
      <c r="H162" s="12">
        <v>20</v>
      </c>
      <c r="I162" s="15">
        <f>7+13</f>
        <v>20</v>
      </c>
      <c r="J162" s="15">
        <f t="shared" si="4"/>
        <v>0</v>
      </c>
      <c r="K162" s="38">
        <f>(SUM(I156:I162))/(SUM(H156:H162))</f>
        <v>0.70344827586206893</v>
      </c>
      <c r="L162" s="35"/>
      <c r="M162" s="36"/>
      <c r="N162" s="36"/>
      <c r="O162" s="37" t="e">
        <f>(H162)/(IF(A162="","-",VLOOKUP(A162,'[1]CATALOGO PZXCAJA'!$A$2:$C$5000,2,0)))</f>
        <v>#N/A</v>
      </c>
    </row>
    <row r="163" spans="1:15" x14ac:dyDescent="0.2">
      <c r="A163" s="11" t="s">
        <v>19</v>
      </c>
      <c r="B163" s="11" t="str">
        <f t="shared" si="5"/>
        <v>010025</v>
      </c>
      <c r="C163" s="11" t="str">
        <f>_xlfn.CONCAT(+VLOOKUP(VALUE(MID(A163,13,2)),'Tabla de codigos'!$A$2:$B$60,2,1)," ",VLOOKUP(VALUE(MID(A163,15,4)),'Tabla de codigos'!$E$2:$F$102,2,1))</f>
        <v>BACINICA 24</v>
      </c>
      <c r="D163" s="12" t="s">
        <v>207</v>
      </c>
      <c r="E163" s="12" t="s">
        <v>114</v>
      </c>
      <c r="F163" s="12" t="s">
        <v>213</v>
      </c>
      <c r="G163" s="12" t="s">
        <v>26</v>
      </c>
      <c r="H163" s="12">
        <v>36</v>
      </c>
      <c r="I163" s="15">
        <v>0</v>
      </c>
      <c r="J163" s="16">
        <f t="shared" si="4"/>
        <v>36</v>
      </c>
      <c r="O163" s="21">
        <f>(H163)/(IF(A163="","-",VLOOKUP(A163,'[1]CATALOGO PZXCAJA'!$A$2:$C$5000,2,0)))</f>
        <v>3</v>
      </c>
    </row>
    <row r="164" spans="1:15" x14ac:dyDescent="0.2">
      <c r="A164" s="11" t="s">
        <v>189</v>
      </c>
      <c r="B164" s="11" t="str">
        <f t="shared" si="5"/>
        <v>060017</v>
      </c>
      <c r="C164" s="11" t="str">
        <f>_xlfn.CONCAT(+VLOOKUP(VALUE(MID(A164,13,2)),'Tabla de codigos'!$A$2:$B$60,2,1)," ",VLOOKUP(VALUE(MID(A164,15,4)),'Tabla de codigos'!$E$2:$F$102,2,1))</f>
        <v>BUDINERA   16</v>
      </c>
      <c r="D164" s="12" t="s">
        <v>207</v>
      </c>
      <c r="E164" s="12" t="s">
        <v>114</v>
      </c>
      <c r="F164" s="12" t="s">
        <v>213</v>
      </c>
      <c r="G164" s="12" t="s">
        <v>26</v>
      </c>
      <c r="H164" s="12">
        <v>72</v>
      </c>
      <c r="I164" s="15">
        <v>72</v>
      </c>
      <c r="J164" s="16">
        <f t="shared" si="4"/>
        <v>0</v>
      </c>
      <c r="O164" s="21">
        <f>(H164)/(IF(A164="","-",VLOOKUP(A164,'[1]CATALOGO PZXCAJA'!$A$2:$C$5000,2,0)))</f>
        <v>4</v>
      </c>
    </row>
    <row r="165" spans="1:15" x14ac:dyDescent="0.2">
      <c r="A165" s="11" t="s">
        <v>214</v>
      </c>
      <c r="B165" s="11" t="str">
        <f t="shared" si="5"/>
        <v>060021</v>
      </c>
      <c r="C165" s="11" t="str">
        <f>_xlfn.CONCAT(+VLOOKUP(VALUE(MID(A165,13,2)),'Tabla de codigos'!$A$2:$B$60,2,1)," ",VLOOKUP(VALUE(MID(A165,15,4)),'Tabla de codigos'!$E$2:$F$102,2,1))</f>
        <v>BUDINERA   18</v>
      </c>
      <c r="D165" s="12" t="s">
        <v>207</v>
      </c>
      <c r="E165" s="12" t="s">
        <v>114</v>
      </c>
      <c r="F165" s="12" t="s">
        <v>213</v>
      </c>
      <c r="G165" s="12" t="s">
        <v>26</v>
      </c>
      <c r="H165" s="12">
        <v>72</v>
      </c>
      <c r="I165" s="15">
        <f>36+36</f>
        <v>72</v>
      </c>
      <c r="J165" s="16">
        <f t="shared" si="4"/>
        <v>0</v>
      </c>
      <c r="O165" s="21">
        <f>(H165)/(IF(A165="","-",VLOOKUP(A165,'[1]CATALOGO PZXCAJA'!$A$2:$C$5000,2,0)))</f>
        <v>4</v>
      </c>
    </row>
    <row r="166" spans="1:15" x14ac:dyDescent="0.2">
      <c r="A166" s="11" t="s">
        <v>215</v>
      </c>
      <c r="B166" s="11" t="str">
        <f t="shared" si="5"/>
        <v>060022</v>
      </c>
      <c r="C166" s="11" t="str">
        <f>_xlfn.CONCAT(+VLOOKUP(VALUE(MID(A166,13,2)),'Tabla de codigos'!$A$2:$B$60,2,1)," ",VLOOKUP(VALUE(MID(A166,15,4)),'Tabla de codigos'!$E$2:$F$102,2,1))</f>
        <v>BUDINERA   20</v>
      </c>
      <c r="D166" s="12" t="s">
        <v>207</v>
      </c>
      <c r="E166" s="12" t="s">
        <v>114</v>
      </c>
      <c r="F166" s="12" t="s">
        <v>213</v>
      </c>
      <c r="G166" s="12" t="s">
        <v>26</v>
      </c>
      <c r="H166" s="12">
        <v>180</v>
      </c>
      <c r="I166" s="15">
        <f>108+72</f>
        <v>180</v>
      </c>
      <c r="J166" s="16">
        <f t="shared" si="4"/>
        <v>0</v>
      </c>
      <c r="O166" s="21">
        <f>(H166)/(IF(A166="","-",VLOOKUP(A166,'[1]CATALOGO PZXCAJA'!$A$2:$C$5000,2,0)))</f>
        <v>10</v>
      </c>
    </row>
    <row r="167" spans="1:15" x14ac:dyDescent="0.2">
      <c r="A167" s="11" t="s">
        <v>216</v>
      </c>
      <c r="B167" s="11" t="str">
        <f t="shared" si="5"/>
        <v>060022</v>
      </c>
      <c r="C167" s="11" t="str">
        <f>_xlfn.CONCAT(+VLOOKUP(VALUE(MID(A167,13,2)),'Tabla de codigos'!$A$2:$B$60,2,1)," ",VLOOKUP(VALUE(MID(A167,15,4)),'Tabla de codigos'!$E$2:$F$102,2,1))</f>
        <v>BUDINERA   20</v>
      </c>
      <c r="D167" s="12" t="s">
        <v>207</v>
      </c>
      <c r="E167" s="12" t="s">
        <v>114</v>
      </c>
      <c r="F167" s="12" t="s">
        <v>213</v>
      </c>
      <c r="G167" s="12" t="s">
        <v>26</v>
      </c>
      <c r="H167" s="12">
        <v>54</v>
      </c>
      <c r="I167" s="15">
        <v>54</v>
      </c>
      <c r="J167" s="16">
        <f t="shared" si="4"/>
        <v>0</v>
      </c>
      <c r="O167" s="21">
        <f>(H167)/(IF(A167="","-",VLOOKUP(A167,'[1]CATALOGO PZXCAJA'!$A$2:$C$5000,2,0)))</f>
        <v>9</v>
      </c>
    </row>
    <row r="168" spans="1:15" x14ac:dyDescent="0.2">
      <c r="A168" s="11" t="s">
        <v>143</v>
      </c>
      <c r="B168" s="11" t="str">
        <f t="shared" si="5"/>
        <v>060025</v>
      </c>
      <c r="C168" s="11" t="str">
        <f>_xlfn.CONCAT(+VLOOKUP(VALUE(MID(A168,13,2)),'Tabla de codigos'!$A$2:$B$60,2,1)," ",VLOOKUP(VALUE(MID(A168,15,4)),'Tabla de codigos'!$E$2:$F$102,2,1))</f>
        <v>BUDINERA   24</v>
      </c>
      <c r="D168" s="12" t="s">
        <v>207</v>
      </c>
      <c r="E168" s="12" t="s">
        <v>114</v>
      </c>
      <c r="F168" s="12" t="s">
        <v>213</v>
      </c>
      <c r="G168" s="12" t="s">
        <v>26</v>
      </c>
      <c r="H168" s="12">
        <v>120</v>
      </c>
      <c r="I168" s="15">
        <v>120</v>
      </c>
      <c r="J168" s="16">
        <f t="shared" si="4"/>
        <v>0</v>
      </c>
      <c r="O168" s="21">
        <f>(H168)/(IF(A168="","-",VLOOKUP(A168,'[1]CATALOGO PZXCAJA'!$A$2:$C$5000,2,0)))</f>
        <v>10</v>
      </c>
    </row>
    <row r="169" spans="1:15" x14ac:dyDescent="0.2">
      <c r="A169" s="11" t="s">
        <v>217</v>
      </c>
      <c r="B169" s="11" t="str">
        <f t="shared" si="5"/>
        <v>060025</v>
      </c>
      <c r="C169" s="11" t="str">
        <f>_xlfn.CONCAT(+VLOOKUP(VALUE(MID(A169,13,2)),'Tabla de codigos'!$A$2:$B$60,2,1)," ",VLOOKUP(VALUE(MID(A169,15,4)),'Tabla de codigos'!$E$2:$F$102,2,1))</f>
        <v>BUDINERA   24</v>
      </c>
      <c r="D169" s="12" t="s">
        <v>207</v>
      </c>
      <c r="E169" s="12" t="s">
        <v>114</v>
      </c>
      <c r="F169" s="12" t="s">
        <v>213</v>
      </c>
      <c r="G169" s="12" t="s">
        <v>26</v>
      </c>
      <c r="H169" s="12">
        <v>36</v>
      </c>
      <c r="I169" s="15">
        <v>3</v>
      </c>
      <c r="J169" s="16">
        <f t="shared" si="4"/>
        <v>33</v>
      </c>
      <c r="O169" s="21">
        <f>(H169)/(IF(A169="","-",VLOOKUP(A169,'[1]CATALOGO PZXCAJA'!$A$2:$C$5000,2,0)))</f>
        <v>9</v>
      </c>
    </row>
    <row r="170" spans="1:15" x14ac:dyDescent="0.2">
      <c r="A170" s="11" t="s">
        <v>169</v>
      </c>
      <c r="B170" s="11" t="str">
        <f t="shared" si="5"/>
        <v>060029</v>
      </c>
      <c r="C170" s="11" t="str">
        <f>_xlfn.CONCAT(+VLOOKUP(VALUE(MID(A170,13,2)),'Tabla de codigos'!$A$2:$B$60,2,1)," ",VLOOKUP(VALUE(MID(A170,15,4)),'Tabla de codigos'!$E$2:$F$102,2,1))</f>
        <v>BUDINERA   30</v>
      </c>
      <c r="D170" s="12" t="s">
        <v>207</v>
      </c>
      <c r="E170" s="12" t="s">
        <v>114</v>
      </c>
      <c r="F170" s="12" t="s">
        <v>213</v>
      </c>
      <c r="G170" s="12" t="s">
        <v>26</v>
      </c>
      <c r="H170" s="12">
        <v>100</v>
      </c>
      <c r="I170" s="15">
        <f>26+72+2</f>
        <v>100</v>
      </c>
      <c r="J170" s="16">
        <f t="shared" si="4"/>
        <v>0</v>
      </c>
      <c r="O170" s="21">
        <f>(H170)/(IF(A170="","-",VLOOKUP(A170,'[1]CATALOGO PZXCAJA'!$A$2:$C$5000,2,0)))</f>
        <v>25</v>
      </c>
    </row>
    <row r="171" spans="1:15" x14ac:dyDescent="0.2">
      <c r="A171" s="11" t="s">
        <v>173</v>
      </c>
      <c r="B171" s="11" t="str">
        <f t="shared" si="5"/>
        <v>060031</v>
      </c>
      <c r="C171" s="11" t="str">
        <f>_xlfn.CONCAT(+VLOOKUP(VALUE(MID(A171,13,2)),'Tabla de codigos'!$A$2:$B$60,2,1)," ",VLOOKUP(VALUE(MID(A171,15,4)),'Tabla de codigos'!$E$2:$F$102,2,1))</f>
        <v>BUDINERA   34</v>
      </c>
      <c r="D171" s="12" t="s">
        <v>207</v>
      </c>
      <c r="E171" s="12" t="s">
        <v>114</v>
      </c>
      <c r="F171" s="12" t="s">
        <v>213</v>
      </c>
      <c r="G171" s="12" t="s">
        <v>26</v>
      </c>
      <c r="H171" s="12">
        <v>80</v>
      </c>
      <c r="I171" s="15">
        <f>57+23</f>
        <v>80</v>
      </c>
      <c r="J171" s="16">
        <f t="shared" si="4"/>
        <v>0</v>
      </c>
      <c r="O171" s="21">
        <f>(H171)/(IF(A171="","-",VLOOKUP(A171,'[1]CATALOGO PZXCAJA'!$A$2:$C$5000,2,0)))</f>
        <v>20</v>
      </c>
    </row>
    <row r="172" spans="1:15" x14ac:dyDescent="0.2">
      <c r="A172" s="11" t="s">
        <v>38</v>
      </c>
      <c r="B172" s="11" t="str">
        <f t="shared" si="5"/>
        <v>060033</v>
      </c>
      <c r="C172" s="11" t="str">
        <f>_xlfn.CONCAT(+VLOOKUP(VALUE(MID(A172,13,2)),'Tabla de codigos'!$A$2:$B$60,2,1)," ",VLOOKUP(VALUE(MID(A172,15,4)),'Tabla de codigos'!$E$2:$F$102,2,1))</f>
        <v>BUDINERA   42</v>
      </c>
      <c r="D172" s="12" t="s">
        <v>207</v>
      </c>
      <c r="E172" s="12" t="s">
        <v>114</v>
      </c>
      <c r="F172" s="12" t="s">
        <v>213</v>
      </c>
      <c r="G172" s="12" t="s">
        <v>26</v>
      </c>
      <c r="H172" s="12">
        <v>40</v>
      </c>
      <c r="I172" s="15">
        <v>0</v>
      </c>
      <c r="J172" s="16">
        <f t="shared" si="4"/>
        <v>40</v>
      </c>
      <c r="O172" s="21">
        <f>(H172)/(IF(A172="","-",VLOOKUP(A172,'[1]CATALOGO PZXCAJA'!$A$2:$C$5000,2,0)))</f>
        <v>20</v>
      </c>
    </row>
    <row r="173" spans="1:15" x14ac:dyDescent="0.2">
      <c r="A173" s="11" t="s">
        <v>218</v>
      </c>
      <c r="B173" s="11" t="str">
        <f t="shared" si="5"/>
        <v>070015</v>
      </c>
      <c r="C173" s="11" t="str">
        <f>_xlfn.CONCAT(+VLOOKUP(VALUE(MID(A173,13,2)),'Tabla de codigos'!$A$2:$B$60,2,1)," ",VLOOKUP(VALUE(MID(A173,15,4)),'Tabla de codigos'!$E$2:$F$102,2,1))</f>
        <v>CAZO 14</v>
      </c>
      <c r="D173" s="12" t="s">
        <v>207</v>
      </c>
      <c r="E173" s="12" t="s">
        <v>114</v>
      </c>
      <c r="F173" s="12" t="s">
        <v>213</v>
      </c>
      <c r="G173" s="12" t="s">
        <v>26</v>
      </c>
      <c r="H173" s="12">
        <v>120</v>
      </c>
      <c r="I173" s="15">
        <v>120</v>
      </c>
      <c r="J173" s="16">
        <f t="shared" si="4"/>
        <v>0</v>
      </c>
      <c r="O173" s="21">
        <f>(H173)/(IF(A173="","-",VLOOKUP(A173,'[1]CATALOGO PZXCAJA'!$A$2:$C$5000,2,0)))</f>
        <v>10</v>
      </c>
    </row>
    <row r="174" spans="1:15" x14ac:dyDescent="0.2">
      <c r="A174" s="11" t="s">
        <v>219</v>
      </c>
      <c r="B174" s="11" t="str">
        <f t="shared" si="5"/>
        <v>070017</v>
      </c>
      <c r="C174" s="11" t="str">
        <f>_xlfn.CONCAT(+VLOOKUP(VALUE(MID(A174,13,2)),'Tabla de codigos'!$A$2:$B$60,2,1)," ",VLOOKUP(VALUE(MID(A174,15,4)),'Tabla de codigos'!$E$2:$F$102,2,1))</f>
        <v>CAZO 16</v>
      </c>
      <c r="D174" s="12" t="s">
        <v>207</v>
      </c>
      <c r="E174" s="12" t="s">
        <v>114</v>
      </c>
      <c r="F174" s="12" t="s">
        <v>213</v>
      </c>
      <c r="G174" s="12" t="s">
        <v>26</v>
      </c>
      <c r="H174" s="12">
        <v>60</v>
      </c>
      <c r="I174" s="15">
        <v>60</v>
      </c>
      <c r="J174" s="15">
        <f t="shared" si="4"/>
        <v>0</v>
      </c>
      <c r="O174" s="21">
        <f>(H174)/(IF(A174="","-",VLOOKUP(A174,'[1]CATALOGO PZXCAJA'!$A$2:$C$5000,2,0)))</f>
        <v>5</v>
      </c>
    </row>
    <row r="175" spans="1:15" x14ac:dyDescent="0.2">
      <c r="A175" s="11" t="s">
        <v>220</v>
      </c>
      <c r="B175" s="11" t="str">
        <f t="shared" si="5"/>
        <v>240017</v>
      </c>
      <c r="C175" s="11" t="str">
        <f>_xlfn.CONCAT(+VLOOKUP(VALUE(MID(A175,13,2)),'Tabla de codigos'!$A$2:$B$60,2,1)," ",VLOOKUP(VALUE(MID(A175,15,4)),'Tabla de codigos'!$E$2:$F$102,2,1))</f>
        <v>OLLA CONVEXA 16</v>
      </c>
      <c r="D175" s="12" t="s">
        <v>207</v>
      </c>
      <c r="E175" s="12" t="s">
        <v>114</v>
      </c>
      <c r="F175" s="12" t="s">
        <v>213</v>
      </c>
      <c r="G175" s="12" t="s">
        <v>26</v>
      </c>
      <c r="H175" s="12">
        <v>120</v>
      </c>
      <c r="I175" s="15">
        <f>84+36</f>
        <v>120</v>
      </c>
      <c r="J175" s="16">
        <f t="shared" si="4"/>
        <v>0</v>
      </c>
      <c r="O175" s="21">
        <f>(H175)/(IF(A175="","-",VLOOKUP(A175,'[1]CATALOGO PZXCAJA'!$A$2:$C$5000,2,0)))</f>
        <v>10</v>
      </c>
    </row>
    <row r="176" spans="1:15" x14ac:dyDescent="0.2">
      <c r="A176" s="11" t="s">
        <v>150</v>
      </c>
      <c r="B176" s="11" t="str">
        <f t="shared" si="5"/>
        <v>240021</v>
      </c>
      <c r="C176" s="11" t="str">
        <f>_xlfn.CONCAT(+VLOOKUP(VALUE(MID(A176,13,2)),'Tabla de codigos'!$A$2:$B$60,2,1)," ",VLOOKUP(VALUE(MID(A176,15,4)),'Tabla de codigos'!$E$2:$F$102,2,1))</f>
        <v>OLLA CONVEXA 18</v>
      </c>
      <c r="D176" s="12" t="s">
        <v>207</v>
      </c>
      <c r="E176" s="12" t="s">
        <v>114</v>
      </c>
      <c r="F176" s="12" t="s">
        <v>213</v>
      </c>
      <c r="G176" s="12" t="s">
        <v>26</v>
      </c>
      <c r="H176" s="12">
        <v>120</v>
      </c>
      <c r="I176" s="15">
        <f>54+26</f>
        <v>80</v>
      </c>
      <c r="J176" s="16">
        <f t="shared" si="4"/>
        <v>40</v>
      </c>
      <c r="O176" s="21">
        <f>(H176)/(IF(A176="","-",VLOOKUP(A176,'[1]CATALOGO PZXCAJA'!$A$2:$C$5000,2,0)))</f>
        <v>10</v>
      </c>
    </row>
    <row r="177" spans="1:15" x14ac:dyDescent="0.2">
      <c r="A177" s="11" t="s">
        <v>151</v>
      </c>
      <c r="B177" s="11" t="str">
        <f t="shared" si="5"/>
        <v>240022</v>
      </c>
      <c r="C177" s="11" t="str">
        <f>_xlfn.CONCAT(+VLOOKUP(VALUE(MID(A177,13,2)),'Tabla de codigos'!$A$2:$B$60,2,1)," ",VLOOKUP(VALUE(MID(A177,15,4)),'Tabla de codigos'!$E$2:$F$102,2,1))</f>
        <v>OLLA CONVEXA 20</v>
      </c>
      <c r="D177" s="12" t="s">
        <v>207</v>
      </c>
      <c r="E177" s="12" t="s">
        <v>114</v>
      </c>
      <c r="F177" s="12" t="s">
        <v>213</v>
      </c>
      <c r="G177" s="12" t="s">
        <v>26</v>
      </c>
      <c r="H177" s="12">
        <v>60</v>
      </c>
      <c r="I177" s="15">
        <v>49</v>
      </c>
      <c r="J177" s="16">
        <f t="shared" si="4"/>
        <v>11</v>
      </c>
      <c r="O177" s="21">
        <f>(H177)/(IF(A177="","-",VLOOKUP(A177,'[1]CATALOGO PZXCAJA'!$A$2:$C$5000,2,0)))</f>
        <v>5</v>
      </c>
    </row>
    <row r="178" spans="1:15" x14ac:dyDescent="0.2">
      <c r="A178" s="11" t="s">
        <v>43</v>
      </c>
      <c r="B178" s="11" t="str">
        <f t="shared" si="5"/>
        <v>240024</v>
      </c>
      <c r="C178" s="11" t="str">
        <f>_xlfn.CONCAT(+VLOOKUP(VALUE(MID(A178,13,2)),'Tabla de codigos'!$A$2:$B$60,2,1)," ",VLOOKUP(VALUE(MID(A178,15,4)),'Tabla de codigos'!$E$2:$F$102,2,1))</f>
        <v>OLLA CONVEXA 22</v>
      </c>
      <c r="D178" s="12" t="s">
        <v>207</v>
      </c>
      <c r="E178" s="12" t="s">
        <v>114</v>
      </c>
      <c r="F178" s="12" t="s">
        <v>213</v>
      </c>
      <c r="G178" s="12" t="s">
        <v>26</v>
      </c>
      <c r="H178" s="12">
        <v>60</v>
      </c>
      <c r="I178" s="15">
        <v>60</v>
      </c>
      <c r="J178" s="16">
        <f t="shared" si="4"/>
        <v>0</v>
      </c>
      <c r="O178" s="21">
        <f>(H178)/(IF(A178="","-",VLOOKUP(A178,'[1]CATALOGO PZXCAJA'!$A$2:$C$5000,2,0)))</f>
        <v>10</v>
      </c>
    </row>
    <row r="179" spans="1:15" x14ac:dyDescent="0.2">
      <c r="A179" s="11" t="s">
        <v>152</v>
      </c>
      <c r="B179" s="11" t="str">
        <f t="shared" si="5"/>
        <v>240025</v>
      </c>
      <c r="C179" s="11" t="str">
        <f>_xlfn.CONCAT(+VLOOKUP(VALUE(MID(A179,13,2)),'Tabla de codigos'!$A$2:$B$60,2,1)," ",VLOOKUP(VALUE(MID(A179,15,4)),'Tabla de codigos'!$E$2:$F$102,2,1))</f>
        <v>OLLA CONVEXA 24</v>
      </c>
      <c r="D179" s="12" t="s">
        <v>207</v>
      </c>
      <c r="E179" s="12" t="s">
        <v>114</v>
      </c>
      <c r="F179" s="12" t="s">
        <v>213</v>
      </c>
      <c r="G179" s="12" t="s">
        <v>26</v>
      </c>
      <c r="H179" s="12">
        <v>60</v>
      </c>
      <c r="I179" s="15">
        <f>25+30+5</f>
        <v>60</v>
      </c>
      <c r="J179" s="16">
        <f t="shared" si="4"/>
        <v>0</v>
      </c>
      <c r="O179" s="21">
        <f>(H179)/(IF(A179="","-",VLOOKUP(A179,'[1]CATALOGO PZXCAJA'!$A$2:$C$5000,2,0)))</f>
        <v>10</v>
      </c>
    </row>
    <row r="180" spans="1:15" x14ac:dyDescent="0.2">
      <c r="A180" s="11" t="s">
        <v>153</v>
      </c>
      <c r="B180" s="11" t="str">
        <f t="shared" si="5"/>
        <v>240026</v>
      </c>
      <c r="C180" s="11" t="str">
        <f>_xlfn.CONCAT(+VLOOKUP(VALUE(MID(A180,13,2)),'Tabla de codigos'!$A$2:$B$60,2,1)," ",VLOOKUP(VALUE(MID(A180,15,4)),'Tabla de codigos'!$E$2:$F$102,2,1))</f>
        <v>OLLA CONVEXA 26</v>
      </c>
      <c r="D180" s="12" t="s">
        <v>207</v>
      </c>
      <c r="E180" s="12" t="s">
        <v>114</v>
      </c>
      <c r="F180" s="12" t="s">
        <v>213</v>
      </c>
      <c r="G180" s="12" t="s">
        <v>26</v>
      </c>
      <c r="H180" s="12">
        <v>90</v>
      </c>
      <c r="I180" s="15">
        <f>30+18+6+5+30+1</f>
        <v>90</v>
      </c>
      <c r="J180" s="16">
        <f t="shared" si="4"/>
        <v>0</v>
      </c>
      <c r="O180" s="21">
        <f>(H180)/(IF(A180="","-",VLOOKUP(A180,'[1]CATALOGO PZXCAJA'!$A$2:$C$5000,2,0)))</f>
        <v>15</v>
      </c>
    </row>
    <row r="181" spans="1:15" x14ac:dyDescent="0.2">
      <c r="A181" s="11" t="s">
        <v>154</v>
      </c>
      <c r="B181" s="11" t="str">
        <f t="shared" si="5"/>
        <v>240029</v>
      </c>
      <c r="C181" s="11" t="str">
        <f>_xlfn.CONCAT(+VLOOKUP(VALUE(MID(A181,13,2)),'Tabla de codigos'!$A$2:$B$60,2,1)," ",VLOOKUP(VALUE(MID(A181,15,4)),'Tabla de codigos'!$E$2:$F$102,2,1))</f>
        <v>OLLA CONVEXA 30</v>
      </c>
      <c r="D181" s="12" t="s">
        <v>207</v>
      </c>
      <c r="E181" s="12" t="s">
        <v>114</v>
      </c>
      <c r="F181" s="12" t="s">
        <v>213</v>
      </c>
      <c r="G181" s="12" t="s">
        <v>26</v>
      </c>
      <c r="H181" s="12">
        <v>20</v>
      </c>
      <c r="I181" s="15">
        <v>20</v>
      </c>
      <c r="J181" s="16">
        <f t="shared" si="4"/>
        <v>0</v>
      </c>
      <c r="O181" s="21">
        <f>(H181)/(IF(A181="","-",VLOOKUP(A181,'[1]CATALOGO PZXCAJA'!$A$2:$C$5000,2,0)))</f>
        <v>10</v>
      </c>
    </row>
    <row r="182" spans="1:15" x14ac:dyDescent="0.2">
      <c r="A182" s="11" t="s">
        <v>221</v>
      </c>
      <c r="B182" s="11" t="str">
        <f t="shared" si="5"/>
        <v>240031</v>
      </c>
      <c r="C182" s="11" t="str">
        <f>_xlfn.CONCAT(+VLOOKUP(VALUE(MID(A182,13,2)),'Tabla de codigos'!$A$2:$B$60,2,1)," ",VLOOKUP(VALUE(MID(A182,15,4)),'Tabla de codigos'!$E$2:$F$102,2,1))</f>
        <v>OLLA CONVEXA 34</v>
      </c>
      <c r="D182" s="12" t="s">
        <v>207</v>
      </c>
      <c r="E182" s="12" t="s">
        <v>114</v>
      </c>
      <c r="F182" s="12" t="s">
        <v>213</v>
      </c>
      <c r="G182" s="12" t="s">
        <v>26</v>
      </c>
      <c r="H182" s="12">
        <v>20</v>
      </c>
      <c r="I182" s="15">
        <v>20</v>
      </c>
      <c r="J182" s="16">
        <f t="shared" si="4"/>
        <v>0</v>
      </c>
      <c r="O182" s="21">
        <f>(H182)/(IF(A182="","-",VLOOKUP(A182,'[1]CATALOGO PZXCAJA'!$A$2:$C$5000,2,0)))</f>
        <v>10</v>
      </c>
    </row>
    <row r="183" spans="1:15" x14ac:dyDescent="0.2">
      <c r="A183" s="11" t="s">
        <v>222</v>
      </c>
      <c r="B183" s="11" t="str">
        <f t="shared" si="5"/>
        <v>250014</v>
      </c>
      <c r="C183" s="11" t="str">
        <f>_xlfn.CONCAT(+VLOOKUP(VALUE(MID(A183,13,2)),'Tabla de codigos'!$A$2:$B$60,2,1)," ",VLOOKUP(VALUE(MID(A183,15,4)),'Tabla de codigos'!$E$2:$F$102,2,1))</f>
        <v>OLLA RECTA 12</v>
      </c>
      <c r="D183" s="12" t="s">
        <v>207</v>
      </c>
      <c r="E183" s="12" t="s">
        <v>114</v>
      </c>
      <c r="F183" s="12" t="s">
        <v>213</v>
      </c>
      <c r="G183" s="12" t="s">
        <v>26</v>
      </c>
      <c r="H183" s="12">
        <v>54</v>
      </c>
      <c r="I183" s="15">
        <v>54</v>
      </c>
      <c r="J183" s="16">
        <f t="shared" si="4"/>
        <v>0</v>
      </c>
      <c r="O183" s="21">
        <f>(H183)/(IF(A183="","-",VLOOKUP(A183,'[1]CATALOGO PZXCAJA'!$A$2:$C$5000,2,0)))</f>
        <v>3</v>
      </c>
    </row>
    <row r="184" spans="1:15" x14ac:dyDescent="0.2">
      <c r="A184" s="11" t="s">
        <v>223</v>
      </c>
      <c r="B184" s="11" t="str">
        <f t="shared" si="5"/>
        <v>250025</v>
      </c>
      <c r="C184" s="11" t="str">
        <f>_xlfn.CONCAT(+VLOOKUP(VALUE(MID(A184,13,2)),'Tabla de codigos'!$A$2:$B$60,2,1)," ",VLOOKUP(VALUE(MID(A184,15,4)),'Tabla de codigos'!$E$2:$F$102,2,1))</f>
        <v>OLLA RECTA 24</v>
      </c>
      <c r="D184" s="12" t="s">
        <v>207</v>
      </c>
      <c r="E184" s="12" t="s">
        <v>114</v>
      </c>
      <c r="F184" s="12" t="s">
        <v>213</v>
      </c>
      <c r="G184" s="12" t="s">
        <v>26</v>
      </c>
      <c r="H184" s="12">
        <v>18</v>
      </c>
      <c r="I184" s="15">
        <v>18</v>
      </c>
      <c r="J184" s="16">
        <f t="shared" si="4"/>
        <v>0</v>
      </c>
      <c r="O184" s="21">
        <f>(H184)/(IF(A184="","-",VLOOKUP(A184,'[1]CATALOGO PZXCAJA'!$A$2:$C$5000,2,0)))</f>
        <v>4.5</v>
      </c>
    </row>
    <row r="185" spans="1:15" x14ac:dyDescent="0.2">
      <c r="A185" s="11" t="s">
        <v>224</v>
      </c>
      <c r="B185" s="11" t="str">
        <f t="shared" si="5"/>
        <v>250026</v>
      </c>
      <c r="C185" s="11" t="str">
        <f>_xlfn.CONCAT(+VLOOKUP(VALUE(MID(A185,13,2)),'Tabla de codigos'!$A$2:$B$60,2,1)," ",VLOOKUP(VALUE(MID(A185,15,4)),'Tabla de codigos'!$E$2:$F$102,2,1))</f>
        <v>OLLA RECTA 26</v>
      </c>
      <c r="D185" s="12" t="s">
        <v>207</v>
      </c>
      <c r="E185" s="12" t="s">
        <v>114</v>
      </c>
      <c r="F185" s="12" t="s">
        <v>213</v>
      </c>
      <c r="G185" s="12" t="s">
        <v>26</v>
      </c>
      <c r="H185" s="12">
        <v>60</v>
      </c>
      <c r="I185" s="15">
        <v>60</v>
      </c>
      <c r="J185" s="16">
        <f t="shared" si="4"/>
        <v>0</v>
      </c>
      <c r="O185" s="21">
        <f>(H185)/(IF(A185="","-",VLOOKUP(A185,'[1]CATALOGO PZXCAJA'!$A$2:$C$5000,2,0)))</f>
        <v>10</v>
      </c>
    </row>
    <row r="186" spans="1:15" x14ac:dyDescent="0.2">
      <c r="A186" s="11" t="s">
        <v>156</v>
      </c>
      <c r="B186" s="11" t="str">
        <f t="shared" si="5"/>
        <v>250031</v>
      </c>
      <c r="C186" s="11" t="str">
        <f>_xlfn.CONCAT(+VLOOKUP(VALUE(MID(A186,13,2)),'Tabla de codigos'!$A$2:$B$60,2,1)," ",VLOOKUP(VALUE(MID(A186,15,4)),'Tabla de codigos'!$E$2:$F$102,2,1))</f>
        <v>OLLA RECTA 34</v>
      </c>
      <c r="D186" s="12" t="s">
        <v>207</v>
      </c>
      <c r="E186" s="12" t="s">
        <v>114</v>
      </c>
      <c r="F186" s="12" t="s">
        <v>213</v>
      </c>
      <c r="G186" s="12" t="s">
        <v>26</v>
      </c>
      <c r="H186" s="12">
        <v>10</v>
      </c>
      <c r="I186" s="15">
        <v>0</v>
      </c>
      <c r="J186" s="16">
        <f t="shared" si="4"/>
        <v>10</v>
      </c>
      <c r="O186" s="21">
        <f>(H186)/(IF(A186="","-",VLOOKUP(A186,'[1]CATALOGO PZXCAJA'!$A$2:$C$5000,2,0)))</f>
        <v>5</v>
      </c>
    </row>
    <row r="187" spans="1:15" x14ac:dyDescent="0.2">
      <c r="A187" s="11" t="s">
        <v>225</v>
      </c>
      <c r="B187" s="11" t="str">
        <f t="shared" si="5"/>
        <v>330012</v>
      </c>
      <c r="C187" s="11" t="str">
        <f>_xlfn.CONCAT(+VLOOKUP(VALUE(MID(A187,13,2)),'Tabla de codigos'!$A$2:$B$60,2,1)," ",VLOOKUP(VALUE(MID(A187,15,4)),'Tabla de codigos'!$E$2:$F$102,2,1))</f>
        <v>POCILLO 8</v>
      </c>
      <c r="D187" s="12" t="s">
        <v>207</v>
      </c>
      <c r="E187" s="12" t="s">
        <v>114</v>
      </c>
      <c r="F187" s="12" t="s">
        <v>213</v>
      </c>
      <c r="G187" s="12" t="s">
        <v>26</v>
      </c>
      <c r="H187" s="12">
        <v>240</v>
      </c>
      <c r="I187" s="15">
        <f>21+96+120+3</f>
        <v>240</v>
      </c>
      <c r="J187" s="16">
        <f t="shared" si="4"/>
        <v>0</v>
      </c>
      <c r="O187" s="21">
        <f>(H187)/(IF(A187="","-",VLOOKUP(A187,'[1]CATALOGO PZXCAJA'!$A$2:$C$5000,2,0)))</f>
        <v>10</v>
      </c>
    </row>
    <row r="188" spans="1:15" x14ac:dyDescent="0.2">
      <c r="A188" s="11" t="s">
        <v>226</v>
      </c>
      <c r="B188" s="11" t="str">
        <f t="shared" si="5"/>
        <v>330013</v>
      </c>
      <c r="C188" s="11" t="str">
        <f>_xlfn.CONCAT(+VLOOKUP(VALUE(MID(A188,13,2)),'Tabla de codigos'!$A$2:$B$60,2,1)," ",VLOOKUP(VALUE(MID(A188,15,4)),'Tabla de codigos'!$E$2:$F$102,2,1))</f>
        <v>POCILLO 10</v>
      </c>
      <c r="D188" s="12" t="s">
        <v>207</v>
      </c>
      <c r="E188" s="12" t="s">
        <v>114</v>
      </c>
      <c r="F188" s="12" t="s">
        <v>213</v>
      </c>
      <c r="G188" s="12" t="s">
        <v>26</v>
      </c>
      <c r="H188" s="12">
        <v>360</v>
      </c>
      <c r="I188" s="15">
        <f>34+120+206</f>
        <v>360</v>
      </c>
      <c r="J188" s="16">
        <f t="shared" si="4"/>
        <v>0</v>
      </c>
      <c r="O188" s="21">
        <f>(H188)/(IF(A188="","-",VLOOKUP(A188,'[1]CATALOGO PZXCAJA'!$A$2:$C$5000,2,0)))</f>
        <v>15</v>
      </c>
    </row>
    <row r="189" spans="1:15" x14ac:dyDescent="0.2">
      <c r="A189" s="11" t="s">
        <v>180</v>
      </c>
      <c r="B189" s="11" t="str">
        <f t="shared" si="5"/>
        <v>330014</v>
      </c>
      <c r="C189" s="11" t="str">
        <f>_xlfn.CONCAT(+VLOOKUP(VALUE(MID(A189,13,2)),'Tabla de codigos'!$A$2:$B$60,2,1)," ",VLOOKUP(VALUE(MID(A189,15,4)),'Tabla de codigos'!$E$2:$F$102,2,1))</f>
        <v>POCILLO 12</v>
      </c>
      <c r="D189" s="12" t="s">
        <v>207</v>
      </c>
      <c r="E189" s="12" t="s">
        <v>114</v>
      </c>
      <c r="F189" s="12" t="s">
        <v>213</v>
      </c>
      <c r="G189" s="12" t="s">
        <v>26</v>
      </c>
      <c r="H189" s="12">
        <v>240</v>
      </c>
      <c r="I189" s="15">
        <f>137+103</f>
        <v>240</v>
      </c>
      <c r="J189" s="16">
        <f t="shared" si="4"/>
        <v>0</v>
      </c>
      <c r="O189" s="21">
        <f>(H189)/(IF(A189="","-",VLOOKUP(A189,'[1]CATALOGO PZXCAJA'!$A$2:$C$5000,2,0)))</f>
        <v>20</v>
      </c>
    </row>
    <row r="190" spans="1:15" x14ac:dyDescent="0.2">
      <c r="A190" s="11" t="s">
        <v>182</v>
      </c>
      <c r="B190" s="11" t="str">
        <f t="shared" si="5"/>
        <v>330015</v>
      </c>
      <c r="C190" s="11" t="str">
        <f>_xlfn.CONCAT(+VLOOKUP(VALUE(MID(A190,13,2)),'Tabla de codigos'!$A$2:$B$60,2,1)," ",VLOOKUP(VALUE(MID(A190,15,4)),'Tabla de codigos'!$E$2:$F$102,2,1))</f>
        <v>POCILLO 14</v>
      </c>
      <c r="D190" s="12" t="s">
        <v>207</v>
      </c>
      <c r="E190" s="12" t="s">
        <v>114</v>
      </c>
      <c r="F190" s="12" t="s">
        <v>213</v>
      </c>
      <c r="G190" s="12" t="s">
        <v>26</v>
      </c>
      <c r="H190" s="12">
        <v>240</v>
      </c>
      <c r="I190" s="15">
        <v>240</v>
      </c>
      <c r="J190" s="16">
        <f t="shared" si="4"/>
        <v>0</v>
      </c>
      <c r="O190" s="21">
        <f>(H190)/(IF(A190="","-",VLOOKUP(A190,'[1]CATALOGO PZXCAJA'!$A$2:$C$5000,2,0)))</f>
        <v>40</v>
      </c>
    </row>
    <row r="191" spans="1:15" x14ac:dyDescent="0.2">
      <c r="A191" s="11" t="s">
        <v>125</v>
      </c>
      <c r="B191" s="11" t="str">
        <f t="shared" si="5"/>
        <v>330015</v>
      </c>
      <c r="C191" s="11" t="str">
        <f>_xlfn.CONCAT(+VLOOKUP(VALUE(MID(A191,13,2)),'Tabla de codigos'!$A$2:$B$60,2,1)," ",VLOOKUP(VALUE(MID(A191,15,4)),'Tabla de codigos'!$E$2:$F$102,2,1))</f>
        <v>POCILLO 14</v>
      </c>
      <c r="D191" s="12" t="s">
        <v>207</v>
      </c>
      <c r="E191" s="12" t="s">
        <v>114</v>
      </c>
      <c r="F191" s="12" t="s">
        <v>213</v>
      </c>
      <c r="G191" s="12" t="s">
        <v>26</v>
      </c>
      <c r="H191" s="12">
        <v>180</v>
      </c>
      <c r="I191" s="15">
        <f>72+108</f>
        <v>180</v>
      </c>
      <c r="J191" s="16">
        <f t="shared" si="4"/>
        <v>0</v>
      </c>
      <c r="O191" s="21">
        <f>(H191)/(IF(A191="","-",VLOOKUP(A191,'[1]CATALOGO PZXCAJA'!$A$2:$C$5000,2,0)))</f>
        <v>30</v>
      </c>
    </row>
    <row r="192" spans="1:15" x14ac:dyDescent="0.2">
      <c r="A192" s="11" t="s">
        <v>227</v>
      </c>
      <c r="B192" s="11" t="str">
        <f t="shared" si="5"/>
        <v>360024</v>
      </c>
      <c r="C192" s="11" t="str">
        <f>_xlfn.CONCAT(+VLOOKUP(VALUE(MID(A192,13,2)),'Tabla de codigos'!$A$2:$B$60,2,1)," ",VLOOKUP(VALUE(MID(A192,15,4)),'Tabla de codigos'!$E$2:$F$102,2,1))</f>
        <v>SARTEN 22</v>
      </c>
      <c r="D192" s="12" t="s">
        <v>207</v>
      </c>
      <c r="E192" s="12" t="s">
        <v>114</v>
      </c>
      <c r="F192" s="12" t="s">
        <v>213</v>
      </c>
      <c r="G192" s="12" t="s">
        <v>26</v>
      </c>
      <c r="H192" s="12">
        <v>120</v>
      </c>
      <c r="I192" s="15">
        <v>2</v>
      </c>
      <c r="J192" s="15">
        <f t="shared" si="4"/>
        <v>118</v>
      </c>
      <c r="O192" s="21">
        <f>(H192)/(IF(A192="","-",VLOOKUP(A192,'[1]CATALOGO PZXCAJA'!$A$2:$C$5000,2,0)))</f>
        <v>10</v>
      </c>
    </row>
    <row r="193" spans="1:15" x14ac:dyDescent="0.2">
      <c r="A193" s="11" t="s">
        <v>44</v>
      </c>
      <c r="B193" s="11" t="str">
        <f t="shared" si="5"/>
        <v>360025</v>
      </c>
      <c r="C193" s="11" t="str">
        <f>_xlfn.CONCAT(+VLOOKUP(VALUE(MID(A193,13,2)),'Tabla de codigos'!$A$2:$B$60,2,1)," ",VLOOKUP(VALUE(MID(A193,15,4)),'Tabla de codigos'!$E$2:$F$102,2,1))</f>
        <v>SARTEN 24</v>
      </c>
      <c r="D193" s="12" t="s">
        <v>207</v>
      </c>
      <c r="E193" s="12" t="s">
        <v>114</v>
      </c>
      <c r="F193" s="12" t="s">
        <v>213</v>
      </c>
      <c r="G193" s="12" t="s">
        <v>26</v>
      </c>
      <c r="H193" s="12">
        <v>120</v>
      </c>
      <c r="I193" s="15">
        <v>0</v>
      </c>
      <c r="J193" s="15">
        <f t="shared" si="4"/>
        <v>120</v>
      </c>
      <c r="O193" s="21">
        <f>(H193)/(IF(A193="","-",VLOOKUP(A193,'[1]CATALOGO PZXCAJA'!$A$2:$C$5000,2,0)))</f>
        <v>10</v>
      </c>
    </row>
    <row r="194" spans="1:15" x14ac:dyDescent="0.2">
      <c r="A194" s="11" t="s">
        <v>228</v>
      </c>
      <c r="B194" s="11" t="str">
        <f t="shared" si="5"/>
        <v>550098</v>
      </c>
      <c r="C194" s="11" t="str">
        <f>_xlfn.CONCAT(+VLOOKUP(VALUE(MID(A194,13,2)),'Tabla de codigos'!$A$2:$B$60,2,1)," ",VLOOKUP(VALUE(MID(A194,15,4)),'Tabla de codigos'!$E$2:$F$102,2,1))</f>
        <v>PAVERA OVAL 18"</v>
      </c>
      <c r="D194" s="12" t="s">
        <v>207</v>
      </c>
      <c r="E194" s="12" t="s">
        <v>114</v>
      </c>
      <c r="F194" s="12" t="s">
        <v>213</v>
      </c>
      <c r="G194" s="12" t="s">
        <v>26</v>
      </c>
      <c r="H194" s="12">
        <v>20</v>
      </c>
      <c r="I194" s="15">
        <v>20</v>
      </c>
      <c r="J194" s="16">
        <f t="shared" ref="J194:J257" si="6">+H194-I194</f>
        <v>0</v>
      </c>
      <c r="K194" s="17">
        <f>(SUM(I163:I194))/(SUM(H163:H194))</f>
        <v>0.87177875549968575</v>
      </c>
      <c r="O194" s="21">
        <f>(H194)/(IF(A194="","-",VLOOKUP(A194,'[1]CATALOGO PZXCAJA'!$A$2:$C$5000,2,0)))</f>
        <v>10</v>
      </c>
    </row>
    <row r="195" spans="1:15" x14ac:dyDescent="0.2">
      <c r="A195" s="11" t="s">
        <v>229</v>
      </c>
      <c r="B195" s="11" t="str">
        <f t="shared" ref="B195:B258" si="7">+MID(A195,13,6)</f>
        <v>040055</v>
      </c>
      <c r="C195" s="11" t="str">
        <f>_xlfn.CONCAT(+VLOOKUP(VALUE(MID(A195,13,2)),'Tabla de codigos'!$A$2:$B$60,2,1)," ",VLOOKUP(VALUE(MID(A195,15,4)),'Tabla de codigos'!$E$2:$F$102,2,1))</f>
        <v>BATERIA ALASKA</v>
      </c>
      <c r="D195" s="11" t="s">
        <v>230</v>
      </c>
      <c r="E195" s="12" t="s">
        <v>174</v>
      </c>
      <c r="F195" s="13" t="s">
        <v>231</v>
      </c>
      <c r="G195" s="14" t="s">
        <v>186</v>
      </c>
      <c r="H195" s="15">
        <v>5</v>
      </c>
      <c r="I195" s="15">
        <v>0</v>
      </c>
      <c r="J195" s="15">
        <f t="shared" si="6"/>
        <v>5</v>
      </c>
    </row>
    <row r="196" spans="1:15" x14ac:dyDescent="0.2">
      <c r="A196" s="11" t="s">
        <v>232</v>
      </c>
      <c r="B196" s="11" t="str">
        <f t="shared" si="7"/>
        <v>040056</v>
      </c>
      <c r="C196" s="11" t="str">
        <f>_xlfn.CONCAT(+VLOOKUP(VALUE(MID(A196,13,2)),'Tabla de codigos'!$A$2:$B$60,2,1)," ",VLOOKUP(VALUE(MID(A196,15,4)),'Tabla de codigos'!$E$2:$F$102,2,1))</f>
        <v>BATERIA ALEGRIA</v>
      </c>
      <c r="D196" s="11" t="s">
        <v>230</v>
      </c>
      <c r="E196" s="12" t="s">
        <v>174</v>
      </c>
      <c r="F196" s="13" t="s">
        <v>231</v>
      </c>
      <c r="G196" s="14" t="s">
        <v>186</v>
      </c>
      <c r="H196" s="15">
        <v>5</v>
      </c>
      <c r="I196" s="15">
        <v>0</v>
      </c>
      <c r="J196" s="15">
        <f t="shared" si="6"/>
        <v>5</v>
      </c>
    </row>
    <row r="197" spans="1:15" x14ac:dyDescent="0.2">
      <c r="A197" s="11" t="s">
        <v>233</v>
      </c>
      <c r="B197" s="11" t="str">
        <f t="shared" si="7"/>
        <v>040058</v>
      </c>
      <c r="C197" s="11" t="str">
        <f>_xlfn.CONCAT(+VLOOKUP(VALUE(MID(A197,13,2)),'Tabla de codigos'!$A$2:$B$60,2,1)," ",VLOOKUP(VALUE(MID(A197,15,4)),'Tabla de codigos'!$E$2:$F$102,2,1))</f>
        <v>BATERIA AZULEJO</v>
      </c>
      <c r="D197" s="11" t="s">
        <v>230</v>
      </c>
      <c r="E197" s="12" t="s">
        <v>174</v>
      </c>
      <c r="F197" s="13" t="s">
        <v>231</v>
      </c>
      <c r="G197" s="14" t="s">
        <v>186</v>
      </c>
      <c r="H197" s="15">
        <v>5</v>
      </c>
      <c r="I197" s="15">
        <v>5</v>
      </c>
      <c r="J197" s="15">
        <f t="shared" si="6"/>
        <v>0</v>
      </c>
    </row>
    <row r="198" spans="1:15" x14ac:dyDescent="0.2">
      <c r="A198" s="11" t="s">
        <v>234</v>
      </c>
      <c r="B198" s="11" t="str">
        <f t="shared" si="7"/>
        <v>040061</v>
      </c>
      <c r="C198" s="11" t="str">
        <f>_xlfn.CONCAT(+VLOOKUP(VALUE(MID(A198,13,2)),'Tabla de codigos'!$A$2:$B$60,2,1)," ",VLOOKUP(VALUE(MID(A198,15,4)),'Tabla de codigos'!$E$2:$F$102,2,1))</f>
        <v>BATERIA CAMPESTRE</v>
      </c>
      <c r="D198" s="11" t="s">
        <v>230</v>
      </c>
      <c r="E198" s="12" t="s">
        <v>174</v>
      </c>
      <c r="F198" s="13" t="s">
        <v>231</v>
      </c>
      <c r="G198" s="14" t="s">
        <v>186</v>
      </c>
      <c r="H198" s="15">
        <v>3</v>
      </c>
      <c r="I198" s="15">
        <v>3</v>
      </c>
      <c r="J198" s="15">
        <f t="shared" si="6"/>
        <v>0</v>
      </c>
    </row>
    <row r="199" spans="1:15" x14ac:dyDescent="0.2">
      <c r="A199" s="11" t="s">
        <v>235</v>
      </c>
      <c r="B199" s="11" t="str">
        <f t="shared" si="7"/>
        <v>040070</v>
      </c>
      <c r="C199" s="11" t="str">
        <f>_xlfn.CONCAT(+VLOOKUP(VALUE(MID(A199,13,2)),'Tabla de codigos'!$A$2:$B$60,2,1)," ",VLOOKUP(VALUE(MID(A199,15,4)),'Tabla de codigos'!$E$2:$F$102,2,1))</f>
        <v>BATERIA XOCHITL</v>
      </c>
      <c r="D199" s="11" t="s">
        <v>230</v>
      </c>
      <c r="E199" s="12" t="s">
        <v>174</v>
      </c>
      <c r="F199" s="13" t="s">
        <v>231</v>
      </c>
      <c r="G199" s="14" t="s">
        <v>186</v>
      </c>
      <c r="H199" s="15">
        <v>5</v>
      </c>
      <c r="I199" s="15">
        <v>0</v>
      </c>
      <c r="J199" s="15">
        <f t="shared" si="6"/>
        <v>5</v>
      </c>
    </row>
    <row r="200" spans="1:15" x14ac:dyDescent="0.2">
      <c r="A200" s="11" t="s">
        <v>143</v>
      </c>
      <c r="B200" s="11" t="str">
        <f t="shared" si="7"/>
        <v>060025</v>
      </c>
      <c r="C200" s="11" t="str">
        <f>_xlfn.CONCAT(+VLOOKUP(VALUE(MID(A200,13,2)),'Tabla de codigos'!$A$2:$B$60,2,1)," ",VLOOKUP(VALUE(MID(A200,15,4)),'Tabla de codigos'!$E$2:$F$102,2,1))</f>
        <v>BUDINERA   24</v>
      </c>
      <c r="D200" s="11" t="s">
        <v>230</v>
      </c>
      <c r="E200" s="12" t="s">
        <v>174</v>
      </c>
      <c r="F200" s="13" t="s">
        <v>231</v>
      </c>
      <c r="G200" s="14" t="s">
        <v>186</v>
      </c>
      <c r="H200" s="15">
        <v>24</v>
      </c>
      <c r="I200" s="15">
        <v>24</v>
      </c>
      <c r="J200" s="15">
        <f t="shared" si="6"/>
        <v>0</v>
      </c>
    </row>
    <row r="201" spans="1:15" x14ac:dyDescent="0.2">
      <c r="A201" s="11" t="s">
        <v>169</v>
      </c>
      <c r="B201" s="11" t="str">
        <f t="shared" si="7"/>
        <v>060029</v>
      </c>
      <c r="C201" s="11" t="str">
        <f>_xlfn.CONCAT(+VLOOKUP(VALUE(MID(A201,13,2)),'Tabla de codigos'!$A$2:$B$60,2,1)," ",VLOOKUP(VALUE(MID(A201,15,4)),'Tabla de codigos'!$E$2:$F$102,2,1))</f>
        <v>BUDINERA   30</v>
      </c>
      <c r="D201" s="11" t="s">
        <v>230</v>
      </c>
      <c r="E201" s="12" t="s">
        <v>174</v>
      </c>
      <c r="F201" s="13" t="s">
        <v>231</v>
      </c>
      <c r="G201" s="14" t="s">
        <v>186</v>
      </c>
      <c r="H201" s="15">
        <v>12</v>
      </c>
      <c r="I201" s="15">
        <v>12</v>
      </c>
      <c r="J201" s="15">
        <f t="shared" si="6"/>
        <v>0</v>
      </c>
    </row>
    <row r="202" spans="1:15" x14ac:dyDescent="0.2">
      <c r="A202" s="11" t="s">
        <v>173</v>
      </c>
      <c r="B202" s="11" t="str">
        <f t="shared" si="7"/>
        <v>060031</v>
      </c>
      <c r="C202" s="11" t="str">
        <f>_xlfn.CONCAT(+VLOOKUP(VALUE(MID(A202,13,2)),'Tabla de codigos'!$A$2:$B$60,2,1)," ",VLOOKUP(VALUE(MID(A202,15,4)),'Tabla de codigos'!$E$2:$F$102,2,1))</f>
        <v>BUDINERA   34</v>
      </c>
      <c r="D202" s="11" t="s">
        <v>230</v>
      </c>
      <c r="E202" s="12" t="s">
        <v>174</v>
      </c>
      <c r="F202" s="13" t="s">
        <v>231</v>
      </c>
      <c r="G202" s="14" t="s">
        <v>186</v>
      </c>
      <c r="H202" s="15">
        <v>12</v>
      </c>
      <c r="I202" s="15">
        <v>12</v>
      </c>
      <c r="J202" s="15">
        <f t="shared" si="6"/>
        <v>0</v>
      </c>
    </row>
    <row r="203" spans="1:15" x14ac:dyDescent="0.2">
      <c r="A203" s="11" t="s">
        <v>38</v>
      </c>
      <c r="B203" s="11" t="str">
        <f t="shared" si="7"/>
        <v>060033</v>
      </c>
      <c r="C203" s="11" t="str">
        <f>_xlfn.CONCAT(+VLOOKUP(VALUE(MID(A203,13,2)),'Tabla de codigos'!$A$2:$B$60,2,1)," ",VLOOKUP(VALUE(MID(A203,15,4)),'Tabla de codigos'!$E$2:$F$102,2,1))</f>
        <v>BUDINERA   42</v>
      </c>
      <c r="D203" s="11" t="s">
        <v>230</v>
      </c>
      <c r="E203" s="12" t="s">
        <v>174</v>
      </c>
      <c r="F203" s="13" t="s">
        <v>231</v>
      </c>
      <c r="G203" s="14" t="s">
        <v>186</v>
      </c>
      <c r="H203" s="15">
        <v>8</v>
      </c>
      <c r="I203" s="15">
        <v>0</v>
      </c>
      <c r="J203" s="16">
        <f t="shared" si="6"/>
        <v>8</v>
      </c>
    </row>
    <row r="204" spans="1:15" x14ac:dyDescent="0.2">
      <c r="A204" s="11" t="s">
        <v>218</v>
      </c>
      <c r="B204" s="11" t="str">
        <f t="shared" si="7"/>
        <v>070015</v>
      </c>
      <c r="C204" s="11" t="str">
        <f>_xlfn.CONCAT(+VLOOKUP(VALUE(MID(A204,13,2)),'Tabla de codigos'!$A$2:$B$60,2,1)," ",VLOOKUP(VALUE(MID(A204,15,4)),'Tabla de codigos'!$E$2:$F$102,2,1))</f>
        <v>CAZO 14</v>
      </c>
      <c r="D204" s="11" t="s">
        <v>230</v>
      </c>
      <c r="E204" s="12" t="s">
        <v>174</v>
      </c>
      <c r="F204" s="13" t="s">
        <v>231</v>
      </c>
      <c r="G204" s="14" t="s">
        <v>186</v>
      </c>
      <c r="H204" s="15">
        <v>36</v>
      </c>
      <c r="I204" s="15">
        <f>22+14</f>
        <v>36</v>
      </c>
      <c r="J204" s="16">
        <f t="shared" si="6"/>
        <v>0</v>
      </c>
    </row>
    <row r="205" spans="1:15" x14ac:dyDescent="0.2">
      <c r="A205" s="11" t="s">
        <v>219</v>
      </c>
      <c r="B205" s="11" t="str">
        <f t="shared" si="7"/>
        <v>070017</v>
      </c>
      <c r="C205" s="11" t="str">
        <f>_xlfn.CONCAT(+VLOOKUP(VALUE(MID(A205,13,2)),'Tabla de codigos'!$A$2:$B$60,2,1)," ",VLOOKUP(VALUE(MID(A205,15,4)),'Tabla de codigos'!$E$2:$F$102,2,1))</f>
        <v>CAZO 16</v>
      </c>
      <c r="D205" s="11" t="s">
        <v>230</v>
      </c>
      <c r="E205" s="12" t="s">
        <v>174</v>
      </c>
      <c r="F205" s="13" t="s">
        <v>231</v>
      </c>
      <c r="G205" s="14" t="s">
        <v>186</v>
      </c>
      <c r="H205" s="15">
        <v>36</v>
      </c>
      <c r="I205" s="15">
        <v>36</v>
      </c>
      <c r="J205" s="15">
        <f t="shared" si="6"/>
        <v>0</v>
      </c>
    </row>
    <row r="206" spans="1:15" x14ac:dyDescent="0.2">
      <c r="A206" s="11" t="s">
        <v>149</v>
      </c>
      <c r="B206" s="11" t="str">
        <f t="shared" si="7"/>
        <v>100028</v>
      </c>
      <c r="C206" s="11" t="str">
        <f>_xlfn.CONCAT(+VLOOKUP(VALUE(MID(A206,13,2)),'Tabla de codigos'!$A$2:$B$60,2,1)," ",VLOOKUP(VALUE(MID(A206,15,4)),'Tabla de codigos'!$E$2:$F$102,2,1))</f>
        <v>COMAL 28</v>
      </c>
      <c r="D206" s="11" t="s">
        <v>230</v>
      </c>
      <c r="E206" s="12" t="s">
        <v>174</v>
      </c>
      <c r="F206" s="13" t="s">
        <v>231</v>
      </c>
      <c r="G206" s="14" t="s">
        <v>186</v>
      </c>
      <c r="H206" s="15">
        <v>24</v>
      </c>
      <c r="I206" s="15">
        <v>24</v>
      </c>
      <c r="J206" s="15">
        <f t="shared" si="6"/>
        <v>0</v>
      </c>
    </row>
    <row r="207" spans="1:15" x14ac:dyDescent="0.2">
      <c r="A207" s="11" t="s">
        <v>150</v>
      </c>
      <c r="B207" s="11" t="str">
        <f t="shared" si="7"/>
        <v>240021</v>
      </c>
      <c r="C207" s="11" t="str">
        <f>_xlfn.CONCAT(+VLOOKUP(VALUE(MID(A207,13,2)),'Tabla de codigos'!$A$2:$B$60,2,1)," ",VLOOKUP(VALUE(MID(A207,15,4)),'Tabla de codigos'!$E$2:$F$102,2,1))</f>
        <v>OLLA CONVEXA 18</v>
      </c>
      <c r="D207" s="11" t="s">
        <v>230</v>
      </c>
      <c r="E207" s="12" t="s">
        <v>174</v>
      </c>
      <c r="F207" s="13" t="s">
        <v>231</v>
      </c>
      <c r="G207" s="14" t="s">
        <v>186</v>
      </c>
      <c r="H207" s="15">
        <v>36</v>
      </c>
      <c r="I207" s="15">
        <v>0</v>
      </c>
      <c r="J207" s="15">
        <f t="shared" si="6"/>
        <v>36</v>
      </c>
    </row>
    <row r="208" spans="1:15" x14ac:dyDescent="0.2">
      <c r="A208" s="11" t="s">
        <v>151</v>
      </c>
      <c r="B208" s="11" t="str">
        <f t="shared" si="7"/>
        <v>240022</v>
      </c>
      <c r="C208" s="11" t="str">
        <f>_xlfn.CONCAT(+VLOOKUP(VALUE(MID(A208,13,2)),'Tabla de codigos'!$A$2:$B$60,2,1)," ",VLOOKUP(VALUE(MID(A208,15,4)),'Tabla de codigos'!$E$2:$F$102,2,1))</f>
        <v>OLLA CONVEXA 20</v>
      </c>
      <c r="D208" s="11" t="s">
        <v>230</v>
      </c>
      <c r="E208" s="12" t="s">
        <v>174</v>
      </c>
      <c r="F208" s="13" t="s">
        <v>231</v>
      </c>
      <c r="G208" s="14" t="s">
        <v>186</v>
      </c>
      <c r="H208" s="15">
        <v>36</v>
      </c>
      <c r="I208" s="15">
        <v>0</v>
      </c>
      <c r="J208" s="15">
        <f t="shared" si="6"/>
        <v>36</v>
      </c>
    </row>
    <row r="209" spans="1:15" x14ac:dyDescent="0.2">
      <c r="A209" s="11" t="s">
        <v>152</v>
      </c>
      <c r="B209" s="11" t="str">
        <f t="shared" si="7"/>
        <v>240025</v>
      </c>
      <c r="C209" s="11" t="str">
        <f>_xlfn.CONCAT(+VLOOKUP(VALUE(MID(A209,13,2)),'Tabla de codigos'!$A$2:$B$60,2,1)," ",VLOOKUP(VALUE(MID(A209,15,4)),'Tabla de codigos'!$E$2:$F$102,2,1))</f>
        <v>OLLA CONVEXA 24</v>
      </c>
      <c r="D209" s="11" t="s">
        <v>230</v>
      </c>
      <c r="E209" s="12" t="s">
        <v>174</v>
      </c>
      <c r="F209" s="13" t="s">
        <v>231</v>
      </c>
      <c r="G209" s="14" t="s">
        <v>186</v>
      </c>
      <c r="H209" s="15">
        <v>36</v>
      </c>
      <c r="I209" s="15">
        <f>13+23</f>
        <v>36</v>
      </c>
      <c r="J209" s="15">
        <f t="shared" si="6"/>
        <v>0</v>
      </c>
    </row>
    <row r="210" spans="1:15" x14ac:dyDescent="0.2">
      <c r="A210" s="11" t="s">
        <v>154</v>
      </c>
      <c r="B210" s="11" t="str">
        <f t="shared" si="7"/>
        <v>240029</v>
      </c>
      <c r="C210" s="11" t="str">
        <f>_xlfn.CONCAT(+VLOOKUP(VALUE(MID(A210,13,2)),'Tabla de codigos'!$A$2:$B$60,2,1)," ",VLOOKUP(VALUE(MID(A210,15,4)),'Tabla de codigos'!$E$2:$F$102,2,1))</f>
        <v>OLLA CONVEXA 30</v>
      </c>
      <c r="D210" s="11" t="s">
        <v>230</v>
      </c>
      <c r="E210" s="12" t="s">
        <v>174</v>
      </c>
      <c r="F210" s="13" t="s">
        <v>231</v>
      </c>
      <c r="G210" s="14" t="s">
        <v>186</v>
      </c>
      <c r="H210" s="15">
        <v>12</v>
      </c>
      <c r="I210" s="15">
        <v>12</v>
      </c>
      <c r="J210" s="15">
        <f t="shared" si="6"/>
        <v>0</v>
      </c>
    </row>
    <row r="211" spans="1:15" x14ac:dyDescent="0.2">
      <c r="A211" s="11" t="s">
        <v>236</v>
      </c>
      <c r="B211" s="11" t="str">
        <f t="shared" si="7"/>
        <v>250024</v>
      </c>
      <c r="C211" s="11" t="str">
        <f>_xlfn.CONCAT(+VLOOKUP(VALUE(MID(A211,13,2)),'Tabla de codigos'!$A$2:$B$60,2,1)," ",VLOOKUP(VALUE(MID(A211,15,4)),'Tabla de codigos'!$E$2:$F$102,2,1))</f>
        <v>OLLA RECTA 22</v>
      </c>
      <c r="D211" s="11" t="s">
        <v>230</v>
      </c>
      <c r="E211" s="12" t="s">
        <v>174</v>
      </c>
      <c r="F211" s="13" t="s">
        <v>231</v>
      </c>
      <c r="G211" s="14" t="s">
        <v>186</v>
      </c>
      <c r="H211" s="15">
        <v>18</v>
      </c>
      <c r="I211" s="15">
        <v>18</v>
      </c>
      <c r="J211" s="16">
        <f t="shared" si="6"/>
        <v>0</v>
      </c>
    </row>
    <row r="212" spans="1:15" x14ac:dyDescent="0.2">
      <c r="A212" s="11" t="s">
        <v>237</v>
      </c>
      <c r="B212" s="11" t="str">
        <f t="shared" si="7"/>
        <v>250025</v>
      </c>
      <c r="C212" s="11" t="str">
        <f>_xlfn.CONCAT(+VLOOKUP(VALUE(MID(A212,13,2)),'Tabla de codigos'!$A$2:$B$60,2,1)," ",VLOOKUP(VALUE(MID(A212,15,4)),'Tabla de codigos'!$E$2:$F$102,2,1))</f>
        <v>OLLA RECTA 24</v>
      </c>
      <c r="D212" s="11" t="s">
        <v>230</v>
      </c>
      <c r="E212" s="12" t="s">
        <v>174</v>
      </c>
      <c r="F212" s="13" t="s">
        <v>231</v>
      </c>
      <c r="G212" s="14" t="s">
        <v>186</v>
      </c>
      <c r="H212" s="15">
        <v>18</v>
      </c>
      <c r="I212" s="15">
        <v>1</v>
      </c>
      <c r="J212" s="15">
        <f t="shared" si="6"/>
        <v>17</v>
      </c>
    </row>
    <row r="213" spans="1:15" x14ac:dyDescent="0.2">
      <c r="A213" s="11" t="s">
        <v>155</v>
      </c>
      <c r="B213" s="11" t="str">
        <f t="shared" si="7"/>
        <v>250029</v>
      </c>
      <c r="C213" s="11" t="str">
        <f>_xlfn.CONCAT(+VLOOKUP(VALUE(MID(A213,13,2)),'Tabla de codigos'!$A$2:$B$60,2,1)," ",VLOOKUP(VALUE(MID(A213,15,4)),'Tabla de codigos'!$E$2:$F$102,2,1))</f>
        <v>OLLA RECTA 30</v>
      </c>
      <c r="D213" s="11" t="s">
        <v>230</v>
      </c>
      <c r="E213" s="12" t="s">
        <v>174</v>
      </c>
      <c r="F213" s="13" t="s">
        <v>231</v>
      </c>
      <c r="G213" s="14" t="s">
        <v>186</v>
      </c>
      <c r="H213" s="15">
        <v>10</v>
      </c>
      <c r="I213" s="15">
        <v>0</v>
      </c>
      <c r="J213" s="15">
        <f t="shared" si="6"/>
        <v>10</v>
      </c>
    </row>
    <row r="214" spans="1:15" x14ac:dyDescent="0.2">
      <c r="A214" s="11" t="s">
        <v>157</v>
      </c>
      <c r="B214" s="11" t="str">
        <f t="shared" si="7"/>
        <v>250033</v>
      </c>
      <c r="C214" s="11" t="str">
        <f>_xlfn.CONCAT(+VLOOKUP(VALUE(MID(A214,13,2)),'Tabla de codigos'!$A$2:$B$60,2,1)," ",VLOOKUP(VALUE(MID(A214,15,4)),'Tabla de codigos'!$E$2:$F$102,2,1))</f>
        <v>OLLA RECTA 42</v>
      </c>
      <c r="D214" s="11" t="s">
        <v>230</v>
      </c>
      <c r="E214" s="12" t="s">
        <v>174</v>
      </c>
      <c r="F214" s="13" t="s">
        <v>231</v>
      </c>
      <c r="G214" s="14" t="s">
        <v>186</v>
      </c>
      <c r="H214" s="15">
        <v>5</v>
      </c>
      <c r="I214" s="15">
        <f>3+2</f>
        <v>5</v>
      </c>
      <c r="J214" s="16">
        <f t="shared" si="6"/>
        <v>0</v>
      </c>
    </row>
    <row r="215" spans="1:15" x14ac:dyDescent="0.2">
      <c r="A215" s="11" t="s">
        <v>238</v>
      </c>
      <c r="B215" s="11" t="str">
        <f t="shared" si="7"/>
        <v>250099</v>
      </c>
      <c r="C215" s="11" t="str">
        <f>_xlfn.CONCAT(+VLOOKUP(VALUE(MID(A215,13,2)),'Tabla de codigos'!$A$2:$B$60,2,1)," ",VLOOKUP(VALUE(MID(A215,15,4)),'Tabla de codigos'!$E$2:$F$102,2,1))</f>
        <v>OLLA RECTA 38</v>
      </c>
      <c r="D215" s="11" t="s">
        <v>230</v>
      </c>
      <c r="E215" s="12" t="s">
        <v>174</v>
      </c>
      <c r="F215" s="13" t="s">
        <v>231</v>
      </c>
      <c r="G215" s="14" t="s">
        <v>186</v>
      </c>
      <c r="H215" s="15">
        <v>5</v>
      </c>
      <c r="I215" s="15">
        <v>5</v>
      </c>
      <c r="J215" s="15">
        <f t="shared" si="6"/>
        <v>0</v>
      </c>
    </row>
    <row r="216" spans="1:15" x14ac:dyDescent="0.2">
      <c r="A216" s="11" t="s">
        <v>239</v>
      </c>
      <c r="B216" s="11" t="str">
        <f t="shared" si="7"/>
        <v>360026</v>
      </c>
      <c r="C216" s="11" t="str">
        <f>_xlfn.CONCAT(+VLOOKUP(VALUE(MID(A216,13,2)),'Tabla de codigos'!$A$2:$B$60,2,1)," ",VLOOKUP(VALUE(MID(A216,15,4)),'Tabla de codigos'!$E$2:$F$102,2,1))</f>
        <v>SARTEN 26</v>
      </c>
      <c r="D216" s="11" t="s">
        <v>230</v>
      </c>
      <c r="E216" s="12" t="s">
        <v>174</v>
      </c>
      <c r="F216" s="13" t="s">
        <v>231</v>
      </c>
      <c r="G216" s="14" t="s">
        <v>186</v>
      </c>
      <c r="H216" s="15">
        <v>36</v>
      </c>
      <c r="I216" s="15">
        <v>36</v>
      </c>
      <c r="J216" s="16">
        <f t="shared" si="6"/>
        <v>0</v>
      </c>
    </row>
    <row r="217" spans="1:15" x14ac:dyDescent="0.2">
      <c r="A217" s="11" t="s">
        <v>240</v>
      </c>
      <c r="B217" s="11" t="str">
        <f t="shared" si="7"/>
        <v>440031</v>
      </c>
      <c r="C217" s="11" t="str">
        <f>_xlfn.CONCAT(+VLOOKUP(VALUE(MID(A217,13,2)),'Tabla de codigos'!$A$2:$B$60,2,1)," ",VLOOKUP(VALUE(MID(A217,15,4)),'Tabla de codigos'!$E$2:$F$102,2,1))</f>
        <v>VAPORERA 34</v>
      </c>
      <c r="D217" s="11" t="s">
        <v>230</v>
      </c>
      <c r="E217" s="12" t="s">
        <v>174</v>
      </c>
      <c r="F217" s="13" t="s">
        <v>231</v>
      </c>
      <c r="G217" s="14" t="s">
        <v>186</v>
      </c>
      <c r="H217" s="15">
        <v>6</v>
      </c>
      <c r="I217" s="15">
        <v>0</v>
      </c>
      <c r="J217" s="15">
        <f t="shared" si="6"/>
        <v>6</v>
      </c>
    </row>
    <row r="218" spans="1:15" x14ac:dyDescent="0.2">
      <c r="A218" s="11" t="s">
        <v>156</v>
      </c>
      <c r="B218" s="11" t="str">
        <f t="shared" si="7"/>
        <v>250031</v>
      </c>
      <c r="C218" s="11" t="str">
        <f>_xlfn.CONCAT(+VLOOKUP(VALUE(MID(A218,13,2)),'Tabla de codigos'!$A$2:$B$60,2,1)," ",VLOOKUP(VALUE(MID(A218,15,4)),'Tabla de codigos'!$E$2:$F$102,2,1))</f>
        <v>OLLA RECTA 34</v>
      </c>
      <c r="D218" s="11" t="s">
        <v>230</v>
      </c>
      <c r="E218" s="12" t="s">
        <v>174</v>
      </c>
      <c r="F218" s="13" t="s">
        <v>231</v>
      </c>
      <c r="G218" s="14" t="s">
        <v>186</v>
      </c>
      <c r="H218" s="15">
        <v>10</v>
      </c>
      <c r="I218" s="15">
        <v>0</v>
      </c>
      <c r="J218" s="15">
        <f t="shared" si="6"/>
        <v>10</v>
      </c>
    </row>
    <row r="219" spans="1:15" x14ac:dyDescent="0.2">
      <c r="A219" s="11" t="s">
        <v>241</v>
      </c>
      <c r="B219" s="11" t="str">
        <f t="shared" si="7"/>
        <v>060024</v>
      </c>
      <c r="C219" s="11" t="str">
        <f>_xlfn.CONCAT(+VLOOKUP(VALUE(MID(A219,13,2)),'Tabla de codigos'!$A$2:$B$60,2,1)," ",VLOOKUP(VALUE(MID(A219,15,4)),'Tabla de codigos'!$E$2:$F$102,2,1))</f>
        <v>BUDINERA   22</v>
      </c>
      <c r="D219" s="11" t="s">
        <v>230</v>
      </c>
      <c r="E219" s="12" t="s">
        <v>174</v>
      </c>
      <c r="F219" s="13" t="s">
        <v>231</v>
      </c>
      <c r="G219" s="14" t="s">
        <v>186</v>
      </c>
      <c r="H219" s="15">
        <v>24</v>
      </c>
      <c r="I219" s="15">
        <f>12+4+8</f>
        <v>24</v>
      </c>
      <c r="J219" s="16">
        <f t="shared" si="6"/>
        <v>0</v>
      </c>
    </row>
    <row r="220" spans="1:15" x14ac:dyDescent="0.2">
      <c r="A220" s="11" t="s">
        <v>242</v>
      </c>
      <c r="B220" s="11" t="str">
        <f t="shared" si="7"/>
        <v>100024</v>
      </c>
      <c r="C220" s="11" t="str">
        <f>_xlfn.CONCAT(+VLOOKUP(VALUE(MID(A220,13,2)),'Tabla de codigos'!$A$2:$B$60,2,1)," ",VLOOKUP(VALUE(MID(A220,15,4)),'Tabla de codigos'!$E$2:$F$102,2,1))</f>
        <v>COMAL 22</v>
      </c>
      <c r="D220" s="11" t="s">
        <v>230</v>
      </c>
      <c r="E220" s="12" t="s">
        <v>174</v>
      </c>
      <c r="F220" s="13" t="s">
        <v>231</v>
      </c>
      <c r="G220" s="14" t="s">
        <v>186</v>
      </c>
      <c r="H220" s="15">
        <v>48</v>
      </c>
      <c r="I220" s="15">
        <v>48</v>
      </c>
      <c r="J220" s="15">
        <f t="shared" si="6"/>
        <v>0</v>
      </c>
      <c r="K220" s="17">
        <f>(SUM(I195:I220))/(SUM(H195:H220))</f>
        <v>0.70947368421052637</v>
      </c>
    </row>
    <row r="221" spans="1:15" x14ac:dyDescent="0.2">
      <c r="A221" s="11" t="s">
        <v>65</v>
      </c>
      <c r="B221" s="11" t="str">
        <f t="shared" si="7"/>
        <v>230018</v>
      </c>
      <c r="C221" s="11" t="str">
        <f>_xlfn.CONCAT(+VLOOKUP(VALUE(MID(A221,13,2)),'Tabla de codigos'!$A$2:$B$60,2,1)," ",VLOOKUP(VALUE(MID(A221,15,4)),'Tabla de codigos'!$E$2:$F$102,2,1))</f>
        <v>MULTIUSOS RAYADO 16.5</v>
      </c>
      <c r="D221" s="12" t="s">
        <v>243</v>
      </c>
      <c r="E221" s="12" t="s">
        <v>11</v>
      </c>
      <c r="F221" s="12" t="s">
        <v>244</v>
      </c>
      <c r="G221" s="12" t="s">
        <v>245</v>
      </c>
      <c r="H221" s="12">
        <v>36</v>
      </c>
      <c r="I221" s="15">
        <v>36</v>
      </c>
      <c r="J221" s="16">
        <f t="shared" si="6"/>
        <v>0</v>
      </c>
      <c r="O221" s="21">
        <f>(H221)/(IF(A221="","-",VLOOKUP(A221,'[1]CATALOGO PZXCAJA'!$A$2:$C$5000,2,0)))</f>
        <v>6</v>
      </c>
    </row>
    <row r="222" spans="1:15" x14ac:dyDescent="0.2">
      <c r="A222" s="11" t="s">
        <v>246</v>
      </c>
      <c r="B222" s="11" t="str">
        <f t="shared" si="7"/>
        <v>220001</v>
      </c>
      <c r="C222" s="11" t="str">
        <f>_xlfn.CONCAT(+VLOOKUP(VALUE(MID(A222,13,2)),'Tabla de codigos'!$A$2:$B$60,2,1)," ",VLOOKUP(VALUE(MID(A222,15,4)),'Tabla de codigos'!$E$2:$F$102,2,1))</f>
        <v>MULTIUSOS S/I</v>
      </c>
      <c r="D222" s="12" t="s">
        <v>243</v>
      </c>
      <c r="E222" s="12" t="s">
        <v>11</v>
      </c>
      <c r="F222" s="12" t="s">
        <v>244</v>
      </c>
      <c r="G222" s="12" t="s">
        <v>245</v>
      </c>
      <c r="H222" s="12">
        <v>540</v>
      </c>
      <c r="I222" s="15">
        <v>0</v>
      </c>
      <c r="J222" s="16">
        <f t="shared" si="6"/>
        <v>540</v>
      </c>
      <c r="O222" s="21" t="e">
        <f>(H222)/(IF(A222="","-",VLOOKUP(A222,'[1]CATALOGO PZXCAJA'!$A$2:$C$5000,2,0)))</f>
        <v>#N/A</v>
      </c>
    </row>
    <row r="223" spans="1:15" x14ac:dyDescent="0.2">
      <c r="A223" s="11" t="s">
        <v>247</v>
      </c>
      <c r="B223" s="11" t="str">
        <f t="shared" si="7"/>
        <v>390012</v>
      </c>
      <c r="C223" s="11" t="str">
        <f>_xlfn.CONCAT(+VLOOKUP(VALUE(MID(A223,13,2)),'Tabla de codigos'!$A$2:$B$60,2,1)," ",VLOOKUP(VALUE(MID(A223,15,4)),'Tabla de codigos'!$E$2:$F$102,2,1))</f>
        <v>TAZON  8</v>
      </c>
      <c r="D223" s="12" t="s">
        <v>243</v>
      </c>
      <c r="E223" s="12" t="s">
        <v>11</v>
      </c>
      <c r="F223" s="12" t="s">
        <v>244</v>
      </c>
      <c r="G223" s="12" t="s">
        <v>245</v>
      </c>
      <c r="H223" s="12">
        <v>540</v>
      </c>
      <c r="I223" s="15">
        <v>0</v>
      </c>
      <c r="J223" s="16">
        <f t="shared" si="6"/>
        <v>540</v>
      </c>
      <c r="O223" s="21">
        <f>(H223)/(IF(A223="","-",VLOOKUP(A223,'[1]CATALOGO PZXCAJA'!$A$2:$C$5000,2,0)))</f>
        <v>15</v>
      </c>
    </row>
    <row r="224" spans="1:15" x14ac:dyDescent="0.2">
      <c r="A224" s="11" t="s">
        <v>248</v>
      </c>
      <c r="B224" s="11" t="str">
        <f t="shared" si="7"/>
        <v>230020</v>
      </c>
      <c r="C224" s="11" t="str">
        <f>_xlfn.CONCAT(+VLOOKUP(VALUE(MID(A224,13,2)),'Tabla de codigos'!$A$2:$B$60,2,1)," ",VLOOKUP(VALUE(MID(A224,15,4)),'Tabla de codigos'!$E$2:$F$102,2,1))</f>
        <v>MULTIUSOS RAYADO 17.5</v>
      </c>
      <c r="D224" s="12" t="s">
        <v>243</v>
      </c>
      <c r="E224" s="12" t="s">
        <v>11</v>
      </c>
      <c r="F224" s="12" t="s">
        <v>244</v>
      </c>
      <c r="G224" s="12" t="s">
        <v>245</v>
      </c>
      <c r="H224" s="12">
        <v>36</v>
      </c>
      <c r="I224" s="15">
        <v>0</v>
      </c>
      <c r="J224" s="16">
        <f t="shared" si="6"/>
        <v>36</v>
      </c>
      <c r="O224" s="21" t="e">
        <f>(H224)/(IF(A224="","-",VLOOKUP(A224,'[1]CATALOGO PZXCAJA'!$A$2:$C$5000,2,0)))</f>
        <v>#N/A</v>
      </c>
    </row>
    <row r="225" spans="1:15" x14ac:dyDescent="0.2">
      <c r="A225" s="11" t="s">
        <v>249</v>
      </c>
      <c r="B225" s="11" t="str">
        <f t="shared" si="7"/>
        <v>520030</v>
      </c>
      <c r="C225" s="11" t="str">
        <f>_xlfn.CONCAT(+VLOOKUP(VALUE(MID(A225,13,2)),'Tabla de codigos'!$A$2:$B$60,2,1)," ",VLOOKUP(VALUE(MID(A225,15,4)),'Tabla de codigos'!$E$2:$F$102,2,1))</f>
        <v>PLATO OVAL 32</v>
      </c>
      <c r="D225" s="12" t="s">
        <v>243</v>
      </c>
      <c r="E225" s="12" t="s">
        <v>11</v>
      </c>
      <c r="F225" s="12" t="s">
        <v>244</v>
      </c>
      <c r="G225" s="12" t="s">
        <v>245</v>
      </c>
      <c r="H225" s="12">
        <v>36</v>
      </c>
      <c r="I225" s="15">
        <v>36</v>
      </c>
      <c r="J225" s="16">
        <f t="shared" si="6"/>
        <v>0</v>
      </c>
      <c r="O225" s="21">
        <f>(H225)/(IF(A225="","-",VLOOKUP(A225,'[1]CATALOGO PZXCAJA'!$A$2:$C$5000,2,0)))</f>
        <v>6</v>
      </c>
    </row>
    <row r="226" spans="1:15" x14ac:dyDescent="0.2">
      <c r="A226" s="11" t="s">
        <v>250</v>
      </c>
      <c r="B226" s="11" t="str">
        <f t="shared" si="7"/>
        <v>300025</v>
      </c>
      <c r="C226" s="11" t="str">
        <f>_xlfn.CONCAT(+VLOOKUP(VALUE(MID(A226,13,2)),'Tabla de codigos'!$A$2:$B$60,2,1)," ",VLOOKUP(VALUE(MID(A226,15,4)),'Tabla de codigos'!$E$2:$F$102,2,1))</f>
        <v>PLATO LISO 24</v>
      </c>
      <c r="D226" s="12" t="s">
        <v>243</v>
      </c>
      <c r="E226" s="12" t="s">
        <v>11</v>
      </c>
      <c r="F226" s="12" t="s">
        <v>244</v>
      </c>
      <c r="G226" s="12" t="s">
        <v>245</v>
      </c>
      <c r="H226" s="12">
        <v>36</v>
      </c>
      <c r="I226" s="15">
        <v>0</v>
      </c>
      <c r="J226" s="16">
        <f t="shared" si="6"/>
        <v>36</v>
      </c>
      <c r="O226" s="21">
        <f>(H226)/(IF(A226="","-",VLOOKUP(A226,'[1]CATALOGO PZXCAJA'!$A$2:$C$5000,2,0)))</f>
        <v>6</v>
      </c>
    </row>
    <row r="227" spans="1:15" x14ac:dyDescent="0.2">
      <c r="A227" s="11" t="s">
        <v>251</v>
      </c>
      <c r="B227" s="11" t="str">
        <f t="shared" si="7"/>
        <v>520028</v>
      </c>
      <c r="C227" s="11" t="str">
        <f>_xlfn.CONCAT(+VLOOKUP(VALUE(MID(A227,13,2)),'Tabla de codigos'!$A$2:$B$60,2,1)," ",VLOOKUP(VALUE(MID(A227,15,4)),'Tabla de codigos'!$E$2:$F$102,2,1))</f>
        <v>PLATO OVAL 28</v>
      </c>
      <c r="D227" s="12" t="s">
        <v>243</v>
      </c>
      <c r="E227" s="12" t="s">
        <v>11</v>
      </c>
      <c r="F227" s="12" t="s">
        <v>244</v>
      </c>
      <c r="G227" s="12" t="s">
        <v>245</v>
      </c>
      <c r="H227" s="12">
        <v>36</v>
      </c>
      <c r="I227" s="15">
        <v>0</v>
      </c>
      <c r="J227" s="16">
        <f t="shared" si="6"/>
        <v>36</v>
      </c>
      <c r="K227" s="17">
        <f>(SUM(I221:I227))/(SUM(H221:H227))</f>
        <v>5.7142857142857141E-2</v>
      </c>
      <c r="O227" s="21">
        <f>(H227)/(IF(A227="","-",VLOOKUP(A227,'[1]CATALOGO PZXCAJA'!$A$2:$C$5000,2,0)))</f>
        <v>6</v>
      </c>
    </row>
    <row r="228" spans="1:15" x14ac:dyDescent="0.2">
      <c r="A228" s="11" t="s">
        <v>252</v>
      </c>
      <c r="B228" s="11" t="str">
        <f t="shared" si="7"/>
        <v>010022</v>
      </c>
      <c r="C228" s="11" t="str">
        <f>_xlfn.CONCAT(+VLOOKUP(VALUE(MID(A228,13,2)),'Tabla de codigos'!$A$2:$B$60,2,1)," ",VLOOKUP(VALUE(MID(A228,15,4)),'Tabla de codigos'!$E$2:$F$102,2,1))</f>
        <v>BACINICA 20</v>
      </c>
      <c r="D228" s="11" t="s">
        <v>253</v>
      </c>
      <c r="E228" s="11" t="s">
        <v>11</v>
      </c>
      <c r="F228" s="13" t="s">
        <v>254</v>
      </c>
      <c r="G228" s="14">
        <v>45708</v>
      </c>
      <c r="H228" s="15">
        <v>12</v>
      </c>
      <c r="I228" s="15">
        <v>12</v>
      </c>
      <c r="J228" s="16">
        <f t="shared" si="6"/>
        <v>0</v>
      </c>
      <c r="O228" s="21">
        <f>(H228)/(IF(A228="","-",VLOOKUP(A228,'[1]CATALOGO PZXCAJA'!$A$2:$C$5000,2,0)))</f>
        <v>1</v>
      </c>
    </row>
    <row r="229" spans="1:15" x14ac:dyDescent="0.2">
      <c r="A229" s="11" t="s">
        <v>19</v>
      </c>
      <c r="B229" s="11" t="str">
        <f t="shared" si="7"/>
        <v>010025</v>
      </c>
      <c r="C229" s="11" t="str">
        <f>_xlfn.CONCAT(+VLOOKUP(VALUE(MID(A229,13,2)),'Tabla de codigos'!$A$2:$B$60,2,1)," ",VLOOKUP(VALUE(MID(A229,15,4)),'Tabla de codigos'!$E$2:$F$102,2,1))</f>
        <v>BACINICA 24</v>
      </c>
      <c r="D229" s="11" t="s">
        <v>253</v>
      </c>
      <c r="E229" s="11" t="s">
        <v>11</v>
      </c>
      <c r="F229" s="13" t="s">
        <v>254</v>
      </c>
      <c r="G229" s="14">
        <v>45708</v>
      </c>
      <c r="H229" s="15">
        <v>12</v>
      </c>
      <c r="I229" s="15">
        <v>0</v>
      </c>
      <c r="J229" s="16">
        <f t="shared" si="6"/>
        <v>12</v>
      </c>
      <c r="O229" s="21">
        <f>(H229)/(IF(A229="","-",VLOOKUP(A229,'[1]CATALOGO PZXCAJA'!$A$2:$C$5000,2,0)))</f>
        <v>1</v>
      </c>
    </row>
    <row r="230" spans="1:15" x14ac:dyDescent="0.2">
      <c r="A230" s="11" t="s">
        <v>255</v>
      </c>
      <c r="B230" s="11" t="str">
        <f t="shared" si="7"/>
        <v>060014</v>
      </c>
      <c r="C230" s="11" t="str">
        <f>_xlfn.CONCAT(+VLOOKUP(VALUE(MID(A230,13,2)),'Tabla de codigos'!$A$2:$B$60,2,1)," ",VLOOKUP(VALUE(MID(A230,15,4)),'Tabla de codigos'!$E$2:$F$102,2,1))</f>
        <v>BUDINERA   12</v>
      </c>
      <c r="D230" s="11" t="s">
        <v>253</v>
      </c>
      <c r="E230" s="11" t="s">
        <v>11</v>
      </c>
      <c r="F230" s="13" t="s">
        <v>254</v>
      </c>
      <c r="G230" s="14">
        <v>45708</v>
      </c>
      <c r="H230" s="15">
        <v>36</v>
      </c>
      <c r="I230" s="15">
        <f>16+20</f>
        <v>36</v>
      </c>
      <c r="J230" s="16">
        <f t="shared" si="6"/>
        <v>0</v>
      </c>
      <c r="O230" s="21">
        <f>(H230)/(IF(A230="","-",VLOOKUP(A230,'[1]CATALOGO PZXCAJA'!$A$2:$C$5000,2,0)))</f>
        <v>2</v>
      </c>
    </row>
    <row r="231" spans="1:15" x14ac:dyDescent="0.2">
      <c r="A231" s="11" t="s">
        <v>256</v>
      </c>
      <c r="B231" s="11" t="str">
        <f t="shared" si="7"/>
        <v>060015</v>
      </c>
      <c r="C231" s="11" t="str">
        <f>_xlfn.CONCAT(+VLOOKUP(VALUE(MID(A231,13,2)),'Tabla de codigos'!$A$2:$B$60,2,1)," ",VLOOKUP(VALUE(MID(A231,15,4)),'Tabla de codigos'!$E$2:$F$102,2,1))</f>
        <v>BUDINERA   14</v>
      </c>
      <c r="D231" s="11" t="s">
        <v>253</v>
      </c>
      <c r="E231" s="11" t="s">
        <v>11</v>
      </c>
      <c r="F231" s="13" t="s">
        <v>254</v>
      </c>
      <c r="G231" s="14">
        <v>45708</v>
      </c>
      <c r="H231" s="15">
        <v>36</v>
      </c>
      <c r="I231" s="15">
        <v>0</v>
      </c>
      <c r="J231" s="16">
        <f t="shared" si="6"/>
        <v>36</v>
      </c>
      <c r="O231" s="21">
        <f>(H231)/(IF(A231="","-",VLOOKUP(A231,'[1]CATALOGO PZXCAJA'!$A$2:$C$5000,2,0)))</f>
        <v>2</v>
      </c>
    </row>
    <row r="232" spans="1:15" x14ac:dyDescent="0.2">
      <c r="A232" s="11" t="s">
        <v>189</v>
      </c>
      <c r="B232" s="11" t="str">
        <f t="shared" si="7"/>
        <v>060017</v>
      </c>
      <c r="C232" s="11" t="str">
        <f>_xlfn.CONCAT(+VLOOKUP(VALUE(MID(A232,13,2)),'Tabla de codigos'!$A$2:$B$60,2,1)," ",VLOOKUP(VALUE(MID(A232,15,4)),'Tabla de codigos'!$E$2:$F$102,2,1))</f>
        <v>BUDINERA   16</v>
      </c>
      <c r="D232" s="11" t="s">
        <v>253</v>
      </c>
      <c r="E232" s="11" t="s">
        <v>11</v>
      </c>
      <c r="F232" s="13" t="s">
        <v>254</v>
      </c>
      <c r="G232" s="14">
        <v>45708</v>
      </c>
      <c r="H232" s="15">
        <v>36</v>
      </c>
      <c r="I232" s="15">
        <v>0</v>
      </c>
      <c r="J232" s="16">
        <f t="shared" si="6"/>
        <v>36</v>
      </c>
      <c r="O232" s="21">
        <f>(H232)/(IF(A232="","-",VLOOKUP(A232,'[1]CATALOGO PZXCAJA'!$A$2:$C$5000,2,0)))</f>
        <v>2</v>
      </c>
    </row>
    <row r="233" spans="1:15" x14ac:dyDescent="0.2">
      <c r="A233" s="11" t="s">
        <v>214</v>
      </c>
      <c r="B233" s="11" t="str">
        <f t="shared" si="7"/>
        <v>060021</v>
      </c>
      <c r="C233" s="11" t="str">
        <f>_xlfn.CONCAT(+VLOOKUP(VALUE(MID(A233,13,2)),'Tabla de codigos'!$A$2:$B$60,2,1)," ",VLOOKUP(VALUE(MID(A233,15,4)),'Tabla de codigos'!$E$2:$F$102,2,1))</f>
        <v>BUDINERA   18</v>
      </c>
      <c r="D233" s="11" t="s">
        <v>253</v>
      </c>
      <c r="E233" s="11" t="s">
        <v>11</v>
      </c>
      <c r="F233" s="13" t="s">
        <v>254</v>
      </c>
      <c r="G233" s="14">
        <v>45708</v>
      </c>
      <c r="H233" s="15">
        <v>36</v>
      </c>
      <c r="I233" s="15">
        <v>36</v>
      </c>
      <c r="J233" s="16">
        <f t="shared" si="6"/>
        <v>0</v>
      </c>
      <c r="O233" s="21">
        <f>(H233)/(IF(A233="","-",VLOOKUP(A233,'[1]CATALOGO PZXCAJA'!$A$2:$C$5000,2,0)))</f>
        <v>2</v>
      </c>
    </row>
    <row r="234" spans="1:15" x14ac:dyDescent="0.2">
      <c r="A234" s="11" t="s">
        <v>215</v>
      </c>
      <c r="B234" s="11" t="str">
        <f t="shared" si="7"/>
        <v>060022</v>
      </c>
      <c r="C234" s="11" t="str">
        <f>_xlfn.CONCAT(+VLOOKUP(VALUE(MID(A234,13,2)),'Tabla de codigos'!$A$2:$B$60,2,1)," ",VLOOKUP(VALUE(MID(A234,15,4)),'Tabla de codigos'!$E$2:$F$102,2,1))</f>
        <v>BUDINERA   20</v>
      </c>
      <c r="D234" s="11" t="s">
        <v>253</v>
      </c>
      <c r="E234" s="11" t="s">
        <v>11</v>
      </c>
      <c r="F234" s="13" t="s">
        <v>254</v>
      </c>
      <c r="G234" s="14">
        <v>45708</v>
      </c>
      <c r="H234" s="15">
        <v>54</v>
      </c>
      <c r="I234" s="15">
        <v>54</v>
      </c>
      <c r="J234" s="16">
        <f t="shared" si="6"/>
        <v>0</v>
      </c>
      <c r="O234" s="21">
        <f>(H234)/(IF(A234="","-",VLOOKUP(A234,'[1]CATALOGO PZXCAJA'!$A$2:$C$5000,2,0)))</f>
        <v>3</v>
      </c>
    </row>
    <row r="235" spans="1:15" x14ac:dyDescent="0.2">
      <c r="A235" s="11" t="s">
        <v>241</v>
      </c>
      <c r="B235" s="11" t="str">
        <f t="shared" si="7"/>
        <v>060024</v>
      </c>
      <c r="C235" s="11" t="str">
        <f>_xlfn.CONCAT(+VLOOKUP(VALUE(MID(A235,13,2)),'Tabla de codigos'!$A$2:$B$60,2,1)," ",VLOOKUP(VALUE(MID(A235,15,4)),'Tabla de codigos'!$E$2:$F$102,2,1))</f>
        <v>BUDINERA   22</v>
      </c>
      <c r="D235" s="11" t="s">
        <v>253</v>
      </c>
      <c r="E235" s="11" t="s">
        <v>11</v>
      </c>
      <c r="F235" s="13" t="s">
        <v>254</v>
      </c>
      <c r="G235" s="14">
        <v>45708</v>
      </c>
      <c r="H235" s="15">
        <v>36</v>
      </c>
      <c r="I235" s="15">
        <f>12+24</f>
        <v>36</v>
      </c>
      <c r="J235" s="16">
        <f t="shared" si="6"/>
        <v>0</v>
      </c>
      <c r="O235" s="21">
        <f>(H235)/(IF(A235="","-",VLOOKUP(A235,'[1]CATALOGO PZXCAJA'!$A$2:$C$5000,2,0)))</f>
        <v>3</v>
      </c>
    </row>
    <row r="236" spans="1:15" x14ac:dyDescent="0.2">
      <c r="A236" s="11" t="s">
        <v>143</v>
      </c>
      <c r="B236" s="11" t="str">
        <f t="shared" si="7"/>
        <v>060025</v>
      </c>
      <c r="C236" s="11" t="str">
        <f>_xlfn.CONCAT(+VLOOKUP(VALUE(MID(A236,13,2)),'Tabla de codigos'!$A$2:$B$60,2,1)," ",VLOOKUP(VALUE(MID(A236,15,4)),'Tabla de codigos'!$E$2:$F$102,2,1))</f>
        <v>BUDINERA   24</v>
      </c>
      <c r="D236" s="11" t="s">
        <v>253</v>
      </c>
      <c r="E236" s="11" t="s">
        <v>11</v>
      </c>
      <c r="F236" s="13" t="s">
        <v>254</v>
      </c>
      <c r="G236" s="14">
        <v>45708</v>
      </c>
      <c r="H236" s="15">
        <v>24</v>
      </c>
      <c r="I236" s="15">
        <f>12+12</f>
        <v>24</v>
      </c>
      <c r="J236" s="16">
        <f t="shared" si="6"/>
        <v>0</v>
      </c>
      <c r="O236" s="21">
        <f>(H236)/(IF(A236="","-",VLOOKUP(A236,'[1]CATALOGO PZXCAJA'!$A$2:$C$5000,2,0)))</f>
        <v>2</v>
      </c>
    </row>
    <row r="237" spans="1:15" x14ac:dyDescent="0.2">
      <c r="A237" s="11" t="s">
        <v>148</v>
      </c>
      <c r="B237" s="11" t="str">
        <f t="shared" si="7"/>
        <v>060026</v>
      </c>
      <c r="C237" s="11" t="str">
        <f>_xlfn.CONCAT(+VLOOKUP(VALUE(MID(A237,13,2)),'Tabla de codigos'!$A$2:$B$60,2,1)," ",VLOOKUP(VALUE(MID(A237,15,4)),'Tabla de codigos'!$E$2:$F$102,2,1))</f>
        <v>BUDINERA   26</v>
      </c>
      <c r="D237" s="11" t="s">
        <v>253</v>
      </c>
      <c r="E237" s="11" t="s">
        <v>11</v>
      </c>
      <c r="F237" s="13" t="s">
        <v>254</v>
      </c>
      <c r="G237" s="14">
        <v>45708</v>
      </c>
      <c r="H237" s="15">
        <v>24</v>
      </c>
      <c r="I237" s="15">
        <f>8+12+4</f>
        <v>24</v>
      </c>
      <c r="J237" s="16">
        <f t="shared" si="6"/>
        <v>0</v>
      </c>
      <c r="O237" s="21">
        <f>(H237)/(IF(A237="","-",VLOOKUP(A237,'[1]CATALOGO PZXCAJA'!$A$2:$C$5000,2,0)))</f>
        <v>2</v>
      </c>
    </row>
    <row r="238" spans="1:15" x14ac:dyDescent="0.2">
      <c r="A238" s="11" t="s">
        <v>222</v>
      </c>
      <c r="B238" s="11" t="str">
        <f t="shared" si="7"/>
        <v>250014</v>
      </c>
      <c r="C238" s="11" t="str">
        <f>_xlfn.CONCAT(+VLOOKUP(VALUE(MID(A238,13,2)),'Tabla de codigos'!$A$2:$B$60,2,1)," ",VLOOKUP(VALUE(MID(A238,15,4)),'Tabla de codigos'!$E$2:$F$102,2,1))</f>
        <v>OLLA RECTA 12</v>
      </c>
      <c r="D238" s="11" t="s">
        <v>253</v>
      </c>
      <c r="E238" s="11" t="s">
        <v>11</v>
      </c>
      <c r="F238" s="13" t="s">
        <v>254</v>
      </c>
      <c r="G238" s="14">
        <v>45708</v>
      </c>
      <c r="H238" s="15">
        <v>36</v>
      </c>
      <c r="I238" s="15">
        <v>36</v>
      </c>
      <c r="J238" s="16">
        <f t="shared" si="6"/>
        <v>0</v>
      </c>
      <c r="O238" s="21">
        <f>(H238)/(IF(A238="","-",VLOOKUP(A238,'[1]CATALOGO PZXCAJA'!$A$2:$C$5000,2,0)))</f>
        <v>2</v>
      </c>
    </row>
    <row r="239" spans="1:15" x14ac:dyDescent="0.2">
      <c r="A239" s="11" t="s">
        <v>257</v>
      </c>
      <c r="B239" s="11" t="str">
        <f t="shared" si="7"/>
        <v>250015</v>
      </c>
      <c r="C239" s="11" t="str">
        <f>_xlfn.CONCAT(+VLOOKUP(VALUE(MID(A239,13,2)),'Tabla de codigos'!$A$2:$B$60,2,1)," ",VLOOKUP(VALUE(MID(A239,15,4)),'Tabla de codigos'!$E$2:$F$102,2,1))</f>
        <v>OLLA RECTA 14</v>
      </c>
      <c r="D239" s="11" t="s">
        <v>253</v>
      </c>
      <c r="E239" s="11" t="s">
        <v>11</v>
      </c>
      <c r="F239" s="13" t="s">
        <v>254</v>
      </c>
      <c r="G239" s="14">
        <v>45708</v>
      </c>
      <c r="H239" s="15">
        <v>36</v>
      </c>
      <c r="I239" s="15">
        <v>0</v>
      </c>
      <c r="J239" s="16">
        <f t="shared" si="6"/>
        <v>36</v>
      </c>
      <c r="O239" s="21">
        <f>(H239)/(IF(A239="","-",VLOOKUP(A239,'[1]CATALOGO PZXCAJA'!$A$2:$C$5000,2,0)))</f>
        <v>2</v>
      </c>
    </row>
    <row r="240" spans="1:15" x14ac:dyDescent="0.2">
      <c r="A240" s="11" t="s">
        <v>258</v>
      </c>
      <c r="B240" s="11" t="str">
        <f t="shared" si="7"/>
        <v>250017</v>
      </c>
      <c r="C240" s="11" t="str">
        <f>_xlfn.CONCAT(+VLOOKUP(VALUE(MID(A240,13,2)),'Tabla de codigos'!$A$2:$B$60,2,1)," ",VLOOKUP(VALUE(MID(A240,15,4)),'Tabla de codigos'!$E$2:$F$102,2,1))</f>
        <v>OLLA RECTA 16</v>
      </c>
      <c r="D240" s="11" t="s">
        <v>253</v>
      </c>
      <c r="E240" s="11" t="s">
        <v>11</v>
      </c>
      <c r="F240" s="13" t="s">
        <v>254</v>
      </c>
      <c r="G240" s="14">
        <v>45708</v>
      </c>
      <c r="H240" s="15">
        <v>24</v>
      </c>
      <c r="I240" s="15">
        <v>24</v>
      </c>
      <c r="J240" s="16">
        <f t="shared" si="6"/>
        <v>0</v>
      </c>
      <c r="O240" s="21">
        <f>(H240)/(IF(A240="","-",VLOOKUP(A240,'[1]CATALOGO PZXCAJA'!$A$2:$C$5000,2,0)))</f>
        <v>2</v>
      </c>
    </row>
    <row r="241" spans="1:15" x14ac:dyDescent="0.2">
      <c r="A241" s="11" t="s">
        <v>259</v>
      </c>
      <c r="B241" s="11" t="str">
        <f t="shared" si="7"/>
        <v>250021</v>
      </c>
      <c r="C241" s="11" t="str">
        <f>_xlfn.CONCAT(+VLOOKUP(VALUE(MID(A241,13,2)),'Tabla de codigos'!$A$2:$B$60,2,1)," ",VLOOKUP(VALUE(MID(A241,15,4)),'Tabla de codigos'!$E$2:$F$102,2,1))</f>
        <v>OLLA RECTA 18</v>
      </c>
      <c r="D241" s="11" t="s">
        <v>253</v>
      </c>
      <c r="E241" s="11" t="s">
        <v>11</v>
      </c>
      <c r="F241" s="13" t="s">
        <v>254</v>
      </c>
      <c r="G241" s="14">
        <v>45708</v>
      </c>
      <c r="H241" s="15">
        <v>24</v>
      </c>
      <c r="I241" s="15">
        <v>24</v>
      </c>
      <c r="J241" s="15">
        <f t="shared" si="6"/>
        <v>0</v>
      </c>
      <c r="O241" s="21">
        <f>(H241)/(IF(A241="","-",VLOOKUP(A241,'[1]CATALOGO PZXCAJA'!$A$2:$C$5000,2,0)))</f>
        <v>2</v>
      </c>
    </row>
    <row r="242" spans="1:15" x14ac:dyDescent="0.2">
      <c r="A242" s="11" t="s">
        <v>260</v>
      </c>
      <c r="B242" s="11" t="str">
        <f t="shared" si="7"/>
        <v>250022</v>
      </c>
      <c r="C242" s="11" t="str">
        <f>_xlfn.CONCAT(+VLOOKUP(VALUE(MID(A242,13,2)),'Tabla de codigos'!$A$2:$B$60,2,1)," ",VLOOKUP(VALUE(MID(A242,15,4)),'Tabla de codigos'!$E$2:$F$102,2,1))</f>
        <v>OLLA RECTA 20</v>
      </c>
      <c r="D242" s="11" t="s">
        <v>253</v>
      </c>
      <c r="E242" s="11" t="s">
        <v>11</v>
      </c>
      <c r="F242" s="13" t="s">
        <v>254</v>
      </c>
      <c r="G242" s="14">
        <v>45708</v>
      </c>
      <c r="H242" s="15">
        <v>24</v>
      </c>
      <c r="I242" s="15">
        <v>24</v>
      </c>
      <c r="J242" s="16">
        <f t="shared" si="6"/>
        <v>0</v>
      </c>
      <c r="K242" s="17">
        <f>(SUM(I228:I242))/(SUM(H228:H242))</f>
        <v>0.73333333333333328</v>
      </c>
      <c r="O242" s="21">
        <f>(H242)/(IF(A242="","-",VLOOKUP(A242,'[1]CATALOGO PZXCAJA'!$A$2:$C$5000,2,0)))</f>
        <v>2</v>
      </c>
    </row>
    <row r="243" spans="1:15" x14ac:dyDescent="0.2">
      <c r="A243" s="11" t="s">
        <v>219</v>
      </c>
      <c r="B243" s="11" t="str">
        <f t="shared" si="7"/>
        <v>070017</v>
      </c>
      <c r="C243" s="11" t="str">
        <f>_xlfn.CONCAT(+VLOOKUP(VALUE(MID(A243,13,2)),'Tabla de codigos'!$A$2:$B$60,2,1)," ",VLOOKUP(VALUE(MID(A243,15,4)),'Tabla de codigos'!$E$2:$F$102,2,1))</f>
        <v>CAZO 16</v>
      </c>
      <c r="D243" s="11" t="s">
        <v>253</v>
      </c>
      <c r="E243" s="11" t="s">
        <v>11</v>
      </c>
      <c r="F243" s="13" t="s">
        <v>261</v>
      </c>
      <c r="G243" s="14">
        <v>45708</v>
      </c>
      <c r="H243" s="15">
        <v>48</v>
      </c>
      <c r="I243" s="15">
        <f>37+3-12+20</f>
        <v>48</v>
      </c>
      <c r="J243" s="15">
        <f t="shared" si="6"/>
        <v>0</v>
      </c>
      <c r="O243" s="21">
        <f>(H243)/(IF(A243="","-",VLOOKUP(A243,'[1]CATALOGO PZXCAJA'!$A$2:$C$5000,2,0)))</f>
        <v>4</v>
      </c>
    </row>
    <row r="244" spans="1:15" x14ac:dyDescent="0.2">
      <c r="A244" s="11" t="s">
        <v>242</v>
      </c>
      <c r="B244" s="11" t="str">
        <f t="shared" si="7"/>
        <v>100024</v>
      </c>
      <c r="C244" s="11" t="str">
        <f>_xlfn.CONCAT(+VLOOKUP(VALUE(MID(A244,13,2)),'Tabla de codigos'!$A$2:$B$60,2,1)," ",VLOOKUP(VALUE(MID(A244,15,4)),'Tabla de codigos'!$E$2:$F$102,2,1))</f>
        <v>COMAL 22</v>
      </c>
      <c r="D244" s="11" t="s">
        <v>253</v>
      </c>
      <c r="E244" s="11" t="s">
        <v>11</v>
      </c>
      <c r="F244" s="13" t="s">
        <v>261</v>
      </c>
      <c r="G244" s="14">
        <v>45708</v>
      </c>
      <c r="H244" s="15">
        <v>24</v>
      </c>
      <c r="I244" s="15">
        <v>24</v>
      </c>
      <c r="J244" s="15">
        <f t="shared" si="6"/>
        <v>0</v>
      </c>
      <c r="O244" s="21">
        <f>(H244)/(IF(A244="","-",VLOOKUP(A244,'[1]CATALOGO PZXCAJA'!$A$2:$C$5000,2,0)))</f>
        <v>1</v>
      </c>
    </row>
    <row r="245" spans="1:15" x14ac:dyDescent="0.2">
      <c r="A245" s="11" t="s">
        <v>149</v>
      </c>
      <c r="B245" s="11" t="str">
        <f t="shared" si="7"/>
        <v>100028</v>
      </c>
      <c r="C245" s="11" t="str">
        <f>_xlfn.CONCAT(+VLOOKUP(VALUE(MID(A245,13,2)),'Tabla de codigos'!$A$2:$B$60,2,1)," ",VLOOKUP(VALUE(MID(A245,15,4)),'Tabla de codigos'!$E$2:$F$102,2,1))</f>
        <v>COMAL 28</v>
      </c>
      <c r="D245" s="11" t="s">
        <v>253</v>
      </c>
      <c r="E245" s="11" t="s">
        <v>11</v>
      </c>
      <c r="F245" s="13" t="s">
        <v>261</v>
      </c>
      <c r="G245" s="14">
        <v>45708</v>
      </c>
      <c r="H245" s="15">
        <v>24</v>
      </c>
      <c r="I245" s="15">
        <v>24</v>
      </c>
      <c r="J245" s="16">
        <f t="shared" si="6"/>
        <v>0</v>
      </c>
      <c r="O245" s="21">
        <f>(H245)/(IF(A245="","-",VLOOKUP(A245,'[1]CATALOGO PZXCAJA'!$A$2:$C$5000,2,0)))</f>
        <v>2</v>
      </c>
    </row>
    <row r="246" spans="1:15" x14ac:dyDescent="0.2">
      <c r="A246" s="11" t="s">
        <v>220</v>
      </c>
      <c r="B246" s="11" t="str">
        <f t="shared" si="7"/>
        <v>240017</v>
      </c>
      <c r="C246" s="11" t="str">
        <f>_xlfn.CONCAT(+VLOOKUP(VALUE(MID(A246,13,2)),'Tabla de codigos'!$A$2:$B$60,2,1)," ",VLOOKUP(VALUE(MID(A246,15,4)),'Tabla de codigos'!$E$2:$F$102,2,1))</f>
        <v>OLLA CONVEXA 16</v>
      </c>
      <c r="D246" s="11" t="s">
        <v>253</v>
      </c>
      <c r="E246" s="11" t="s">
        <v>11</v>
      </c>
      <c r="F246" s="13" t="s">
        <v>261</v>
      </c>
      <c r="G246" s="14">
        <v>45708</v>
      </c>
      <c r="H246" s="15">
        <v>24</v>
      </c>
      <c r="I246" s="15">
        <v>24</v>
      </c>
      <c r="J246" s="16">
        <f t="shared" si="6"/>
        <v>0</v>
      </c>
      <c r="O246" s="21">
        <f>(H246)/(IF(A246="","-",VLOOKUP(A246,'[1]CATALOGO PZXCAJA'!$A$2:$C$5000,2,0)))</f>
        <v>2</v>
      </c>
    </row>
    <row r="247" spans="1:15" x14ac:dyDescent="0.2">
      <c r="A247" s="11" t="s">
        <v>150</v>
      </c>
      <c r="B247" s="11" t="str">
        <f t="shared" si="7"/>
        <v>240021</v>
      </c>
      <c r="C247" s="11" t="str">
        <f>_xlfn.CONCAT(+VLOOKUP(VALUE(MID(A247,13,2)),'Tabla de codigos'!$A$2:$B$60,2,1)," ",VLOOKUP(VALUE(MID(A247,15,4)),'Tabla de codigos'!$E$2:$F$102,2,1))</f>
        <v>OLLA CONVEXA 18</v>
      </c>
      <c r="D247" s="11" t="s">
        <v>253</v>
      </c>
      <c r="E247" s="11" t="s">
        <v>11</v>
      </c>
      <c r="F247" s="13" t="s">
        <v>261</v>
      </c>
      <c r="G247" s="14">
        <v>45708</v>
      </c>
      <c r="H247" s="15">
        <v>24</v>
      </c>
      <c r="I247" s="15">
        <v>0</v>
      </c>
      <c r="J247" s="16">
        <f t="shared" si="6"/>
        <v>24</v>
      </c>
      <c r="O247" s="21">
        <f>(H247)/(IF(A247="","-",VLOOKUP(A247,'[1]CATALOGO PZXCAJA'!$A$2:$C$5000,2,0)))</f>
        <v>2</v>
      </c>
    </row>
    <row r="248" spans="1:15" x14ac:dyDescent="0.2">
      <c r="A248" s="11" t="s">
        <v>151</v>
      </c>
      <c r="B248" s="11" t="str">
        <f t="shared" si="7"/>
        <v>240022</v>
      </c>
      <c r="C248" s="11" t="str">
        <f>_xlfn.CONCAT(+VLOOKUP(VALUE(MID(A248,13,2)),'Tabla de codigos'!$A$2:$B$60,2,1)," ",VLOOKUP(VALUE(MID(A248,15,4)),'Tabla de codigos'!$E$2:$F$102,2,1))</f>
        <v>OLLA CONVEXA 20</v>
      </c>
      <c r="D248" s="11" t="s">
        <v>253</v>
      </c>
      <c r="E248" s="11" t="s">
        <v>11</v>
      </c>
      <c r="F248" s="13" t="s">
        <v>261</v>
      </c>
      <c r="G248" s="14">
        <v>45708</v>
      </c>
      <c r="H248" s="15">
        <v>36</v>
      </c>
      <c r="I248" s="15">
        <v>0</v>
      </c>
      <c r="J248" s="16">
        <f t="shared" si="6"/>
        <v>36</v>
      </c>
      <c r="O248" s="21">
        <f>(H248)/(IF(A248="","-",VLOOKUP(A248,'[1]CATALOGO PZXCAJA'!$A$2:$C$5000,2,0)))</f>
        <v>3</v>
      </c>
    </row>
    <row r="249" spans="1:15" x14ac:dyDescent="0.2">
      <c r="A249" s="11" t="s">
        <v>43</v>
      </c>
      <c r="B249" s="11" t="str">
        <f t="shared" si="7"/>
        <v>240024</v>
      </c>
      <c r="C249" s="11" t="str">
        <f>_xlfn.CONCAT(+VLOOKUP(VALUE(MID(A249,13,2)),'Tabla de codigos'!$A$2:$B$60,2,1)," ",VLOOKUP(VALUE(MID(A249,15,4)),'Tabla de codigos'!$E$2:$F$102,2,1))</f>
        <v>OLLA CONVEXA 22</v>
      </c>
      <c r="D249" s="11" t="s">
        <v>253</v>
      </c>
      <c r="E249" s="11" t="s">
        <v>11</v>
      </c>
      <c r="F249" s="13" t="s">
        <v>261</v>
      </c>
      <c r="G249" s="14">
        <v>45708</v>
      </c>
      <c r="H249" s="15">
        <v>18</v>
      </c>
      <c r="I249" s="15">
        <v>18</v>
      </c>
      <c r="J249" s="16">
        <f t="shared" si="6"/>
        <v>0</v>
      </c>
      <c r="O249" s="21">
        <f>(H249)/(IF(A249="","-",VLOOKUP(A249,'[1]CATALOGO PZXCAJA'!$A$2:$C$5000,2,0)))</f>
        <v>3</v>
      </c>
    </row>
    <row r="250" spans="1:15" x14ac:dyDescent="0.2">
      <c r="A250" s="11" t="s">
        <v>152</v>
      </c>
      <c r="B250" s="11" t="str">
        <f t="shared" si="7"/>
        <v>240025</v>
      </c>
      <c r="C250" s="11" t="str">
        <f>_xlfn.CONCAT(+VLOOKUP(VALUE(MID(A250,13,2)),'Tabla de codigos'!$A$2:$B$60,2,1)," ",VLOOKUP(VALUE(MID(A250,15,4)),'Tabla de codigos'!$E$2:$F$102,2,1))</f>
        <v>OLLA CONVEXA 24</v>
      </c>
      <c r="D250" s="11" t="s">
        <v>253</v>
      </c>
      <c r="E250" s="11" t="s">
        <v>11</v>
      </c>
      <c r="F250" s="13" t="s">
        <v>261</v>
      </c>
      <c r="G250" s="14">
        <v>45708</v>
      </c>
      <c r="H250" s="15">
        <v>12</v>
      </c>
      <c r="I250" s="15">
        <v>12</v>
      </c>
      <c r="J250" s="16">
        <f t="shared" si="6"/>
        <v>0</v>
      </c>
      <c r="O250" s="21">
        <f>(H250)/(IF(A250="","-",VLOOKUP(A250,'[1]CATALOGO PZXCAJA'!$A$2:$C$5000,2,0)))</f>
        <v>2</v>
      </c>
    </row>
    <row r="251" spans="1:15" x14ac:dyDescent="0.2">
      <c r="A251" s="11" t="s">
        <v>154</v>
      </c>
      <c r="B251" s="11" t="str">
        <f t="shared" si="7"/>
        <v>240029</v>
      </c>
      <c r="C251" s="11" t="str">
        <f>_xlfn.CONCAT(+VLOOKUP(VALUE(MID(A251,13,2)),'Tabla de codigos'!$A$2:$B$60,2,1)," ",VLOOKUP(VALUE(MID(A251,15,4)),'Tabla de codigos'!$E$2:$F$102,2,1))</f>
        <v>OLLA CONVEXA 30</v>
      </c>
      <c r="D251" s="11" t="s">
        <v>253</v>
      </c>
      <c r="E251" s="11" t="s">
        <v>11</v>
      </c>
      <c r="F251" s="13" t="s">
        <v>261</v>
      </c>
      <c r="G251" s="14">
        <v>45708</v>
      </c>
      <c r="H251" s="15">
        <v>4</v>
      </c>
      <c r="I251" s="15">
        <v>4</v>
      </c>
      <c r="J251" s="16">
        <f t="shared" si="6"/>
        <v>0</v>
      </c>
      <c r="O251" s="21">
        <f>(H251)/(IF(A251="","-",VLOOKUP(A251,'[1]CATALOGO PZXCAJA'!$A$2:$C$5000,2,0)))</f>
        <v>2</v>
      </c>
    </row>
    <row r="252" spans="1:15" x14ac:dyDescent="0.2">
      <c r="A252" s="11" t="s">
        <v>226</v>
      </c>
      <c r="B252" s="11" t="str">
        <f t="shared" si="7"/>
        <v>330013</v>
      </c>
      <c r="C252" s="11" t="str">
        <f>_xlfn.CONCAT(+VLOOKUP(VALUE(MID(A252,13,2)),'Tabla de codigos'!$A$2:$B$60,2,1)," ",VLOOKUP(VALUE(MID(A252,15,4)),'Tabla de codigos'!$E$2:$F$102,2,1))</f>
        <v>POCILLO 10</v>
      </c>
      <c r="D252" s="11" t="s">
        <v>253</v>
      </c>
      <c r="E252" s="11" t="s">
        <v>11</v>
      </c>
      <c r="F252" s="13" t="s">
        <v>261</v>
      </c>
      <c r="G252" s="14">
        <v>45708</v>
      </c>
      <c r="H252" s="15">
        <v>96</v>
      </c>
      <c r="I252" s="15">
        <v>96</v>
      </c>
      <c r="J252" s="16">
        <f t="shared" si="6"/>
        <v>0</v>
      </c>
      <c r="O252" s="21">
        <f>(H252)/(IF(A252="","-",VLOOKUP(A252,'[1]CATALOGO PZXCAJA'!$A$2:$C$5000,2,0)))</f>
        <v>4</v>
      </c>
    </row>
    <row r="253" spans="1:15" x14ac:dyDescent="0.2">
      <c r="A253" s="11" t="s">
        <v>180</v>
      </c>
      <c r="B253" s="11" t="str">
        <f t="shared" si="7"/>
        <v>330014</v>
      </c>
      <c r="C253" s="11" t="str">
        <f>_xlfn.CONCAT(+VLOOKUP(VALUE(MID(A253,13,2)),'Tabla de codigos'!$A$2:$B$60,2,1)," ",VLOOKUP(VALUE(MID(A253,15,4)),'Tabla de codigos'!$E$2:$F$102,2,1))</f>
        <v>POCILLO 12</v>
      </c>
      <c r="D253" s="11" t="s">
        <v>253</v>
      </c>
      <c r="E253" s="11" t="s">
        <v>11</v>
      </c>
      <c r="F253" s="13" t="s">
        <v>261</v>
      </c>
      <c r="G253" s="14">
        <v>45708</v>
      </c>
      <c r="H253" s="15">
        <v>72</v>
      </c>
      <c r="I253" s="15">
        <f>34+24+14</f>
        <v>72</v>
      </c>
      <c r="J253" s="16">
        <f t="shared" si="6"/>
        <v>0</v>
      </c>
      <c r="O253" s="21">
        <f>(H253)/(IF(A253="","-",VLOOKUP(A253,'[1]CATALOGO PZXCAJA'!$A$2:$C$5000,2,0)))</f>
        <v>6</v>
      </c>
    </row>
    <row r="254" spans="1:15" x14ac:dyDescent="0.2">
      <c r="A254" s="11" t="s">
        <v>182</v>
      </c>
      <c r="B254" s="11" t="str">
        <f t="shared" si="7"/>
        <v>330015</v>
      </c>
      <c r="C254" s="11" t="str">
        <f>_xlfn.CONCAT(+VLOOKUP(VALUE(MID(A254,13,2)),'Tabla de codigos'!$A$2:$B$60,2,1)," ",VLOOKUP(VALUE(MID(A254,15,4)),'Tabla de codigos'!$E$2:$F$102,2,1))</f>
        <v>POCILLO 14</v>
      </c>
      <c r="D254" s="11" t="s">
        <v>253</v>
      </c>
      <c r="E254" s="11" t="s">
        <v>11</v>
      </c>
      <c r="F254" s="13" t="s">
        <v>261</v>
      </c>
      <c r="G254" s="14">
        <v>45708</v>
      </c>
      <c r="H254" s="15">
        <v>36</v>
      </c>
      <c r="I254" s="15">
        <v>36</v>
      </c>
      <c r="J254" s="16">
        <f t="shared" si="6"/>
        <v>0</v>
      </c>
      <c r="O254" s="21">
        <f>(H254)/(IF(A254="","-",VLOOKUP(A254,'[1]CATALOGO PZXCAJA'!$A$2:$C$5000,2,0)))</f>
        <v>6</v>
      </c>
    </row>
    <row r="255" spans="1:15" x14ac:dyDescent="0.2">
      <c r="A255" s="11" t="s">
        <v>262</v>
      </c>
      <c r="B255" s="11" t="str">
        <f t="shared" si="7"/>
        <v>360022</v>
      </c>
      <c r="C255" s="11" t="str">
        <f>_xlfn.CONCAT(+VLOOKUP(VALUE(MID(A255,13,2)),'Tabla de codigos'!$A$2:$B$60,2,1)," ",VLOOKUP(VALUE(MID(A255,15,4)),'Tabla de codigos'!$E$2:$F$102,2,1))</f>
        <v>SARTEN 20</v>
      </c>
      <c r="D255" s="11" t="s">
        <v>253</v>
      </c>
      <c r="E255" s="11" t="s">
        <v>11</v>
      </c>
      <c r="F255" s="13" t="s">
        <v>261</v>
      </c>
      <c r="G255" s="14">
        <v>45708</v>
      </c>
      <c r="H255" s="15">
        <v>24</v>
      </c>
      <c r="I255" s="15">
        <v>0</v>
      </c>
      <c r="J255" s="16">
        <f t="shared" si="6"/>
        <v>24</v>
      </c>
      <c r="O255" s="21">
        <f>(H255)/(IF(A255="","-",VLOOKUP(A255,'[1]CATALOGO PZXCAJA'!$A$2:$C$5000,2,0)))</f>
        <v>2</v>
      </c>
    </row>
    <row r="256" spans="1:15" x14ac:dyDescent="0.2">
      <c r="A256" s="11" t="s">
        <v>227</v>
      </c>
      <c r="B256" s="11" t="str">
        <f t="shared" si="7"/>
        <v>360024</v>
      </c>
      <c r="C256" s="11" t="str">
        <f>_xlfn.CONCAT(+VLOOKUP(VALUE(MID(A256,13,2)),'Tabla de codigos'!$A$2:$B$60,2,1)," ",VLOOKUP(VALUE(MID(A256,15,4)),'Tabla de codigos'!$E$2:$F$102,2,1))</f>
        <v>SARTEN 22</v>
      </c>
      <c r="D256" s="11" t="s">
        <v>253</v>
      </c>
      <c r="E256" s="11" t="s">
        <v>11</v>
      </c>
      <c r="F256" s="13" t="s">
        <v>261</v>
      </c>
      <c r="G256" s="14">
        <v>45708</v>
      </c>
      <c r="H256" s="15">
        <v>24</v>
      </c>
      <c r="I256" s="15">
        <v>0</v>
      </c>
      <c r="J256" s="15">
        <f t="shared" si="6"/>
        <v>24</v>
      </c>
      <c r="O256" s="21">
        <f>(H256)/(IF(A256="","-",VLOOKUP(A256,'[1]CATALOGO PZXCAJA'!$A$2:$C$5000,2,0)))</f>
        <v>2</v>
      </c>
    </row>
    <row r="257" spans="1:15" x14ac:dyDescent="0.2">
      <c r="A257" s="11" t="s">
        <v>44</v>
      </c>
      <c r="B257" s="11" t="str">
        <f t="shared" si="7"/>
        <v>360025</v>
      </c>
      <c r="C257" s="11" t="str">
        <f>_xlfn.CONCAT(+VLOOKUP(VALUE(MID(A257,13,2)),'Tabla de codigos'!$A$2:$B$60,2,1)," ",VLOOKUP(VALUE(MID(A257,15,4)),'Tabla de codigos'!$E$2:$F$102,2,1))</f>
        <v>SARTEN 24</v>
      </c>
      <c r="D257" s="11" t="s">
        <v>253</v>
      </c>
      <c r="E257" s="11" t="s">
        <v>11</v>
      </c>
      <c r="F257" s="13" t="s">
        <v>261</v>
      </c>
      <c r="G257" s="14">
        <v>45708</v>
      </c>
      <c r="H257" s="15">
        <v>24</v>
      </c>
      <c r="I257" s="15">
        <v>0</v>
      </c>
      <c r="J257" s="16">
        <f t="shared" si="6"/>
        <v>24</v>
      </c>
      <c r="O257" s="21">
        <f>(H257)/(IF(A257="","-",VLOOKUP(A257,'[1]CATALOGO PZXCAJA'!$A$2:$C$5000,2,0)))</f>
        <v>2</v>
      </c>
    </row>
    <row r="258" spans="1:15" x14ac:dyDescent="0.2">
      <c r="A258" s="11" t="s">
        <v>188</v>
      </c>
      <c r="B258" s="11" t="str">
        <f t="shared" si="7"/>
        <v>330015</v>
      </c>
      <c r="C258" s="11" t="str">
        <f>_xlfn.CONCAT(+VLOOKUP(VALUE(MID(A258,13,2)),'Tabla de codigos'!$A$2:$B$60,2,1)," ",VLOOKUP(VALUE(MID(A258,15,4)),'Tabla de codigos'!$E$2:$F$102,2,1))</f>
        <v>POCILLO 14</v>
      </c>
      <c r="D258" s="11" t="s">
        <v>253</v>
      </c>
      <c r="E258" s="11" t="s">
        <v>11</v>
      </c>
      <c r="F258" s="13" t="s">
        <v>261</v>
      </c>
      <c r="G258" s="14">
        <v>45708</v>
      </c>
      <c r="H258" s="15">
        <v>24</v>
      </c>
      <c r="I258" s="15">
        <v>12</v>
      </c>
      <c r="J258" s="16">
        <f t="shared" ref="J258:J321" si="8">+H258-I258</f>
        <v>12</v>
      </c>
      <c r="K258" s="17">
        <f>(SUM(I243:I258))/(SUM(H243:H258))</f>
        <v>0.71984435797665369</v>
      </c>
      <c r="O258" s="21" t="e">
        <f>(H258)/(IF(A258="","-",VLOOKUP(A258,'[1]CATALOGO PZXCAJA'!$A$2:$C$5000,2,0)))</f>
        <v>#N/A</v>
      </c>
    </row>
    <row r="259" spans="1:15" x14ac:dyDescent="0.2">
      <c r="A259" s="11" t="s">
        <v>263</v>
      </c>
      <c r="B259" s="11" t="str">
        <f t="shared" ref="B259:B322" si="9">+MID(A259,13,6)</f>
        <v>060014</v>
      </c>
      <c r="C259" s="11" t="str">
        <f>_xlfn.CONCAT(+VLOOKUP(VALUE(MID(A259,13,2)),'Tabla de codigos'!$A$2:$B$60,2,1)," ",VLOOKUP(VALUE(MID(A259,15,4)),'Tabla de codigos'!$E$2:$F$102,2,1))</f>
        <v>BUDINERA   12</v>
      </c>
      <c r="D259" s="11" t="s">
        <v>264</v>
      </c>
      <c r="E259" s="11" t="s">
        <v>16</v>
      </c>
      <c r="F259" s="11" t="s">
        <v>265</v>
      </c>
      <c r="G259" s="11" t="s">
        <v>266</v>
      </c>
      <c r="H259" s="11">
        <v>100</v>
      </c>
      <c r="I259" s="11">
        <v>108</v>
      </c>
      <c r="J259" s="16">
        <f t="shared" si="8"/>
        <v>-8</v>
      </c>
    </row>
    <row r="260" spans="1:15" x14ac:dyDescent="0.2">
      <c r="A260" s="11" t="s">
        <v>267</v>
      </c>
      <c r="B260" s="11" t="str">
        <f t="shared" si="9"/>
        <v>260022</v>
      </c>
      <c r="C260" s="11" t="str">
        <f>_xlfn.CONCAT(+VLOOKUP(VALUE(MID(A260,13,2)),'Tabla de codigos'!$A$2:$B$60,2,1)," ",VLOOKUP(VALUE(MID(A260,15,4)),'Tabla de codigos'!$E$2:$F$102,2,1))</f>
        <v>PLATO AVENERO 20</v>
      </c>
      <c r="D260" s="11" t="s">
        <v>264</v>
      </c>
      <c r="E260" s="11" t="s">
        <v>16</v>
      </c>
      <c r="F260" s="11" t="s">
        <v>265</v>
      </c>
      <c r="G260" s="11" t="s">
        <v>266</v>
      </c>
      <c r="H260" s="11">
        <v>24</v>
      </c>
      <c r="I260" s="11">
        <v>24</v>
      </c>
      <c r="J260" s="15">
        <f t="shared" si="8"/>
        <v>0</v>
      </c>
    </row>
    <row r="261" spans="1:15" x14ac:dyDescent="0.2">
      <c r="A261" s="11" t="s">
        <v>268</v>
      </c>
      <c r="B261" s="11" t="str">
        <f t="shared" si="9"/>
        <v>300017</v>
      </c>
      <c r="C261" s="11" t="str">
        <f>_xlfn.CONCAT(+VLOOKUP(VALUE(MID(A261,13,2)),'Tabla de codigos'!$A$2:$B$60,2,1)," ",VLOOKUP(VALUE(MID(A261,15,4)),'Tabla de codigos'!$E$2:$F$102,2,1))</f>
        <v>PLATO LISO 16</v>
      </c>
      <c r="D261" s="11" t="s">
        <v>264</v>
      </c>
      <c r="E261" s="11" t="s">
        <v>16</v>
      </c>
      <c r="F261" s="11" t="s">
        <v>265</v>
      </c>
      <c r="G261" s="11" t="s">
        <v>266</v>
      </c>
      <c r="H261" s="11">
        <v>100</v>
      </c>
      <c r="I261" s="11">
        <v>102</v>
      </c>
      <c r="J261" s="16">
        <f t="shared" si="8"/>
        <v>-2</v>
      </c>
    </row>
    <row r="262" spans="1:15" x14ac:dyDescent="0.2">
      <c r="A262" s="11" t="s">
        <v>269</v>
      </c>
      <c r="B262" s="11" t="str">
        <f t="shared" si="9"/>
        <v>300022</v>
      </c>
      <c r="C262" s="11" t="str">
        <f>_xlfn.CONCAT(+VLOOKUP(VALUE(MID(A262,13,2)),'Tabla de codigos'!$A$2:$B$60,2,1)," ",VLOOKUP(VALUE(MID(A262,15,4)),'Tabla de codigos'!$E$2:$F$102,2,1))</f>
        <v>PLATO LISO 20</v>
      </c>
      <c r="D262" s="11" t="s">
        <v>264</v>
      </c>
      <c r="E262" s="11" t="s">
        <v>16</v>
      </c>
      <c r="F262" s="11" t="s">
        <v>265</v>
      </c>
      <c r="G262" s="11" t="s">
        <v>266</v>
      </c>
      <c r="H262" s="11">
        <v>50</v>
      </c>
      <c r="I262" s="11">
        <v>54</v>
      </c>
      <c r="J262" s="16">
        <f t="shared" si="8"/>
        <v>-4</v>
      </c>
    </row>
    <row r="263" spans="1:15" x14ac:dyDescent="0.2">
      <c r="A263" s="11" t="s">
        <v>270</v>
      </c>
      <c r="B263" s="11" t="str">
        <f t="shared" si="9"/>
        <v>300027</v>
      </c>
      <c r="C263" s="11" t="str">
        <f>_xlfn.CONCAT(+VLOOKUP(VALUE(MID(A263,13,2)),'Tabla de codigos'!$A$2:$B$60,2,1)," ",VLOOKUP(VALUE(MID(A263,15,4)),'Tabla de codigos'!$E$2:$F$102,2,1))</f>
        <v>PLATO LISO 27</v>
      </c>
      <c r="D263" s="11" t="s">
        <v>264</v>
      </c>
      <c r="E263" s="11" t="s">
        <v>16</v>
      </c>
      <c r="F263" s="11" t="s">
        <v>265</v>
      </c>
      <c r="G263" s="11" t="s">
        <v>266</v>
      </c>
      <c r="H263" s="11">
        <v>100</v>
      </c>
      <c r="I263" s="11">
        <v>102</v>
      </c>
      <c r="J263" s="16">
        <f t="shared" si="8"/>
        <v>-2</v>
      </c>
    </row>
    <row r="264" spans="1:15" x14ac:dyDescent="0.2">
      <c r="A264" s="11" t="s">
        <v>271</v>
      </c>
      <c r="B264" s="11" t="str">
        <f t="shared" si="9"/>
        <v>350001</v>
      </c>
      <c r="C264" s="11" t="str">
        <f>_xlfn.CONCAT(+VLOOKUP(VALUE(MID(A264,13,2)),'Tabla de codigos'!$A$2:$B$60,2,1)," ",VLOOKUP(VALUE(MID(A264,15,4)),'Tabla de codigos'!$E$2:$F$102,2,1))</f>
        <v>PORTAVASOS S/I</v>
      </c>
      <c r="D264" s="11" t="s">
        <v>264</v>
      </c>
      <c r="E264" s="11" t="s">
        <v>16</v>
      </c>
      <c r="F264" s="11" t="s">
        <v>265</v>
      </c>
      <c r="G264" s="11" t="s">
        <v>266</v>
      </c>
      <c r="H264" s="11">
        <v>60</v>
      </c>
      <c r="I264" s="11">
        <v>96</v>
      </c>
      <c r="J264" s="16">
        <f t="shared" si="8"/>
        <v>-36</v>
      </c>
    </row>
    <row r="265" spans="1:15" x14ac:dyDescent="0.2">
      <c r="A265" s="11" t="s">
        <v>272</v>
      </c>
      <c r="B265" s="11" t="str">
        <f t="shared" si="9"/>
        <v>390012</v>
      </c>
      <c r="C265" s="11" t="str">
        <f>_xlfn.CONCAT(+VLOOKUP(VALUE(MID(A265,13,2)),'Tabla de codigos'!$A$2:$B$60,2,1)," ",VLOOKUP(VALUE(MID(A265,15,4)),'Tabla de codigos'!$E$2:$F$102,2,1))</f>
        <v>TAZON  8</v>
      </c>
      <c r="D265" s="11" t="s">
        <v>264</v>
      </c>
      <c r="E265" s="11" t="s">
        <v>16</v>
      </c>
      <c r="F265" s="11" t="s">
        <v>265</v>
      </c>
      <c r="G265" s="11" t="s">
        <v>266</v>
      </c>
      <c r="H265" s="11">
        <v>100</v>
      </c>
      <c r="I265" s="11">
        <v>108</v>
      </c>
      <c r="J265" s="16">
        <f t="shared" si="8"/>
        <v>-8</v>
      </c>
    </row>
    <row r="266" spans="1:15" x14ac:dyDescent="0.2">
      <c r="A266" s="11" t="s">
        <v>273</v>
      </c>
      <c r="B266" s="11" t="str">
        <f t="shared" si="9"/>
        <v>520028</v>
      </c>
      <c r="C266" s="11" t="str">
        <f>_xlfn.CONCAT(+VLOOKUP(VALUE(MID(A266,13,2)),'Tabla de codigos'!$A$2:$B$60,2,1)," ",VLOOKUP(VALUE(MID(A266,15,4)),'Tabla de codigos'!$E$2:$F$102,2,1))</f>
        <v>PLATO OVAL 28</v>
      </c>
      <c r="D266" s="11" t="s">
        <v>264</v>
      </c>
      <c r="E266" s="11" t="s">
        <v>16</v>
      </c>
      <c r="F266" s="11" t="s">
        <v>265</v>
      </c>
      <c r="G266" s="11" t="s">
        <v>266</v>
      </c>
      <c r="H266" s="11">
        <v>24</v>
      </c>
      <c r="I266" s="11">
        <v>24</v>
      </c>
      <c r="J266" s="16">
        <f t="shared" si="8"/>
        <v>0</v>
      </c>
    </row>
    <row r="267" spans="1:15" x14ac:dyDescent="0.2">
      <c r="A267" s="11" t="s">
        <v>251</v>
      </c>
      <c r="B267" s="11" t="str">
        <f t="shared" si="9"/>
        <v>520028</v>
      </c>
      <c r="C267" s="11" t="str">
        <f>_xlfn.CONCAT(+VLOOKUP(VALUE(MID(A267,13,2)),'Tabla de codigos'!$A$2:$B$60,2,1)," ",VLOOKUP(VALUE(MID(A267,15,4)),'Tabla de codigos'!$E$2:$F$102,2,1))</f>
        <v>PLATO OVAL 28</v>
      </c>
      <c r="D267" s="11" t="s">
        <v>264</v>
      </c>
      <c r="E267" s="11" t="s">
        <v>16</v>
      </c>
      <c r="F267" s="11" t="s">
        <v>265</v>
      </c>
      <c r="G267" s="11" t="s">
        <v>266</v>
      </c>
      <c r="H267" s="11">
        <v>24</v>
      </c>
      <c r="I267" s="11">
        <f>8+16</f>
        <v>24</v>
      </c>
      <c r="J267" s="16">
        <f t="shared" si="8"/>
        <v>0</v>
      </c>
      <c r="K267" s="17">
        <f>(SUM(I259:I267))/(SUM(H259:H267))</f>
        <v>1.1030927835051547</v>
      </c>
    </row>
    <row r="268" spans="1:15" x14ac:dyDescent="0.2">
      <c r="A268" s="27" t="s">
        <v>274</v>
      </c>
      <c r="B268" s="11" t="str">
        <f t="shared" si="9"/>
        <v>060014</v>
      </c>
      <c r="C268" s="11" t="str">
        <f>_xlfn.CONCAT(+VLOOKUP(VALUE(MID(A268,13,2)),'Tabla de codigos'!$A$2:$B$60,2,1)," ",VLOOKUP(VALUE(MID(A268,15,4)),'Tabla de codigos'!$E$2:$F$102,2,1))</f>
        <v>BUDINERA   12</v>
      </c>
      <c r="D268" s="27" t="s">
        <v>275</v>
      </c>
      <c r="E268" s="27" t="s">
        <v>16</v>
      </c>
      <c r="F268" s="27" t="s">
        <v>276</v>
      </c>
      <c r="G268" s="27" t="s">
        <v>186</v>
      </c>
      <c r="H268" s="27">
        <v>72</v>
      </c>
      <c r="I268" s="27">
        <v>72</v>
      </c>
      <c r="J268" s="15">
        <f t="shared" si="8"/>
        <v>0</v>
      </c>
    </row>
    <row r="269" spans="1:15" x14ac:dyDescent="0.2">
      <c r="A269" s="11" t="s">
        <v>277</v>
      </c>
      <c r="B269" s="11" t="str">
        <f t="shared" si="9"/>
        <v>060014</v>
      </c>
      <c r="C269" s="11" t="str">
        <f>_xlfn.CONCAT(+VLOOKUP(VALUE(MID(A269,13,2)),'Tabla de codigos'!$A$2:$B$60,2,1)," ",VLOOKUP(VALUE(MID(A269,15,4)),'Tabla de codigos'!$E$2:$F$102,2,1))</f>
        <v>BUDINERA   12</v>
      </c>
      <c r="D269" s="11" t="s">
        <v>275</v>
      </c>
      <c r="E269" s="11" t="s">
        <v>16</v>
      </c>
      <c r="F269" s="11" t="s">
        <v>276</v>
      </c>
      <c r="G269" s="11" t="s">
        <v>186</v>
      </c>
      <c r="H269" s="11">
        <v>108</v>
      </c>
      <c r="I269" s="11">
        <f>1+36+36+16</f>
        <v>89</v>
      </c>
      <c r="J269" s="15">
        <f t="shared" si="8"/>
        <v>19</v>
      </c>
    </row>
    <row r="270" spans="1:15" x14ac:dyDescent="0.2">
      <c r="A270" s="27" t="s">
        <v>278</v>
      </c>
      <c r="B270" s="11" t="str">
        <f t="shared" si="9"/>
        <v>060014</v>
      </c>
      <c r="C270" s="11" t="str">
        <f>_xlfn.CONCAT(+VLOOKUP(VALUE(MID(A270,13,2)),'Tabla de codigos'!$A$2:$B$60,2,1)," ",VLOOKUP(VALUE(MID(A270,15,4)),'Tabla de codigos'!$E$2:$F$102,2,1))</f>
        <v>BUDINERA   12</v>
      </c>
      <c r="D270" s="27" t="s">
        <v>275</v>
      </c>
      <c r="E270" s="27" t="s">
        <v>16</v>
      </c>
      <c r="F270" s="27" t="s">
        <v>276</v>
      </c>
      <c r="G270" s="27" t="s">
        <v>186</v>
      </c>
      <c r="H270" s="27">
        <v>108</v>
      </c>
      <c r="I270" s="27">
        <f>10+18+9+36+18+2+15</f>
        <v>108</v>
      </c>
      <c r="J270" s="15">
        <f t="shared" si="8"/>
        <v>0</v>
      </c>
    </row>
    <row r="271" spans="1:15" x14ac:dyDescent="0.2">
      <c r="A271" s="27" t="s">
        <v>279</v>
      </c>
      <c r="B271" s="11" t="str">
        <f t="shared" si="9"/>
        <v>060014</v>
      </c>
      <c r="C271" s="11" t="str">
        <f>_xlfn.CONCAT(+VLOOKUP(VALUE(MID(A271,13,2)),'Tabla de codigos'!$A$2:$B$60,2,1)," ",VLOOKUP(VALUE(MID(A271,15,4)),'Tabla de codigos'!$E$2:$F$102,2,1))</f>
        <v>BUDINERA   12</v>
      </c>
      <c r="D271" s="27" t="s">
        <v>275</v>
      </c>
      <c r="E271" s="27" t="s">
        <v>16</v>
      </c>
      <c r="F271" s="27" t="s">
        <v>276</v>
      </c>
      <c r="G271" s="27" t="s">
        <v>186</v>
      </c>
      <c r="H271" s="27">
        <v>108</v>
      </c>
      <c r="I271" s="27">
        <v>108</v>
      </c>
      <c r="J271" s="15">
        <f t="shared" si="8"/>
        <v>0</v>
      </c>
    </row>
    <row r="272" spans="1:15" x14ac:dyDescent="0.2">
      <c r="A272" s="27" t="s">
        <v>280</v>
      </c>
      <c r="B272" s="11" t="str">
        <f t="shared" si="9"/>
        <v>220001</v>
      </c>
      <c r="C272" s="11" t="str">
        <f>_xlfn.CONCAT(+VLOOKUP(VALUE(MID(A272,13,2)),'Tabla de codigos'!$A$2:$B$60,2,1)," ",VLOOKUP(VALUE(MID(A272,15,4)),'Tabla de codigos'!$E$2:$F$102,2,1))</f>
        <v>MULTIUSOS S/I</v>
      </c>
      <c r="D272" s="27" t="s">
        <v>275</v>
      </c>
      <c r="E272" s="27" t="s">
        <v>16</v>
      </c>
      <c r="F272" s="27" t="s">
        <v>276</v>
      </c>
      <c r="G272" s="27" t="s">
        <v>186</v>
      </c>
      <c r="H272" s="27">
        <v>252</v>
      </c>
      <c r="I272" s="27">
        <f>12+36+204</f>
        <v>252</v>
      </c>
      <c r="J272" s="15">
        <f t="shared" si="8"/>
        <v>0</v>
      </c>
    </row>
    <row r="273" spans="1:10" x14ac:dyDescent="0.2">
      <c r="A273" s="27" t="s">
        <v>281</v>
      </c>
      <c r="B273" s="11" t="str">
        <f t="shared" si="9"/>
        <v>220001</v>
      </c>
      <c r="C273" s="11" t="str">
        <f>_xlfn.CONCAT(+VLOOKUP(VALUE(MID(A273,13,2)),'Tabla de codigos'!$A$2:$B$60,2,1)," ",VLOOKUP(VALUE(MID(A273,15,4)),'Tabla de codigos'!$E$2:$F$102,2,1))</f>
        <v>MULTIUSOS S/I</v>
      </c>
      <c r="D273" s="27" t="s">
        <v>275</v>
      </c>
      <c r="E273" s="27" t="s">
        <v>16</v>
      </c>
      <c r="F273" s="27" t="s">
        <v>276</v>
      </c>
      <c r="G273" s="27" t="s">
        <v>186</v>
      </c>
      <c r="H273" s="27">
        <v>252</v>
      </c>
      <c r="I273" s="27">
        <f>181+18+23+30</f>
        <v>252</v>
      </c>
      <c r="J273" s="15">
        <f t="shared" si="8"/>
        <v>0</v>
      </c>
    </row>
    <row r="274" spans="1:10" x14ac:dyDescent="0.2">
      <c r="A274" s="27" t="s">
        <v>282</v>
      </c>
      <c r="B274" s="11" t="str">
        <f t="shared" si="9"/>
        <v>220001</v>
      </c>
      <c r="C274" s="11" t="str">
        <f>_xlfn.CONCAT(+VLOOKUP(VALUE(MID(A274,13,2)),'Tabla de codigos'!$A$2:$B$60,2,1)," ",VLOOKUP(VALUE(MID(A274,15,4)),'Tabla de codigos'!$E$2:$F$102,2,1))</f>
        <v>MULTIUSOS S/I</v>
      </c>
      <c r="D274" s="27" t="s">
        <v>275</v>
      </c>
      <c r="E274" s="27" t="s">
        <v>16</v>
      </c>
      <c r="F274" s="27" t="s">
        <v>276</v>
      </c>
      <c r="G274" s="27" t="s">
        <v>186</v>
      </c>
      <c r="H274" s="27">
        <v>252</v>
      </c>
      <c r="I274" s="27">
        <f>126+20+36+70</f>
        <v>252</v>
      </c>
      <c r="J274" s="15">
        <f t="shared" si="8"/>
        <v>0</v>
      </c>
    </row>
    <row r="275" spans="1:10" x14ac:dyDescent="0.2">
      <c r="A275" s="27" t="s">
        <v>283</v>
      </c>
      <c r="B275" s="11" t="str">
        <f t="shared" si="9"/>
        <v>260022</v>
      </c>
      <c r="C275" s="11" t="str">
        <f>_xlfn.CONCAT(+VLOOKUP(VALUE(MID(A275,13,2)),'Tabla de codigos'!$A$2:$B$60,2,1)," ",VLOOKUP(VALUE(MID(A275,15,4)),'Tabla de codigos'!$E$2:$F$102,2,1))</f>
        <v>PLATO AVENERO 20</v>
      </c>
      <c r="D275" s="27" t="s">
        <v>275</v>
      </c>
      <c r="E275" s="27" t="s">
        <v>16</v>
      </c>
      <c r="F275" s="27" t="s">
        <v>276</v>
      </c>
      <c r="G275" s="27" t="s">
        <v>186</v>
      </c>
      <c r="H275" s="27">
        <v>96</v>
      </c>
      <c r="I275" s="27">
        <v>96</v>
      </c>
      <c r="J275" s="16">
        <f t="shared" si="8"/>
        <v>0</v>
      </c>
    </row>
    <row r="276" spans="1:10" x14ac:dyDescent="0.2">
      <c r="A276" s="27" t="s">
        <v>284</v>
      </c>
      <c r="B276" s="11" t="str">
        <f t="shared" si="9"/>
        <v>260022</v>
      </c>
      <c r="C276" s="11" t="str">
        <f>_xlfn.CONCAT(+VLOOKUP(VALUE(MID(A276,13,2)),'Tabla de codigos'!$A$2:$B$60,2,1)," ",VLOOKUP(VALUE(MID(A276,15,4)),'Tabla de codigos'!$E$2:$F$102,2,1))</f>
        <v>PLATO AVENERO 20</v>
      </c>
      <c r="D276" s="27" t="s">
        <v>275</v>
      </c>
      <c r="E276" s="27" t="s">
        <v>16</v>
      </c>
      <c r="F276" s="27" t="s">
        <v>276</v>
      </c>
      <c r="G276" s="27" t="s">
        <v>186</v>
      </c>
      <c r="H276" s="27">
        <v>96</v>
      </c>
      <c r="I276" s="27">
        <f>72+4+20</f>
        <v>96</v>
      </c>
      <c r="J276" s="15">
        <f t="shared" si="8"/>
        <v>0</v>
      </c>
    </row>
    <row r="277" spans="1:10" x14ac:dyDescent="0.2">
      <c r="A277" s="27" t="s">
        <v>285</v>
      </c>
      <c r="B277" s="11" t="str">
        <f t="shared" si="9"/>
        <v>300017</v>
      </c>
      <c r="C277" s="11" t="str">
        <f>_xlfn.CONCAT(+VLOOKUP(VALUE(MID(A277,13,2)),'Tabla de codigos'!$A$2:$B$60,2,1)," ",VLOOKUP(VALUE(MID(A277,15,4)),'Tabla de codigos'!$E$2:$F$102,2,1))</f>
        <v>PLATO LISO 16</v>
      </c>
      <c r="D277" s="27" t="s">
        <v>275</v>
      </c>
      <c r="E277" s="27" t="s">
        <v>16</v>
      </c>
      <c r="F277" s="27" t="s">
        <v>276</v>
      </c>
      <c r="G277" s="27" t="s">
        <v>186</v>
      </c>
      <c r="H277" s="27">
        <v>120</v>
      </c>
      <c r="I277" s="27">
        <f>54+2+48+2+12+2</f>
        <v>120</v>
      </c>
      <c r="J277" s="15">
        <f t="shared" si="8"/>
        <v>0</v>
      </c>
    </row>
    <row r="278" spans="1:10" x14ac:dyDescent="0.2">
      <c r="A278" s="27" t="s">
        <v>286</v>
      </c>
      <c r="B278" s="11" t="str">
        <f t="shared" si="9"/>
        <v>300017</v>
      </c>
      <c r="C278" s="11" t="str">
        <f>_xlfn.CONCAT(+VLOOKUP(VALUE(MID(A278,13,2)),'Tabla de codigos'!$A$2:$B$60,2,1)," ",VLOOKUP(VALUE(MID(A278,15,4)),'Tabla de codigos'!$E$2:$F$102,2,1))</f>
        <v>PLATO LISO 16</v>
      </c>
      <c r="D278" s="27" t="s">
        <v>275</v>
      </c>
      <c r="E278" s="27" t="s">
        <v>16</v>
      </c>
      <c r="F278" s="27" t="s">
        <v>276</v>
      </c>
      <c r="G278" s="27" t="s">
        <v>186</v>
      </c>
      <c r="H278" s="27">
        <v>120</v>
      </c>
      <c r="I278" s="27">
        <v>120</v>
      </c>
      <c r="J278" s="15">
        <f t="shared" si="8"/>
        <v>0</v>
      </c>
    </row>
    <row r="279" spans="1:10" x14ac:dyDescent="0.2">
      <c r="A279" s="27" t="s">
        <v>287</v>
      </c>
      <c r="B279" s="11" t="str">
        <f t="shared" si="9"/>
        <v>300017</v>
      </c>
      <c r="C279" s="11" t="str">
        <f>_xlfn.CONCAT(+VLOOKUP(VALUE(MID(A279,13,2)),'Tabla de codigos'!$A$2:$B$60,2,1)," ",VLOOKUP(VALUE(MID(A279,15,4)),'Tabla de codigos'!$E$2:$F$102,2,1))</f>
        <v>PLATO LISO 16</v>
      </c>
      <c r="D279" s="27" t="s">
        <v>275</v>
      </c>
      <c r="E279" s="27" t="s">
        <v>16</v>
      </c>
      <c r="F279" s="27" t="s">
        <v>276</v>
      </c>
      <c r="G279" s="27" t="s">
        <v>186</v>
      </c>
      <c r="H279" s="27">
        <v>120</v>
      </c>
      <c r="I279" s="27">
        <f>60+18+2+30+10</f>
        <v>120</v>
      </c>
      <c r="J279" s="15">
        <f t="shared" si="8"/>
        <v>0</v>
      </c>
    </row>
    <row r="280" spans="1:10" x14ac:dyDescent="0.2">
      <c r="A280" s="27" t="s">
        <v>288</v>
      </c>
      <c r="B280" s="11" t="str">
        <f t="shared" si="9"/>
        <v>300022</v>
      </c>
      <c r="C280" s="11" t="str">
        <f>_xlfn.CONCAT(+VLOOKUP(VALUE(MID(A280,13,2)),'Tabla de codigos'!$A$2:$B$60,2,1)," ",VLOOKUP(VALUE(MID(A280,15,4)),'Tabla de codigos'!$E$2:$F$102,2,1))</f>
        <v>PLATO LISO 20</v>
      </c>
      <c r="D280" s="27" t="s">
        <v>275</v>
      </c>
      <c r="E280" s="27" t="s">
        <v>16</v>
      </c>
      <c r="F280" s="27" t="s">
        <v>276</v>
      </c>
      <c r="G280" s="27" t="s">
        <v>186</v>
      </c>
      <c r="H280" s="27">
        <v>312</v>
      </c>
      <c r="I280" s="27">
        <f>48+12+5+24+24+3+144+52</f>
        <v>312</v>
      </c>
      <c r="J280" s="15">
        <f t="shared" si="8"/>
        <v>0</v>
      </c>
    </row>
    <row r="281" spans="1:10" x14ac:dyDescent="0.2">
      <c r="A281" s="27" t="s">
        <v>289</v>
      </c>
      <c r="B281" s="11" t="str">
        <f t="shared" si="9"/>
        <v>300022</v>
      </c>
      <c r="C281" s="11" t="str">
        <f>_xlfn.CONCAT(+VLOOKUP(VALUE(MID(A281,13,2)),'Tabla de codigos'!$A$2:$B$60,2,1)," ",VLOOKUP(VALUE(MID(A281,15,4)),'Tabla de codigos'!$E$2:$F$102,2,1))</f>
        <v>PLATO LISO 20</v>
      </c>
      <c r="D281" s="27" t="s">
        <v>275</v>
      </c>
      <c r="E281" s="27" t="s">
        <v>16</v>
      </c>
      <c r="F281" s="27" t="s">
        <v>276</v>
      </c>
      <c r="G281" s="27" t="s">
        <v>186</v>
      </c>
      <c r="H281" s="27">
        <v>312</v>
      </c>
      <c r="I281" s="27">
        <f>240+1+71</f>
        <v>312</v>
      </c>
      <c r="J281" s="15">
        <f t="shared" si="8"/>
        <v>0</v>
      </c>
    </row>
    <row r="282" spans="1:10" x14ac:dyDescent="0.2">
      <c r="A282" s="27" t="s">
        <v>290</v>
      </c>
      <c r="B282" s="11" t="str">
        <f t="shared" si="9"/>
        <v>300022</v>
      </c>
      <c r="C282" s="11" t="str">
        <f>_xlfn.CONCAT(+VLOOKUP(VALUE(MID(A282,13,2)),'Tabla de codigos'!$A$2:$B$60,2,1)," ",VLOOKUP(VALUE(MID(A282,15,4)),'Tabla de codigos'!$E$2:$F$102,2,1))</f>
        <v>PLATO LISO 20</v>
      </c>
      <c r="D282" s="27" t="s">
        <v>275</v>
      </c>
      <c r="E282" s="27" t="s">
        <v>16</v>
      </c>
      <c r="F282" s="27" t="s">
        <v>276</v>
      </c>
      <c r="G282" s="27" t="s">
        <v>186</v>
      </c>
      <c r="H282" s="27">
        <v>312</v>
      </c>
      <c r="I282" s="27">
        <f>300+12</f>
        <v>312</v>
      </c>
      <c r="J282" s="15">
        <f t="shared" si="8"/>
        <v>0</v>
      </c>
    </row>
    <row r="283" spans="1:10" x14ac:dyDescent="0.2">
      <c r="A283" s="11" t="s">
        <v>291</v>
      </c>
      <c r="B283" s="11" t="str">
        <f t="shared" si="9"/>
        <v>300025</v>
      </c>
      <c r="C283" s="11" t="str">
        <f>_xlfn.CONCAT(+VLOOKUP(VALUE(MID(A283,13,2)),'Tabla de codigos'!$A$2:$B$60,2,1)," ",VLOOKUP(VALUE(MID(A283,15,4)),'Tabla de codigos'!$E$2:$F$102,2,1))</f>
        <v>PLATO LISO 24</v>
      </c>
      <c r="D283" s="11" t="s">
        <v>275</v>
      </c>
      <c r="E283" s="11" t="s">
        <v>16</v>
      </c>
      <c r="F283" s="11" t="s">
        <v>276</v>
      </c>
      <c r="G283" s="11" t="s">
        <v>186</v>
      </c>
      <c r="H283" s="11">
        <v>312</v>
      </c>
      <c r="I283" s="11">
        <f>114+4+12+1+138</f>
        <v>269</v>
      </c>
      <c r="J283" s="15">
        <f t="shared" si="8"/>
        <v>43</v>
      </c>
    </row>
    <row r="284" spans="1:10" x14ac:dyDescent="0.2">
      <c r="A284" s="27" t="s">
        <v>292</v>
      </c>
      <c r="B284" s="11" t="str">
        <f t="shared" si="9"/>
        <v>300025</v>
      </c>
      <c r="C284" s="11" t="str">
        <f>_xlfn.CONCAT(+VLOOKUP(VALUE(MID(A284,13,2)),'Tabla de codigos'!$A$2:$B$60,2,1)," ",VLOOKUP(VALUE(MID(A284,15,4)),'Tabla de codigos'!$E$2:$F$102,2,1))</f>
        <v>PLATO LISO 24</v>
      </c>
      <c r="D284" s="27" t="s">
        <v>275</v>
      </c>
      <c r="E284" s="27" t="s">
        <v>16</v>
      </c>
      <c r="F284" s="27" t="s">
        <v>276</v>
      </c>
      <c r="G284" s="27" t="s">
        <v>186</v>
      </c>
      <c r="H284" s="27">
        <v>312</v>
      </c>
      <c r="I284" s="27">
        <f>42+3+96+4+4+162+1</f>
        <v>312</v>
      </c>
      <c r="J284" s="15">
        <f t="shared" si="8"/>
        <v>0</v>
      </c>
    </row>
    <row r="285" spans="1:10" x14ac:dyDescent="0.2">
      <c r="A285" s="27" t="s">
        <v>72</v>
      </c>
      <c r="B285" s="11" t="str">
        <f t="shared" si="9"/>
        <v>300027</v>
      </c>
      <c r="C285" s="11" t="str">
        <f>_xlfn.CONCAT(+VLOOKUP(VALUE(MID(A285,13,2)),'Tabla de codigos'!$A$2:$B$60,2,1)," ",VLOOKUP(VALUE(MID(A285,15,4)),'Tabla de codigos'!$E$2:$F$102,2,1))</f>
        <v>PLATO LISO 27</v>
      </c>
      <c r="D285" s="27" t="s">
        <v>275</v>
      </c>
      <c r="E285" s="27" t="s">
        <v>16</v>
      </c>
      <c r="F285" s="27" t="s">
        <v>276</v>
      </c>
      <c r="G285" s="27" t="s">
        <v>186</v>
      </c>
      <c r="H285" s="27">
        <v>312</v>
      </c>
      <c r="I285" s="27">
        <f>34+24+18+3+150+36-12+59</f>
        <v>312</v>
      </c>
      <c r="J285" s="15">
        <f t="shared" si="8"/>
        <v>0</v>
      </c>
    </row>
    <row r="286" spans="1:10" x14ac:dyDescent="0.2">
      <c r="A286" s="27" t="s">
        <v>293</v>
      </c>
      <c r="B286" s="11" t="str">
        <f t="shared" si="9"/>
        <v>300027</v>
      </c>
      <c r="C286" s="11" t="str">
        <f>_xlfn.CONCAT(+VLOOKUP(VALUE(MID(A286,13,2)),'Tabla de codigos'!$A$2:$B$60,2,1)," ",VLOOKUP(VALUE(MID(A286,15,4)),'Tabla de codigos'!$E$2:$F$102,2,1))</f>
        <v>PLATO LISO 27</v>
      </c>
      <c r="D286" s="27" t="s">
        <v>275</v>
      </c>
      <c r="E286" s="27" t="s">
        <v>16</v>
      </c>
      <c r="F286" s="27" t="s">
        <v>276</v>
      </c>
      <c r="G286" s="27" t="s">
        <v>186</v>
      </c>
      <c r="H286" s="27">
        <v>312</v>
      </c>
      <c r="I286" s="27">
        <f>254+36+22</f>
        <v>312</v>
      </c>
      <c r="J286" s="15">
        <f t="shared" si="8"/>
        <v>0</v>
      </c>
    </row>
    <row r="287" spans="1:10" x14ac:dyDescent="0.2">
      <c r="A287" s="27" t="s">
        <v>294</v>
      </c>
      <c r="B287" s="11" t="str">
        <f t="shared" si="9"/>
        <v>300027</v>
      </c>
      <c r="C287" s="11" t="str">
        <f>_xlfn.CONCAT(+VLOOKUP(VALUE(MID(A287,13,2)),'Tabla de codigos'!$A$2:$B$60,2,1)," ",VLOOKUP(VALUE(MID(A287,15,4)),'Tabla de codigos'!$E$2:$F$102,2,1))</f>
        <v>PLATO LISO 27</v>
      </c>
      <c r="D287" s="27" t="s">
        <v>275</v>
      </c>
      <c r="E287" s="27" t="s">
        <v>16</v>
      </c>
      <c r="F287" s="27" t="s">
        <v>276</v>
      </c>
      <c r="G287" s="27" t="s">
        <v>186</v>
      </c>
      <c r="H287" s="27">
        <v>312</v>
      </c>
      <c r="I287" s="27">
        <f>102+144+66</f>
        <v>312</v>
      </c>
      <c r="J287" s="15">
        <f t="shared" si="8"/>
        <v>0</v>
      </c>
    </row>
    <row r="288" spans="1:10" x14ac:dyDescent="0.2">
      <c r="A288" s="27" t="s">
        <v>295</v>
      </c>
      <c r="B288" s="11" t="str">
        <f t="shared" si="9"/>
        <v>300030</v>
      </c>
      <c r="C288" s="11" t="str">
        <f>_xlfn.CONCAT(+VLOOKUP(VALUE(MID(A288,13,2)),'Tabla de codigos'!$A$2:$B$60,2,1)," ",VLOOKUP(VALUE(MID(A288,15,4)),'Tabla de codigos'!$E$2:$F$102,2,1))</f>
        <v>PLATO LISO 32</v>
      </c>
      <c r="D288" s="27" t="s">
        <v>275</v>
      </c>
      <c r="E288" s="27" t="s">
        <v>16</v>
      </c>
      <c r="F288" s="27" t="s">
        <v>276</v>
      </c>
      <c r="G288" s="27" t="s">
        <v>186</v>
      </c>
      <c r="H288" s="27">
        <v>120</v>
      </c>
      <c r="I288" s="27">
        <f>46+42+24+3+5</f>
        <v>120</v>
      </c>
      <c r="J288" s="15">
        <f t="shared" si="8"/>
        <v>0</v>
      </c>
    </row>
    <row r="289" spans="1:10" x14ac:dyDescent="0.2">
      <c r="A289" s="27" t="s">
        <v>296</v>
      </c>
      <c r="B289" s="11" t="str">
        <f t="shared" si="9"/>
        <v>300030</v>
      </c>
      <c r="C289" s="11" t="str">
        <f>_xlfn.CONCAT(+VLOOKUP(VALUE(MID(A289,13,2)),'Tabla de codigos'!$A$2:$B$60,2,1)," ",VLOOKUP(VALUE(MID(A289,15,4)),'Tabla de codigos'!$E$2:$F$102,2,1))</f>
        <v>PLATO LISO 32</v>
      </c>
      <c r="D289" s="27" t="s">
        <v>275</v>
      </c>
      <c r="E289" s="27" t="s">
        <v>16</v>
      </c>
      <c r="F289" s="27" t="s">
        <v>276</v>
      </c>
      <c r="G289" s="27" t="s">
        <v>186</v>
      </c>
      <c r="H289" s="27">
        <v>120</v>
      </c>
      <c r="I289" s="27">
        <f>83+12+25</f>
        <v>120</v>
      </c>
      <c r="J289" s="15">
        <f t="shared" si="8"/>
        <v>0</v>
      </c>
    </row>
    <row r="290" spans="1:10" x14ac:dyDescent="0.2">
      <c r="A290" s="27" t="s">
        <v>297</v>
      </c>
      <c r="B290" s="11" t="str">
        <f t="shared" si="9"/>
        <v>300030</v>
      </c>
      <c r="C290" s="11" t="str">
        <f>_xlfn.CONCAT(+VLOOKUP(VALUE(MID(A290,13,2)),'Tabla de codigos'!$A$2:$B$60,2,1)," ",VLOOKUP(VALUE(MID(A290,15,4)),'Tabla de codigos'!$E$2:$F$102,2,1))</f>
        <v>PLATO LISO 32</v>
      </c>
      <c r="D290" s="27" t="s">
        <v>275</v>
      </c>
      <c r="E290" s="27" t="s">
        <v>16</v>
      </c>
      <c r="F290" s="27" t="s">
        <v>276</v>
      </c>
      <c r="G290" s="27" t="s">
        <v>186</v>
      </c>
      <c r="H290" s="27">
        <v>120</v>
      </c>
      <c r="I290" s="27">
        <v>120</v>
      </c>
      <c r="J290" s="15">
        <f t="shared" si="8"/>
        <v>0</v>
      </c>
    </row>
    <row r="291" spans="1:10" x14ac:dyDescent="0.2">
      <c r="A291" s="27" t="s">
        <v>75</v>
      </c>
      <c r="B291" s="11" t="str">
        <f t="shared" si="9"/>
        <v>330009</v>
      </c>
      <c r="C291" s="11" t="str">
        <f>_xlfn.CONCAT(+VLOOKUP(VALUE(MID(A291,13,2)),'Tabla de codigos'!$A$2:$B$60,2,1)," ",VLOOKUP(VALUE(MID(A291,15,4)),'Tabla de codigos'!$E$2:$F$102,2,1))</f>
        <v>POCILLO 5</v>
      </c>
      <c r="D291" s="27" t="s">
        <v>275</v>
      </c>
      <c r="E291" s="27" t="s">
        <v>16</v>
      </c>
      <c r="F291" s="27" t="s">
        <v>276</v>
      </c>
      <c r="G291" s="27" t="s">
        <v>186</v>
      </c>
      <c r="H291" s="27">
        <v>312</v>
      </c>
      <c r="I291" s="27">
        <f>123+189</f>
        <v>312</v>
      </c>
      <c r="J291" s="15">
        <f t="shared" si="8"/>
        <v>0</v>
      </c>
    </row>
    <row r="292" spans="1:10" x14ac:dyDescent="0.2">
      <c r="A292" s="27" t="s">
        <v>77</v>
      </c>
      <c r="B292" s="11" t="str">
        <f t="shared" si="9"/>
        <v>330009</v>
      </c>
      <c r="C292" s="11" t="str">
        <f>_xlfn.CONCAT(+VLOOKUP(VALUE(MID(A292,13,2)),'Tabla de codigos'!$A$2:$B$60,2,1)," ",VLOOKUP(VALUE(MID(A292,15,4)),'Tabla de codigos'!$E$2:$F$102,2,1))</f>
        <v>POCILLO 5</v>
      </c>
      <c r="D292" s="27" t="s">
        <v>275</v>
      </c>
      <c r="E292" s="27" t="s">
        <v>16</v>
      </c>
      <c r="F292" s="27" t="s">
        <v>276</v>
      </c>
      <c r="G292" s="27" t="s">
        <v>186</v>
      </c>
      <c r="H292" s="27">
        <v>312</v>
      </c>
      <c r="I292" s="27">
        <f>44+192+16+60</f>
        <v>312</v>
      </c>
      <c r="J292" s="15">
        <f t="shared" si="8"/>
        <v>0</v>
      </c>
    </row>
    <row r="293" spans="1:10" x14ac:dyDescent="0.2">
      <c r="A293" s="27" t="s">
        <v>298</v>
      </c>
      <c r="B293" s="11" t="str">
        <f t="shared" si="9"/>
        <v>330009</v>
      </c>
      <c r="C293" s="11" t="str">
        <f>_xlfn.CONCAT(+VLOOKUP(VALUE(MID(A293,13,2)),'Tabla de codigos'!$A$2:$B$60,2,1)," ",VLOOKUP(VALUE(MID(A293,15,4)),'Tabla de codigos'!$E$2:$F$102,2,1))</f>
        <v>POCILLO 5</v>
      </c>
      <c r="D293" s="27" t="s">
        <v>275</v>
      </c>
      <c r="E293" s="27" t="s">
        <v>16</v>
      </c>
      <c r="F293" s="27" t="s">
        <v>276</v>
      </c>
      <c r="G293" s="27" t="s">
        <v>186</v>
      </c>
      <c r="H293" s="27">
        <v>312</v>
      </c>
      <c r="I293" s="27">
        <f>189+123</f>
        <v>312</v>
      </c>
      <c r="J293" s="15">
        <f t="shared" si="8"/>
        <v>0</v>
      </c>
    </row>
    <row r="294" spans="1:10" x14ac:dyDescent="0.2">
      <c r="A294" s="27" t="s">
        <v>299</v>
      </c>
      <c r="B294" s="11" t="str">
        <f t="shared" si="9"/>
        <v>330012</v>
      </c>
      <c r="C294" s="11" t="str">
        <f>_xlfn.CONCAT(+VLOOKUP(VALUE(MID(A294,13,2)),'Tabla de codigos'!$A$2:$B$60,2,1)," ",VLOOKUP(VALUE(MID(A294,15,4)),'Tabla de codigos'!$E$2:$F$102,2,1))</f>
        <v>POCILLO 8</v>
      </c>
      <c r="D294" s="27" t="s">
        <v>275</v>
      </c>
      <c r="E294" s="27" t="s">
        <v>16</v>
      </c>
      <c r="F294" s="27" t="s">
        <v>276</v>
      </c>
      <c r="G294" s="27" t="s">
        <v>186</v>
      </c>
      <c r="H294" s="27">
        <v>120</v>
      </c>
      <c r="I294" s="27">
        <f>77+24+19</f>
        <v>120</v>
      </c>
      <c r="J294" s="15">
        <f t="shared" si="8"/>
        <v>0</v>
      </c>
    </row>
    <row r="295" spans="1:10" x14ac:dyDescent="0.2">
      <c r="A295" s="27" t="s">
        <v>300</v>
      </c>
      <c r="B295" s="11" t="str">
        <f t="shared" si="9"/>
        <v>330012</v>
      </c>
      <c r="C295" s="11" t="str">
        <f>_xlfn.CONCAT(+VLOOKUP(VALUE(MID(A295,13,2)),'Tabla de codigos'!$A$2:$B$60,2,1)," ",VLOOKUP(VALUE(MID(A295,15,4)),'Tabla de codigos'!$E$2:$F$102,2,1))</f>
        <v>POCILLO 8</v>
      </c>
      <c r="D295" s="27" t="s">
        <v>275</v>
      </c>
      <c r="E295" s="27" t="s">
        <v>16</v>
      </c>
      <c r="F295" s="27" t="s">
        <v>276</v>
      </c>
      <c r="G295" s="27" t="s">
        <v>186</v>
      </c>
      <c r="H295" s="27">
        <v>120</v>
      </c>
      <c r="I295" s="27">
        <v>120</v>
      </c>
      <c r="J295" s="15">
        <f t="shared" si="8"/>
        <v>0</v>
      </c>
    </row>
    <row r="296" spans="1:10" x14ac:dyDescent="0.2">
      <c r="A296" s="27" t="s">
        <v>301</v>
      </c>
      <c r="B296" s="11" t="str">
        <f t="shared" si="9"/>
        <v>330012</v>
      </c>
      <c r="C296" s="11" t="str">
        <f>_xlfn.CONCAT(+VLOOKUP(VALUE(MID(A296,13,2)),'Tabla de codigos'!$A$2:$B$60,2,1)," ",VLOOKUP(VALUE(MID(A296,15,4)),'Tabla de codigos'!$E$2:$F$102,2,1))</f>
        <v>POCILLO 8</v>
      </c>
      <c r="D296" s="27" t="s">
        <v>275</v>
      </c>
      <c r="E296" s="27" t="s">
        <v>16</v>
      </c>
      <c r="F296" s="27" t="s">
        <v>276</v>
      </c>
      <c r="G296" s="27" t="s">
        <v>186</v>
      </c>
      <c r="H296" s="27">
        <v>120</v>
      </c>
      <c r="I296" s="27">
        <v>120</v>
      </c>
      <c r="J296" s="15">
        <f t="shared" si="8"/>
        <v>0</v>
      </c>
    </row>
    <row r="297" spans="1:10" x14ac:dyDescent="0.2">
      <c r="A297" s="27" t="s">
        <v>302</v>
      </c>
      <c r="B297" s="11" t="str">
        <f t="shared" si="9"/>
        <v>390012</v>
      </c>
      <c r="C297" s="11" t="str">
        <f>_xlfn.CONCAT(+VLOOKUP(VALUE(MID(A297,13,2)),'Tabla de codigos'!$A$2:$B$60,2,1)," ",VLOOKUP(VALUE(MID(A297,15,4)),'Tabla de codigos'!$E$2:$F$102,2,1))</f>
        <v>TAZON  8</v>
      </c>
      <c r="D297" s="27" t="s">
        <v>275</v>
      </c>
      <c r="E297" s="27" t="s">
        <v>16</v>
      </c>
      <c r="F297" s="27" t="s">
        <v>276</v>
      </c>
      <c r="G297" s="27" t="s">
        <v>186</v>
      </c>
      <c r="H297" s="27">
        <v>252</v>
      </c>
      <c r="I297" s="27">
        <f>39+72+14+127</f>
        <v>252</v>
      </c>
      <c r="J297" s="15">
        <f t="shared" si="8"/>
        <v>0</v>
      </c>
    </row>
    <row r="298" spans="1:10" x14ac:dyDescent="0.2">
      <c r="A298" s="27" t="s">
        <v>303</v>
      </c>
      <c r="B298" s="11" t="str">
        <f t="shared" si="9"/>
        <v>390012</v>
      </c>
      <c r="C298" s="11" t="str">
        <f>_xlfn.CONCAT(+VLOOKUP(VALUE(MID(A298,13,2)),'Tabla de codigos'!$A$2:$B$60,2,1)," ",VLOOKUP(VALUE(MID(A298,15,4)),'Tabla de codigos'!$E$2:$F$102,2,1))</f>
        <v>TAZON  8</v>
      </c>
      <c r="D298" s="27" t="s">
        <v>275</v>
      </c>
      <c r="E298" s="27" t="s">
        <v>16</v>
      </c>
      <c r="F298" s="27" t="s">
        <v>276</v>
      </c>
      <c r="G298" s="27" t="s">
        <v>186</v>
      </c>
      <c r="H298" s="27">
        <v>252</v>
      </c>
      <c r="I298" s="27">
        <f>72+16+164</f>
        <v>252</v>
      </c>
      <c r="J298" s="15">
        <f t="shared" si="8"/>
        <v>0</v>
      </c>
    </row>
    <row r="299" spans="1:10" x14ac:dyDescent="0.2">
      <c r="A299" s="27" t="s">
        <v>304</v>
      </c>
      <c r="B299" s="11" t="str">
        <f t="shared" si="9"/>
        <v>390012</v>
      </c>
      <c r="C299" s="11" t="str">
        <f>_xlfn.CONCAT(+VLOOKUP(VALUE(MID(A299,13,2)),'Tabla de codigos'!$A$2:$B$60,2,1)," ",VLOOKUP(VALUE(MID(A299,15,4)),'Tabla de codigos'!$E$2:$F$102,2,1))</f>
        <v>TAZON  8</v>
      </c>
      <c r="D299" s="27" t="s">
        <v>275</v>
      </c>
      <c r="E299" s="27" t="s">
        <v>16</v>
      </c>
      <c r="F299" s="27" t="s">
        <v>276</v>
      </c>
      <c r="G299" s="27" t="s">
        <v>186</v>
      </c>
      <c r="H299" s="27">
        <v>252</v>
      </c>
      <c r="I299" s="27">
        <f>180+4+68</f>
        <v>252</v>
      </c>
      <c r="J299" s="15">
        <f t="shared" si="8"/>
        <v>0</v>
      </c>
    </row>
    <row r="300" spans="1:10" x14ac:dyDescent="0.2">
      <c r="A300" s="11" t="s">
        <v>83</v>
      </c>
      <c r="B300" s="11" t="str">
        <f t="shared" si="9"/>
        <v>390016</v>
      </c>
      <c r="C300" s="11" t="str">
        <f>_xlfn.CONCAT(+VLOOKUP(VALUE(MID(A300,13,2)),'Tabla de codigos'!$A$2:$B$60,2,1)," ",VLOOKUP(VALUE(MID(A300,15,4)),'Tabla de codigos'!$E$2:$F$102,2,1))</f>
        <v>TAZON  15.5</v>
      </c>
      <c r="D300" s="11" t="s">
        <v>275</v>
      </c>
      <c r="E300" s="11" t="s">
        <v>16</v>
      </c>
      <c r="F300" s="11" t="s">
        <v>276</v>
      </c>
      <c r="G300" s="11" t="s">
        <v>186</v>
      </c>
      <c r="H300" s="11">
        <v>120</v>
      </c>
      <c r="I300" s="11">
        <f>6+48+60+6</f>
        <v>120</v>
      </c>
      <c r="J300" s="15">
        <f t="shared" si="8"/>
        <v>0</v>
      </c>
    </row>
    <row r="301" spans="1:10" x14ac:dyDescent="0.2">
      <c r="A301" s="27" t="s">
        <v>305</v>
      </c>
      <c r="B301" s="11" t="str">
        <f t="shared" si="9"/>
        <v>390016</v>
      </c>
      <c r="C301" s="11" t="str">
        <f>_xlfn.CONCAT(+VLOOKUP(VALUE(MID(A301,13,2)),'Tabla de codigos'!$A$2:$B$60,2,1)," ",VLOOKUP(VALUE(MID(A301,15,4)),'Tabla de codigos'!$E$2:$F$102,2,1))</f>
        <v>TAZON  15.5</v>
      </c>
      <c r="D301" s="27" t="s">
        <v>275</v>
      </c>
      <c r="E301" s="27" t="s">
        <v>16</v>
      </c>
      <c r="F301" s="27" t="s">
        <v>276</v>
      </c>
      <c r="G301" s="27" t="s">
        <v>186</v>
      </c>
      <c r="H301" s="27">
        <v>120</v>
      </c>
      <c r="I301" s="27">
        <v>120</v>
      </c>
      <c r="J301" s="15">
        <f t="shared" si="8"/>
        <v>0</v>
      </c>
    </row>
    <row r="302" spans="1:10" x14ac:dyDescent="0.2">
      <c r="A302" s="27" t="s">
        <v>133</v>
      </c>
      <c r="B302" s="11" t="str">
        <f t="shared" si="9"/>
        <v>390016</v>
      </c>
      <c r="C302" s="11" t="str">
        <f>_xlfn.CONCAT(+VLOOKUP(VALUE(MID(A302,13,2)),'Tabla de codigos'!$A$2:$B$60,2,1)," ",VLOOKUP(VALUE(MID(A302,15,4)),'Tabla de codigos'!$E$2:$F$102,2,1))</f>
        <v>TAZON  15.5</v>
      </c>
      <c r="D302" s="27" t="s">
        <v>275</v>
      </c>
      <c r="E302" s="27" t="s">
        <v>16</v>
      </c>
      <c r="F302" s="27" t="s">
        <v>276</v>
      </c>
      <c r="G302" s="27" t="s">
        <v>186</v>
      </c>
      <c r="H302" s="27">
        <v>120</v>
      </c>
      <c r="I302" s="27">
        <f>7+84+12+1+16</f>
        <v>120</v>
      </c>
      <c r="J302" s="15">
        <f t="shared" si="8"/>
        <v>0</v>
      </c>
    </row>
    <row r="303" spans="1:10" x14ac:dyDescent="0.2">
      <c r="A303" s="27" t="s">
        <v>306</v>
      </c>
      <c r="B303" s="11" t="str">
        <f t="shared" si="9"/>
        <v>420021</v>
      </c>
      <c r="C303" s="11" t="str">
        <f>_xlfn.CONCAT(+VLOOKUP(VALUE(MID(A303,13,2)),'Tabla de codigos'!$A$2:$B$60,2,1)," ",VLOOKUP(VALUE(MID(A303,15,4)),'Tabla de codigos'!$E$2:$F$102,2,1))</f>
        <v>TORTILLERO  18</v>
      </c>
      <c r="D303" s="27" t="s">
        <v>275</v>
      </c>
      <c r="E303" s="27" t="s">
        <v>16</v>
      </c>
      <c r="F303" s="27" t="s">
        <v>276</v>
      </c>
      <c r="G303" s="27" t="s">
        <v>186</v>
      </c>
      <c r="H303" s="27">
        <v>96</v>
      </c>
      <c r="I303" s="27">
        <f>41+48+6+1</f>
        <v>96</v>
      </c>
      <c r="J303" s="15">
        <f t="shared" si="8"/>
        <v>0</v>
      </c>
    </row>
    <row r="304" spans="1:10" x14ac:dyDescent="0.2">
      <c r="A304" s="27" t="s">
        <v>307</v>
      </c>
      <c r="B304" s="11" t="str">
        <f t="shared" si="9"/>
        <v>420021</v>
      </c>
      <c r="C304" s="11" t="str">
        <f>_xlfn.CONCAT(+VLOOKUP(VALUE(MID(A304,13,2)),'Tabla de codigos'!$A$2:$B$60,2,1)," ",VLOOKUP(VALUE(MID(A304,15,4)),'Tabla de codigos'!$E$2:$F$102,2,1))</f>
        <v>TORTILLERO  18</v>
      </c>
      <c r="D304" s="27" t="s">
        <v>275</v>
      </c>
      <c r="E304" s="27" t="s">
        <v>16</v>
      </c>
      <c r="F304" s="27" t="s">
        <v>276</v>
      </c>
      <c r="G304" s="27" t="s">
        <v>186</v>
      </c>
      <c r="H304" s="27">
        <v>96</v>
      </c>
      <c r="I304" s="27">
        <f>48+3+30+6+3+6</f>
        <v>96</v>
      </c>
      <c r="J304" s="15">
        <f t="shared" si="8"/>
        <v>0</v>
      </c>
    </row>
    <row r="305" spans="1:15" x14ac:dyDescent="0.2">
      <c r="A305" s="27" t="s">
        <v>308</v>
      </c>
      <c r="B305" s="11" t="str">
        <f t="shared" si="9"/>
        <v>520028</v>
      </c>
      <c r="C305" s="11" t="str">
        <f>_xlfn.CONCAT(+VLOOKUP(VALUE(MID(A305,13,2)),'Tabla de codigos'!$A$2:$B$60,2,1)," ",VLOOKUP(VALUE(MID(A305,15,4)),'Tabla de codigos'!$E$2:$F$102,2,1))</f>
        <v>PLATO OVAL 28</v>
      </c>
      <c r="D305" s="27" t="s">
        <v>275</v>
      </c>
      <c r="E305" s="27" t="s">
        <v>16</v>
      </c>
      <c r="F305" s="27" t="s">
        <v>276</v>
      </c>
      <c r="G305" s="27" t="s">
        <v>186</v>
      </c>
      <c r="H305" s="27">
        <v>96</v>
      </c>
      <c r="I305" s="27">
        <f>10+78+1+6+1</f>
        <v>96</v>
      </c>
      <c r="J305" s="15">
        <f t="shared" si="8"/>
        <v>0</v>
      </c>
    </row>
    <row r="306" spans="1:15" x14ac:dyDescent="0.2">
      <c r="A306" s="27" t="s">
        <v>249</v>
      </c>
      <c r="B306" s="11" t="str">
        <f t="shared" si="9"/>
        <v>520030</v>
      </c>
      <c r="C306" s="11" t="str">
        <f>_xlfn.CONCAT(+VLOOKUP(VALUE(MID(A306,13,2)),'Tabla de codigos'!$A$2:$B$60,2,1)," ",VLOOKUP(VALUE(MID(A306,15,4)),'Tabla de codigos'!$E$2:$F$102,2,1))</f>
        <v>PLATO OVAL 32</v>
      </c>
      <c r="D306" s="27" t="s">
        <v>275</v>
      </c>
      <c r="E306" s="27" t="s">
        <v>16</v>
      </c>
      <c r="F306" s="27" t="s">
        <v>276</v>
      </c>
      <c r="G306" s="27" t="s">
        <v>186</v>
      </c>
      <c r="H306" s="27">
        <v>96</v>
      </c>
      <c r="I306" s="27">
        <f>49+47</f>
        <v>96</v>
      </c>
      <c r="J306" s="15">
        <f t="shared" si="8"/>
        <v>0</v>
      </c>
    </row>
    <row r="307" spans="1:15" x14ac:dyDescent="0.2">
      <c r="A307" s="27" t="s">
        <v>309</v>
      </c>
      <c r="B307" s="11" t="str">
        <f t="shared" si="9"/>
        <v>520030</v>
      </c>
      <c r="C307" s="11" t="str">
        <f>_xlfn.CONCAT(+VLOOKUP(VALUE(MID(A307,13,2)),'Tabla de codigos'!$A$2:$B$60,2,1)," ",VLOOKUP(VALUE(MID(A307,15,4)),'Tabla de codigos'!$E$2:$F$102,2,1))</f>
        <v>PLATO OVAL 32</v>
      </c>
      <c r="D307" s="27" t="s">
        <v>275</v>
      </c>
      <c r="E307" s="27" t="s">
        <v>16</v>
      </c>
      <c r="F307" s="27" t="s">
        <v>276</v>
      </c>
      <c r="G307" s="27" t="s">
        <v>186</v>
      </c>
      <c r="H307" s="27">
        <v>96</v>
      </c>
      <c r="I307" s="27">
        <f>18+5+54+5+6+2+6</f>
        <v>96</v>
      </c>
      <c r="J307" s="15">
        <f t="shared" si="8"/>
        <v>0</v>
      </c>
    </row>
    <row r="308" spans="1:15" x14ac:dyDescent="0.2">
      <c r="A308" s="11" t="s">
        <v>69</v>
      </c>
      <c r="B308" s="11" t="str">
        <f t="shared" si="9"/>
        <v>300025</v>
      </c>
      <c r="C308" s="11" t="str">
        <f>_xlfn.CONCAT(+VLOOKUP(VALUE(MID(A308,13,2)),'Tabla de codigos'!$A$2:$B$60,2,1)," ",VLOOKUP(VALUE(MID(A308,15,4)),'Tabla de codigos'!$E$2:$F$102,2,1))</f>
        <v>PLATO LISO 24</v>
      </c>
      <c r="D308" s="11" t="s">
        <v>275</v>
      </c>
      <c r="E308" s="11" t="s">
        <v>16</v>
      </c>
      <c r="F308" s="11" t="s">
        <v>276</v>
      </c>
      <c r="G308" s="11" t="s">
        <v>186</v>
      </c>
      <c r="H308" s="11">
        <v>312</v>
      </c>
      <c r="I308" s="11">
        <f>40+24+6+2+12+1+4+6</f>
        <v>95</v>
      </c>
      <c r="J308" s="15">
        <f t="shared" si="8"/>
        <v>217</v>
      </c>
    </row>
    <row r="309" spans="1:15" x14ac:dyDescent="0.2">
      <c r="A309" s="27" t="s">
        <v>310</v>
      </c>
      <c r="B309" s="11" t="str">
        <f t="shared" si="9"/>
        <v>520028</v>
      </c>
      <c r="C309" s="11" t="str">
        <f>_xlfn.CONCAT(+VLOOKUP(VALUE(MID(A309,13,2)),'Tabla de codigos'!$A$2:$B$60,2,1)," ",VLOOKUP(VALUE(MID(A309,15,4)),'Tabla de codigos'!$E$2:$F$102,2,1))</f>
        <v>PLATO OVAL 28</v>
      </c>
      <c r="D309" s="27" t="s">
        <v>275</v>
      </c>
      <c r="E309" s="27" t="s">
        <v>16</v>
      </c>
      <c r="F309" s="27" t="s">
        <v>276</v>
      </c>
      <c r="G309" s="27" t="s">
        <v>186</v>
      </c>
      <c r="H309" s="27">
        <v>96</v>
      </c>
      <c r="I309" s="27">
        <f>42+18+4+32</f>
        <v>96</v>
      </c>
      <c r="J309" s="15">
        <f t="shared" si="8"/>
        <v>0</v>
      </c>
    </row>
    <row r="310" spans="1:15" x14ac:dyDescent="0.2">
      <c r="A310" s="27" t="s">
        <v>311</v>
      </c>
      <c r="B310" s="11" t="str">
        <f t="shared" si="9"/>
        <v>260022</v>
      </c>
      <c r="C310" s="11" t="str">
        <f>_xlfn.CONCAT(+VLOOKUP(VALUE(MID(A310,13,2)),'Tabla de codigos'!$A$2:$B$60,2,1)," ",VLOOKUP(VALUE(MID(A310,15,4)),'Tabla de codigos'!$E$2:$F$102,2,1))</f>
        <v>PLATO AVENERO 20</v>
      </c>
      <c r="D310" s="27" t="s">
        <v>275</v>
      </c>
      <c r="E310" s="27" t="s">
        <v>16</v>
      </c>
      <c r="F310" s="27" t="s">
        <v>276</v>
      </c>
      <c r="G310" s="27" t="s">
        <v>186</v>
      </c>
      <c r="H310" s="27">
        <v>96</v>
      </c>
      <c r="I310" s="27">
        <v>96</v>
      </c>
      <c r="J310" s="15">
        <f t="shared" si="8"/>
        <v>0</v>
      </c>
    </row>
    <row r="311" spans="1:15" x14ac:dyDescent="0.2">
      <c r="A311" s="27" t="s">
        <v>312</v>
      </c>
      <c r="B311" s="11" t="str">
        <f t="shared" si="9"/>
        <v>520028</v>
      </c>
      <c r="C311" s="11" t="str">
        <f>_xlfn.CONCAT(+VLOOKUP(VALUE(MID(A311,13,2)),'Tabla de codigos'!$A$2:$B$60,2,1)," ",VLOOKUP(VALUE(MID(A311,15,4)),'Tabla de codigos'!$E$2:$F$102,2,1))</f>
        <v>PLATO OVAL 28</v>
      </c>
      <c r="D311" s="27" t="s">
        <v>275</v>
      </c>
      <c r="E311" s="27" t="s">
        <v>16</v>
      </c>
      <c r="F311" s="27" t="s">
        <v>276</v>
      </c>
      <c r="G311" s="27" t="s">
        <v>186</v>
      </c>
      <c r="H311" s="27">
        <v>96</v>
      </c>
      <c r="I311" s="27">
        <f>66+24+6</f>
        <v>96</v>
      </c>
      <c r="J311" s="15">
        <f t="shared" si="8"/>
        <v>0</v>
      </c>
    </row>
    <row r="312" spans="1:15" x14ac:dyDescent="0.2">
      <c r="A312" s="27" t="s">
        <v>313</v>
      </c>
      <c r="B312" s="11" t="str">
        <f t="shared" si="9"/>
        <v>520030</v>
      </c>
      <c r="C312" s="11" t="str">
        <f>_xlfn.CONCAT(+VLOOKUP(VALUE(MID(A312,13,2)),'Tabla de codigos'!$A$2:$B$60,2,1)," ",VLOOKUP(VALUE(MID(A312,15,4)),'Tabla de codigos'!$E$2:$F$102,2,1))</f>
        <v>PLATO OVAL 32</v>
      </c>
      <c r="D312" s="27" t="s">
        <v>275</v>
      </c>
      <c r="E312" s="27" t="s">
        <v>16</v>
      </c>
      <c r="F312" s="27" t="s">
        <v>276</v>
      </c>
      <c r="G312" s="27" t="s">
        <v>186</v>
      </c>
      <c r="H312" s="27">
        <v>96</v>
      </c>
      <c r="I312" s="27">
        <v>96</v>
      </c>
      <c r="J312" s="15">
        <f t="shared" si="8"/>
        <v>0</v>
      </c>
      <c r="K312" s="17">
        <f>(SUM(I268:I312))/(SUM(H268:H312))</f>
        <v>0.96575846833578793</v>
      </c>
    </row>
    <row r="313" spans="1:15" x14ac:dyDescent="0.2">
      <c r="A313" s="11" t="s">
        <v>242</v>
      </c>
      <c r="B313" s="11" t="str">
        <f t="shared" si="9"/>
        <v>100024</v>
      </c>
      <c r="C313" s="11" t="str">
        <f>_xlfn.CONCAT(+VLOOKUP(VALUE(MID(A313,13,2)),'Tabla de codigos'!$A$2:$B$60,2,1)," ",VLOOKUP(VALUE(MID(A313,15,4)),'Tabla de codigos'!$E$2:$F$102,2,1))</f>
        <v>COMAL 22</v>
      </c>
      <c r="D313" s="11" t="s">
        <v>314</v>
      </c>
      <c r="E313" s="11" t="s">
        <v>11</v>
      </c>
      <c r="F313" s="11" t="s">
        <v>315</v>
      </c>
      <c r="G313" s="11" t="s">
        <v>316</v>
      </c>
      <c r="H313" s="11">
        <v>36</v>
      </c>
      <c r="I313" s="11">
        <v>36</v>
      </c>
      <c r="J313" s="15">
        <f t="shared" si="8"/>
        <v>0</v>
      </c>
      <c r="O313" s="21">
        <f>(H313)/(IF(A313="","-",VLOOKUP(A313,'[1]CATALOGO PZXCAJA'!$A$2:$C$5000,2,0)))</f>
        <v>1.5</v>
      </c>
    </row>
    <row r="314" spans="1:15" x14ac:dyDescent="0.2">
      <c r="A314" s="11" t="s">
        <v>149</v>
      </c>
      <c r="B314" s="11" t="str">
        <f t="shared" si="9"/>
        <v>100028</v>
      </c>
      <c r="C314" s="11" t="str">
        <f>_xlfn.CONCAT(+VLOOKUP(VALUE(MID(A314,13,2)),'Tabla de codigos'!$A$2:$B$60,2,1)," ",VLOOKUP(VALUE(MID(A314,15,4)),'Tabla de codigos'!$E$2:$F$102,2,1))</f>
        <v>COMAL 28</v>
      </c>
      <c r="D314" s="11" t="s">
        <v>314</v>
      </c>
      <c r="E314" s="11" t="s">
        <v>11</v>
      </c>
      <c r="F314" s="11" t="s">
        <v>315</v>
      </c>
      <c r="G314" s="11" t="s">
        <v>316</v>
      </c>
      <c r="H314" s="11">
        <v>36</v>
      </c>
      <c r="I314" s="11">
        <f>24+12</f>
        <v>36</v>
      </c>
      <c r="J314" s="16">
        <f t="shared" si="8"/>
        <v>0</v>
      </c>
      <c r="O314" s="21">
        <f>(H314)/(IF(A314="","-",VLOOKUP(A314,'[1]CATALOGO PZXCAJA'!$A$2:$C$5000,2,0)))</f>
        <v>3</v>
      </c>
    </row>
    <row r="315" spans="1:15" x14ac:dyDescent="0.2">
      <c r="A315" s="11" t="s">
        <v>188</v>
      </c>
      <c r="B315" s="11" t="str">
        <f t="shared" si="9"/>
        <v>330015</v>
      </c>
      <c r="C315" s="11" t="str">
        <f>_xlfn.CONCAT(+VLOOKUP(VALUE(MID(A315,13,2)),'Tabla de codigos'!$A$2:$B$60,2,1)," ",VLOOKUP(VALUE(MID(A315,15,4)),'Tabla de codigos'!$E$2:$F$102,2,1))</f>
        <v>POCILLO 14</v>
      </c>
      <c r="D315" s="11" t="s">
        <v>314</v>
      </c>
      <c r="E315" s="11" t="s">
        <v>11</v>
      </c>
      <c r="F315" s="11" t="s">
        <v>315</v>
      </c>
      <c r="G315" s="11" t="s">
        <v>316</v>
      </c>
      <c r="H315" s="11">
        <v>60</v>
      </c>
      <c r="I315" s="11">
        <v>0</v>
      </c>
      <c r="J315" s="16">
        <f t="shared" si="8"/>
        <v>60</v>
      </c>
      <c r="K315" s="17">
        <f>(SUM(I313:I315))/(SUM(H313:H315))</f>
        <v>0.54545454545454541</v>
      </c>
      <c r="O315" s="21" t="e">
        <f>(H315)/(IF(A315="","-",VLOOKUP(A315,'[1]CATALOGO PZXCAJA'!$A$2:$C$5000,2,0)))</f>
        <v>#N/A</v>
      </c>
    </row>
    <row r="316" spans="1:15" x14ac:dyDescent="0.2">
      <c r="A316" s="11" t="s">
        <v>317</v>
      </c>
      <c r="B316" s="11" t="str">
        <f t="shared" si="9"/>
        <v>430069</v>
      </c>
      <c r="C316" s="11" t="str">
        <f>_xlfn.CONCAT(+VLOOKUP(VALUE(MID(A316,13,2)),'Tabla de codigos'!$A$2:$B$60,2,1)," ",VLOOKUP(VALUE(MID(A316,15,4)),'Tabla de codigos'!$E$2:$F$102,2,1))</f>
        <v>VAJILLA VELO</v>
      </c>
      <c r="D316" s="11" t="s">
        <v>318</v>
      </c>
      <c r="E316" s="11" t="s">
        <v>319</v>
      </c>
      <c r="F316" s="11" t="s">
        <v>320</v>
      </c>
      <c r="G316" s="11" t="s">
        <v>321</v>
      </c>
      <c r="H316" s="11">
        <v>30</v>
      </c>
      <c r="I316" s="11">
        <v>9</v>
      </c>
      <c r="J316" s="16">
        <f t="shared" si="8"/>
        <v>21</v>
      </c>
      <c r="O316" s="21" t="e">
        <f>(H316)/(IF(A316="","-",VLOOKUP(A316,'[1]CATALOGO PZXCAJA'!$A$2:$C$5000,2,0)))</f>
        <v>#N/A</v>
      </c>
    </row>
    <row r="317" spans="1:15" x14ac:dyDescent="0.2">
      <c r="A317" s="11" t="s">
        <v>322</v>
      </c>
      <c r="B317" s="11" t="str">
        <f t="shared" si="9"/>
        <v>430063</v>
      </c>
      <c r="C317" s="11" t="str">
        <f>_xlfn.CONCAT(+VLOOKUP(VALUE(MID(A317,13,2)),'Tabla de codigos'!$A$2:$B$60,2,1)," ",VLOOKUP(VALUE(MID(A317,15,4)),'Tabla de codigos'!$E$2:$F$102,2,1))</f>
        <v>VAJILLA LAVANDA</v>
      </c>
      <c r="D317" s="11" t="s">
        <v>318</v>
      </c>
      <c r="E317" s="11" t="s">
        <v>319</v>
      </c>
      <c r="F317" s="11" t="s">
        <v>320</v>
      </c>
      <c r="G317" s="11" t="s">
        <v>321</v>
      </c>
      <c r="H317" s="11">
        <v>30</v>
      </c>
      <c r="I317" s="11">
        <f>9+2</f>
        <v>11</v>
      </c>
      <c r="J317" s="16">
        <f t="shared" si="8"/>
        <v>19</v>
      </c>
      <c r="O317" s="21" t="e">
        <f>(H317)/(IF(A317="","-",VLOOKUP(A317,'[1]CATALOGO PZXCAJA'!$A$2:$C$5000,2,0)))</f>
        <v>#N/A</v>
      </c>
    </row>
    <row r="318" spans="1:15" x14ac:dyDescent="0.2">
      <c r="A318" s="11" t="s">
        <v>323</v>
      </c>
      <c r="B318" s="11" t="str">
        <f t="shared" si="9"/>
        <v>430074</v>
      </c>
      <c r="C318" s="11" t="str">
        <f>_xlfn.CONCAT(+VLOOKUP(VALUE(MID(A318,13,2)),'Tabla de codigos'!$A$2:$B$60,2,1)," ",VLOOKUP(VALUE(MID(A318,15,4)),'Tabla de codigos'!$E$2:$F$102,2,1))</f>
        <v>VAJILLA CERRADO MARINO</v>
      </c>
      <c r="D318" s="11" t="s">
        <v>318</v>
      </c>
      <c r="E318" s="11" t="s">
        <v>319</v>
      </c>
      <c r="F318" s="11" t="s">
        <v>320</v>
      </c>
      <c r="G318" s="11" t="s">
        <v>321</v>
      </c>
      <c r="H318" s="11">
        <v>25</v>
      </c>
      <c r="I318" s="11">
        <f>2+14</f>
        <v>16</v>
      </c>
      <c r="J318" s="16">
        <f t="shared" si="8"/>
        <v>9</v>
      </c>
      <c r="O318" s="21">
        <f>(H318)/(IF(A318="","-",VLOOKUP(A318,'[1]CATALOGO PZXCAJA'!$A$2:$C$5000,2,0)))</f>
        <v>25</v>
      </c>
    </row>
    <row r="319" spans="1:15" x14ac:dyDescent="0.2">
      <c r="A319" s="11" t="s">
        <v>324</v>
      </c>
      <c r="B319" s="11" t="str">
        <f t="shared" si="9"/>
        <v>430064</v>
      </c>
      <c r="C319" s="11" t="str">
        <f>_xlfn.CONCAT(+VLOOKUP(VALUE(MID(A319,13,2)),'Tabla de codigos'!$A$2:$B$60,2,1)," ",VLOOKUP(VALUE(MID(A319,15,4)),'Tabla de codigos'!$E$2:$F$102,2,1))</f>
        <v>VAJILLA LE COQ</v>
      </c>
      <c r="D319" s="11" t="s">
        <v>318</v>
      </c>
      <c r="E319" s="11" t="s">
        <v>319</v>
      </c>
      <c r="F319" s="11" t="s">
        <v>320</v>
      </c>
      <c r="G319" s="11" t="s">
        <v>321</v>
      </c>
      <c r="H319" s="11">
        <v>25</v>
      </c>
      <c r="I319" s="11">
        <v>0</v>
      </c>
      <c r="J319" s="16">
        <f t="shared" si="8"/>
        <v>25</v>
      </c>
      <c r="O319" s="21" t="e">
        <f>(H319)/(IF(A319="","-",VLOOKUP(A319,'[1]CATALOGO PZXCAJA'!$A$2:$C$5000,2,0)))</f>
        <v>#N/A</v>
      </c>
    </row>
    <row r="320" spans="1:15" x14ac:dyDescent="0.2">
      <c r="A320" s="11" t="s">
        <v>325</v>
      </c>
      <c r="B320" s="11" t="str">
        <f t="shared" si="9"/>
        <v>430067</v>
      </c>
      <c r="C320" s="11" t="str">
        <f>_xlfn.CONCAT(+VLOOKUP(VALUE(MID(A320,13,2)),'Tabla de codigos'!$A$2:$B$60,2,1)," ",VLOOKUP(VALUE(MID(A320,15,4)),'Tabla de codigos'!$E$2:$F$102,2,1))</f>
        <v>VAJILLA MOSCA EN EL PLATO</v>
      </c>
      <c r="D320" s="11" t="s">
        <v>318</v>
      </c>
      <c r="E320" s="11" t="s">
        <v>319</v>
      </c>
      <c r="F320" s="11" t="s">
        <v>320</v>
      </c>
      <c r="G320" s="11" t="s">
        <v>321</v>
      </c>
      <c r="H320" s="11">
        <v>25</v>
      </c>
      <c r="I320" s="11">
        <v>2</v>
      </c>
      <c r="J320" s="16">
        <f t="shared" si="8"/>
        <v>23</v>
      </c>
      <c r="K320" s="17">
        <f>(SUM(I316:I320))/(SUM(H316:H320))</f>
        <v>0.2814814814814815</v>
      </c>
      <c r="O320" s="21" t="e">
        <f>(H320)/(IF(A320="","-",VLOOKUP(A320,'[1]CATALOGO PZXCAJA'!$A$2:$C$5000,2,0)))</f>
        <v>#N/A</v>
      </c>
    </row>
    <row r="321" spans="1:15" x14ac:dyDescent="0.2">
      <c r="A321" s="11" t="s">
        <v>326</v>
      </c>
      <c r="B321" s="11" t="str">
        <f t="shared" si="9"/>
        <v>320030</v>
      </c>
      <c r="C321" s="11" t="str">
        <f>_xlfn.CONCAT(+VLOOKUP(VALUE(MID(A321,13,2)),'Tabla de codigos'!$A$2:$B$60,2,1)," ",VLOOKUP(VALUE(MID(A321,15,4)),'Tabla de codigos'!$E$2:$F$102,2,1))</f>
        <v>PLATO TROQUELADO 32</v>
      </c>
      <c r="D321" s="11" t="s">
        <v>318</v>
      </c>
      <c r="E321" s="11" t="s">
        <v>327</v>
      </c>
      <c r="F321" s="11" t="s">
        <v>328</v>
      </c>
      <c r="G321" s="11" t="s">
        <v>48</v>
      </c>
      <c r="H321" s="11">
        <v>16</v>
      </c>
      <c r="I321" s="11">
        <v>0</v>
      </c>
      <c r="J321" s="16">
        <f t="shared" si="8"/>
        <v>16</v>
      </c>
      <c r="K321" s="17">
        <f>(SUM(I321))/(SUM(H321))</f>
        <v>0</v>
      </c>
      <c r="O321" s="21">
        <f>(H321)/(IF(A321="","-",VLOOKUP(A321,'[1]CATALOGO PZXCAJA'!$A$2:$C$5000,2,0)))</f>
        <v>2.6666666666666665</v>
      </c>
    </row>
    <row r="322" spans="1:15" x14ac:dyDescent="0.2">
      <c r="A322" s="11" t="s">
        <v>329</v>
      </c>
      <c r="B322" s="11" t="str">
        <f t="shared" si="9"/>
        <v>060022</v>
      </c>
      <c r="C322" s="11" t="str">
        <f>_xlfn.CONCAT(+VLOOKUP(VALUE(MID(A322,13,2)),'Tabla de codigos'!$A$2:$B$60,2,1)," ",VLOOKUP(VALUE(MID(A322,15,4)),'Tabla de codigos'!$E$2:$F$102,2,1))</f>
        <v>BUDINERA   20</v>
      </c>
      <c r="D322" s="11" t="s">
        <v>330</v>
      </c>
      <c r="E322" s="11" t="s">
        <v>145</v>
      </c>
      <c r="F322" s="11" t="s">
        <v>331</v>
      </c>
      <c r="G322" s="11" t="s">
        <v>26</v>
      </c>
      <c r="H322" s="11">
        <v>18</v>
      </c>
      <c r="I322" s="11">
        <v>0</v>
      </c>
      <c r="J322" s="16">
        <f t="shared" ref="J322:J367" si="10">+H322-I322</f>
        <v>18</v>
      </c>
      <c r="N322" s="18"/>
      <c r="O322" s="21">
        <f>(H322)/(IF(A322="","-",VLOOKUP(A322,'[1]CATALOGO PZXCAJA'!$A$2:$C$5000,2,0)))</f>
        <v>3</v>
      </c>
    </row>
    <row r="323" spans="1:15" x14ac:dyDescent="0.2">
      <c r="A323" s="11" t="s">
        <v>241</v>
      </c>
      <c r="B323" s="11" t="str">
        <f t="shared" ref="B323:B386" si="11">+MID(A323,13,6)</f>
        <v>060024</v>
      </c>
      <c r="C323" s="11" t="str">
        <f>_xlfn.CONCAT(+VLOOKUP(VALUE(MID(A323,13,2)),'Tabla de codigos'!$A$2:$B$60,2,1)," ",VLOOKUP(VALUE(MID(A323,15,4)),'Tabla de codigos'!$E$2:$F$102,2,1))</f>
        <v>BUDINERA   22</v>
      </c>
      <c r="D323" s="11" t="s">
        <v>330</v>
      </c>
      <c r="E323" s="11" t="s">
        <v>145</v>
      </c>
      <c r="F323" s="11" t="s">
        <v>331</v>
      </c>
      <c r="G323" s="11" t="s">
        <v>26</v>
      </c>
      <c r="H323" s="11">
        <v>12</v>
      </c>
      <c r="I323" s="11">
        <v>12</v>
      </c>
      <c r="J323" s="16">
        <f t="shared" si="10"/>
        <v>0</v>
      </c>
      <c r="N323" s="18"/>
      <c r="O323" s="21">
        <f>(H323)/(IF(A323="","-",VLOOKUP(A323,'[1]CATALOGO PZXCAJA'!$A$2:$C$5000,2,0)))</f>
        <v>1</v>
      </c>
    </row>
    <row r="324" spans="1:15" x14ac:dyDescent="0.2">
      <c r="A324" s="11" t="s">
        <v>143</v>
      </c>
      <c r="B324" s="11" t="str">
        <f t="shared" si="11"/>
        <v>060025</v>
      </c>
      <c r="C324" s="11" t="str">
        <f>_xlfn.CONCAT(+VLOOKUP(VALUE(MID(A324,13,2)),'Tabla de codigos'!$A$2:$B$60,2,1)," ",VLOOKUP(VALUE(MID(A324,15,4)),'Tabla de codigos'!$E$2:$F$102,2,1))</f>
        <v>BUDINERA   24</v>
      </c>
      <c r="D324" s="11" t="s">
        <v>330</v>
      </c>
      <c r="E324" s="11" t="s">
        <v>145</v>
      </c>
      <c r="F324" s="11" t="s">
        <v>331</v>
      </c>
      <c r="G324" s="11" t="s">
        <v>26</v>
      </c>
      <c r="H324" s="11">
        <v>12</v>
      </c>
      <c r="I324" s="11">
        <v>12</v>
      </c>
      <c r="J324" s="16">
        <f t="shared" si="10"/>
        <v>0</v>
      </c>
      <c r="N324" s="18"/>
      <c r="O324" s="21">
        <f>(H324)/(IF(A324="","-",VLOOKUP(A324,'[1]CATALOGO PZXCAJA'!$A$2:$C$5000,2,0)))</f>
        <v>1</v>
      </c>
    </row>
    <row r="325" spans="1:15" x14ac:dyDescent="0.2">
      <c r="A325" s="11" t="s">
        <v>332</v>
      </c>
      <c r="B325" s="11" t="str">
        <f t="shared" si="11"/>
        <v>060025</v>
      </c>
      <c r="C325" s="11" t="str">
        <f>_xlfn.CONCAT(+VLOOKUP(VALUE(MID(A325,13,2)),'Tabla de codigos'!$A$2:$B$60,2,1)," ",VLOOKUP(VALUE(MID(A325,15,4)),'Tabla de codigos'!$E$2:$F$102,2,1))</f>
        <v>BUDINERA   24</v>
      </c>
      <c r="D325" s="11" t="s">
        <v>330</v>
      </c>
      <c r="E325" s="11" t="s">
        <v>145</v>
      </c>
      <c r="F325" s="11" t="s">
        <v>331</v>
      </c>
      <c r="G325" s="11" t="s">
        <v>26</v>
      </c>
      <c r="H325" s="11">
        <v>12</v>
      </c>
      <c r="I325" s="11">
        <v>0</v>
      </c>
      <c r="J325" s="16">
        <f t="shared" si="10"/>
        <v>12</v>
      </c>
      <c r="N325" s="18"/>
      <c r="O325" s="21">
        <f>(H325)/(IF(A325="","-",VLOOKUP(A325,'[1]CATALOGO PZXCAJA'!$A$2:$C$5000,2,0)))</f>
        <v>3</v>
      </c>
    </row>
    <row r="326" spans="1:15" x14ac:dyDescent="0.2">
      <c r="A326" s="11" t="s">
        <v>148</v>
      </c>
      <c r="B326" s="11" t="str">
        <f t="shared" si="11"/>
        <v>060026</v>
      </c>
      <c r="C326" s="11" t="str">
        <f>_xlfn.CONCAT(+VLOOKUP(VALUE(MID(A326,13,2)),'Tabla de codigos'!$A$2:$B$60,2,1)," ",VLOOKUP(VALUE(MID(A326,15,4)),'Tabla de codigos'!$E$2:$F$102,2,1))</f>
        <v>BUDINERA   26</v>
      </c>
      <c r="D326" s="11" t="s">
        <v>330</v>
      </c>
      <c r="E326" s="11" t="s">
        <v>145</v>
      </c>
      <c r="F326" s="11" t="s">
        <v>331</v>
      </c>
      <c r="G326" s="11" t="s">
        <v>26</v>
      </c>
      <c r="H326" s="11">
        <v>12</v>
      </c>
      <c r="I326" s="11">
        <f>3+8+1</f>
        <v>12</v>
      </c>
      <c r="J326" s="16">
        <f t="shared" si="10"/>
        <v>0</v>
      </c>
      <c r="N326" s="18"/>
      <c r="O326" s="21">
        <f>(H326)/(IF(A326="","-",VLOOKUP(A326,'[1]CATALOGO PZXCAJA'!$A$2:$C$5000,2,0)))</f>
        <v>1</v>
      </c>
    </row>
    <row r="327" spans="1:15" x14ac:dyDescent="0.2">
      <c r="A327" s="11" t="s">
        <v>169</v>
      </c>
      <c r="B327" s="11" t="str">
        <f t="shared" si="11"/>
        <v>060029</v>
      </c>
      <c r="C327" s="11" t="str">
        <f>_xlfn.CONCAT(+VLOOKUP(VALUE(MID(A327,13,2)),'Tabla de codigos'!$A$2:$B$60,2,1)," ",VLOOKUP(VALUE(MID(A327,15,4)),'Tabla de codigos'!$E$2:$F$102,2,1))</f>
        <v>BUDINERA   30</v>
      </c>
      <c r="D327" s="11" t="s">
        <v>330</v>
      </c>
      <c r="E327" s="11" t="s">
        <v>145</v>
      </c>
      <c r="F327" s="11" t="s">
        <v>331</v>
      </c>
      <c r="G327" s="11" t="s">
        <v>26</v>
      </c>
      <c r="H327" s="11">
        <v>12</v>
      </c>
      <c r="I327" s="11">
        <v>12</v>
      </c>
      <c r="J327" s="15">
        <f t="shared" si="10"/>
        <v>0</v>
      </c>
      <c r="N327" s="18"/>
      <c r="O327" s="21">
        <f>(H327)/(IF(A327="","-",VLOOKUP(A327,'[1]CATALOGO PZXCAJA'!$A$2:$C$5000,2,0)))</f>
        <v>3</v>
      </c>
    </row>
    <row r="328" spans="1:15" x14ac:dyDescent="0.2">
      <c r="A328" s="11" t="s">
        <v>173</v>
      </c>
      <c r="B328" s="11" t="str">
        <f t="shared" si="11"/>
        <v>060031</v>
      </c>
      <c r="C328" s="11" t="str">
        <f>_xlfn.CONCAT(+VLOOKUP(VALUE(MID(A328,13,2)),'Tabla de codigos'!$A$2:$B$60,2,1)," ",VLOOKUP(VALUE(MID(A328,15,4)),'Tabla de codigos'!$E$2:$F$102,2,1))</f>
        <v>BUDINERA   34</v>
      </c>
      <c r="D328" s="11" t="s">
        <v>330</v>
      </c>
      <c r="E328" s="11" t="s">
        <v>145</v>
      </c>
      <c r="F328" s="11" t="s">
        <v>331</v>
      </c>
      <c r="G328" s="11" t="s">
        <v>26</v>
      </c>
      <c r="H328" s="11">
        <v>4</v>
      </c>
      <c r="I328" s="11">
        <v>4</v>
      </c>
      <c r="J328" s="15">
        <f t="shared" si="10"/>
        <v>0</v>
      </c>
      <c r="N328" s="18"/>
      <c r="O328" s="21">
        <f>(H328)/(IF(A328="","-",VLOOKUP(A328,'[1]CATALOGO PZXCAJA'!$A$2:$C$5000,2,0)))</f>
        <v>1</v>
      </c>
    </row>
    <row r="329" spans="1:15" x14ac:dyDescent="0.2">
      <c r="A329" s="11" t="s">
        <v>242</v>
      </c>
      <c r="B329" s="11" t="str">
        <f t="shared" si="11"/>
        <v>100024</v>
      </c>
      <c r="C329" s="11" t="str">
        <f>_xlfn.CONCAT(+VLOOKUP(VALUE(MID(A329,13,2)),'Tabla de codigos'!$A$2:$B$60,2,1)," ",VLOOKUP(VALUE(MID(A329,15,4)),'Tabla de codigos'!$E$2:$F$102,2,1))</f>
        <v>COMAL 22</v>
      </c>
      <c r="D329" s="11" t="s">
        <v>330</v>
      </c>
      <c r="E329" s="11" t="s">
        <v>145</v>
      </c>
      <c r="F329" s="11" t="s">
        <v>331</v>
      </c>
      <c r="G329" s="11" t="s">
        <v>26</v>
      </c>
      <c r="H329" s="11">
        <v>24</v>
      </c>
      <c r="I329" s="11">
        <v>24</v>
      </c>
      <c r="J329" s="15">
        <f t="shared" si="10"/>
        <v>0</v>
      </c>
      <c r="N329" s="18"/>
      <c r="O329" s="21">
        <f>(H329)/(IF(A329="","-",VLOOKUP(A329,'[1]CATALOGO PZXCAJA'!$A$2:$C$5000,2,0)))</f>
        <v>1</v>
      </c>
    </row>
    <row r="330" spans="1:15" x14ac:dyDescent="0.2">
      <c r="A330" s="11" t="s">
        <v>149</v>
      </c>
      <c r="B330" s="11" t="str">
        <f t="shared" si="11"/>
        <v>100028</v>
      </c>
      <c r="C330" s="11" t="str">
        <f>_xlfn.CONCAT(+VLOOKUP(VALUE(MID(A330,13,2)),'Tabla de codigos'!$A$2:$B$60,2,1)," ",VLOOKUP(VALUE(MID(A330,15,4)),'Tabla de codigos'!$E$2:$F$102,2,1))</f>
        <v>COMAL 28</v>
      </c>
      <c r="D330" s="11" t="s">
        <v>330</v>
      </c>
      <c r="E330" s="11" t="s">
        <v>145</v>
      </c>
      <c r="F330" s="11" t="s">
        <v>331</v>
      </c>
      <c r="G330" s="11" t="s">
        <v>26</v>
      </c>
      <c r="H330" s="11">
        <v>24</v>
      </c>
      <c r="I330" s="11">
        <v>24</v>
      </c>
      <c r="J330" s="16">
        <f t="shared" si="10"/>
        <v>0</v>
      </c>
      <c r="N330" s="18"/>
      <c r="O330" s="21">
        <f>(H330)/(IF(A330="","-",VLOOKUP(A330,'[1]CATALOGO PZXCAJA'!$A$2:$C$5000,2,0)))</f>
        <v>2</v>
      </c>
    </row>
    <row r="331" spans="1:15" x14ac:dyDescent="0.2">
      <c r="A331" s="11" t="s">
        <v>333</v>
      </c>
      <c r="B331" s="11" t="str">
        <f t="shared" si="11"/>
        <v>240015</v>
      </c>
      <c r="C331" s="11" t="str">
        <f>_xlfn.CONCAT(+VLOOKUP(VALUE(MID(A331,13,2)),'Tabla de codigos'!$A$2:$B$60,2,1)," ",VLOOKUP(VALUE(MID(A331,15,4)),'Tabla de codigos'!$E$2:$F$102,2,1))</f>
        <v>OLLA CONVEXA 14</v>
      </c>
      <c r="D331" s="11" t="s">
        <v>330</v>
      </c>
      <c r="E331" s="11" t="s">
        <v>145</v>
      </c>
      <c r="F331" s="11" t="s">
        <v>331</v>
      </c>
      <c r="G331" s="11" t="s">
        <v>26</v>
      </c>
      <c r="H331" s="11">
        <v>36</v>
      </c>
      <c r="I331" s="11">
        <v>36</v>
      </c>
      <c r="J331" s="16">
        <f t="shared" si="10"/>
        <v>0</v>
      </c>
      <c r="N331" s="18"/>
      <c r="O331" s="21">
        <f>(H331)/(IF(A331="","-",VLOOKUP(A331,'[1]CATALOGO PZXCAJA'!$A$2:$C$5000,2,0)))</f>
        <v>2</v>
      </c>
    </row>
    <row r="332" spans="1:15" x14ac:dyDescent="0.2">
      <c r="A332" s="11" t="s">
        <v>220</v>
      </c>
      <c r="B332" s="11" t="str">
        <f t="shared" si="11"/>
        <v>240017</v>
      </c>
      <c r="C332" s="11" t="str">
        <f>_xlfn.CONCAT(+VLOOKUP(VALUE(MID(A332,13,2)),'Tabla de codigos'!$A$2:$B$60,2,1)," ",VLOOKUP(VALUE(MID(A332,15,4)),'Tabla de codigos'!$E$2:$F$102,2,1))</f>
        <v>OLLA CONVEXA 16</v>
      </c>
      <c r="D332" s="11" t="s">
        <v>330</v>
      </c>
      <c r="E332" s="11" t="s">
        <v>145</v>
      </c>
      <c r="F332" s="11" t="s">
        <v>331</v>
      </c>
      <c r="G332" s="11" t="s">
        <v>26</v>
      </c>
      <c r="H332" s="11">
        <v>24</v>
      </c>
      <c r="I332" s="11">
        <v>24</v>
      </c>
      <c r="J332" s="16">
        <f t="shared" si="10"/>
        <v>0</v>
      </c>
      <c r="N332" s="18"/>
      <c r="O332" s="21">
        <f>(H332)/(IF(A332="","-",VLOOKUP(A332,'[1]CATALOGO PZXCAJA'!$A$2:$C$5000,2,0)))</f>
        <v>2</v>
      </c>
    </row>
    <row r="333" spans="1:15" x14ac:dyDescent="0.2">
      <c r="A333" s="11" t="s">
        <v>150</v>
      </c>
      <c r="B333" s="11" t="str">
        <f t="shared" si="11"/>
        <v>240021</v>
      </c>
      <c r="C333" s="11" t="str">
        <f>_xlfn.CONCAT(+VLOOKUP(VALUE(MID(A333,13,2)),'Tabla de codigos'!$A$2:$B$60,2,1)," ",VLOOKUP(VALUE(MID(A333,15,4)),'Tabla de codigos'!$E$2:$F$102,2,1))</f>
        <v>OLLA CONVEXA 18</v>
      </c>
      <c r="D333" s="11" t="s">
        <v>330</v>
      </c>
      <c r="E333" s="11" t="s">
        <v>145</v>
      </c>
      <c r="F333" s="11" t="s">
        <v>331</v>
      </c>
      <c r="G333" s="11" t="s">
        <v>26</v>
      </c>
      <c r="H333" s="11">
        <v>24</v>
      </c>
      <c r="I333" s="11">
        <v>0</v>
      </c>
      <c r="J333" s="16">
        <f t="shared" si="10"/>
        <v>24</v>
      </c>
      <c r="N333" s="18"/>
      <c r="O333" s="21">
        <f>(H333)/(IF(A333="","-",VLOOKUP(A333,'[1]CATALOGO PZXCAJA'!$A$2:$C$5000,2,0)))</f>
        <v>2</v>
      </c>
    </row>
    <row r="334" spans="1:15" x14ac:dyDescent="0.2">
      <c r="A334" s="11" t="s">
        <v>151</v>
      </c>
      <c r="B334" s="11" t="str">
        <f t="shared" si="11"/>
        <v>240022</v>
      </c>
      <c r="C334" s="11" t="str">
        <f>_xlfn.CONCAT(+VLOOKUP(VALUE(MID(A334,13,2)),'Tabla de codigos'!$A$2:$B$60,2,1)," ",VLOOKUP(VALUE(MID(A334,15,4)),'Tabla de codigos'!$E$2:$F$102,2,1))</f>
        <v>OLLA CONVEXA 20</v>
      </c>
      <c r="D334" s="11" t="s">
        <v>330</v>
      </c>
      <c r="E334" s="11" t="s">
        <v>145</v>
      </c>
      <c r="F334" s="11" t="s">
        <v>331</v>
      </c>
      <c r="G334" s="11" t="s">
        <v>26</v>
      </c>
      <c r="H334" s="11">
        <v>12</v>
      </c>
      <c r="I334" s="11">
        <v>0</v>
      </c>
      <c r="J334" s="16">
        <f t="shared" si="10"/>
        <v>12</v>
      </c>
      <c r="N334" s="18"/>
      <c r="O334" s="21">
        <f>(H334)/(IF(A334="","-",VLOOKUP(A334,'[1]CATALOGO PZXCAJA'!$A$2:$C$5000,2,0)))</f>
        <v>1</v>
      </c>
    </row>
    <row r="335" spans="1:15" x14ac:dyDescent="0.2">
      <c r="A335" s="11" t="s">
        <v>43</v>
      </c>
      <c r="B335" s="11" t="str">
        <f t="shared" si="11"/>
        <v>240024</v>
      </c>
      <c r="C335" s="11" t="str">
        <f>_xlfn.CONCAT(+VLOOKUP(VALUE(MID(A335,13,2)),'Tabla de codigos'!$A$2:$B$60,2,1)," ",VLOOKUP(VALUE(MID(A335,15,4)),'Tabla de codigos'!$E$2:$F$102,2,1))</f>
        <v>OLLA CONVEXA 22</v>
      </c>
      <c r="D335" s="11" t="s">
        <v>330</v>
      </c>
      <c r="E335" s="11" t="s">
        <v>145</v>
      </c>
      <c r="F335" s="11" t="s">
        <v>331</v>
      </c>
      <c r="G335" s="11" t="s">
        <v>26</v>
      </c>
      <c r="H335" s="11">
        <v>12</v>
      </c>
      <c r="I335" s="11">
        <f>6+6</f>
        <v>12</v>
      </c>
      <c r="J335" s="16">
        <f t="shared" si="10"/>
        <v>0</v>
      </c>
      <c r="N335" s="18"/>
      <c r="O335" s="21">
        <f>(H335)/(IF(A335="","-",VLOOKUP(A335,'[1]CATALOGO PZXCAJA'!$A$2:$C$5000,2,0)))</f>
        <v>2</v>
      </c>
    </row>
    <row r="336" spans="1:15" x14ac:dyDescent="0.2">
      <c r="A336" s="11" t="s">
        <v>152</v>
      </c>
      <c r="B336" s="11" t="str">
        <f t="shared" si="11"/>
        <v>240025</v>
      </c>
      <c r="C336" s="11" t="str">
        <f>_xlfn.CONCAT(+VLOOKUP(VALUE(MID(A336,13,2)),'Tabla de codigos'!$A$2:$B$60,2,1)," ",VLOOKUP(VALUE(MID(A336,15,4)),'Tabla de codigos'!$E$2:$F$102,2,1))</f>
        <v>OLLA CONVEXA 24</v>
      </c>
      <c r="D336" s="11" t="s">
        <v>330</v>
      </c>
      <c r="E336" s="11" t="s">
        <v>145</v>
      </c>
      <c r="F336" s="11" t="s">
        <v>331</v>
      </c>
      <c r="G336" s="11" t="s">
        <v>26</v>
      </c>
      <c r="H336" s="11">
        <v>24</v>
      </c>
      <c r="I336" s="11">
        <v>24</v>
      </c>
      <c r="J336" s="16">
        <f t="shared" si="10"/>
        <v>0</v>
      </c>
      <c r="N336" s="18"/>
      <c r="O336" s="21">
        <f>(H336)/(IF(A336="","-",VLOOKUP(A336,'[1]CATALOGO PZXCAJA'!$A$2:$C$5000,2,0)))</f>
        <v>4</v>
      </c>
    </row>
    <row r="337" spans="1:15" x14ac:dyDescent="0.2">
      <c r="A337" s="11" t="s">
        <v>154</v>
      </c>
      <c r="B337" s="11" t="str">
        <f t="shared" si="11"/>
        <v>240029</v>
      </c>
      <c r="C337" s="11" t="str">
        <f>_xlfn.CONCAT(+VLOOKUP(VALUE(MID(A337,13,2)),'Tabla de codigos'!$A$2:$B$60,2,1)," ",VLOOKUP(VALUE(MID(A337,15,4)),'Tabla de codigos'!$E$2:$F$102,2,1))</f>
        <v>OLLA CONVEXA 30</v>
      </c>
      <c r="D337" s="11" t="s">
        <v>330</v>
      </c>
      <c r="E337" s="11" t="s">
        <v>145</v>
      </c>
      <c r="F337" s="11" t="s">
        <v>331</v>
      </c>
      <c r="G337" s="11" t="s">
        <v>26</v>
      </c>
      <c r="H337" s="11">
        <v>8</v>
      </c>
      <c r="I337" s="11">
        <v>8</v>
      </c>
      <c r="J337" s="16">
        <f t="shared" si="10"/>
        <v>0</v>
      </c>
      <c r="N337" s="18"/>
      <c r="O337" s="21">
        <f>(H337)/(IF(A337="","-",VLOOKUP(A337,'[1]CATALOGO PZXCAJA'!$A$2:$C$5000,2,0)))</f>
        <v>4</v>
      </c>
    </row>
    <row r="338" spans="1:15" x14ac:dyDescent="0.2">
      <c r="A338" s="11" t="s">
        <v>221</v>
      </c>
      <c r="B338" s="11" t="str">
        <f t="shared" si="11"/>
        <v>240031</v>
      </c>
      <c r="C338" s="11" t="str">
        <f>_xlfn.CONCAT(+VLOOKUP(VALUE(MID(A338,13,2)),'Tabla de codigos'!$A$2:$B$60,2,1)," ",VLOOKUP(VALUE(MID(A338,15,4)),'Tabla de codigos'!$E$2:$F$102,2,1))</f>
        <v>OLLA CONVEXA 34</v>
      </c>
      <c r="D338" s="11" t="s">
        <v>330</v>
      </c>
      <c r="E338" s="11" t="s">
        <v>145</v>
      </c>
      <c r="F338" s="11" t="s">
        <v>331</v>
      </c>
      <c r="G338" s="11" t="s">
        <v>26</v>
      </c>
      <c r="H338" s="11">
        <v>10</v>
      </c>
      <c r="I338" s="11">
        <v>10</v>
      </c>
      <c r="J338" s="16">
        <f t="shared" si="10"/>
        <v>0</v>
      </c>
      <c r="N338" s="18"/>
      <c r="O338" s="21">
        <f>(H338)/(IF(A338="","-",VLOOKUP(A338,'[1]CATALOGO PZXCAJA'!$A$2:$C$5000,2,0)))</f>
        <v>5</v>
      </c>
    </row>
    <row r="339" spans="1:15" x14ac:dyDescent="0.2">
      <c r="A339" s="11" t="s">
        <v>260</v>
      </c>
      <c r="B339" s="11" t="str">
        <f t="shared" si="11"/>
        <v>250022</v>
      </c>
      <c r="C339" s="11" t="str">
        <f>_xlfn.CONCAT(+VLOOKUP(VALUE(MID(A339,13,2)),'Tabla de codigos'!$A$2:$B$60,2,1)," ",VLOOKUP(VALUE(MID(A339,15,4)),'Tabla de codigos'!$E$2:$F$102,2,1))</f>
        <v>OLLA RECTA 20</v>
      </c>
      <c r="D339" s="11" t="s">
        <v>330</v>
      </c>
      <c r="E339" s="11" t="s">
        <v>145</v>
      </c>
      <c r="F339" s="11" t="s">
        <v>331</v>
      </c>
      <c r="G339" s="11" t="s">
        <v>26</v>
      </c>
      <c r="H339" s="11">
        <v>24</v>
      </c>
      <c r="I339" s="11">
        <v>24</v>
      </c>
      <c r="J339" s="16">
        <f t="shared" si="10"/>
        <v>0</v>
      </c>
      <c r="N339" s="18"/>
      <c r="O339" s="21">
        <f>(H339)/(IF(A339="","-",VLOOKUP(A339,'[1]CATALOGO PZXCAJA'!$A$2:$C$5000,2,0)))</f>
        <v>2</v>
      </c>
    </row>
    <row r="340" spans="1:15" x14ac:dyDescent="0.2">
      <c r="A340" s="11" t="s">
        <v>334</v>
      </c>
      <c r="B340" s="11" t="str">
        <f t="shared" si="11"/>
        <v>250022</v>
      </c>
      <c r="C340" s="11" t="str">
        <f>_xlfn.CONCAT(+VLOOKUP(VALUE(MID(A340,13,2)),'Tabla de codigos'!$A$2:$B$60,2,1)," ",VLOOKUP(VALUE(MID(A340,15,4)),'Tabla de codigos'!$E$2:$F$102,2,1))</f>
        <v>OLLA RECTA 20</v>
      </c>
      <c r="D340" s="11" t="s">
        <v>330</v>
      </c>
      <c r="E340" s="11" t="s">
        <v>145</v>
      </c>
      <c r="F340" s="11" t="s">
        <v>331</v>
      </c>
      <c r="G340" s="11" t="s">
        <v>26</v>
      </c>
      <c r="H340" s="11">
        <v>12</v>
      </c>
      <c r="I340" s="11">
        <v>1</v>
      </c>
      <c r="J340" s="16">
        <f t="shared" si="10"/>
        <v>11</v>
      </c>
      <c r="N340" s="18"/>
      <c r="O340" s="21">
        <f>(H340)/(IF(A340="","-",VLOOKUP(A340,'[1]CATALOGO PZXCAJA'!$A$2:$C$5000,2,0)))</f>
        <v>2</v>
      </c>
    </row>
    <row r="341" spans="1:15" x14ac:dyDescent="0.2">
      <c r="A341" s="11" t="s">
        <v>236</v>
      </c>
      <c r="B341" s="11" t="str">
        <f t="shared" si="11"/>
        <v>250024</v>
      </c>
      <c r="C341" s="11" t="str">
        <f>_xlfn.CONCAT(+VLOOKUP(VALUE(MID(A341,13,2)),'Tabla de codigos'!$A$2:$B$60,2,1)," ",VLOOKUP(VALUE(MID(A341,15,4)),'Tabla de codigos'!$E$2:$F$102,2,1))</f>
        <v>OLLA RECTA 22</v>
      </c>
      <c r="D341" s="11" t="s">
        <v>330</v>
      </c>
      <c r="E341" s="11" t="s">
        <v>145</v>
      </c>
      <c r="F341" s="11" t="s">
        <v>331</v>
      </c>
      <c r="G341" s="11" t="s">
        <v>26</v>
      </c>
      <c r="H341" s="11">
        <v>12</v>
      </c>
      <c r="I341" s="11">
        <v>12</v>
      </c>
      <c r="J341" s="16">
        <f t="shared" si="10"/>
        <v>0</v>
      </c>
      <c r="N341" s="18"/>
      <c r="O341" s="21">
        <f>(H341)/(IF(A341="","-",VLOOKUP(A341,'[1]CATALOGO PZXCAJA'!$A$2:$C$5000,2,0)))</f>
        <v>2</v>
      </c>
    </row>
    <row r="342" spans="1:15" x14ac:dyDescent="0.2">
      <c r="A342" s="11" t="s">
        <v>237</v>
      </c>
      <c r="B342" s="11" t="str">
        <f t="shared" si="11"/>
        <v>250025</v>
      </c>
      <c r="C342" s="11" t="str">
        <f>_xlfn.CONCAT(+VLOOKUP(VALUE(MID(A342,13,2)),'Tabla de codigos'!$A$2:$B$60,2,1)," ",VLOOKUP(VALUE(MID(A342,15,4)),'Tabla de codigos'!$E$2:$F$102,2,1))</f>
        <v>OLLA RECTA 24</v>
      </c>
      <c r="D342" s="11" t="s">
        <v>330</v>
      </c>
      <c r="E342" s="11" t="s">
        <v>145</v>
      </c>
      <c r="F342" s="11" t="s">
        <v>331</v>
      </c>
      <c r="G342" s="11" t="s">
        <v>26</v>
      </c>
      <c r="H342" s="11">
        <v>12</v>
      </c>
      <c r="I342" s="11">
        <v>0</v>
      </c>
      <c r="J342" s="16">
        <f t="shared" si="10"/>
        <v>12</v>
      </c>
      <c r="N342" s="18"/>
      <c r="O342" s="21">
        <f>(H342)/(IF(A342="","-",VLOOKUP(A342,'[1]CATALOGO PZXCAJA'!$A$2:$C$5000,2,0)))</f>
        <v>2</v>
      </c>
    </row>
    <row r="343" spans="1:15" x14ac:dyDescent="0.2">
      <c r="A343" s="11" t="s">
        <v>335</v>
      </c>
      <c r="B343" s="11" t="str">
        <f t="shared" si="11"/>
        <v>250025</v>
      </c>
      <c r="C343" s="11" t="str">
        <f>_xlfn.CONCAT(+VLOOKUP(VALUE(MID(A343,13,2)),'Tabla de codigos'!$A$2:$B$60,2,1)," ",VLOOKUP(VALUE(MID(A343,15,4)),'Tabla de codigos'!$E$2:$F$102,2,1))</f>
        <v>OLLA RECTA 24</v>
      </c>
      <c r="D343" s="11" t="s">
        <v>330</v>
      </c>
      <c r="E343" s="11" t="s">
        <v>145</v>
      </c>
      <c r="F343" s="11" t="s">
        <v>331</v>
      </c>
      <c r="G343" s="11" t="s">
        <v>26</v>
      </c>
      <c r="H343" s="11">
        <v>6</v>
      </c>
      <c r="I343" s="11">
        <v>6</v>
      </c>
      <c r="J343" s="16">
        <f t="shared" si="10"/>
        <v>0</v>
      </c>
      <c r="N343" s="18"/>
      <c r="O343" s="21">
        <f>(H343)/(IF(A343="","-",VLOOKUP(A343,'[1]CATALOGO PZXCAJA'!$A$2:$C$5000,2,0)))</f>
        <v>1.5</v>
      </c>
    </row>
    <row r="344" spans="1:15" x14ac:dyDescent="0.2">
      <c r="A344" s="11" t="s">
        <v>224</v>
      </c>
      <c r="B344" s="11" t="str">
        <f t="shared" si="11"/>
        <v>250026</v>
      </c>
      <c r="C344" s="11" t="str">
        <f>_xlfn.CONCAT(+VLOOKUP(VALUE(MID(A344,13,2)),'Tabla de codigos'!$A$2:$B$60,2,1)," ",VLOOKUP(VALUE(MID(A344,15,4)),'Tabla de codigos'!$E$2:$F$102,2,1))</f>
        <v>OLLA RECTA 26</v>
      </c>
      <c r="D344" s="11" t="s">
        <v>330</v>
      </c>
      <c r="E344" s="11" t="s">
        <v>145</v>
      </c>
      <c r="F344" s="11" t="s">
        <v>331</v>
      </c>
      <c r="G344" s="11" t="s">
        <v>26</v>
      </c>
      <c r="H344" s="11">
        <v>6</v>
      </c>
      <c r="I344" s="11">
        <v>6</v>
      </c>
      <c r="J344" s="16">
        <f t="shared" si="10"/>
        <v>0</v>
      </c>
      <c r="N344" s="18"/>
      <c r="O344" s="21">
        <f>(H344)/(IF(A344="","-",VLOOKUP(A344,'[1]CATALOGO PZXCAJA'!$A$2:$C$5000,2,0)))</f>
        <v>1</v>
      </c>
    </row>
    <row r="345" spans="1:15" x14ac:dyDescent="0.2">
      <c r="A345" s="11" t="s">
        <v>336</v>
      </c>
      <c r="B345" s="11" t="str">
        <f t="shared" si="11"/>
        <v>250028</v>
      </c>
      <c r="C345" s="11" t="str">
        <f>_xlfn.CONCAT(+VLOOKUP(VALUE(MID(A345,13,2)),'Tabla de codigos'!$A$2:$B$60,2,1)," ",VLOOKUP(VALUE(MID(A345,15,4)),'Tabla de codigos'!$E$2:$F$102,2,1))</f>
        <v>OLLA RECTA 28</v>
      </c>
      <c r="D345" s="11" t="s">
        <v>330</v>
      </c>
      <c r="E345" s="11" t="s">
        <v>145</v>
      </c>
      <c r="F345" s="11" t="s">
        <v>331</v>
      </c>
      <c r="G345" s="11" t="s">
        <v>26</v>
      </c>
      <c r="H345" s="11">
        <v>4</v>
      </c>
      <c r="I345" s="11">
        <v>0</v>
      </c>
      <c r="J345" s="16">
        <f t="shared" si="10"/>
        <v>4</v>
      </c>
      <c r="N345" s="18"/>
      <c r="O345" s="21">
        <f>(H345)/(IF(A345="","-",VLOOKUP(A345,'[1]CATALOGO PZXCAJA'!$A$2:$C$5000,2,0)))</f>
        <v>2</v>
      </c>
    </row>
    <row r="346" spans="1:15" ht="12.75" customHeight="1" x14ac:dyDescent="0.2">
      <c r="A346" s="11" t="s">
        <v>155</v>
      </c>
      <c r="B346" s="11" t="str">
        <f t="shared" si="11"/>
        <v>250029</v>
      </c>
      <c r="C346" s="11" t="str">
        <f>_xlfn.CONCAT(+VLOOKUP(VALUE(MID(A346,13,2)),'Tabla de codigos'!$A$2:$B$60,2,1)," ",VLOOKUP(VALUE(MID(A346,15,4)),'Tabla de codigos'!$E$2:$F$102,2,1))</f>
        <v>OLLA RECTA 30</v>
      </c>
      <c r="D346" s="11" t="s">
        <v>330</v>
      </c>
      <c r="E346" s="11" t="s">
        <v>145</v>
      </c>
      <c r="F346" s="11" t="s">
        <v>331</v>
      </c>
      <c r="G346" s="11" t="s">
        <v>26</v>
      </c>
      <c r="H346" s="11">
        <v>15</v>
      </c>
      <c r="I346" s="11">
        <v>0</v>
      </c>
      <c r="J346" s="15">
        <f t="shared" si="10"/>
        <v>15</v>
      </c>
      <c r="N346" s="18"/>
      <c r="O346" s="21">
        <f>(H346)/(IF(A346="","-",VLOOKUP(A346,'[1]CATALOGO PZXCAJA'!$A$2:$C$5000,2,0)))</f>
        <v>7.5</v>
      </c>
    </row>
    <row r="347" spans="1:15" ht="12.75" customHeight="1" x14ac:dyDescent="0.2">
      <c r="A347" s="11" t="s">
        <v>157</v>
      </c>
      <c r="B347" s="11" t="str">
        <f t="shared" si="11"/>
        <v>250033</v>
      </c>
      <c r="C347" s="11" t="str">
        <f>_xlfn.CONCAT(+VLOOKUP(VALUE(MID(A347,13,2)),'Tabla de codigos'!$A$2:$B$60,2,1)," ",VLOOKUP(VALUE(MID(A347,15,4)),'Tabla de codigos'!$E$2:$F$102,2,1))</f>
        <v>OLLA RECTA 42</v>
      </c>
      <c r="D347" s="11" t="s">
        <v>330</v>
      </c>
      <c r="E347" s="11" t="s">
        <v>145</v>
      </c>
      <c r="F347" s="11" t="s">
        <v>331</v>
      </c>
      <c r="G347" s="11" t="s">
        <v>26</v>
      </c>
      <c r="H347" s="11">
        <v>2</v>
      </c>
      <c r="I347" s="11">
        <v>2</v>
      </c>
      <c r="J347" s="16">
        <f t="shared" si="10"/>
        <v>0</v>
      </c>
      <c r="N347" s="18"/>
      <c r="O347" s="21">
        <f>(H347)/(IF(A347="","-",VLOOKUP(A347,'[1]CATALOGO PZXCAJA'!$A$2:$C$5000,2,0)))</f>
        <v>2</v>
      </c>
    </row>
    <row r="348" spans="1:15" ht="12.75" customHeight="1" x14ac:dyDescent="0.2">
      <c r="A348" s="11" t="s">
        <v>227</v>
      </c>
      <c r="B348" s="11" t="str">
        <f t="shared" si="11"/>
        <v>360024</v>
      </c>
      <c r="C348" s="11" t="str">
        <f>_xlfn.CONCAT(+VLOOKUP(VALUE(MID(A348,13,2)),'Tabla de codigos'!$A$2:$B$60,2,1)," ",VLOOKUP(VALUE(MID(A348,15,4)),'Tabla de codigos'!$E$2:$F$102,2,1))</f>
        <v>SARTEN 22</v>
      </c>
      <c r="D348" s="11" t="s">
        <v>330</v>
      </c>
      <c r="E348" s="11" t="s">
        <v>145</v>
      </c>
      <c r="F348" s="11" t="s">
        <v>331</v>
      </c>
      <c r="G348" s="11" t="s">
        <v>26</v>
      </c>
      <c r="H348" s="11">
        <v>24</v>
      </c>
      <c r="I348" s="11">
        <v>0</v>
      </c>
      <c r="J348" s="16">
        <f t="shared" si="10"/>
        <v>24</v>
      </c>
      <c r="N348" s="18"/>
      <c r="O348" s="21">
        <f>(H348)/(IF(A348="","-",VLOOKUP(A348,'[1]CATALOGO PZXCAJA'!$A$2:$C$5000,2,0)))</f>
        <v>2</v>
      </c>
    </row>
    <row r="349" spans="1:15" ht="12.75" customHeight="1" x14ac:dyDescent="0.2">
      <c r="A349" s="11" t="s">
        <v>239</v>
      </c>
      <c r="B349" s="11" t="str">
        <f t="shared" si="11"/>
        <v>360026</v>
      </c>
      <c r="C349" s="11" t="str">
        <f>_xlfn.CONCAT(+VLOOKUP(VALUE(MID(A349,13,2)),'Tabla de codigos'!$A$2:$B$60,2,1)," ",VLOOKUP(VALUE(MID(A349,15,4)),'Tabla de codigos'!$E$2:$F$102,2,1))</f>
        <v>SARTEN 26</v>
      </c>
      <c r="D349" s="11" t="s">
        <v>330</v>
      </c>
      <c r="E349" s="11" t="s">
        <v>145</v>
      </c>
      <c r="F349" s="11" t="s">
        <v>331</v>
      </c>
      <c r="G349" s="11" t="s">
        <v>26</v>
      </c>
      <c r="H349" s="11">
        <v>24</v>
      </c>
      <c r="I349" s="11">
        <v>24</v>
      </c>
      <c r="J349" s="16">
        <f t="shared" si="10"/>
        <v>0</v>
      </c>
      <c r="N349" s="18"/>
      <c r="O349" s="21">
        <f>(H349)/(IF(A349="","-",VLOOKUP(A349,'[1]CATALOGO PZXCAJA'!$A$2:$C$5000,2,0)))</f>
        <v>2</v>
      </c>
    </row>
    <row r="350" spans="1:15" ht="12.75" customHeight="1" x14ac:dyDescent="0.2">
      <c r="A350" s="11" t="s">
        <v>240</v>
      </c>
      <c r="B350" s="11" t="str">
        <f t="shared" si="11"/>
        <v>440031</v>
      </c>
      <c r="C350" s="11" t="str">
        <f>_xlfn.CONCAT(+VLOOKUP(VALUE(MID(A350,13,2)),'Tabla de codigos'!$A$2:$B$60,2,1)," ",VLOOKUP(VALUE(MID(A350,15,4)),'Tabla de codigos'!$E$2:$F$102,2,1))</f>
        <v>VAPORERA 34</v>
      </c>
      <c r="D350" s="11" t="s">
        <v>330</v>
      </c>
      <c r="E350" s="11" t="s">
        <v>145</v>
      </c>
      <c r="F350" s="11" t="s">
        <v>331</v>
      </c>
      <c r="G350" s="11" t="s">
        <v>26</v>
      </c>
      <c r="H350" s="11">
        <v>8</v>
      </c>
      <c r="I350" s="11">
        <v>1</v>
      </c>
      <c r="J350" s="16">
        <f t="shared" si="10"/>
        <v>7</v>
      </c>
      <c r="N350" s="18"/>
      <c r="O350" s="21">
        <f>(H350)/(IF(A350="","-",VLOOKUP(A350,'[1]CATALOGO PZXCAJA'!$A$2:$C$5000,2,0)))</f>
        <v>4</v>
      </c>
    </row>
    <row r="351" spans="1:15" ht="12.75" customHeight="1" x14ac:dyDescent="0.2">
      <c r="A351" s="11" t="s">
        <v>238</v>
      </c>
      <c r="B351" s="11" t="str">
        <f t="shared" si="11"/>
        <v>250099</v>
      </c>
      <c r="C351" s="11" t="str">
        <f>_xlfn.CONCAT(+VLOOKUP(VALUE(MID(A351,13,2)),'Tabla de codigos'!$A$2:$B$60,2,1)," ",VLOOKUP(VALUE(MID(A351,15,4)),'Tabla de codigos'!$E$2:$F$102,2,1))</f>
        <v>OLLA RECTA 38</v>
      </c>
      <c r="D351" s="11" t="s">
        <v>330</v>
      </c>
      <c r="E351" s="11" t="s">
        <v>145</v>
      </c>
      <c r="F351" s="11" t="s">
        <v>331</v>
      </c>
      <c r="G351" s="11" t="s">
        <v>26</v>
      </c>
      <c r="H351" s="11">
        <v>8</v>
      </c>
      <c r="I351" s="11">
        <v>8</v>
      </c>
      <c r="J351" s="16">
        <f t="shared" si="10"/>
        <v>0</v>
      </c>
      <c r="K351" s="17">
        <f>(SUM(I322:I351))/(SUM(H322:H351))</f>
        <v>0.6819221967963387</v>
      </c>
      <c r="N351" s="18"/>
      <c r="O351" s="21">
        <f>(H351)/(IF(A351="","-",VLOOKUP(A351,'[1]CATALOGO PZXCAJA'!$A$2:$C$5000,2,0)))</f>
        <v>8</v>
      </c>
    </row>
    <row r="352" spans="1:15" x14ac:dyDescent="0.2">
      <c r="A352" s="11" t="s">
        <v>337</v>
      </c>
      <c r="B352" s="11" t="str">
        <f t="shared" si="11"/>
        <v>430064</v>
      </c>
      <c r="C352" s="11" t="str">
        <f>_xlfn.CONCAT(+VLOOKUP(VALUE(MID(A352,13,2)),'Tabla de codigos'!$A$2:$B$60,2,1)," ",VLOOKUP(VALUE(MID(A352,15,4)),'Tabla de codigos'!$E$2:$F$102,2,1))</f>
        <v>VAJILLA LE COQ</v>
      </c>
      <c r="D352" s="11" t="s">
        <v>318</v>
      </c>
      <c r="E352" s="11" t="s">
        <v>11</v>
      </c>
      <c r="F352" s="11" t="s">
        <v>338</v>
      </c>
      <c r="G352" s="11" t="s">
        <v>339</v>
      </c>
      <c r="H352" s="11">
        <v>2</v>
      </c>
      <c r="I352" s="11">
        <v>0</v>
      </c>
      <c r="J352" s="16">
        <f t="shared" si="10"/>
        <v>2</v>
      </c>
      <c r="K352" s="17">
        <f>(SUM(I352))/(SUM(H352))</f>
        <v>0</v>
      </c>
      <c r="O352" s="21">
        <f>(H352)/(IF(A352="","-",VLOOKUP(A352,'[1]CATALOGO PZXCAJA'!$A$2:$C$5000,2,0)))</f>
        <v>2</v>
      </c>
    </row>
    <row r="353" spans="1:15" x14ac:dyDescent="0.2">
      <c r="A353" s="11" t="s">
        <v>242</v>
      </c>
      <c r="B353" s="11" t="str">
        <f t="shared" si="11"/>
        <v>100024</v>
      </c>
      <c r="C353" s="11" t="str">
        <f>_xlfn.CONCAT(+VLOOKUP(VALUE(MID(A353,13,2)),'Tabla de codigos'!$A$2:$B$60,2,1)," ",VLOOKUP(VALUE(MID(A353,15,4)),'Tabla de codigos'!$E$2:$F$102,2,1))</f>
        <v>COMAL 22</v>
      </c>
      <c r="D353" s="11" t="s">
        <v>318</v>
      </c>
      <c r="E353" s="11" t="s">
        <v>340</v>
      </c>
      <c r="F353" s="11" t="s">
        <v>341</v>
      </c>
      <c r="G353" s="11" t="s">
        <v>342</v>
      </c>
      <c r="H353" s="11">
        <v>480</v>
      </c>
      <c r="I353" s="11">
        <v>480</v>
      </c>
      <c r="J353" s="15">
        <f t="shared" si="10"/>
        <v>0</v>
      </c>
      <c r="L353" s="19" t="s">
        <v>343</v>
      </c>
      <c r="N353" s="18"/>
      <c r="O353" s="21">
        <f>(H353)/(IF(A353="","-",VLOOKUP(A353,'[1]CATALOGO PZXCAJA'!$A$2:$C$5000,2,0)))</f>
        <v>20</v>
      </c>
    </row>
    <row r="354" spans="1:15" x14ac:dyDescent="0.2">
      <c r="A354" s="11" t="s">
        <v>149</v>
      </c>
      <c r="B354" s="11" t="str">
        <f t="shared" si="11"/>
        <v>100028</v>
      </c>
      <c r="C354" s="11" t="str">
        <f>_xlfn.CONCAT(+VLOOKUP(VALUE(MID(A354,13,2)),'Tabla de codigos'!$A$2:$B$60,2,1)," ",VLOOKUP(VALUE(MID(A354,15,4)),'Tabla de codigos'!$E$2:$F$102,2,1))</f>
        <v>COMAL 28</v>
      </c>
      <c r="D354" s="11" t="s">
        <v>318</v>
      </c>
      <c r="E354" s="11" t="s">
        <v>340</v>
      </c>
      <c r="F354" s="11" t="s">
        <v>341</v>
      </c>
      <c r="G354" s="11" t="s">
        <v>342</v>
      </c>
      <c r="H354" s="11">
        <v>240</v>
      </c>
      <c r="I354" s="11">
        <f>12+120+11+3+2+8+48+7</f>
        <v>211</v>
      </c>
      <c r="J354" s="16">
        <f t="shared" si="10"/>
        <v>29</v>
      </c>
      <c r="L354" s="19" t="s">
        <v>343</v>
      </c>
      <c r="N354" s="18"/>
      <c r="O354" s="21">
        <f>(H354)/(IF(A354="","-",VLOOKUP(A354,'[1]CATALOGO PZXCAJA'!$A$2:$C$5000,2,0)))</f>
        <v>20</v>
      </c>
    </row>
    <row r="355" spans="1:15" x14ac:dyDescent="0.2">
      <c r="A355" s="11" t="s">
        <v>344</v>
      </c>
      <c r="B355" s="11" t="str">
        <f t="shared" si="11"/>
        <v>100032</v>
      </c>
      <c r="C355" s="11" t="str">
        <f>_xlfn.CONCAT(+VLOOKUP(VALUE(MID(A355,13,2)),'Tabla de codigos'!$A$2:$B$60,2,1)," ",VLOOKUP(VALUE(MID(A355,15,4)),'Tabla de codigos'!$E$2:$F$102,2,1))</f>
        <v>COMAL 36</v>
      </c>
      <c r="D355" s="11" t="s">
        <v>318</v>
      </c>
      <c r="E355" s="11" t="s">
        <v>340</v>
      </c>
      <c r="F355" s="11" t="s">
        <v>341</v>
      </c>
      <c r="G355" s="11" t="s">
        <v>342</v>
      </c>
      <c r="H355" s="11">
        <v>240</v>
      </c>
      <c r="I355" s="11">
        <v>0</v>
      </c>
      <c r="J355" s="16">
        <f t="shared" si="10"/>
        <v>240</v>
      </c>
      <c r="L355" s="19" t="s">
        <v>343</v>
      </c>
      <c r="N355" s="18"/>
      <c r="O355" s="21">
        <f>(H355)/(IF(A355="","-",VLOOKUP(A355,'[1]CATALOGO PZXCAJA'!$A$2:$C$5000,2,0)))</f>
        <v>20</v>
      </c>
    </row>
    <row r="356" spans="1:15" x14ac:dyDescent="0.2">
      <c r="A356" s="11" t="s">
        <v>345</v>
      </c>
      <c r="B356" s="11" t="str">
        <f t="shared" si="11"/>
        <v>330012</v>
      </c>
      <c r="C356" s="11" t="str">
        <f>_xlfn.CONCAT(+VLOOKUP(VALUE(MID(A356,13,2)),'Tabla de codigos'!$A$2:$B$60,2,1)," ",VLOOKUP(VALUE(MID(A356,15,4)),'Tabla de codigos'!$E$2:$F$102,2,1))</f>
        <v>POCILLO 8</v>
      </c>
      <c r="D356" s="11" t="s">
        <v>346</v>
      </c>
      <c r="E356" s="11" t="s">
        <v>114</v>
      </c>
      <c r="F356" s="11" t="s">
        <v>347</v>
      </c>
      <c r="G356" s="14">
        <v>45698</v>
      </c>
      <c r="H356" s="11">
        <v>500</v>
      </c>
      <c r="I356" s="11">
        <f>24+18</f>
        <v>42</v>
      </c>
      <c r="J356" s="16">
        <f t="shared" si="10"/>
        <v>458</v>
      </c>
      <c r="K356" s="17">
        <f>(SUM(I356))/(SUM(H356))</f>
        <v>8.4000000000000005E-2</v>
      </c>
      <c r="N356" s="18"/>
      <c r="O356" s="21">
        <f>(H356)/(IF(A356="","-",VLOOKUP(A356,'[1]CATALOGO PZXCAJA'!$A$2:$C$5000,2,0)))</f>
        <v>20.833333333333332</v>
      </c>
    </row>
    <row r="357" spans="1:15" x14ac:dyDescent="0.2">
      <c r="A357" s="11" t="s">
        <v>149</v>
      </c>
      <c r="B357" s="11" t="str">
        <f t="shared" si="11"/>
        <v>100028</v>
      </c>
      <c r="C357" s="11" t="str">
        <f>_xlfn.CONCAT(+VLOOKUP(VALUE(MID(A357,13,2)),'Tabla de codigos'!$A$2:$B$60,2,1)," ",VLOOKUP(VALUE(MID(A357,15,4)),'Tabla de codigos'!$E$2:$F$102,2,1))</f>
        <v>COMAL 28</v>
      </c>
      <c r="D357" s="11" t="s">
        <v>348</v>
      </c>
      <c r="E357" s="11" t="s">
        <v>34</v>
      </c>
      <c r="F357" s="11" t="s">
        <v>349</v>
      </c>
      <c r="G357" s="11" t="s">
        <v>186</v>
      </c>
      <c r="H357" s="11">
        <v>24</v>
      </c>
      <c r="I357" s="11">
        <v>24</v>
      </c>
      <c r="J357" s="16">
        <f t="shared" si="10"/>
        <v>0</v>
      </c>
    </row>
    <row r="358" spans="1:15" x14ac:dyDescent="0.2">
      <c r="A358" s="11" t="s">
        <v>344</v>
      </c>
      <c r="B358" s="11" t="str">
        <f t="shared" si="11"/>
        <v>100032</v>
      </c>
      <c r="C358" s="11" t="str">
        <f>_xlfn.CONCAT(+VLOOKUP(VALUE(MID(A358,13,2)),'Tabla de codigos'!$A$2:$B$60,2,1)," ",VLOOKUP(VALUE(MID(A358,15,4)),'Tabla de codigos'!$E$2:$F$102,2,1))</f>
        <v>COMAL 36</v>
      </c>
      <c r="D358" s="11" t="s">
        <v>348</v>
      </c>
      <c r="E358" s="11" t="s">
        <v>34</v>
      </c>
      <c r="F358" s="11" t="s">
        <v>349</v>
      </c>
      <c r="G358" s="11" t="s">
        <v>186</v>
      </c>
      <c r="H358" s="11">
        <v>24</v>
      </c>
      <c r="I358" s="11">
        <f>6+12</f>
        <v>18</v>
      </c>
      <c r="J358" s="15">
        <f t="shared" si="10"/>
        <v>6</v>
      </c>
    </row>
    <row r="359" spans="1:15" x14ac:dyDescent="0.2">
      <c r="A359" s="11" t="s">
        <v>220</v>
      </c>
      <c r="B359" s="11" t="str">
        <f t="shared" si="11"/>
        <v>240017</v>
      </c>
      <c r="C359" s="11" t="str">
        <f>_xlfn.CONCAT(+VLOOKUP(VALUE(MID(A359,13,2)),'Tabla de codigos'!$A$2:$B$60,2,1)," ",VLOOKUP(VALUE(MID(A359,15,4)),'Tabla de codigos'!$E$2:$F$102,2,1))</f>
        <v>OLLA CONVEXA 16</v>
      </c>
      <c r="D359" s="11" t="s">
        <v>348</v>
      </c>
      <c r="E359" s="11" t="s">
        <v>34</v>
      </c>
      <c r="F359" s="11" t="s">
        <v>349</v>
      </c>
      <c r="G359" s="11" t="s">
        <v>186</v>
      </c>
      <c r="H359" s="11">
        <v>24</v>
      </c>
      <c r="I359" s="11">
        <v>24</v>
      </c>
      <c r="J359" s="16">
        <f t="shared" si="10"/>
        <v>0</v>
      </c>
    </row>
    <row r="360" spans="1:15" x14ac:dyDescent="0.2">
      <c r="A360" s="11" t="s">
        <v>154</v>
      </c>
      <c r="B360" s="11" t="str">
        <f t="shared" si="11"/>
        <v>240029</v>
      </c>
      <c r="C360" s="11" t="str">
        <f>_xlfn.CONCAT(+VLOOKUP(VALUE(MID(A360,13,2)),'Tabla de codigos'!$A$2:$B$60,2,1)," ",VLOOKUP(VALUE(MID(A360,15,4)),'Tabla de codigos'!$E$2:$F$102,2,1))</f>
        <v>OLLA CONVEXA 30</v>
      </c>
      <c r="D360" s="11" t="s">
        <v>348</v>
      </c>
      <c r="E360" s="11" t="s">
        <v>34</v>
      </c>
      <c r="F360" s="11" t="s">
        <v>349</v>
      </c>
      <c r="G360" s="11" t="s">
        <v>186</v>
      </c>
      <c r="H360" s="11">
        <v>4</v>
      </c>
      <c r="I360" s="11">
        <v>4</v>
      </c>
      <c r="J360" s="15">
        <f t="shared" si="10"/>
        <v>0</v>
      </c>
    </row>
    <row r="361" spans="1:15" x14ac:dyDescent="0.2">
      <c r="A361" s="11" t="s">
        <v>258</v>
      </c>
      <c r="B361" s="11" t="str">
        <f t="shared" si="11"/>
        <v>250017</v>
      </c>
      <c r="C361" s="11" t="str">
        <f>_xlfn.CONCAT(+VLOOKUP(VALUE(MID(A361,13,2)),'Tabla de codigos'!$A$2:$B$60,2,1)," ",VLOOKUP(VALUE(MID(A361,15,4)),'Tabla de codigos'!$E$2:$F$102,2,1))</f>
        <v>OLLA RECTA 16</v>
      </c>
      <c r="D361" s="11" t="s">
        <v>348</v>
      </c>
      <c r="E361" s="11" t="s">
        <v>34</v>
      </c>
      <c r="F361" s="11" t="s">
        <v>349</v>
      </c>
      <c r="G361" s="11" t="s">
        <v>186</v>
      </c>
      <c r="H361" s="11">
        <v>12</v>
      </c>
      <c r="I361" s="11">
        <f>12</f>
        <v>12</v>
      </c>
      <c r="J361" s="15">
        <f t="shared" si="10"/>
        <v>0</v>
      </c>
    </row>
    <row r="362" spans="1:15" x14ac:dyDescent="0.2">
      <c r="A362" s="11" t="s">
        <v>260</v>
      </c>
      <c r="B362" s="11" t="str">
        <f t="shared" si="11"/>
        <v>250022</v>
      </c>
      <c r="C362" s="11" t="str">
        <f>_xlfn.CONCAT(+VLOOKUP(VALUE(MID(A362,13,2)),'Tabla de codigos'!$A$2:$B$60,2,1)," ",VLOOKUP(VALUE(MID(A362,15,4)),'Tabla de codigos'!$E$2:$F$102,2,1))</f>
        <v>OLLA RECTA 20</v>
      </c>
      <c r="D362" s="11" t="s">
        <v>348</v>
      </c>
      <c r="E362" s="11" t="s">
        <v>34</v>
      </c>
      <c r="F362" s="11" t="s">
        <v>349</v>
      </c>
      <c r="G362" s="11" t="s">
        <v>186</v>
      </c>
      <c r="H362" s="11">
        <v>12</v>
      </c>
      <c r="I362" s="11">
        <v>12</v>
      </c>
      <c r="J362" s="15">
        <f t="shared" si="10"/>
        <v>0</v>
      </c>
    </row>
    <row r="363" spans="1:15" x14ac:dyDescent="0.2">
      <c r="A363" s="11" t="s">
        <v>237</v>
      </c>
      <c r="B363" s="11" t="str">
        <f t="shared" si="11"/>
        <v>250025</v>
      </c>
      <c r="C363" s="11" t="str">
        <f>_xlfn.CONCAT(+VLOOKUP(VALUE(MID(A363,13,2)),'Tabla de codigos'!$A$2:$B$60,2,1)," ",VLOOKUP(VALUE(MID(A363,15,4)),'Tabla de codigos'!$E$2:$F$102,2,1))</f>
        <v>OLLA RECTA 24</v>
      </c>
      <c r="D363" s="11" t="s">
        <v>348</v>
      </c>
      <c r="E363" s="11" t="s">
        <v>34</v>
      </c>
      <c r="F363" s="11" t="s">
        <v>349</v>
      </c>
      <c r="G363" s="11" t="s">
        <v>186</v>
      </c>
      <c r="H363" s="11">
        <v>6</v>
      </c>
      <c r="I363" s="11">
        <v>0</v>
      </c>
      <c r="J363" s="15">
        <f t="shared" si="10"/>
        <v>6</v>
      </c>
    </row>
    <row r="364" spans="1:15" x14ac:dyDescent="0.2">
      <c r="A364" s="11" t="s">
        <v>44</v>
      </c>
      <c r="B364" s="11" t="str">
        <f t="shared" si="11"/>
        <v>360025</v>
      </c>
      <c r="C364" s="11" t="str">
        <f>_xlfn.CONCAT(+VLOOKUP(VALUE(MID(A364,13,2)),'Tabla de codigos'!$A$2:$B$60,2,1)," ",VLOOKUP(VALUE(MID(A364,15,4)),'Tabla de codigos'!$E$2:$F$102,2,1))</f>
        <v>SARTEN 24</v>
      </c>
      <c r="D364" s="11" t="s">
        <v>348</v>
      </c>
      <c r="E364" s="11" t="s">
        <v>34</v>
      </c>
      <c r="F364" s="11" t="s">
        <v>349</v>
      </c>
      <c r="G364" s="11" t="s">
        <v>186</v>
      </c>
      <c r="H364" s="11">
        <v>12</v>
      </c>
      <c r="I364" s="11">
        <v>0</v>
      </c>
      <c r="J364" s="16">
        <f t="shared" si="10"/>
        <v>12</v>
      </c>
    </row>
    <row r="365" spans="1:15" x14ac:dyDescent="0.2">
      <c r="A365" s="11" t="s">
        <v>83</v>
      </c>
      <c r="B365" s="11" t="str">
        <f t="shared" si="11"/>
        <v>390016</v>
      </c>
      <c r="C365" s="11" t="str">
        <f>_xlfn.CONCAT(+VLOOKUP(VALUE(MID(A365,13,2)),'Tabla de codigos'!$A$2:$B$60,2,1)," ",VLOOKUP(VALUE(MID(A365,15,4)),'Tabla de codigos'!$E$2:$F$102,2,1))</f>
        <v>TAZON  15.5</v>
      </c>
      <c r="D365" s="11" t="s">
        <v>348</v>
      </c>
      <c r="E365" s="11" t="s">
        <v>34</v>
      </c>
      <c r="F365" s="11" t="s">
        <v>349</v>
      </c>
      <c r="G365" s="11" t="s">
        <v>186</v>
      </c>
      <c r="H365" s="11">
        <v>24</v>
      </c>
      <c r="I365" s="11">
        <v>0</v>
      </c>
      <c r="J365" s="15">
        <f t="shared" si="10"/>
        <v>24</v>
      </c>
    </row>
    <row r="366" spans="1:15" x14ac:dyDescent="0.2">
      <c r="A366" s="11" t="s">
        <v>43</v>
      </c>
      <c r="B366" s="11" t="str">
        <f t="shared" si="11"/>
        <v>240024</v>
      </c>
      <c r="C366" s="11" t="str">
        <f>_xlfn.CONCAT(+VLOOKUP(VALUE(MID(A366,13,2)),'Tabla de codigos'!$A$2:$B$60,2,1)," ",VLOOKUP(VALUE(MID(A366,15,4)),'Tabla de codigos'!$E$2:$F$102,2,1))</f>
        <v>OLLA CONVEXA 22</v>
      </c>
      <c r="D366" s="11" t="s">
        <v>348</v>
      </c>
      <c r="E366" s="11" t="s">
        <v>34</v>
      </c>
      <c r="F366" s="11" t="s">
        <v>349</v>
      </c>
      <c r="G366" s="11" t="s">
        <v>186</v>
      </c>
      <c r="H366" s="11">
        <v>6</v>
      </c>
      <c r="I366" s="11">
        <v>6</v>
      </c>
      <c r="J366" s="16">
        <f t="shared" si="10"/>
        <v>0</v>
      </c>
    </row>
    <row r="367" spans="1:15" x14ac:dyDescent="0.2">
      <c r="A367" s="11" t="s">
        <v>241</v>
      </c>
      <c r="B367" s="11" t="str">
        <f t="shared" si="11"/>
        <v>060024</v>
      </c>
      <c r="C367" s="11" t="str">
        <f>_xlfn.CONCAT(+VLOOKUP(VALUE(MID(A367,13,2)),'Tabla de codigos'!$A$2:$B$60,2,1)," ",VLOOKUP(VALUE(MID(A367,15,4)),'Tabla de codigos'!$E$2:$F$102,2,1))</f>
        <v>BUDINERA   22</v>
      </c>
      <c r="D367" s="11" t="s">
        <v>348</v>
      </c>
      <c r="E367" s="11" t="s">
        <v>34</v>
      </c>
      <c r="F367" s="11" t="s">
        <v>349</v>
      </c>
      <c r="G367" s="11" t="s">
        <v>186</v>
      </c>
      <c r="H367" s="11">
        <v>24</v>
      </c>
      <c r="I367" s="11">
        <v>24</v>
      </c>
      <c r="J367" s="16">
        <f t="shared" si="10"/>
        <v>0</v>
      </c>
      <c r="K367" s="17">
        <f>(SUM(I357:I367))/(SUM(H357:H367))</f>
        <v>0.72093023255813948</v>
      </c>
    </row>
    <row r="368" spans="1:15" x14ac:dyDescent="0.2">
      <c r="A368" s="11" t="s">
        <v>255</v>
      </c>
      <c r="B368" s="11" t="str">
        <f t="shared" si="11"/>
        <v>060014</v>
      </c>
      <c r="C368" s="11" t="str">
        <f>_xlfn.CONCAT(+VLOOKUP(VALUE(MID(A368,13,2)),'Tabla de codigos'!$A$2:$B$60,2,1)," ",VLOOKUP(VALUE(MID(A368,15,4)),'Tabla de codigos'!$E$2:$F$102,2,1))</f>
        <v>BUDINERA   12</v>
      </c>
      <c r="D368" s="11" t="s">
        <v>350</v>
      </c>
      <c r="E368" s="11" t="s">
        <v>174</v>
      </c>
      <c r="F368" s="11" t="s">
        <v>351</v>
      </c>
      <c r="G368" s="11" t="s">
        <v>352</v>
      </c>
      <c r="H368" s="11">
        <v>18</v>
      </c>
      <c r="I368" s="11">
        <v>18</v>
      </c>
      <c r="K368" s="18"/>
    </row>
    <row r="369" spans="1:11" x14ac:dyDescent="0.2">
      <c r="A369" s="11" t="s">
        <v>189</v>
      </c>
      <c r="B369" s="11" t="str">
        <f t="shared" si="11"/>
        <v>060017</v>
      </c>
      <c r="C369" s="11" t="str">
        <f>_xlfn.CONCAT(+VLOOKUP(VALUE(MID(A369,13,2)),'Tabla de codigos'!$A$2:$B$60,2,1)," ",VLOOKUP(VALUE(MID(A369,15,4)),'Tabla de codigos'!$E$2:$F$102,2,1))</f>
        <v>BUDINERA   16</v>
      </c>
      <c r="D369" s="11" t="s">
        <v>350</v>
      </c>
      <c r="E369" s="11" t="s">
        <v>174</v>
      </c>
      <c r="F369" s="11" t="s">
        <v>351</v>
      </c>
      <c r="G369" s="11" t="s">
        <v>352</v>
      </c>
      <c r="H369" s="11">
        <v>18</v>
      </c>
      <c r="I369" s="11">
        <v>7</v>
      </c>
      <c r="J369" s="16">
        <f t="shared" ref="J369:J378" si="12">+H369-I369</f>
        <v>11</v>
      </c>
      <c r="K369" s="18"/>
    </row>
    <row r="370" spans="1:11" x14ac:dyDescent="0.2">
      <c r="A370" s="11" t="s">
        <v>241</v>
      </c>
      <c r="B370" s="11" t="str">
        <f t="shared" si="11"/>
        <v>060024</v>
      </c>
      <c r="C370" s="11" t="str">
        <f>_xlfn.CONCAT(+VLOOKUP(VALUE(MID(A370,13,2)),'Tabla de codigos'!$A$2:$B$60,2,1)," ",VLOOKUP(VALUE(MID(A370,15,4)),'Tabla de codigos'!$E$2:$F$102,2,1))</f>
        <v>BUDINERA   22</v>
      </c>
      <c r="D370" s="11" t="s">
        <v>350</v>
      </c>
      <c r="E370" s="11" t="s">
        <v>174</v>
      </c>
      <c r="F370" s="11" t="s">
        <v>351</v>
      </c>
      <c r="G370" s="11" t="s">
        <v>352</v>
      </c>
      <c r="H370" s="11">
        <v>12</v>
      </c>
      <c r="I370" s="11">
        <v>12</v>
      </c>
      <c r="J370" s="16">
        <f t="shared" si="12"/>
        <v>0</v>
      </c>
      <c r="K370" s="18"/>
    </row>
    <row r="371" spans="1:11" x14ac:dyDescent="0.2">
      <c r="A371" s="11" t="s">
        <v>148</v>
      </c>
      <c r="B371" s="11" t="str">
        <f t="shared" si="11"/>
        <v>060026</v>
      </c>
      <c r="C371" s="11" t="str">
        <f>_xlfn.CONCAT(+VLOOKUP(VALUE(MID(A371,13,2)),'Tabla de codigos'!$A$2:$B$60,2,1)," ",VLOOKUP(VALUE(MID(A371,15,4)),'Tabla de codigos'!$E$2:$F$102,2,1))</f>
        <v>BUDINERA   26</v>
      </c>
      <c r="D371" s="11" t="s">
        <v>350</v>
      </c>
      <c r="E371" s="11" t="s">
        <v>174</v>
      </c>
      <c r="F371" s="11" t="s">
        <v>351</v>
      </c>
      <c r="G371" s="11" t="s">
        <v>352</v>
      </c>
      <c r="H371" s="11">
        <v>12</v>
      </c>
      <c r="I371" s="11">
        <v>12</v>
      </c>
      <c r="J371" s="16">
        <f t="shared" si="12"/>
        <v>0</v>
      </c>
      <c r="K371" s="18"/>
    </row>
    <row r="372" spans="1:11" x14ac:dyDescent="0.2">
      <c r="A372" s="11" t="s">
        <v>169</v>
      </c>
      <c r="B372" s="11" t="str">
        <f t="shared" si="11"/>
        <v>060029</v>
      </c>
      <c r="C372" s="11" t="str">
        <f>_xlfn.CONCAT(+VLOOKUP(VALUE(MID(A372,13,2)),'Tabla de codigos'!$A$2:$B$60,2,1)," ",VLOOKUP(VALUE(MID(A372,15,4)),'Tabla de codigos'!$E$2:$F$102,2,1))</f>
        <v>BUDINERA   30</v>
      </c>
      <c r="D372" s="11" t="s">
        <v>350</v>
      </c>
      <c r="E372" s="11" t="s">
        <v>174</v>
      </c>
      <c r="F372" s="11" t="s">
        <v>351</v>
      </c>
      <c r="G372" s="11" t="s">
        <v>352</v>
      </c>
      <c r="H372" s="11">
        <v>12</v>
      </c>
      <c r="I372" s="11">
        <v>12</v>
      </c>
      <c r="J372" s="15">
        <f t="shared" si="12"/>
        <v>0</v>
      </c>
      <c r="K372" s="18"/>
    </row>
    <row r="373" spans="1:11" x14ac:dyDescent="0.2">
      <c r="A373" s="11" t="s">
        <v>173</v>
      </c>
      <c r="B373" s="11" t="str">
        <f t="shared" si="11"/>
        <v>060031</v>
      </c>
      <c r="C373" s="11" t="str">
        <f>_xlfn.CONCAT(+VLOOKUP(VALUE(MID(A373,13,2)),'Tabla de codigos'!$A$2:$B$60,2,1)," ",VLOOKUP(VALUE(MID(A373,15,4)),'Tabla de codigos'!$E$2:$F$102,2,1))</f>
        <v>BUDINERA   34</v>
      </c>
      <c r="D373" s="11" t="s">
        <v>350</v>
      </c>
      <c r="E373" s="11" t="s">
        <v>174</v>
      </c>
      <c r="F373" s="11" t="s">
        <v>351</v>
      </c>
      <c r="G373" s="11" t="s">
        <v>352</v>
      </c>
      <c r="H373" s="11">
        <v>12</v>
      </c>
      <c r="I373" s="11">
        <v>12</v>
      </c>
      <c r="J373" s="15">
        <f t="shared" si="12"/>
        <v>0</v>
      </c>
      <c r="K373" s="18"/>
    </row>
    <row r="374" spans="1:11" x14ac:dyDescent="0.2">
      <c r="A374" s="11" t="s">
        <v>38</v>
      </c>
      <c r="B374" s="11" t="str">
        <f t="shared" si="11"/>
        <v>060033</v>
      </c>
      <c r="C374" s="11" t="str">
        <f>_xlfn.CONCAT(+VLOOKUP(VALUE(MID(A374,13,2)),'Tabla de codigos'!$A$2:$B$60,2,1)," ",VLOOKUP(VALUE(MID(A374,15,4)),'Tabla de codigos'!$E$2:$F$102,2,1))</f>
        <v>BUDINERA   42</v>
      </c>
      <c r="D374" s="11" t="s">
        <v>350</v>
      </c>
      <c r="E374" s="11" t="s">
        <v>174</v>
      </c>
      <c r="F374" s="11" t="s">
        <v>351</v>
      </c>
      <c r="G374" s="11" t="s">
        <v>352</v>
      </c>
      <c r="H374" s="11">
        <v>2</v>
      </c>
      <c r="I374" s="11">
        <v>0</v>
      </c>
      <c r="J374" s="16">
        <f t="shared" si="12"/>
        <v>2</v>
      </c>
      <c r="K374" s="18"/>
    </row>
    <row r="375" spans="1:11" x14ac:dyDescent="0.2">
      <c r="A375" s="11" t="s">
        <v>218</v>
      </c>
      <c r="B375" s="11" t="str">
        <f t="shared" si="11"/>
        <v>070015</v>
      </c>
      <c r="C375" s="11" t="str">
        <f>_xlfn.CONCAT(+VLOOKUP(VALUE(MID(A375,13,2)),'Tabla de codigos'!$A$2:$B$60,2,1)," ",VLOOKUP(VALUE(MID(A375,15,4)),'Tabla de codigos'!$E$2:$F$102,2,1))</f>
        <v>CAZO 14</v>
      </c>
      <c r="D375" s="11" t="s">
        <v>350</v>
      </c>
      <c r="E375" s="11" t="s">
        <v>174</v>
      </c>
      <c r="F375" s="11" t="s">
        <v>351</v>
      </c>
      <c r="G375" s="11" t="s">
        <v>352</v>
      </c>
      <c r="H375" s="11">
        <v>12</v>
      </c>
      <c r="I375" s="11">
        <f>10+2</f>
        <v>12</v>
      </c>
      <c r="J375" s="16">
        <f t="shared" si="12"/>
        <v>0</v>
      </c>
      <c r="K375" s="18"/>
    </row>
    <row r="376" spans="1:11" x14ac:dyDescent="0.2">
      <c r="A376" s="11" t="s">
        <v>219</v>
      </c>
      <c r="B376" s="11" t="str">
        <f t="shared" si="11"/>
        <v>070017</v>
      </c>
      <c r="C376" s="11" t="str">
        <f>_xlfn.CONCAT(+VLOOKUP(VALUE(MID(A376,13,2)),'Tabla de codigos'!$A$2:$B$60,2,1)," ",VLOOKUP(VALUE(MID(A376,15,4)),'Tabla de codigos'!$E$2:$F$102,2,1))</f>
        <v>CAZO 16</v>
      </c>
      <c r="D376" s="11" t="s">
        <v>350</v>
      </c>
      <c r="E376" s="11" t="s">
        <v>174</v>
      </c>
      <c r="F376" s="11" t="s">
        <v>351</v>
      </c>
      <c r="G376" s="11" t="s">
        <v>352</v>
      </c>
      <c r="H376" s="11">
        <v>12</v>
      </c>
      <c r="I376" s="11">
        <v>12</v>
      </c>
      <c r="J376" s="15">
        <f t="shared" si="12"/>
        <v>0</v>
      </c>
      <c r="K376" s="18"/>
    </row>
    <row r="377" spans="1:11" x14ac:dyDescent="0.2">
      <c r="A377" s="11" t="s">
        <v>242</v>
      </c>
      <c r="B377" s="11" t="str">
        <f t="shared" si="11"/>
        <v>100024</v>
      </c>
      <c r="C377" s="11" t="str">
        <f>_xlfn.CONCAT(+VLOOKUP(VALUE(MID(A377,13,2)),'Tabla de codigos'!$A$2:$B$60,2,1)," ",VLOOKUP(VALUE(MID(A377,15,4)),'Tabla de codigos'!$E$2:$F$102,2,1))</f>
        <v>COMAL 22</v>
      </c>
      <c r="D377" s="11" t="s">
        <v>350</v>
      </c>
      <c r="E377" s="11" t="s">
        <v>174</v>
      </c>
      <c r="F377" s="11" t="s">
        <v>351</v>
      </c>
      <c r="G377" s="11" t="s">
        <v>352</v>
      </c>
      <c r="H377" s="11">
        <v>48</v>
      </c>
      <c r="I377" s="11">
        <v>48</v>
      </c>
      <c r="J377" s="15">
        <f t="shared" si="12"/>
        <v>0</v>
      </c>
      <c r="K377" s="18"/>
    </row>
    <row r="378" spans="1:11" x14ac:dyDescent="0.2">
      <c r="A378" s="11" t="s">
        <v>149</v>
      </c>
      <c r="B378" s="11" t="str">
        <f t="shared" si="11"/>
        <v>100028</v>
      </c>
      <c r="C378" s="11" t="str">
        <f>_xlfn.CONCAT(+VLOOKUP(VALUE(MID(A378,13,2)),'Tabla de codigos'!$A$2:$B$60,2,1)," ",VLOOKUP(VALUE(MID(A378,15,4)),'Tabla de codigos'!$E$2:$F$102,2,1))</f>
        <v>COMAL 28</v>
      </c>
      <c r="D378" s="11" t="s">
        <v>350</v>
      </c>
      <c r="E378" s="11" t="s">
        <v>174</v>
      </c>
      <c r="F378" s="11" t="s">
        <v>351</v>
      </c>
      <c r="G378" s="11" t="s">
        <v>352</v>
      </c>
      <c r="H378" s="11">
        <v>60</v>
      </c>
      <c r="I378" s="11">
        <v>60</v>
      </c>
      <c r="J378" s="16">
        <f t="shared" si="12"/>
        <v>0</v>
      </c>
      <c r="K378" s="18"/>
    </row>
    <row r="379" spans="1:11" x14ac:dyDescent="0.2">
      <c r="A379" s="11" t="s">
        <v>344</v>
      </c>
      <c r="B379" s="11" t="str">
        <f t="shared" si="11"/>
        <v>100032</v>
      </c>
      <c r="C379" s="11" t="str">
        <f>_xlfn.CONCAT(+VLOOKUP(VALUE(MID(A379,13,2)),'Tabla de codigos'!$A$2:$B$60,2,1)," ",VLOOKUP(VALUE(MID(A379,15,4)),'Tabla de codigos'!$E$2:$F$102,2,1))</f>
        <v>COMAL 36</v>
      </c>
      <c r="D379" s="11" t="s">
        <v>350</v>
      </c>
      <c r="E379" s="11" t="s">
        <v>174</v>
      </c>
      <c r="F379" s="11" t="s">
        <v>351</v>
      </c>
      <c r="G379" s="11" t="s">
        <v>352</v>
      </c>
      <c r="H379" s="11">
        <v>24</v>
      </c>
      <c r="I379" s="11">
        <v>0</v>
      </c>
      <c r="K379" s="18"/>
    </row>
    <row r="380" spans="1:11" x14ac:dyDescent="0.2">
      <c r="A380" s="11" t="s">
        <v>187</v>
      </c>
      <c r="B380" s="11" t="str">
        <f t="shared" si="11"/>
        <v>240014</v>
      </c>
      <c r="C380" s="11" t="str">
        <f>_xlfn.CONCAT(+VLOOKUP(VALUE(MID(A380,13,2)),'Tabla de codigos'!$A$2:$B$60,2,1)," ",VLOOKUP(VALUE(MID(A380,15,4)),'Tabla de codigos'!$E$2:$F$102,2,1))</f>
        <v>OLLA CONVEXA 12</v>
      </c>
      <c r="D380" s="11" t="s">
        <v>350</v>
      </c>
      <c r="E380" s="11" t="s">
        <v>174</v>
      </c>
      <c r="F380" s="11" t="s">
        <v>351</v>
      </c>
      <c r="G380" s="11" t="s">
        <v>352</v>
      </c>
      <c r="H380" s="11">
        <v>18</v>
      </c>
      <c r="I380" s="11">
        <v>0</v>
      </c>
      <c r="J380" s="16">
        <f>+H380-I380</f>
        <v>18</v>
      </c>
      <c r="K380" s="18"/>
    </row>
    <row r="381" spans="1:11" x14ac:dyDescent="0.2">
      <c r="A381" s="11" t="s">
        <v>220</v>
      </c>
      <c r="B381" s="11" t="str">
        <f t="shared" si="11"/>
        <v>240017</v>
      </c>
      <c r="C381" s="11" t="str">
        <f>_xlfn.CONCAT(+VLOOKUP(VALUE(MID(A381,13,2)),'Tabla de codigos'!$A$2:$B$60,2,1)," ",VLOOKUP(VALUE(MID(A381,15,4)),'Tabla de codigos'!$E$2:$F$102,2,1))</f>
        <v>OLLA CONVEXA 16</v>
      </c>
      <c r="D381" s="11" t="s">
        <v>350</v>
      </c>
      <c r="E381" s="11" t="s">
        <v>174</v>
      </c>
      <c r="F381" s="11" t="s">
        <v>351</v>
      </c>
      <c r="G381" s="11" t="s">
        <v>352</v>
      </c>
      <c r="H381" s="11">
        <v>12</v>
      </c>
      <c r="I381" s="11">
        <v>12</v>
      </c>
      <c r="J381" s="16">
        <f>+H381-I381</f>
        <v>0</v>
      </c>
      <c r="K381" s="18"/>
    </row>
    <row r="382" spans="1:11" x14ac:dyDescent="0.2">
      <c r="A382" s="11" t="s">
        <v>151</v>
      </c>
      <c r="B382" s="11" t="str">
        <f t="shared" si="11"/>
        <v>240022</v>
      </c>
      <c r="C382" s="11" t="str">
        <f>_xlfn.CONCAT(+VLOOKUP(VALUE(MID(A382,13,2)),'Tabla de codigos'!$A$2:$B$60,2,1)," ",VLOOKUP(VALUE(MID(A382,15,4)),'Tabla de codigos'!$E$2:$F$102,2,1))</f>
        <v>OLLA CONVEXA 20</v>
      </c>
      <c r="D382" s="11" t="s">
        <v>350</v>
      </c>
      <c r="E382" s="11" t="s">
        <v>174</v>
      </c>
      <c r="F382" s="11" t="s">
        <v>351</v>
      </c>
      <c r="G382" s="11" t="s">
        <v>352</v>
      </c>
      <c r="H382" s="11">
        <v>12</v>
      </c>
      <c r="I382" s="11">
        <v>0</v>
      </c>
      <c r="J382" s="16">
        <f>+H382-I382</f>
        <v>12</v>
      </c>
      <c r="K382" s="18"/>
    </row>
    <row r="383" spans="1:11" x14ac:dyDescent="0.2">
      <c r="A383" s="11" t="s">
        <v>43</v>
      </c>
      <c r="B383" s="11" t="str">
        <f t="shared" si="11"/>
        <v>240024</v>
      </c>
      <c r="C383" s="11" t="str">
        <f>_xlfn.CONCAT(+VLOOKUP(VALUE(MID(A383,13,2)),'Tabla de codigos'!$A$2:$B$60,2,1)," ",VLOOKUP(VALUE(MID(A383,15,4)),'Tabla de codigos'!$E$2:$F$102,2,1))</f>
        <v>OLLA CONVEXA 22</v>
      </c>
      <c r="D383" s="11" t="s">
        <v>350</v>
      </c>
      <c r="E383" s="11" t="s">
        <v>174</v>
      </c>
      <c r="F383" s="11" t="s">
        <v>351</v>
      </c>
      <c r="G383" s="11" t="s">
        <v>352</v>
      </c>
      <c r="H383" s="11">
        <v>6</v>
      </c>
      <c r="I383" s="11">
        <v>6</v>
      </c>
      <c r="J383" s="16">
        <f>+H383-I383</f>
        <v>0</v>
      </c>
      <c r="K383" s="18"/>
    </row>
    <row r="384" spans="1:11" x14ac:dyDescent="0.2">
      <c r="A384" s="11" t="s">
        <v>153</v>
      </c>
      <c r="B384" s="11" t="str">
        <f t="shared" si="11"/>
        <v>240026</v>
      </c>
      <c r="C384" s="11" t="str">
        <f>_xlfn.CONCAT(+VLOOKUP(VALUE(MID(A384,13,2)),'Tabla de codigos'!$A$2:$B$60,2,1)," ",VLOOKUP(VALUE(MID(A384,15,4)),'Tabla de codigos'!$E$2:$F$102,2,1))</f>
        <v>OLLA CONVEXA 26</v>
      </c>
      <c r="D384" s="11" t="s">
        <v>350</v>
      </c>
      <c r="E384" s="11" t="s">
        <v>174</v>
      </c>
      <c r="F384" s="11" t="s">
        <v>351</v>
      </c>
      <c r="G384" s="11" t="s">
        <v>352</v>
      </c>
      <c r="H384" s="11">
        <v>6</v>
      </c>
      <c r="I384" s="11">
        <v>6</v>
      </c>
      <c r="J384" s="16">
        <f>+H384-I384</f>
        <v>0</v>
      </c>
      <c r="K384" s="18"/>
    </row>
    <row r="385" spans="1:11" x14ac:dyDescent="0.2">
      <c r="A385" s="11" t="s">
        <v>154</v>
      </c>
      <c r="B385" s="11" t="str">
        <f t="shared" si="11"/>
        <v>240029</v>
      </c>
      <c r="C385" s="11" t="str">
        <f>_xlfn.CONCAT(+VLOOKUP(VALUE(MID(A385,13,2)),'Tabla de codigos'!$A$2:$B$60,2,1)," ",VLOOKUP(VALUE(MID(A385,15,4)),'Tabla de codigos'!$E$2:$F$102,2,1))</f>
        <v>OLLA CONVEXA 30</v>
      </c>
      <c r="D385" s="11" t="s">
        <v>350</v>
      </c>
      <c r="E385" s="11" t="s">
        <v>174</v>
      </c>
      <c r="F385" s="11" t="s">
        <v>351</v>
      </c>
      <c r="G385" s="11" t="s">
        <v>352</v>
      </c>
      <c r="H385" s="11">
        <v>4</v>
      </c>
      <c r="I385" s="11">
        <v>4</v>
      </c>
      <c r="K385" s="18"/>
    </row>
    <row r="386" spans="1:11" x14ac:dyDescent="0.2">
      <c r="A386" s="11" t="s">
        <v>257</v>
      </c>
      <c r="B386" s="11" t="str">
        <f t="shared" si="11"/>
        <v>250015</v>
      </c>
      <c r="C386" s="11" t="str">
        <f>_xlfn.CONCAT(+VLOOKUP(VALUE(MID(A386,13,2)),'Tabla de codigos'!$A$2:$B$60,2,1)," ",VLOOKUP(VALUE(MID(A386,15,4)),'Tabla de codigos'!$E$2:$F$102,2,1))</f>
        <v>OLLA RECTA 14</v>
      </c>
      <c r="D386" s="11" t="s">
        <v>350</v>
      </c>
      <c r="E386" s="11" t="s">
        <v>174</v>
      </c>
      <c r="F386" s="11" t="s">
        <v>351</v>
      </c>
      <c r="G386" s="11" t="s">
        <v>352</v>
      </c>
      <c r="H386" s="11">
        <v>18</v>
      </c>
      <c r="I386" s="11">
        <v>17</v>
      </c>
      <c r="J386" s="16">
        <f>+H386-I386</f>
        <v>1</v>
      </c>
      <c r="K386" s="18"/>
    </row>
    <row r="387" spans="1:11" x14ac:dyDescent="0.2">
      <c r="A387" s="11" t="s">
        <v>259</v>
      </c>
      <c r="B387" s="11" t="str">
        <f t="shared" ref="B387:B450" si="13">+MID(A387,13,6)</f>
        <v>250021</v>
      </c>
      <c r="C387" s="11" t="str">
        <f>_xlfn.CONCAT(+VLOOKUP(VALUE(MID(A387,13,2)),'Tabla de codigos'!$A$2:$B$60,2,1)," ",VLOOKUP(VALUE(MID(A387,15,4)),'Tabla de codigos'!$E$2:$F$102,2,1))</f>
        <v>OLLA RECTA 18</v>
      </c>
      <c r="D387" s="11" t="s">
        <v>350</v>
      </c>
      <c r="E387" s="11" t="s">
        <v>174</v>
      </c>
      <c r="F387" s="11" t="s">
        <v>351</v>
      </c>
      <c r="G387" s="11" t="s">
        <v>352</v>
      </c>
      <c r="H387" s="11">
        <v>12</v>
      </c>
      <c r="I387" s="11">
        <v>12</v>
      </c>
      <c r="J387" s="15">
        <f>+H387-I387</f>
        <v>0</v>
      </c>
      <c r="K387" s="18"/>
    </row>
    <row r="388" spans="1:11" x14ac:dyDescent="0.2">
      <c r="A388" s="11" t="s">
        <v>236</v>
      </c>
      <c r="B388" s="11" t="str">
        <f t="shared" si="13"/>
        <v>250024</v>
      </c>
      <c r="C388" s="11" t="str">
        <f>_xlfn.CONCAT(+VLOOKUP(VALUE(MID(A388,13,2)),'Tabla de codigos'!$A$2:$B$60,2,1)," ",VLOOKUP(VALUE(MID(A388,15,4)),'Tabla de codigos'!$E$2:$F$102,2,1))</f>
        <v>OLLA RECTA 22</v>
      </c>
      <c r="D388" s="11" t="s">
        <v>350</v>
      </c>
      <c r="E388" s="11" t="s">
        <v>174</v>
      </c>
      <c r="F388" s="11" t="s">
        <v>351</v>
      </c>
      <c r="G388" s="11" t="s">
        <v>352</v>
      </c>
      <c r="H388" s="11">
        <v>6</v>
      </c>
      <c r="I388" s="11">
        <v>6</v>
      </c>
      <c r="J388" s="16">
        <f>+H388-I388</f>
        <v>0</v>
      </c>
      <c r="K388" s="18"/>
    </row>
    <row r="389" spans="1:11" x14ac:dyDescent="0.2">
      <c r="A389" s="11" t="s">
        <v>155</v>
      </c>
      <c r="B389" s="11" t="str">
        <f t="shared" si="13"/>
        <v>250029</v>
      </c>
      <c r="C389" s="11" t="str">
        <f>_xlfn.CONCAT(+VLOOKUP(VALUE(MID(A389,13,2)),'Tabla de codigos'!$A$2:$B$60,2,1)," ",VLOOKUP(VALUE(MID(A389,15,4)),'Tabla de codigos'!$E$2:$F$102,2,1))</f>
        <v>OLLA RECTA 30</v>
      </c>
      <c r="D389" s="11" t="s">
        <v>350</v>
      </c>
      <c r="E389" s="11" t="s">
        <v>174</v>
      </c>
      <c r="F389" s="11" t="s">
        <v>351</v>
      </c>
      <c r="G389" s="11" t="s">
        <v>352</v>
      </c>
      <c r="H389" s="11">
        <v>6</v>
      </c>
      <c r="I389" s="11">
        <v>2</v>
      </c>
      <c r="J389" s="15">
        <f>+H389-I389</f>
        <v>4</v>
      </c>
      <c r="K389" s="18"/>
    </row>
    <row r="390" spans="1:11" x14ac:dyDescent="0.2">
      <c r="A390" s="11" t="s">
        <v>156</v>
      </c>
      <c r="B390" s="11" t="str">
        <f t="shared" si="13"/>
        <v>250031</v>
      </c>
      <c r="C390" s="11" t="str">
        <f>_xlfn.CONCAT(+VLOOKUP(VALUE(MID(A390,13,2)),'Tabla de codigos'!$A$2:$B$60,2,1)," ",VLOOKUP(VALUE(MID(A390,15,4)),'Tabla de codigos'!$E$2:$F$102,2,1))</f>
        <v>OLLA RECTA 34</v>
      </c>
      <c r="D390" s="11" t="s">
        <v>350</v>
      </c>
      <c r="E390" s="11" t="s">
        <v>174</v>
      </c>
      <c r="F390" s="11" t="s">
        <v>351</v>
      </c>
      <c r="G390" s="11" t="s">
        <v>352</v>
      </c>
      <c r="H390" s="11">
        <v>4</v>
      </c>
      <c r="I390" s="11">
        <v>0</v>
      </c>
      <c r="K390" s="18"/>
    </row>
    <row r="391" spans="1:11" x14ac:dyDescent="0.2">
      <c r="A391" s="11" t="s">
        <v>157</v>
      </c>
      <c r="B391" s="11" t="str">
        <f t="shared" si="13"/>
        <v>250033</v>
      </c>
      <c r="C391" s="11" t="str">
        <f>_xlfn.CONCAT(+VLOOKUP(VALUE(MID(A391,13,2)),'Tabla de codigos'!$A$2:$B$60,2,1)," ",VLOOKUP(VALUE(MID(A391,15,4)),'Tabla de codigos'!$E$2:$F$102,2,1))</f>
        <v>OLLA RECTA 42</v>
      </c>
      <c r="D391" s="11" t="s">
        <v>350</v>
      </c>
      <c r="E391" s="11" t="s">
        <v>174</v>
      </c>
      <c r="F391" s="11" t="s">
        <v>351</v>
      </c>
      <c r="G391" s="11" t="s">
        <v>352</v>
      </c>
      <c r="H391" s="11">
        <v>4</v>
      </c>
      <c r="I391" s="11">
        <v>4</v>
      </c>
      <c r="J391" s="16">
        <f t="shared" ref="J391:J454" si="14">+H391-I391</f>
        <v>0</v>
      </c>
      <c r="K391" s="18"/>
    </row>
    <row r="392" spans="1:11" x14ac:dyDescent="0.2">
      <c r="A392" s="11" t="s">
        <v>66</v>
      </c>
      <c r="B392" s="11" t="str">
        <f t="shared" si="13"/>
        <v>260022</v>
      </c>
      <c r="C392" s="11" t="str">
        <f>_xlfn.CONCAT(+VLOOKUP(VALUE(MID(A392,13,2)),'Tabla de codigos'!$A$2:$B$60,2,1)," ",VLOOKUP(VALUE(MID(A392,15,4)),'Tabla de codigos'!$E$2:$F$102,2,1))</f>
        <v>PLATO AVENERO 20</v>
      </c>
      <c r="D392" s="11" t="s">
        <v>350</v>
      </c>
      <c r="E392" s="11" t="s">
        <v>174</v>
      </c>
      <c r="F392" s="11" t="s">
        <v>351</v>
      </c>
      <c r="G392" s="11" t="s">
        <v>352</v>
      </c>
      <c r="H392" s="11">
        <v>72</v>
      </c>
      <c r="I392" s="11">
        <f>7+8+11+46</f>
        <v>72</v>
      </c>
      <c r="J392" s="15">
        <f t="shared" si="14"/>
        <v>0</v>
      </c>
      <c r="K392" s="18"/>
    </row>
    <row r="393" spans="1:11" x14ac:dyDescent="0.2">
      <c r="A393" s="11" t="s">
        <v>283</v>
      </c>
      <c r="B393" s="11" t="str">
        <f t="shared" si="13"/>
        <v>260022</v>
      </c>
      <c r="C393" s="11" t="str">
        <f>_xlfn.CONCAT(+VLOOKUP(VALUE(MID(A393,13,2)),'Tabla de codigos'!$A$2:$B$60,2,1)," ",VLOOKUP(VALUE(MID(A393,15,4)),'Tabla de codigos'!$E$2:$F$102,2,1))</f>
        <v>PLATO AVENERO 20</v>
      </c>
      <c r="D393" s="11" t="s">
        <v>350</v>
      </c>
      <c r="E393" s="11" t="s">
        <v>174</v>
      </c>
      <c r="F393" s="11" t="s">
        <v>351</v>
      </c>
      <c r="G393" s="11" t="s">
        <v>352</v>
      </c>
      <c r="H393" s="11">
        <v>72</v>
      </c>
      <c r="I393" s="11">
        <f>24+48</f>
        <v>72</v>
      </c>
      <c r="J393" s="16">
        <f t="shared" si="14"/>
        <v>0</v>
      </c>
      <c r="K393" s="18"/>
    </row>
    <row r="394" spans="1:11" x14ac:dyDescent="0.2">
      <c r="A394" s="11" t="s">
        <v>226</v>
      </c>
      <c r="B394" s="11" t="str">
        <f t="shared" si="13"/>
        <v>330013</v>
      </c>
      <c r="C394" s="11" t="str">
        <f>_xlfn.CONCAT(+VLOOKUP(VALUE(MID(A394,13,2)),'Tabla de codigos'!$A$2:$B$60,2,1)," ",VLOOKUP(VALUE(MID(A394,15,4)),'Tabla de codigos'!$E$2:$F$102,2,1))</f>
        <v>POCILLO 10</v>
      </c>
      <c r="D394" s="11" t="s">
        <v>350</v>
      </c>
      <c r="E394" s="11" t="s">
        <v>174</v>
      </c>
      <c r="F394" s="11" t="s">
        <v>351</v>
      </c>
      <c r="G394" s="11" t="s">
        <v>352</v>
      </c>
      <c r="H394" s="11">
        <v>24</v>
      </c>
      <c r="I394" s="11">
        <v>24</v>
      </c>
      <c r="J394" s="16">
        <f t="shared" si="14"/>
        <v>0</v>
      </c>
      <c r="K394" s="18"/>
    </row>
    <row r="395" spans="1:11" x14ac:dyDescent="0.2">
      <c r="A395" s="11" t="s">
        <v>180</v>
      </c>
      <c r="B395" s="11" t="str">
        <f t="shared" si="13"/>
        <v>330014</v>
      </c>
      <c r="C395" s="11" t="str">
        <f>_xlfn.CONCAT(+VLOOKUP(VALUE(MID(A395,13,2)),'Tabla de codigos'!$A$2:$B$60,2,1)," ",VLOOKUP(VALUE(MID(A395,15,4)),'Tabla de codigos'!$E$2:$F$102,2,1))</f>
        <v>POCILLO 12</v>
      </c>
      <c r="D395" s="11" t="s">
        <v>350</v>
      </c>
      <c r="E395" s="11" t="s">
        <v>174</v>
      </c>
      <c r="F395" s="11" t="s">
        <v>351</v>
      </c>
      <c r="G395" s="11" t="s">
        <v>352</v>
      </c>
      <c r="H395" s="11">
        <v>12</v>
      </c>
      <c r="I395" s="11">
        <v>0</v>
      </c>
      <c r="J395" s="16">
        <f t="shared" si="14"/>
        <v>12</v>
      </c>
      <c r="K395" s="18"/>
    </row>
    <row r="396" spans="1:11" x14ac:dyDescent="0.2">
      <c r="A396" s="11" t="s">
        <v>182</v>
      </c>
      <c r="B396" s="11" t="str">
        <f t="shared" si="13"/>
        <v>330015</v>
      </c>
      <c r="C396" s="11" t="str">
        <f>_xlfn.CONCAT(+VLOOKUP(VALUE(MID(A396,13,2)),'Tabla de codigos'!$A$2:$B$60,2,1)," ",VLOOKUP(VALUE(MID(A396,15,4)),'Tabla de codigos'!$E$2:$F$102,2,1))</f>
        <v>POCILLO 14</v>
      </c>
      <c r="D396" s="11" t="s">
        <v>350</v>
      </c>
      <c r="E396" s="11" t="s">
        <v>174</v>
      </c>
      <c r="F396" s="11" t="s">
        <v>351</v>
      </c>
      <c r="G396" s="11" t="s">
        <v>352</v>
      </c>
      <c r="H396" s="11">
        <v>18</v>
      </c>
      <c r="I396" s="11">
        <v>18</v>
      </c>
      <c r="J396" s="16">
        <f t="shared" si="14"/>
        <v>0</v>
      </c>
      <c r="K396" s="18"/>
    </row>
    <row r="397" spans="1:11" x14ac:dyDescent="0.2">
      <c r="A397" s="11" t="s">
        <v>129</v>
      </c>
      <c r="B397" s="11" t="str">
        <f t="shared" si="13"/>
        <v>330015</v>
      </c>
      <c r="C397" s="11" t="str">
        <f>_xlfn.CONCAT(+VLOOKUP(VALUE(MID(A397,13,2)),'Tabla de codigos'!$A$2:$B$60,2,1)," ",VLOOKUP(VALUE(MID(A397,15,4)),'Tabla de codigos'!$E$2:$F$102,2,1))</f>
        <v>POCILLO 14</v>
      </c>
      <c r="D397" s="11" t="s">
        <v>350</v>
      </c>
      <c r="E397" s="11" t="s">
        <v>174</v>
      </c>
      <c r="F397" s="11" t="s">
        <v>351</v>
      </c>
      <c r="G397" s="11" t="s">
        <v>352</v>
      </c>
      <c r="H397" s="11">
        <v>12</v>
      </c>
      <c r="I397" s="11">
        <v>0</v>
      </c>
      <c r="J397" s="16">
        <f t="shared" si="14"/>
        <v>12</v>
      </c>
      <c r="K397" s="18"/>
    </row>
    <row r="398" spans="1:11" x14ac:dyDescent="0.2">
      <c r="A398" s="11" t="s">
        <v>130</v>
      </c>
      <c r="B398" s="11" t="str">
        <f t="shared" si="13"/>
        <v>330015</v>
      </c>
      <c r="C398" s="11" t="str">
        <f>_xlfn.CONCAT(+VLOOKUP(VALUE(MID(A398,13,2)),'Tabla de codigos'!$A$2:$B$60,2,1)," ",VLOOKUP(VALUE(MID(A398,15,4)),'Tabla de codigos'!$E$2:$F$102,2,1))</f>
        <v>POCILLO 14</v>
      </c>
      <c r="D398" s="11" t="s">
        <v>350</v>
      </c>
      <c r="E398" s="11" t="s">
        <v>174</v>
      </c>
      <c r="F398" s="11" t="s">
        <v>351</v>
      </c>
      <c r="G398" s="11" t="s">
        <v>352</v>
      </c>
      <c r="H398" s="11">
        <v>12</v>
      </c>
      <c r="I398" s="11">
        <v>0</v>
      </c>
      <c r="J398" s="16">
        <f t="shared" si="14"/>
        <v>12</v>
      </c>
      <c r="K398" s="18"/>
    </row>
    <row r="399" spans="1:11" x14ac:dyDescent="0.2">
      <c r="A399" s="11" t="s">
        <v>44</v>
      </c>
      <c r="B399" s="11" t="str">
        <f t="shared" si="13"/>
        <v>360025</v>
      </c>
      <c r="C399" s="11" t="str">
        <f>_xlfn.CONCAT(+VLOOKUP(VALUE(MID(A399,13,2)),'Tabla de codigos'!$A$2:$B$60,2,1)," ",VLOOKUP(VALUE(MID(A399,15,4)),'Tabla de codigos'!$E$2:$F$102,2,1))</f>
        <v>SARTEN 24</v>
      </c>
      <c r="D399" s="11" t="s">
        <v>350</v>
      </c>
      <c r="E399" s="11" t="s">
        <v>174</v>
      </c>
      <c r="F399" s="11" t="s">
        <v>351</v>
      </c>
      <c r="G399" s="11" t="s">
        <v>352</v>
      </c>
      <c r="H399" s="11">
        <v>12</v>
      </c>
      <c r="I399" s="11">
        <v>0</v>
      </c>
      <c r="J399" s="16">
        <f t="shared" si="14"/>
        <v>12</v>
      </c>
      <c r="K399" s="17">
        <f>(SUM(I368:I399))/(SUM(H368:H399))</f>
        <v>0.78767123287671237</v>
      </c>
    </row>
    <row r="400" spans="1:11" x14ac:dyDescent="0.2">
      <c r="A400" s="11" t="s">
        <v>255</v>
      </c>
      <c r="B400" s="11" t="str">
        <f t="shared" si="13"/>
        <v>060014</v>
      </c>
      <c r="C400" s="11" t="str">
        <f>_xlfn.CONCAT(+VLOOKUP(VALUE(MID(A400,13,2)),'Tabla de codigos'!$A$2:$B$60,2,1)," ",VLOOKUP(VALUE(MID(A400,15,4)),'Tabla de codigos'!$E$2:$F$102,2,1))</f>
        <v>BUDINERA   12</v>
      </c>
      <c r="D400" s="11" t="s">
        <v>353</v>
      </c>
      <c r="E400" s="11" t="s">
        <v>174</v>
      </c>
      <c r="F400" s="11" t="s">
        <v>354</v>
      </c>
      <c r="G400" s="11" t="s">
        <v>355</v>
      </c>
      <c r="H400" s="11">
        <v>18</v>
      </c>
      <c r="I400" s="11">
        <v>18</v>
      </c>
      <c r="J400" s="15">
        <f t="shared" si="14"/>
        <v>0</v>
      </c>
    </row>
    <row r="401" spans="1:10" x14ac:dyDescent="0.2">
      <c r="A401" s="11" t="s">
        <v>256</v>
      </c>
      <c r="B401" s="11" t="str">
        <f t="shared" si="13"/>
        <v>060015</v>
      </c>
      <c r="C401" s="11" t="str">
        <f>_xlfn.CONCAT(+VLOOKUP(VALUE(MID(A401,13,2)),'Tabla de codigos'!$A$2:$B$60,2,1)," ",VLOOKUP(VALUE(MID(A401,15,4)),'Tabla de codigos'!$E$2:$F$102,2,1))</f>
        <v>BUDINERA   14</v>
      </c>
      <c r="D401" s="11" t="s">
        <v>353</v>
      </c>
      <c r="E401" s="11" t="s">
        <v>174</v>
      </c>
      <c r="F401" s="11" t="s">
        <v>354</v>
      </c>
      <c r="G401" s="11" t="s">
        <v>355</v>
      </c>
      <c r="H401" s="11">
        <v>18</v>
      </c>
      <c r="I401" s="11">
        <v>8</v>
      </c>
      <c r="J401" s="16">
        <f t="shared" si="14"/>
        <v>10</v>
      </c>
    </row>
    <row r="402" spans="1:10" x14ac:dyDescent="0.2">
      <c r="A402" s="11" t="s">
        <v>189</v>
      </c>
      <c r="B402" s="11" t="str">
        <f t="shared" si="13"/>
        <v>060017</v>
      </c>
      <c r="C402" s="11" t="str">
        <f>_xlfn.CONCAT(+VLOOKUP(VALUE(MID(A402,13,2)),'Tabla de codigos'!$A$2:$B$60,2,1)," ",VLOOKUP(VALUE(MID(A402,15,4)),'Tabla de codigos'!$E$2:$F$102,2,1))</f>
        <v>BUDINERA   16</v>
      </c>
      <c r="D402" s="11" t="s">
        <v>353</v>
      </c>
      <c r="E402" s="11" t="s">
        <v>174</v>
      </c>
      <c r="F402" s="11" t="s">
        <v>354</v>
      </c>
      <c r="G402" s="11" t="s">
        <v>355</v>
      </c>
      <c r="H402" s="11">
        <v>18</v>
      </c>
      <c r="I402" s="11">
        <v>0</v>
      </c>
      <c r="J402" s="16">
        <f t="shared" si="14"/>
        <v>18</v>
      </c>
    </row>
    <row r="403" spans="1:10" x14ac:dyDescent="0.2">
      <c r="A403" s="11" t="s">
        <v>214</v>
      </c>
      <c r="B403" s="11" t="str">
        <f t="shared" si="13"/>
        <v>060021</v>
      </c>
      <c r="C403" s="11" t="str">
        <f>_xlfn.CONCAT(+VLOOKUP(VALUE(MID(A403,13,2)),'Tabla de codigos'!$A$2:$B$60,2,1)," ",VLOOKUP(VALUE(MID(A403,15,4)),'Tabla de codigos'!$E$2:$F$102,2,1))</f>
        <v>BUDINERA   18</v>
      </c>
      <c r="D403" s="11" t="s">
        <v>353</v>
      </c>
      <c r="E403" s="11" t="s">
        <v>174</v>
      </c>
      <c r="F403" s="11" t="s">
        <v>354</v>
      </c>
      <c r="G403" s="11" t="s">
        <v>355</v>
      </c>
      <c r="H403" s="11">
        <v>18</v>
      </c>
      <c r="I403" s="11">
        <v>18</v>
      </c>
      <c r="J403" s="15">
        <f t="shared" si="14"/>
        <v>0</v>
      </c>
    </row>
    <row r="404" spans="1:10" x14ac:dyDescent="0.2">
      <c r="A404" s="11" t="s">
        <v>215</v>
      </c>
      <c r="B404" s="11" t="str">
        <f t="shared" si="13"/>
        <v>060022</v>
      </c>
      <c r="C404" s="11" t="str">
        <f>_xlfn.CONCAT(+VLOOKUP(VALUE(MID(A404,13,2)),'Tabla de codigos'!$A$2:$B$60,2,1)," ",VLOOKUP(VALUE(MID(A404,15,4)),'Tabla de codigos'!$E$2:$F$102,2,1))</f>
        <v>BUDINERA   20</v>
      </c>
      <c r="D404" s="11" t="s">
        <v>353</v>
      </c>
      <c r="E404" s="11" t="s">
        <v>174</v>
      </c>
      <c r="F404" s="11" t="s">
        <v>354</v>
      </c>
      <c r="G404" s="11" t="s">
        <v>355</v>
      </c>
      <c r="H404" s="11">
        <v>18</v>
      </c>
      <c r="I404" s="11">
        <v>18</v>
      </c>
      <c r="J404" s="15">
        <f t="shared" si="14"/>
        <v>0</v>
      </c>
    </row>
    <row r="405" spans="1:10" x14ac:dyDescent="0.2">
      <c r="A405" s="11" t="s">
        <v>241</v>
      </c>
      <c r="B405" s="11" t="str">
        <f t="shared" si="13"/>
        <v>060024</v>
      </c>
      <c r="C405" s="11" t="str">
        <f>_xlfn.CONCAT(+VLOOKUP(VALUE(MID(A405,13,2)),'Tabla de codigos'!$A$2:$B$60,2,1)," ",VLOOKUP(VALUE(MID(A405,15,4)),'Tabla de codigos'!$E$2:$F$102,2,1))</f>
        <v>BUDINERA   22</v>
      </c>
      <c r="D405" s="11" t="s">
        <v>353</v>
      </c>
      <c r="E405" s="11" t="s">
        <v>174</v>
      </c>
      <c r="F405" s="11" t="s">
        <v>354</v>
      </c>
      <c r="G405" s="11" t="s">
        <v>355</v>
      </c>
      <c r="H405" s="11">
        <v>18</v>
      </c>
      <c r="I405" s="11">
        <v>18</v>
      </c>
      <c r="J405" s="16">
        <f t="shared" si="14"/>
        <v>0</v>
      </c>
    </row>
    <row r="406" spans="1:10" x14ac:dyDescent="0.2">
      <c r="A406" s="11" t="s">
        <v>148</v>
      </c>
      <c r="B406" s="11" t="str">
        <f t="shared" si="13"/>
        <v>060026</v>
      </c>
      <c r="C406" s="11" t="str">
        <f>_xlfn.CONCAT(+VLOOKUP(VALUE(MID(A406,13,2)),'Tabla de codigos'!$A$2:$B$60,2,1)," ",VLOOKUP(VALUE(MID(A406,15,4)),'Tabla de codigos'!$E$2:$F$102,2,1))</f>
        <v>BUDINERA   26</v>
      </c>
      <c r="D406" s="11" t="s">
        <v>353</v>
      </c>
      <c r="E406" s="11" t="s">
        <v>174</v>
      </c>
      <c r="F406" s="11" t="s">
        <v>354</v>
      </c>
      <c r="G406" s="11" t="s">
        <v>355</v>
      </c>
      <c r="H406" s="11">
        <v>18</v>
      </c>
      <c r="I406" s="11">
        <v>0</v>
      </c>
      <c r="J406" s="16">
        <f t="shared" si="14"/>
        <v>18</v>
      </c>
    </row>
    <row r="407" spans="1:10" x14ac:dyDescent="0.2">
      <c r="A407" s="11" t="s">
        <v>169</v>
      </c>
      <c r="B407" s="11" t="str">
        <f t="shared" si="13"/>
        <v>060029</v>
      </c>
      <c r="C407" s="11" t="str">
        <f>_xlfn.CONCAT(+VLOOKUP(VALUE(MID(A407,13,2)),'Tabla de codigos'!$A$2:$B$60,2,1)," ",VLOOKUP(VALUE(MID(A407,15,4)),'Tabla de codigos'!$E$2:$F$102,2,1))</f>
        <v>BUDINERA   30</v>
      </c>
      <c r="D407" s="11" t="s">
        <v>353</v>
      </c>
      <c r="E407" s="11" t="s">
        <v>174</v>
      </c>
      <c r="F407" s="11" t="s">
        <v>354</v>
      </c>
      <c r="G407" s="11" t="s">
        <v>355</v>
      </c>
      <c r="H407" s="11">
        <v>4</v>
      </c>
      <c r="I407" s="11">
        <v>4</v>
      </c>
      <c r="J407" s="15">
        <f t="shared" si="14"/>
        <v>0</v>
      </c>
    </row>
    <row r="408" spans="1:10" x14ac:dyDescent="0.2">
      <c r="A408" s="11" t="s">
        <v>173</v>
      </c>
      <c r="B408" s="11" t="str">
        <f t="shared" si="13"/>
        <v>060031</v>
      </c>
      <c r="C408" s="11" t="str">
        <f>_xlfn.CONCAT(+VLOOKUP(VALUE(MID(A408,13,2)),'Tabla de codigos'!$A$2:$B$60,2,1)," ",VLOOKUP(VALUE(MID(A408,15,4)),'Tabla de codigos'!$E$2:$F$102,2,1))</f>
        <v>BUDINERA   34</v>
      </c>
      <c r="D408" s="11" t="s">
        <v>353</v>
      </c>
      <c r="E408" s="11" t="s">
        <v>174</v>
      </c>
      <c r="F408" s="11" t="s">
        <v>354</v>
      </c>
      <c r="G408" s="11" t="s">
        <v>355</v>
      </c>
      <c r="H408" s="11">
        <v>4</v>
      </c>
      <c r="I408" s="11">
        <v>4</v>
      </c>
      <c r="J408" s="15">
        <f t="shared" si="14"/>
        <v>0</v>
      </c>
    </row>
    <row r="409" spans="1:10" x14ac:dyDescent="0.2">
      <c r="A409" s="11" t="s">
        <v>38</v>
      </c>
      <c r="B409" s="11" t="str">
        <f t="shared" si="13"/>
        <v>060033</v>
      </c>
      <c r="C409" s="11" t="str">
        <f>_xlfn.CONCAT(+VLOOKUP(VALUE(MID(A409,13,2)),'Tabla de codigos'!$A$2:$B$60,2,1)," ",VLOOKUP(VALUE(MID(A409,15,4)),'Tabla de codigos'!$E$2:$F$102,2,1))</f>
        <v>BUDINERA   42</v>
      </c>
      <c r="D409" s="11" t="s">
        <v>353</v>
      </c>
      <c r="E409" s="11" t="s">
        <v>174</v>
      </c>
      <c r="F409" s="11" t="s">
        <v>354</v>
      </c>
      <c r="G409" s="11" t="s">
        <v>355</v>
      </c>
      <c r="H409" s="11">
        <v>2</v>
      </c>
      <c r="I409" s="11">
        <v>0</v>
      </c>
      <c r="J409" s="16">
        <f t="shared" si="14"/>
        <v>2</v>
      </c>
    </row>
    <row r="410" spans="1:10" x14ac:dyDescent="0.2">
      <c r="A410" s="11" t="s">
        <v>218</v>
      </c>
      <c r="B410" s="11" t="str">
        <f t="shared" si="13"/>
        <v>070015</v>
      </c>
      <c r="C410" s="11" t="str">
        <f>_xlfn.CONCAT(+VLOOKUP(VALUE(MID(A410,13,2)),'Tabla de codigos'!$A$2:$B$60,2,1)," ",VLOOKUP(VALUE(MID(A410,15,4)),'Tabla de codigos'!$E$2:$F$102,2,1))</f>
        <v>CAZO 14</v>
      </c>
      <c r="D410" s="11" t="s">
        <v>353</v>
      </c>
      <c r="E410" s="11" t="s">
        <v>174</v>
      </c>
      <c r="F410" s="11" t="s">
        <v>354</v>
      </c>
      <c r="G410" s="11" t="s">
        <v>355</v>
      </c>
      <c r="H410" s="11">
        <v>12</v>
      </c>
      <c r="I410" s="11">
        <f>7+5</f>
        <v>12</v>
      </c>
      <c r="J410" s="16">
        <f t="shared" si="14"/>
        <v>0</v>
      </c>
    </row>
    <row r="411" spans="1:10" x14ac:dyDescent="0.2">
      <c r="A411" s="11" t="s">
        <v>219</v>
      </c>
      <c r="B411" s="11" t="str">
        <f t="shared" si="13"/>
        <v>070017</v>
      </c>
      <c r="C411" s="11" t="str">
        <f>_xlfn.CONCAT(+VLOOKUP(VALUE(MID(A411,13,2)),'Tabla de codigos'!$A$2:$B$60,2,1)," ",VLOOKUP(VALUE(MID(A411,15,4)),'Tabla de codigos'!$E$2:$F$102,2,1))</f>
        <v>CAZO 16</v>
      </c>
      <c r="D411" s="11" t="s">
        <v>353</v>
      </c>
      <c r="E411" s="11" t="s">
        <v>174</v>
      </c>
      <c r="F411" s="11" t="s">
        <v>354</v>
      </c>
      <c r="G411" s="11" t="s">
        <v>355</v>
      </c>
      <c r="H411" s="11">
        <v>12</v>
      </c>
      <c r="I411" s="11">
        <v>12</v>
      </c>
      <c r="J411" s="15">
        <f t="shared" si="14"/>
        <v>0</v>
      </c>
    </row>
    <row r="412" spans="1:10" x14ac:dyDescent="0.2">
      <c r="A412" s="11" t="s">
        <v>187</v>
      </c>
      <c r="B412" s="11" t="str">
        <f t="shared" si="13"/>
        <v>240014</v>
      </c>
      <c r="C412" s="11" t="str">
        <f>_xlfn.CONCAT(+VLOOKUP(VALUE(MID(A412,13,2)),'Tabla de codigos'!$A$2:$B$60,2,1)," ",VLOOKUP(VALUE(MID(A412,15,4)),'Tabla de codigos'!$E$2:$F$102,2,1))</f>
        <v>OLLA CONVEXA 12</v>
      </c>
      <c r="D412" s="11" t="s">
        <v>353</v>
      </c>
      <c r="E412" s="11" t="s">
        <v>174</v>
      </c>
      <c r="F412" s="11" t="s">
        <v>354</v>
      </c>
      <c r="G412" s="11" t="s">
        <v>355</v>
      </c>
      <c r="H412" s="11">
        <v>18</v>
      </c>
      <c r="I412" s="11">
        <v>0</v>
      </c>
      <c r="J412" s="15">
        <f t="shared" si="14"/>
        <v>18</v>
      </c>
    </row>
    <row r="413" spans="1:10" x14ac:dyDescent="0.2">
      <c r="A413" s="11" t="s">
        <v>333</v>
      </c>
      <c r="B413" s="11" t="str">
        <f t="shared" si="13"/>
        <v>240015</v>
      </c>
      <c r="C413" s="11" t="str">
        <f>_xlfn.CONCAT(+VLOOKUP(VALUE(MID(A413,13,2)),'Tabla de codigos'!$A$2:$B$60,2,1)," ",VLOOKUP(VALUE(MID(A413,15,4)),'Tabla de codigos'!$E$2:$F$102,2,1))</f>
        <v>OLLA CONVEXA 14</v>
      </c>
      <c r="D413" s="11" t="s">
        <v>353</v>
      </c>
      <c r="E413" s="11" t="s">
        <v>174</v>
      </c>
      <c r="F413" s="11" t="s">
        <v>354</v>
      </c>
      <c r="G413" s="11" t="s">
        <v>355</v>
      </c>
      <c r="H413" s="11">
        <v>18</v>
      </c>
      <c r="I413" s="11">
        <v>18</v>
      </c>
      <c r="J413" s="15">
        <f t="shared" si="14"/>
        <v>0</v>
      </c>
    </row>
    <row r="414" spans="1:10" x14ac:dyDescent="0.2">
      <c r="A414" s="11" t="s">
        <v>220</v>
      </c>
      <c r="B414" s="11" t="str">
        <f t="shared" si="13"/>
        <v>240017</v>
      </c>
      <c r="C414" s="11" t="str">
        <f>_xlfn.CONCAT(+VLOOKUP(VALUE(MID(A414,13,2)),'Tabla de codigos'!$A$2:$B$60,2,1)," ",VLOOKUP(VALUE(MID(A414,15,4)),'Tabla de codigos'!$E$2:$F$102,2,1))</f>
        <v>OLLA CONVEXA 16</v>
      </c>
      <c r="D414" s="11" t="s">
        <v>353</v>
      </c>
      <c r="E414" s="11" t="s">
        <v>174</v>
      </c>
      <c r="F414" s="11" t="s">
        <v>354</v>
      </c>
      <c r="G414" s="11" t="s">
        <v>355</v>
      </c>
      <c r="H414" s="11">
        <v>12</v>
      </c>
      <c r="I414" s="11">
        <v>12</v>
      </c>
      <c r="J414" s="16">
        <f t="shared" si="14"/>
        <v>0</v>
      </c>
    </row>
    <row r="415" spans="1:10" x14ac:dyDescent="0.2">
      <c r="A415" s="11" t="s">
        <v>150</v>
      </c>
      <c r="B415" s="11" t="str">
        <f t="shared" si="13"/>
        <v>240021</v>
      </c>
      <c r="C415" s="11" t="str">
        <f>_xlfn.CONCAT(+VLOOKUP(VALUE(MID(A415,13,2)),'Tabla de codigos'!$A$2:$B$60,2,1)," ",VLOOKUP(VALUE(MID(A415,15,4)),'Tabla de codigos'!$E$2:$F$102,2,1))</f>
        <v>OLLA CONVEXA 18</v>
      </c>
      <c r="D415" s="11" t="s">
        <v>353</v>
      </c>
      <c r="E415" s="11" t="s">
        <v>174</v>
      </c>
      <c r="F415" s="11" t="s">
        <v>354</v>
      </c>
      <c r="G415" s="11" t="s">
        <v>355</v>
      </c>
      <c r="H415" s="11">
        <v>12</v>
      </c>
      <c r="I415" s="11">
        <v>0</v>
      </c>
      <c r="J415" s="15">
        <f t="shared" si="14"/>
        <v>12</v>
      </c>
    </row>
    <row r="416" spans="1:10" x14ac:dyDescent="0.2">
      <c r="A416" s="11" t="s">
        <v>43</v>
      </c>
      <c r="B416" s="11" t="str">
        <f t="shared" si="13"/>
        <v>240024</v>
      </c>
      <c r="C416" s="11" t="str">
        <f>_xlfn.CONCAT(+VLOOKUP(VALUE(MID(A416,13,2)),'Tabla de codigos'!$A$2:$B$60,2,1)," ",VLOOKUP(VALUE(MID(A416,15,4)),'Tabla de codigos'!$E$2:$F$102,2,1))</f>
        <v>OLLA CONVEXA 22</v>
      </c>
      <c r="D416" s="11" t="s">
        <v>353</v>
      </c>
      <c r="E416" s="11" t="s">
        <v>174</v>
      </c>
      <c r="F416" s="11" t="s">
        <v>354</v>
      </c>
      <c r="G416" s="11" t="s">
        <v>355</v>
      </c>
      <c r="H416" s="11">
        <v>6</v>
      </c>
      <c r="I416" s="11">
        <v>6</v>
      </c>
      <c r="J416" s="16">
        <f t="shared" si="14"/>
        <v>0</v>
      </c>
    </row>
    <row r="417" spans="1:10" x14ac:dyDescent="0.2">
      <c r="A417" s="11" t="s">
        <v>153</v>
      </c>
      <c r="B417" s="11" t="str">
        <f t="shared" si="13"/>
        <v>240026</v>
      </c>
      <c r="C417" s="11" t="str">
        <f>_xlfn.CONCAT(+VLOOKUP(VALUE(MID(A417,13,2)),'Tabla de codigos'!$A$2:$B$60,2,1)," ",VLOOKUP(VALUE(MID(A417,15,4)),'Tabla de codigos'!$E$2:$F$102,2,1))</f>
        <v>OLLA CONVEXA 26</v>
      </c>
      <c r="D417" s="11" t="s">
        <v>353</v>
      </c>
      <c r="E417" s="11" t="s">
        <v>174</v>
      </c>
      <c r="F417" s="11" t="s">
        <v>354</v>
      </c>
      <c r="G417" s="11" t="s">
        <v>355</v>
      </c>
      <c r="H417" s="11">
        <v>6</v>
      </c>
      <c r="I417" s="11">
        <v>6</v>
      </c>
      <c r="J417" s="16">
        <f t="shared" si="14"/>
        <v>0</v>
      </c>
    </row>
    <row r="418" spans="1:10" x14ac:dyDescent="0.2">
      <c r="A418" s="11" t="s">
        <v>154</v>
      </c>
      <c r="B418" s="11" t="str">
        <f t="shared" si="13"/>
        <v>240029</v>
      </c>
      <c r="C418" s="11" t="str">
        <f>_xlfn.CONCAT(+VLOOKUP(VALUE(MID(A418,13,2)),'Tabla de codigos'!$A$2:$B$60,2,1)," ",VLOOKUP(VALUE(MID(A418,15,4)),'Tabla de codigos'!$E$2:$F$102,2,1))</f>
        <v>OLLA CONVEXA 30</v>
      </c>
      <c r="D418" s="11" t="s">
        <v>353</v>
      </c>
      <c r="E418" s="11" t="s">
        <v>174</v>
      </c>
      <c r="F418" s="11" t="s">
        <v>354</v>
      </c>
      <c r="G418" s="11" t="s">
        <v>355</v>
      </c>
      <c r="H418" s="11">
        <v>2</v>
      </c>
      <c r="I418" s="11">
        <v>2</v>
      </c>
      <c r="J418" s="15">
        <f t="shared" si="14"/>
        <v>0</v>
      </c>
    </row>
    <row r="419" spans="1:10" x14ac:dyDescent="0.2">
      <c r="A419" s="11" t="s">
        <v>222</v>
      </c>
      <c r="B419" s="11" t="str">
        <f t="shared" si="13"/>
        <v>250014</v>
      </c>
      <c r="C419" s="11" t="str">
        <f>_xlfn.CONCAT(+VLOOKUP(VALUE(MID(A419,13,2)),'Tabla de codigos'!$A$2:$B$60,2,1)," ",VLOOKUP(VALUE(MID(A419,15,4)),'Tabla de codigos'!$E$2:$F$102,2,1))</f>
        <v>OLLA RECTA 12</v>
      </c>
      <c r="D419" s="11" t="s">
        <v>353</v>
      </c>
      <c r="E419" s="11" t="s">
        <v>174</v>
      </c>
      <c r="F419" s="11" t="s">
        <v>354</v>
      </c>
      <c r="G419" s="11" t="s">
        <v>355</v>
      </c>
      <c r="H419" s="11">
        <v>18</v>
      </c>
      <c r="I419" s="11">
        <v>18</v>
      </c>
      <c r="J419" s="15">
        <f t="shared" si="14"/>
        <v>0</v>
      </c>
    </row>
    <row r="420" spans="1:10" x14ac:dyDescent="0.2">
      <c r="A420" s="11" t="s">
        <v>257</v>
      </c>
      <c r="B420" s="11" t="str">
        <f t="shared" si="13"/>
        <v>250015</v>
      </c>
      <c r="C420" s="11" t="str">
        <f>_xlfn.CONCAT(+VLOOKUP(VALUE(MID(A420,13,2)),'Tabla de codigos'!$A$2:$B$60,2,1)," ",VLOOKUP(VALUE(MID(A420,15,4)),'Tabla de codigos'!$E$2:$F$102,2,1))</f>
        <v>OLLA RECTA 14</v>
      </c>
      <c r="D420" s="11" t="s">
        <v>353</v>
      </c>
      <c r="E420" s="11" t="s">
        <v>174</v>
      </c>
      <c r="F420" s="11" t="s">
        <v>354</v>
      </c>
      <c r="G420" s="11" t="s">
        <v>355</v>
      </c>
      <c r="H420" s="11">
        <v>18</v>
      </c>
      <c r="I420" s="11">
        <v>0</v>
      </c>
      <c r="J420" s="16">
        <f t="shared" si="14"/>
        <v>18</v>
      </c>
    </row>
    <row r="421" spans="1:10" x14ac:dyDescent="0.2">
      <c r="A421" s="11" t="s">
        <v>258</v>
      </c>
      <c r="B421" s="11" t="str">
        <f t="shared" si="13"/>
        <v>250017</v>
      </c>
      <c r="C421" s="11" t="str">
        <f>_xlfn.CONCAT(+VLOOKUP(VALUE(MID(A421,13,2)),'Tabla de codigos'!$A$2:$B$60,2,1)," ",VLOOKUP(VALUE(MID(A421,15,4)),'Tabla de codigos'!$E$2:$F$102,2,1))</f>
        <v>OLLA RECTA 16</v>
      </c>
      <c r="D421" s="11" t="s">
        <v>353</v>
      </c>
      <c r="E421" s="11" t="s">
        <v>174</v>
      </c>
      <c r="F421" s="11" t="s">
        <v>354</v>
      </c>
      <c r="G421" s="11" t="s">
        <v>355</v>
      </c>
      <c r="H421" s="11">
        <v>12</v>
      </c>
      <c r="I421" s="11">
        <v>12</v>
      </c>
      <c r="J421" s="15">
        <f t="shared" si="14"/>
        <v>0</v>
      </c>
    </row>
    <row r="422" spans="1:10" x14ac:dyDescent="0.2">
      <c r="A422" s="11" t="s">
        <v>259</v>
      </c>
      <c r="B422" s="11" t="str">
        <f t="shared" si="13"/>
        <v>250021</v>
      </c>
      <c r="C422" s="11" t="str">
        <f>_xlfn.CONCAT(+VLOOKUP(VALUE(MID(A422,13,2)),'Tabla de codigos'!$A$2:$B$60,2,1)," ",VLOOKUP(VALUE(MID(A422,15,4)),'Tabla de codigos'!$E$2:$F$102,2,1))</f>
        <v>OLLA RECTA 18</v>
      </c>
      <c r="D422" s="11" t="s">
        <v>353</v>
      </c>
      <c r="E422" s="11" t="s">
        <v>174</v>
      </c>
      <c r="F422" s="11" t="s">
        <v>354</v>
      </c>
      <c r="G422" s="11" t="s">
        <v>355</v>
      </c>
      <c r="H422" s="11">
        <v>12</v>
      </c>
      <c r="I422" s="11">
        <v>12</v>
      </c>
      <c r="J422" s="15">
        <f t="shared" si="14"/>
        <v>0</v>
      </c>
    </row>
    <row r="423" spans="1:10" x14ac:dyDescent="0.2">
      <c r="A423" s="11" t="s">
        <v>260</v>
      </c>
      <c r="B423" s="11" t="str">
        <f t="shared" si="13"/>
        <v>250022</v>
      </c>
      <c r="C423" s="11" t="str">
        <f>_xlfn.CONCAT(+VLOOKUP(VALUE(MID(A423,13,2)),'Tabla de codigos'!$A$2:$B$60,2,1)," ",VLOOKUP(VALUE(MID(A423,15,4)),'Tabla de codigos'!$E$2:$F$102,2,1))</f>
        <v>OLLA RECTA 20</v>
      </c>
      <c r="D423" s="11" t="s">
        <v>353</v>
      </c>
      <c r="E423" s="11" t="s">
        <v>174</v>
      </c>
      <c r="F423" s="11" t="s">
        <v>354</v>
      </c>
      <c r="G423" s="11" t="s">
        <v>355</v>
      </c>
      <c r="H423" s="11">
        <v>12</v>
      </c>
      <c r="I423" s="11">
        <v>12</v>
      </c>
      <c r="J423" s="15">
        <f t="shared" si="14"/>
        <v>0</v>
      </c>
    </row>
    <row r="424" spans="1:10" x14ac:dyDescent="0.2">
      <c r="A424" s="11" t="s">
        <v>236</v>
      </c>
      <c r="B424" s="11" t="str">
        <f t="shared" si="13"/>
        <v>250024</v>
      </c>
      <c r="C424" s="11" t="str">
        <f>_xlfn.CONCAT(+VLOOKUP(VALUE(MID(A424,13,2)),'Tabla de codigos'!$A$2:$B$60,2,1)," ",VLOOKUP(VALUE(MID(A424,15,4)),'Tabla de codigos'!$E$2:$F$102,2,1))</f>
        <v>OLLA RECTA 22</v>
      </c>
      <c r="D424" s="11" t="s">
        <v>353</v>
      </c>
      <c r="E424" s="11" t="s">
        <v>174</v>
      </c>
      <c r="F424" s="11" t="s">
        <v>354</v>
      </c>
      <c r="G424" s="11" t="s">
        <v>355</v>
      </c>
      <c r="H424" s="11">
        <v>6</v>
      </c>
      <c r="I424" s="11">
        <v>6</v>
      </c>
      <c r="J424" s="16">
        <f t="shared" si="14"/>
        <v>0</v>
      </c>
    </row>
    <row r="425" spans="1:10" x14ac:dyDescent="0.2">
      <c r="A425" s="11" t="s">
        <v>155</v>
      </c>
      <c r="B425" s="11" t="str">
        <f t="shared" si="13"/>
        <v>250029</v>
      </c>
      <c r="C425" s="11" t="str">
        <f>_xlfn.CONCAT(+VLOOKUP(VALUE(MID(A425,13,2)),'Tabla de codigos'!$A$2:$B$60,2,1)," ",VLOOKUP(VALUE(MID(A425,15,4)),'Tabla de codigos'!$E$2:$F$102,2,1))</f>
        <v>OLLA RECTA 30</v>
      </c>
      <c r="D425" s="11" t="s">
        <v>353</v>
      </c>
      <c r="E425" s="11" t="s">
        <v>174</v>
      </c>
      <c r="F425" s="11" t="s">
        <v>354</v>
      </c>
      <c r="G425" s="11" t="s">
        <v>355</v>
      </c>
      <c r="H425" s="11">
        <v>2</v>
      </c>
      <c r="I425" s="11">
        <v>0</v>
      </c>
      <c r="J425" s="15">
        <f t="shared" si="14"/>
        <v>2</v>
      </c>
    </row>
    <row r="426" spans="1:10" x14ac:dyDescent="0.2">
      <c r="A426" s="11" t="s">
        <v>157</v>
      </c>
      <c r="B426" s="11" t="str">
        <f t="shared" si="13"/>
        <v>250033</v>
      </c>
      <c r="C426" s="11" t="str">
        <f>_xlfn.CONCAT(+VLOOKUP(VALUE(MID(A426,13,2)),'Tabla de codigos'!$A$2:$B$60,2,1)," ",VLOOKUP(VALUE(MID(A426,15,4)),'Tabla de codigos'!$E$2:$F$102,2,1))</f>
        <v>OLLA RECTA 42</v>
      </c>
      <c r="D426" s="11" t="s">
        <v>353</v>
      </c>
      <c r="E426" s="11" t="s">
        <v>174</v>
      </c>
      <c r="F426" s="11" t="s">
        <v>354</v>
      </c>
      <c r="G426" s="11" t="s">
        <v>355</v>
      </c>
      <c r="H426" s="11">
        <v>1</v>
      </c>
      <c r="I426" s="11">
        <v>1</v>
      </c>
      <c r="J426" s="16">
        <f t="shared" si="14"/>
        <v>0</v>
      </c>
    </row>
    <row r="427" spans="1:10" x14ac:dyDescent="0.2">
      <c r="A427" s="11" t="s">
        <v>180</v>
      </c>
      <c r="B427" s="11" t="str">
        <f t="shared" si="13"/>
        <v>330014</v>
      </c>
      <c r="C427" s="11" t="str">
        <f>_xlfn.CONCAT(+VLOOKUP(VALUE(MID(A427,13,2)),'Tabla de codigos'!$A$2:$B$60,2,1)," ",VLOOKUP(VALUE(MID(A427,15,4)),'Tabla de codigos'!$E$2:$F$102,2,1))</f>
        <v>POCILLO 12</v>
      </c>
      <c r="D427" s="11" t="s">
        <v>353</v>
      </c>
      <c r="E427" s="11" t="s">
        <v>174</v>
      </c>
      <c r="F427" s="11" t="s">
        <v>354</v>
      </c>
      <c r="G427" s="11" t="s">
        <v>355</v>
      </c>
      <c r="H427" s="11">
        <v>24</v>
      </c>
      <c r="I427" s="11">
        <v>0</v>
      </c>
      <c r="J427" s="16">
        <f t="shared" si="14"/>
        <v>24</v>
      </c>
    </row>
    <row r="428" spans="1:10" x14ac:dyDescent="0.2">
      <c r="A428" s="11" t="s">
        <v>182</v>
      </c>
      <c r="B428" s="11" t="str">
        <f t="shared" si="13"/>
        <v>330015</v>
      </c>
      <c r="C428" s="11" t="str">
        <f>_xlfn.CONCAT(+VLOOKUP(VALUE(MID(A428,13,2)),'Tabla de codigos'!$A$2:$B$60,2,1)," ",VLOOKUP(VALUE(MID(A428,15,4)),'Tabla de codigos'!$E$2:$F$102,2,1))</f>
        <v>POCILLO 14</v>
      </c>
      <c r="D428" s="11" t="s">
        <v>353</v>
      </c>
      <c r="E428" s="11" t="s">
        <v>174</v>
      </c>
      <c r="F428" s="11" t="s">
        <v>354</v>
      </c>
      <c r="G428" s="11" t="s">
        <v>355</v>
      </c>
      <c r="H428" s="11">
        <v>12</v>
      </c>
      <c r="I428" s="11">
        <v>12</v>
      </c>
      <c r="J428" s="15">
        <f t="shared" si="14"/>
        <v>0</v>
      </c>
    </row>
    <row r="429" spans="1:10" x14ac:dyDescent="0.2">
      <c r="A429" s="11" t="s">
        <v>125</v>
      </c>
      <c r="B429" s="11" t="str">
        <f t="shared" si="13"/>
        <v>330015</v>
      </c>
      <c r="C429" s="11" t="str">
        <f>_xlfn.CONCAT(+VLOOKUP(VALUE(MID(A429,13,2)),'Tabla de codigos'!$A$2:$B$60,2,1)," ",VLOOKUP(VALUE(MID(A429,15,4)),'Tabla de codigos'!$E$2:$F$102,2,1))</f>
        <v>POCILLO 14</v>
      </c>
      <c r="D429" s="11" t="s">
        <v>353</v>
      </c>
      <c r="E429" s="11" t="s">
        <v>174</v>
      </c>
      <c r="F429" s="11" t="s">
        <v>354</v>
      </c>
      <c r="G429" s="11" t="s">
        <v>355</v>
      </c>
      <c r="H429" s="11">
        <v>6</v>
      </c>
      <c r="I429" s="11">
        <v>6</v>
      </c>
      <c r="J429" s="15">
        <f t="shared" si="14"/>
        <v>0</v>
      </c>
    </row>
    <row r="430" spans="1:10" x14ac:dyDescent="0.2">
      <c r="A430" s="11" t="s">
        <v>130</v>
      </c>
      <c r="B430" s="11" t="str">
        <f t="shared" si="13"/>
        <v>330015</v>
      </c>
      <c r="C430" s="11" t="str">
        <f>_xlfn.CONCAT(+VLOOKUP(VALUE(MID(A430,13,2)),'Tabla de codigos'!$A$2:$B$60,2,1)," ",VLOOKUP(VALUE(MID(A430,15,4)),'Tabla de codigos'!$E$2:$F$102,2,1))</f>
        <v>POCILLO 14</v>
      </c>
      <c r="D430" s="11" t="s">
        <v>353</v>
      </c>
      <c r="E430" s="11" t="s">
        <v>174</v>
      </c>
      <c r="F430" s="11" t="s">
        <v>354</v>
      </c>
      <c r="G430" s="11" t="s">
        <v>355</v>
      </c>
      <c r="H430" s="11">
        <v>6</v>
      </c>
      <c r="I430" s="11">
        <v>0</v>
      </c>
      <c r="J430" s="16">
        <f t="shared" si="14"/>
        <v>6</v>
      </c>
    </row>
    <row r="431" spans="1:10" x14ac:dyDescent="0.2">
      <c r="A431" s="11" t="s">
        <v>262</v>
      </c>
      <c r="B431" s="11" t="str">
        <f t="shared" si="13"/>
        <v>360022</v>
      </c>
      <c r="C431" s="11" t="str">
        <f>_xlfn.CONCAT(+VLOOKUP(VALUE(MID(A431,13,2)),'Tabla de codigos'!$A$2:$B$60,2,1)," ",VLOOKUP(VALUE(MID(A431,15,4)),'Tabla de codigos'!$E$2:$F$102,2,1))</f>
        <v>SARTEN 20</v>
      </c>
      <c r="D431" s="11" t="s">
        <v>353</v>
      </c>
      <c r="E431" s="11" t="s">
        <v>174</v>
      </c>
      <c r="F431" s="11" t="s">
        <v>354</v>
      </c>
      <c r="G431" s="11" t="s">
        <v>355</v>
      </c>
      <c r="H431" s="11">
        <v>12</v>
      </c>
      <c r="I431" s="11">
        <v>0</v>
      </c>
      <c r="J431" s="16">
        <f t="shared" si="14"/>
        <v>12</v>
      </c>
    </row>
    <row r="432" spans="1:10" x14ac:dyDescent="0.2">
      <c r="A432" s="11" t="s">
        <v>227</v>
      </c>
      <c r="B432" s="11" t="str">
        <f t="shared" si="13"/>
        <v>360024</v>
      </c>
      <c r="C432" s="11" t="str">
        <f>_xlfn.CONCAT(+VLOOKUP(VALUE(MID(A432,13,2)),'Tabla de codigos'!$A$2:$B$60,2,1)," ",VLOOKUP(VALUE(MID(A432,15,4)),'Tabla de codigos'!$E$2:$F$102,2,1))</f>
        <v>SARTEN 22</v>
      </c>
      <c r="D432" s="11" t="s">
        <v>353</v>
      </c>
      <c r="E432" s="11" t="s">
        <v>174</v>
      </c>
      <c r="F432" s="11" t="s">
        <v>354</v>
      </c>
      <c r="G432" s="11" t="s">
        <v>355</v>
      </c>
      <c r="H432" s="11">
        <v>12</v>
      </c>
      <c r="I432" s="11">
        <v>0</v>
      </c>
      <c r="J432" s="16">
        <f t="shared" si="14"/>
        <v>12</v>
      </c>
    </row>
    <row r="433" spans="1:11" x14ac:dyDescent="0.2">
      <c r="A433" s="11" t="s">
        <v>44</v>
      </c>
      <c r="B433" s="11" t="str">
        <f t="shared" si="13"/>
        <v>360025</v>
      </c>
      <c r="C433" s="11" t="str">
        <f>_xlfn.CONCAT(+VLOOKUP(VALUE(MID(A433,13,2)),'Tabla de codigos'!$A$2:$B$60,2,1)," ",VLOOKUP(VALUE(MID(A433,15,4)),'Tabla de codigos'!$E$2:$F$102,2,1))</f>
        <v>SARTEN 24</v>
      </c>
      <c r="D433" s="11" t="s">
        <v>353</v>
      </c>
      <c r="E433" s="11" t="s">
        <v>174</v>
      </c>
      <c r="F433" s="11" t="s">
        <v>354</v>
      </c>
      <c r="G433" s="11" t="s">
        <v>355</v>
      </c>
      <c r="H433" s="11">
        <v>12</v>
      </c>
      <c r="I433" s="11">
        <v>0</v>
      </c>
      <c r="J433" s="16">
        <f t="shared" si="14"/>
        <v>12</v>
      </c>
    </row>
    <row r="434" spans="1:11" x14ac:dyDescent="0.2">
      <c r="A434" s="11" t="s">
        <v>239</v>
      </c>
      <c r="B434" s="11" t="str">
        <f t="shared" si="13"/>
        <v>360026</v>
      </c>
      <c r="C434" s="11" t="str">
        <f>_xlfn.CONCAT(+VLOOKUP(VALUE(MID(A434,13,2)),'Tabla de codigos'!$A$2:$B$60,2,1)," ",VLOOKUP(VALUE(MID(A434,15,4)),'Tabla de codigos'!$E$2:$F$102,2,1))</f>
        <v>SARTEN 26</v>
      </c>
      <c r="D434" s="11" t="s">
        <v>353</v>
      </c>
      <c r="E434" s="11" t="s">
        <v>174</v>
      </c>
      <c r="F434" s="11" t="s">
        <v>354</v>
      </c>
      <c r="G434" s="11" t="s">
        <v>355</v>
      </c>
      <c r="H434" s="11">
        <v>12</v>
      </c>
      <c r="I434" s="11">
        <v>12</v>
      </c>
      <c r="J434" s="16">
        <f t="shared" si="14"/>
        <v>0</v>
      </c>
    </row>
    <row r="435" spans="1:11" x14ac:dyDescent="0.2">
      <c r="A435" s="11" t="s">
        <v>356</v>
      </c>
      <c r="B435" s="11" t="str">
        <f t="shared" si="13"/>
        <v>480015</v>
      </c>
      <c r="C435" s="11" t="str">
        <f>_xlfn.CONCAT(+VLOOKUP(VALUE(MID(A435,13,2)),'Tabla de codigos'!$A$2:$B$60,2,1)," ",VLOOKUP(VALUE(MID(A435,15,4)),'Tabla de codigos'!$E$2:$F$102,2,1))</f>
        <v>VASO RECTO 14</v>
      </c>
      <c r="D435" s="11" t="s">
        <v>353</v>
      </c>
      <c r="E435" s="11" t="s">
        <v>174</v>
      </c>
      <c r="F435" s="11" t="s">
        <v>354</v>
      </c>
      <c r="G435" s="11" t="s">
        <v>355</v>
      </c>
      <c r="H435" s="11">
        <v>12</v>
      </c>
      <c r="I435" s="11">
        <v>12</v>
      </c>
      <c r="J435" s="15">
        <f t="shared" si="14"/>
        <v>0</v>
      </c>
    </row>
    <row r="436" spans="1:11" x14ac:dyDescent="0.2">
      <c r="A436" s="11" t="s">
        <v>188</v>
      </c>
      <c r="B436" s="11" t="str">
        <f t="shared" si="13"/>
        <v>330015</v>
      </c>
      <c r="C436" s="11" t="str">
        <f>_xlfn.CONCAT(+VLOOKUP(VALUE(MID(A436,13,2)),'Tabla de codigos'!$A$2:$B$60,2,1)," ",VLOOKUP(VALUE(MID(A436,15,4)),'Tabla de codigos'!$E$2:$F$102,2,1))</f>
        <v>POCILLO 14</v>
      </c>
      <c r="D436" s="11" t="s">
        <v>353</v>
      </c>
      <c r="E436" s="11" t="s">
        <v>174</v>
      </c>
      <c r="F436" s="11" t="s">
        <v>354</v>
      </c>
      <c r="G436" s="11" t="s">
        <v>355</v>
      </c>
      <c r="H436" s="11">
        <v>6</v>
      </c>
      <c r="I436" s="11">
        <v>0</v>
      </c>
      <c r="J436" s="15">
        <f t="shared" si="14"/>
        <v>6</v>
      </c>
    </row>
    <row r="437" spans="1:11" x14ac:dyDescent="0.2">
      <c r="A437" s="11" t="s">
        <v>238</v>
      </c>
      <c r="B437" s="11" t="str">
        <f t="shared" si="13"/>
        <v>250099</v>
      </c>
      <c r="C437" s="11" t="str">
        <f>_xlfn.CONCAT(+VLOOKUP(VALUE(MID(A437,13,2)),'Tabla de codigos'!$A$2:$B$60,2,1)," ",VLOOKUP(VALUE(MID(A437,15,4)),'Tabla de codigos'!$E$2:$F$102,2,1))</f>
        <v>OLLA RECTA 38</v>
      </c>
      <c r="D437" s="11" t="s">
        <v>353</v>
      </c>
      <c r="E437" s="11" t="s">
        <v>174</v>
      </c>
      <c r="F437" s="11" t="s">
        <v>354</v>
      </c>
      <c r="G437" s="11" t="s">
        <v>355</v>
      </c>
      <c r="H437" s="11">
        <v>1</v>
      </c>
      <c r="I437" s="11">
        <v>1</v>
      </c>
      <c r="J437" s="15">
        <f t="shared" si="14"/>
        <v>0</v>
      </c>
      <c r="K437" s="17">
        <f>(SUM(I400:I437))/(SUM(H400:H437))</f>
        <v>0.60465116279069764</v>
      </c>
    </row>
    <row r="438" spans="1:11" x14ac:dyDescent="0.2">
      <c r="A438" s="11" t="s">
        <v>206</v>
      </c>
      <c r="B438" s="11" t="str">
        <f t="shared" si="13"/>
        <v>030005</v>
      </c>
      <c r="C438" s="11" t="str">
        <f>_xlfn.CONCAT(+VLOOKUP(VALUE(MID(A438,13,2)),'Tabla de codigos'!$A$2:$B$60,2,1)," ",VLOOKUP(VALUE(MID(A438,15,4)),'Tabla de codigos'!$E$2:$F$102,2,1))</f>
        <v>BAÑO 1</v>
      </c>
      <c r="D438" s="11" t="s">
        <v>357</v>
      </c>
      <c r="E438" s="11" t="s">
        <v>34</v>
      </c>
      <c r="F438" s="11" t="s">
        <v>358</v>
      </c>
      <c r="G438" s="11" t="s">
        <v>359</v>
      </c>
      <c r="H438" s="11">
        <v>5</v>
      </c>
      <c r="I438" s="11">
        <v>5</v>
      </c>
      <c r="J438" s="15">
        <f t="shared" si="14"/>
        <v>0</v>
      </c>
    </row>
    <row r="439" spans="1:11" x14ac:dyDescent="0.2">
      <c r="A439" s="11" t="s">
        <v>209</v>
      </c>
      <c r="B439" s="11" t="str">
        <f t="shared" si="13"/>
        <v>030006</v>
      </c>
      <c r="C439" s="11" t="str">
        <f>_xlfn.CONCAT(+VLOOKUP(VALUE(MID(A439,13,2)),'Tabla de codigos'!$A$2:$B$60,2,1)," ",VLOOKUP(VALUE(MID(A439,15,4)),'Tabla de codigos'!$E$2:$F$102,2,1))</f>
        <v>BAÑO 2</v>
      </c>
      <c r="D439" s="11" t="s">
        <v>357</v>
      </c>
      <c r="E439" s="11" t="s">
        <v>34</v>
      </c>
      <c r="F439" s="11" t="s">
        <v>358</v>
      </c>
      <c r="G439" s="11" t="s">
        <v>359</v>
      </c>
      <c r="H439" s="11">
        <v>20</v>
      </c>
      <c r="I439" s="11">
        <v>0</v>
      </c>
      <c r="J439" s="15">
        <f t="shared" si="14"/>
        <v>20</v>
      </c>
    </row>
    <row r="440" spans="1:11" x14ac:dyDescent="0.2">
      <c r="A440" s="11" t="s">
        <v>158</v>
      </c>
      <c r="B440" s="11" t="str">
        <f t="shared" si="13"/>
        <v>030007</v>
      </c>
      <c r="C440" s="11" t="str">
        <f>_xlfn.CONCAT(+VLOOKUP(VALUE(MID(A440,13,2)),'Tabla de codigos'!$A$2:$B$60,2,1)," ",VLOOKUP(VALUE(MID(A440,15,4)),'Tabla de codigos'!$E$2:$F$102,2,1))</f>
        <v>BAÑO 3</v>
      </c>
      <c r="D440" s="11" t="s">
        <v>357</v>
      </c>
      <c r="E440" s="11" t="s">
        <v>34</v>
      </c>
      <c r="F440" s="11" t="s">
        <v>358</v>
      </c>
      <c r="G440" s="11" t="s">
        <v>359</v>
      </c>
      <c r="H440" s="11">
        <v>15</v>
      </c>
      <c r="I440" s="11">
        <v>0</v>
      </c>
      <c r="J440" s="15">
        <f t="shared" si="14"/>
        <v>15</v>
      </c>
    </row>
    <row r="441" spans="1:11" x14ac:dyDescent="0.2">
      <c r="A441" s="11" t="s">
        <v>45</v>
      </c>
      <c r="B441" s="11" t="str">
        <f t="shared" si="13"/>
        <v>030008</v>
      </c>
      <c r="C441" s="11" t="str">
        <f>_xlfn.CONCAT(+VLOOKUP(VALUE(MID(A441,13,2)),'Tabla de codigos'!$A$2:$B$60,2,1)," ",VLOOKUP(VALUE(MID(A441,15,4)),'Tabla de codigos'!$E$2:$F$102,2,1))</f>
        <v>BAÑO 4</v>
      </c>
      <c r="D441" s="11" t="s">
        <v>357</v>
      </c>
      <c r="E441" s="11" t="s">
        <v>34</v>
      </c>
      <c r="F441" s="11" t="s">
        <v>358</v>
      </c>
      <c r="G441" s="11" t="s">
        <v>359</v>
      </c>
      <c r="H441" s="11">
        <v>10</v>
      </c>
      <c r="I441" s="11">
        <v>0</v>
      </c>
      <c r="J441" s="15">
        <f t="shared" si="14"/>
        <v>10</v>
      </c>
    </row>
    <row r="442" spans="1:11" x14ac:dyDescent="0.2">
      <c r="A442" s="11" t="s">
        <v>32</v>
      </c>
      <c r="B442" s="11" t="str">
        <f t="shared" si="13"/>
        <v>030009</v>
      </c>
      <c r="C442" s="11" t="str">
        <f>_xlfn.CONCAT(+VLOOKUP(VALUE(MID(A442,13,2)),'Tabla de codigos'!$A$2:$B$60,2,1)," ",VLOOKUP(VALUE(MID(A442,15,4)),'Tabla de codigos'!$E$2:$F$102,2,1))</f>
        <v>BAÑO 5</v>
      </c>
      <c r="D442" s="11" t="s">
        <v>357</v>
      </c>
      <c r="E442" s="11" t="s">
        <v>34</v>
      </c>
      <c r="F442" s="11" t="s">
        <v>358</v>
      </c>
      <c r="G442" s="11" t="s">
        <v>359</v>
      </c>
      <c r="H442" s="11">
        <v>15</v>
      </c>
      <c r="I442" s="11">
        <v>0</v>
      </c>
      <c r="J442" s="15">
        <f t="shared" si="14"/>
        <v>15</v>
      </c>
    </row>
    <row r="443" spans="1:11" x14ac:dyDescent="0.2">
      <c r="A443" s="11" t="s">
        <v>37</v>
      </c>
      <c r="B443" s="11" t="str">
        <f t="shared" si="13"/>
        <v>030010</v>
      </c>
      <c r="C443" s="11" t="str">
        <f>_xlfn.CONCAT(+VLOOKUP(VALUE(MID(A443,13,2)),'Tabla de codigos'!$A$2:$B$60,2,1)," ",VLOOKUP(VALUE(MID(A443,15,4)),'Tabla de codigos'!$E$2:$F$102,2,1))</f>
        <v>BAÑO 6</v>
      </c>
      <c r="D443" s="11" t="s">
        <v>357</v>
      </c>
      <c r="E443" s="11" t="s">
        <v>34</v>
      </c>
      <c r="F443" s="11" t="s">
        <v>358</v>
      </c>
      <c r="G443" s="11" t="s">
        <v>359</v>
      </c>
      <c r="H443" s="11">
        <v>10</v>
      </c>
      <c r="I443" s="11">
        <v>0</v>
      </c>
      <c r="J443" s="15">
        <f t="shared" si="14"/>
        <v>10</v>
      </c>
    </row>
    <row r="444" spans="1:11" x14ac:dyDescent="0.2">
      <c r="A444" s="11" t="s">
        <v>360</v>
      </c>
      <c r="B444" s="11" t="str">
        <f t="shared" si="13"/>
        <v>110008</v>
      </c>
      <c r="C444" s="11" t="str">
        <f>_xlfn.CONCAT(+VLOOKUP(VALUE(MID(A444,13,2)),'Tabla de codigos'!$A$2:$B$60,2,1)," ",VLOOKUP(VALUE(MID(A444,15,4)),'Tabla de codigos'!$E$2:$F$102,2,1))</f>
        <v>CUBETA 4</v>
      </c>
      <c r="D444" s="11" t="s">
        <v>357</v>
      </c>
      <c r="E444" s="11" t="s">
        <v>34</v>
      </c>
      <c r="F444" s="11" t="s">
        <v>358</v>
      </c>
      <c r="G444" s="11" t="s">
        <v>359</v>
      </c>
      <c r="H444" s="11">
        <v>14</v>
      </c>
      <c r="I444" s="11">
        <v>3</v>
      </c>
      <c r="J444" s="15">
        <f t="shared" si="14"/>
        <v>11</v>
      </c>
    </row>
    <row r="445" spans="1:11" x14ac:dyDescent="0.2">
      <c r="A445" s="11" t="s">
        <v>204</v>
      </c>
      <c r="B445" s="11" t="str">
        <f t="shared" si="13"/>
        <v>110015</v>
      </c>
      <c r="C445" s="11" t="str">
        <f>_xlfn.CONCAT(+VLOOKUP(VALUE(MID(A445,13,2)),'Tabla de codigos'!$A$2:$B$60,2,1)," ",VLOOKUP(VALUE(MID(A445,15,4)),'Tabla de codigos'!$E$2:$F$102,2,1))</f>
        <v>CUBETA 14</v>
      </c>
      <c r="D445" s="11" t="s">
        <v>357</v>
      </c>
      <c r="E445" s="11" t="s">
        <v>34</v>
      </c>
      <c r="F445" s="11" t="s">
        <v>358</v>
      </c>
      <c r="G445" s="11" t="s">
        <v>359</v>
      </c>
      <c r="H445" s="11">
        <v>14</v>
      </c>
      <c r="I445" s="11">
        <v>0</v>
      </c>
      <c r="J445" s="15">
        <f t="shared" si="14"/>
        <v>14</v>
      </c>
      <c r="K445" s="17">
        <f>(SUM(I438:I445))/(SUM(H438:H445))</f>
        <v>7.7669902912621352E-2</v>
      </c>
    </row>
    <row r="446" spans="1:11" x14ac:dyDescent="0.2">
      <c r="A446" s="11" t="s">
        <v>169</v>
      </c>
      <c r="B446" s="11" t="str">
        <f t="shared" si="13"/>
        <v>060029</v>
      </c>
      <c r="C446" s="11" t="str">
        <f>_xlfn.CONCAT(+VLOOKUP(VALUE(MID(A446,13,2)),'Tabla de codigos'!$A$2:$B$60,2,1)," ",VLOOKUP(VALUE(MID(A446,15,4)),'Tabla de codigos'!$E$2:$F$102,2,1))</f>
        <v>BUDINERA   30</v>
      </c>
      <c r="D446" s="11" t="s">
        <v>361</v>
      </c>
      <c r="E446" s="11" t="s">
        <v>34</v>
      </c>
      <c r="F446" s="11" t="s">
        <v>362</v>
      </c>
      <c r="G446" s="11" t="s">
        <v>359</v>
      </c>
      <c r="H446" s="11">
        <v>44</v>
      </c>
      <c r="I446" s="11">
        <f>4+40</f>
        <v>44</v>
      </c>
      <c r="J446" s="15">
        <f t="shared" si="14"/>
        <v>0</v>
      </c>
    </row>
    <row r="447" spans="1:11" x14ac:dyDescent="0.2">
      <c r="A447" s="11" t="s">
        <v>363</v>
      </c>
      <c r="B447" s="11" t="str">
        <f t="shared" si="13"/>
        <v>190037</v>
      </c>
      <c r="C447" s="11" t="str">
        <f>_xlfn.CONCAT(+VLOOKUP(VALUE(MID(A447,13,2)),'Tabla de codigos'!$A$2:$B$60,2,1)," ",VLOOKUP(VALUE(MID(A447,15,4)),'Tabla de codigos'!$E$2:$F$102,2,1))</f>
        <v>JARRA RECTA 2.5 LTS</v>
      </c>
      <c r="D447" s="11" t="s">
        <v>361</v>
      </c>
      <c r="E447" s="11" t="s">
        <v>34</v>
      </c>
      <c r="F447" s="11" t="s">
        <v>362</v>
      </c>
      <c r="G447" s="11" t="s">
        <v>359</v>
      </c>
      <c r="H447" s="11">
        <v>400</v>
      </c>
      <c r="I447" s="11">
        <v>0</v>
      </c>
      <c r="J447" s="15">
        <f t="shared" si="14"/>
        <v>400</v>
      </c>
    </row>
    <row r="448" spans="1:11" x14ac:dyDescent="0.2">
      <c r="A448" s="11" t="s">
        <v>175</v>
      </c>
      <c r="B448" s="11" t="str">
        <f t="shared" si="13"/>
        <v>210043</v>
      </c>
      <c r="C448" s="11" t="str">
        <f>_xlfn.CONCAT(+VLOOKUP(VALUE(MID(A448,13,2)),'Tabla de codigos'!$A$2:$B$60,2,1)," ",VLOOKUP(VALUE(MID(A448,15,4)),'Tabla de codigos'!$E$2:$F$102,2,1))</f>
        <v>JUEGO 3+3</v>
      </c>
      <c r="D448" s="11" t="s">
        <v>361</v>
      </c>
      <c r="E448" s="11" t="s">
        <v>34</v>
      </c>
      <c r="F448" s="11" t="s">
        <v>362</v>
      </c>
      <c r="G448" s="11" t="s">
        <v>359</v>
      </c>
      <c r="H448" s="11">
        <v>120</v>
      </c>
      <c r="I448" s="11">
        <v>0</v>
      </c>
      <c r="J448" s="15">
        <f t="shared" si="14"/>
        <v>120</v>
      </c>
    </row>
    <row r="449" spans="1:11" x14ac:dyDescent="0.2">
      <c r="A449" s="11" t="s">
        <v>223</v>
      </c>
      <c r="B449" s="11" t="str">
        <f t="shared" si="13"/>
        <v>250025</v>
      </c>
      <c r="C449" s="11" t="str">
        <f>_xlfn.CONCAT(+VLOOKUP(VALUE(MID(A449,13,2)),'Tabla de codigos'!$A$2:$B$60,2,1)," ",VLOOKUP(VALUE(MID(A449,15,4)),'Tabla de codigos'!$E$2:$F$102,2,1))</f>
        <v>OLLA RECTA 24</v>
      </c>
      <c r="D449" s="11" t="s">
        <v>361</v>
      </c>
      <c r="E449" s="11" t="s">
        <v>34</v>
      </c>
      <c r="F449" s="11" t="s">
        <v>362</v>
      </c>
      <c r="G449" s="11" t="s">
        <v>359</v>
      </c>
      <c r="H449" s="11">
        <v>120</v>
      </c>
      <c r="I449" s="11">
        <v>15</v>
      </c>
      <c r="J449" s="15">
        <f t="shared" si="14"/>
        <v>105</v>
      </c>
    </row>
    <row r="450" spans="1:11" x14ac:dyDescent="0.2">
      <c r="A450" s="11" t="s">
        <v>155</v>
      </c>
      <c r="B450" s="11" t="str">
        <f t="shared" si="13"/>
        <v>250029</v>
      </c>
      <c r="C450" s="11" t="str">
        <f>_xlfn.CONCAT(+VLOOKUP(VALUE(MID(A450,13,2)),'Tabla de codigos'!$A$2:$B$60,2,1)," ",VLOOKUP(VALUE(MID(A450,15,4)),'Tabla de codigos'!$E$2:$F$102,2,1))</f>
        <v>OLLA RECTA 30</v>
      </c>
      <c r="D450" s="11" t="s">
        <v>361</v>
      </c>
      <c r="E450" s="11" t="s">
        <v>34</v>
      </c>
      <c r="F450" s="11" t="s">
        <v>362</v>
      </c>
      <c r="G450" s="11" t="s">
        <v>359</v>
      </c>
      <c r="H450" s="11">
        <v>58</v>
      </c>
      <c r="I450" s="11">
        <v>58</v>
      </c>
      <c r="J450" s="15">
        <f t="shared" si="14"/>
        <v>0</v>
      </c>
    </row>
    <row r="451" spans="1:11" x14ac:dyDescent="0.2">
      <c r="A451" s="11" t="s">
        <v>156</v>
      </c>
      <c r="B451" s="11" t="str">
        <f t="shared" ref="B451:B514" si="15">+MID(A451,13,6)</f>
        <v>250031</v>
      </c>
      <c r="C451" s="11" t="str">
        <f>_xlfn.CONCAT(+VLOOKUP(VALUE(MID(A451,13,2)),'Tabla de codigos'!$A$2:$B$60,2,1)," ",VLOOKUP(VALUE(MID(A451,15,4)),'Tabla de codigos'!$E$2:$F$102,2,1))</f>
        <v>OLLA RECTA 34</v>
      </c>
      <c r="D451" s="11" t="s">
        <v>361</v>
      </c>
      <c r="E451" s="11" t="s">
        <v>34</v>
      </c>
      <c r="F451" s="11" t="s">
        <v>362</v>
      </c>
      <c r="G451" s="11" t="s">
        <v>359</v>
      </c>
      <c r="H451" s="11">
        <v>60</v>
      </c>
      <c r="I451" s="11">
        <v>0</v>
      </c>
      <c r="J451" s="15">
        <f t="shared" si="14"/>
        <v>60</v>
      </c>
    </row>
    <row r="452" spans="1:11" x14ac:dyDescent="0.2">
      <c r="A452" s="11" t="s">
        <v>75</v>
      </c>
      <c r="B452" s="11" t="str">
        <f t="shared" si="15"/>
        <v>330009</v>
      </c>
      <c r="C452" s="11" t="str">
        <f>_xlfn.CONCAT(+VLOOKUP(VALUE(MID(A452,13,2)),'Tabla de codigos'!$A$2:$B$60,2,1)," ",VLOOKUP(VALUE(MID(A452,15,4)),'Tabla de codigos'!$E$2:$F$102,2,1))</f>
        <v>POCILLO 5</v>
      </c>
      <c r="D452" s="11" t="s">
        <v>361</v>
      </c>
      <c r="E452" s="11" t="s">
        <v>34</v>
      </c>
      <c r="F452" s="11" t="s">
        <v>362</v>
      </c>
      <c r="G452" s="11" t="s">
        <v>359</v>
      </c>
      <c r="H452" s="11">
        <v>672</v>
      </c>
      <c r="I452" s="11">
        <f>243+96+24+48+240+21</f>
        <v>672</v>
      </c>
      <c r="J452" s="15">
        <f t="shared" si="14"/>
        <v>0</v>
      </c>
    </row>
    <row r="453" spans="1:11" x14ac:dyDescent="0.2">
      <c r="A453" s="11" t="s">
        <v>226</v>
      </c>
      <c r="B453" s="11" t="str">
        <f t="shared" si="15"/>
        <v>330013</v>
      </c>
      <c r="C453" s="11" t="str">
        <f>_xlfn.CONCAT(+VLOOKUP(VALUE(MID(A453,13,2)),'Tabla de codigos'!$A$2:$B$60,2,1)," ",VLOOKUP(VALUE(MID(A453,15,4)),'Tabla de codigos'!$E$2:$F$102,2,1))</f>
        <v>POCILLO 10</v>
      </c>
      <c r="D453" s="11" t="s">
        <v>361</v>
      </c>
      <c r="E453" s="11" t="s">
        <v>34</v>
      </c>
      <c r="F453" s="11" t="s">
        <v>362</v>
      </c>
      <c r="G453" s="11" t="s">
        <v>359</v>
      </c>
      <c r="H453" s="11">
        <v>840</v>
      </c>
      <c r="I453" s="11">
        <f>232+96+18+96+72+326</f>
        <v>840</v>
      </c>
      <c r="J453" s="16">
        <f t="shared" si="14"/>
        <v>0</v>
      </c>
      <c r="K453" s="17">
        <f>(SUM(I446:I453))/(SUM(H446:H453))</f>
        <v>0.70397579948141742</v>
      </c>
    </row>
    <row r="454" spans="1:11" x14ac:dyDescent="0.2">
      <c r="A454" s="11" t="s">
        <v>364</v>
      </c>
      <c r="B454" s="11" t="str">
        <f t="shared" si="15"/>
        <v>330009</v>
      </c>
      <c r="C454" s="11" t="str">
        <f>_xlfn.CONCAT(+VLOOKUP(VALUE(MID(A454,13,2)),'Tabla de codigos'!$A$2:$B$60,2,1)," ",VLOOKUP(VALUE(MID(A454,15,4)),'Tabla de codigos'!$E$2:$F$102,2,1))</f>
        <v>POCILLO 5</v>
      </c>
      <c r="D454" s="11" t="s">
        <v>365</v>
      </c>
      <c r="E454" s="11" t="s">
        <v>16</v>
      </c>
      <c r="F454" s="11" t="s">
        <v>366</v>
      </c>
      <c r="G454" s="11" t="s">
        <v>359</v>
      </c>
      <c r="H454" s="11">
        <v>250</v>
      </c>
      <c r="I454" s="11">
        <v>0</v>
      </c>
      <c r="J454" s="15">
        <f t="shared" si="14"/>
        <v>250</v>
      </c>
      <c r="K454" s="17">
        <f>(SUM(I454))/(SUM(H454))</f>
        <v>0</v>
      </c>
    </row>
    <row r="455" spans="1:11" x14ac:dyDescent="0.2">
      <c r="A455" s="11" t="s">
        <v>367</v>
      </c>
      <c r="B455" s="11" t="str">
        <f t="shared" si="15"/>
        <v>330012</v>
      </c>
      <c r="C455" s="11" t="str">
        <f>_xlfn.CONCAT(+VLOOKUP(VALUE(MID(A455,13,2)),'Tabla de codigos'!$A$2:$B$60,2,1)," ",VLOOKUP(VALUE(MID(A455,15,4)),'Tabla de codigos'!$E$2:$F$102,2,1))</f>
        <v>POCILLO 8</v>
      </c>
      <c r="D455" s="11" t="s">
        <v>368</v>
      </c>
      <c r="E455" s="11" t="s">
        <v>11</v>
      </c>
      <c r="F455" s="13" t="s">
        <v>369</v>
      </c>
      <c r="G455" s="11" t="s">
        <v>370</v>
      </c>
      <c r="H455" s="15">
        <v>750</v>
      </c>
      <c r="I455" s="15">
        <v>0</v>
      </c>
      <c r="J455" s="15">
        <f t="shared" ref="J455:J518" si="16">+H455-I455</f>
        <v>750</v>
      </c>
      <c r="K455" s="17">
        <f>(SUM(I455))/(SUM(H455))</f>
        <v>0</v>
      </c>
    </row>
    <row r="456" spans="1:11" x14ac:dyDescent="0.2">
      <c r="A456" s="11" t="s">
        <v>371</v>
      </c>
      <c r="B456" s="11" t="str">
        <f t="shared" si="15"/>
        <v>330009</v>
      </c>
      <c r="C456" s="11" t="str">
        <f>_xlfn.CONCAT(+VLOOKUP(VALUE(MID(A456,13,2)),'Tabla de codigos'!$A$2:$B$60,2,1)," ",VLOOKUP(VALUE(MID(A456,15,4)),'Tabla de codigos'!$E$2:$F$102,2,1))</f>
        <v>POCILLO 5</v>
      </c>
      <c r="D456" s="11" t="s">
        <v>372</v>
      </c>
      <c r="E456" s="11" t="s">
        <v>373</v>
      </c>
      <c r="F456" s="13" t="s">
        <v>374</v>
      </c>
      <c r="G456" s="11" t="s">
        <v>370</v>
      </c>
      <c r="H456" s="15">
        <v>360</v>
      </c>
      <c r="I456" s="15">
        <f>1+12+120+96+120+11</f>
        <v>360</v>
      </c>
      <c r="J456" s="15">
        <f t="shared" si="16"/>
        <v>0</v>
      </c>
      <c r="K456" s="17">
        <f>(SUM(I456))/(SUM(H456))</f>
        <v>1</v>
      </c>
    </row>
    <row r="457" spans="1:11" x14ac:dyDescent="0.2">
      <c r="A457" s="11" t="s">
        <v>187</v>
      </c>
      <c r="B457" s="11" t="str">
        <f t="shared" si="15"/>
        <v>240014</v>
      </c>
      <c r="C457" s="11" t="str">
        <f>_xlfn.CONCAT(+VLOOKUP(VALUE(MID(A457,13,2)),'Tabla de codigos'!$A$2:$B$60,2,1)," ",VLOOKUP(VALUE(MID(A457,15,4)),'Tabla de codigos'!$E$2:$F$102,2,1))</f>
        <v>OLLA CONVEXA 12</v>
      </c>
      <c r="D457" s="11" t="s">
        <v>375</v>
      </c>
      <c r="E457" s="11" t="s">
        <v>16</v>
      </c>
      <c r="F457" s="11" t="s">
        <v>376</v>
      </c>
      <c r="G457" s="11" t="s">
        <v>377</v>
      </c>
      <c r="H457" s="11">
        <v>36</v>
      </c>
      <c r="I457" s="15">
        <v>0</v>
      </c>
      <c r="J457" s="15">
        <f t="shared" si="16"/>
        <v>36</v>
      </c>
    </row>
    <row r="458" spans="1:11" x14ac:dyDescent="0.2">
      <c r="A458" s="11" t="s">
        <v>220</v>
      </c>
      <c r="B458" s="11" t="str">
        <f t="shared" si="15"/>
        <v>240017</v>
      </c>
      <c r="C458" s="11" t="str">
        <f>_xlfn.CONCAT(+VLOOKUP(VALUE(MID(A458,13,2)),'Tabla de codigos'!$A$2:$B$60,2,1)," ",VLOOKUP(VALUE(MID(A458,15,4)),'Tabla de codigos'!$E$2:$F$102,2,1))</f>
        <v>OLLA CONVEXA 16</v>
      </c>
      <c r="D458" s="11" t="s">
        <v>375</v>
      </c>
      <c r="E458" s="11" t="s">
        <v>16</v>
      </c>
      <c r="F458" s="11" t="s">
        <v>376</v>
      </c>
      <c r="G458" s="11" t="s">
        <v>377</v>
      </c>
      <c r="H458" s="11">
        <v>24</v>
      </c>
      <c r="I458" s="15">
        <v>24</v>
      </c>
      <c r="J458" s="16">
        <f t="shared" si="16"/>
        <v>0</v>
      </c>
    </row>
    <row r="459" spans="1:11" x14ac:dyDescent="0.2">
      <c r="A459" s="11" t="s">
        <v>151</v>
      </c>
      <c r="B459" s="11" t="str">
        <f t="shared" si="15"/>
        <v>240022</v>
      </c>
      <c r="C459" s="11" t="str">
        <f>_xlfn.CONCAT(+VLOOKUP(VALUE(MID(A459,13,2)),'Tabla de codigos'!$A$2:$B$60,2,1)," ",VLOOKUP(VALUE(MID(A459,15,4)),'Tabla de codigos'!$E$2:$F$102,2,1))</f>
        <v>OLLA CONVEXA 20</v>
      </c>
      <c r="D459" s="11" t="s">
        <v>375</v>
      </c>
      <c r="E459" s="11" t="s">
        <v>16</v>
      </c>
      <c r="F459" s="11" t="s">
        <v>376</v>
      </c>
      <c r="G459" s="11" t="s">
        <v>377</v>
      </c>
      <c r="H459" s="11">
        <v>24</v>
      </c>
      <c r="I459" s="15">
        <v>0</v>
      </c>
      <c r="J459" s="15">
        <f t="shared" si="16"/>
        <v>24</v>
      </c>
    </row>
    <row r="460" spans="1:11" x14ac:dyDescent="0.2">
      <c r="A460" s="11" t="s">
        <v>152</v>
      </c>
      <c r="B460" s="11" t="str">
        <f t="shared" si="15"/>
        <v>240025</v>
      </c>
      <c r="C460" s="11" t="str">
        <f>_xlfn.CONCAT(+VLOOKUP(VALUE(MID(A460,13,2)),'Tabla de codigos'!$A$2:$B$60,2,1)," ",VLOOKUP(VALUE(MID(A460,15,4)),'Tabla de codigos'!$E$2:$F$102,2,1))</f>
        <v>OLLA CONVEXA 24</v>
      </c>
      <c r="D460" s="11" t="s">
        <v>375</v>
      </c>
      <c r="E460" s="11" t="s">
        <v>16</v>
      </c>
      <c r="F460" s="11" t="s">
        <v>376</v>
      </c>
      <c r="G460" s="11" t="s">
        <v>377</v>
      </c>
      <c r="H460" s="11">
        <v>18</v>
      </c>
      <c r="I460" s="15">
        <v>18</v>
      </c>
      <c r="J460" s="15">
        <f t="shared" si="16"/>
        <v>0</v>
      </c>
    </row>
    <row r="461" spans="1:11" x14ac:dyDescent="0.2">
      <c r="A461" s="11" t="s">
        <v>329</v>
      </c>
      <c r="B461" s="11" t="str">
        <f t="shared" si="15"/>
        <v>060022</v>
      </c>
      <c r="C461" s="11" t="str">
        <f>_xlfn.CONCAT(+VLOOKUP(VALUE(MID(A461,13,2)),'Tabla de codigos'!$A$2:$B$60,2,1)," ",VLOOKUP(VALUE(MID(A461,15,4)),'Tabla de codigos'!$E$2:$F$102,2,1))</f>
        <v>BUDINERA   20</v>
      </c>
      <c r="D461" s="11" t="s">
        <v>330</v>
      </c>
      <c r="E461" s="11" t="s">
        <v>145</v>
      </c>
      <c r="F461" s="11" t="s">
        <v>378</v>
      </c>
      <c r="G461" s="11" t="s">
        <v>379</v>
      </c>
      <c r="H461" s="11">
        <v>18</v>
      </c>
      <c r="I461" s="11">
        <v>0</v>
      </c>
      <c r="J461" s="15">
        <f t="shared" si="16"/>
        <v>18</v>
      </c>
    </row>
    <row r="462" spans="1:11" x14ac:dyDescent="0.2">
      <c r="A462" s="11" t="s">
        <v>241</v>
      </c>
      <c r="B462" s="11" t="str">
        <f t="shared" si="15"/>
        <v>060024</v>
      </c>
      <c r="C462" s="11" t="str">
        <f>_xlfn.CONCAT(+VLOOKUP(VALUE(MID(A462,13,2)),'Tabla de codigos'!$A$2:$B$60,2,1)," ",VLOOKUP(VALUE(MID(A462,15,4)),'Tabla de codigos'!$E$2:$F$102,2,1))</f>
        <v>BUDINERA   22</v>
      </c>
      <c r="D462" s="11" t="s">
        <v>330</v>
      </c>
      <c r="E462" s="11" t="s">
        <v>145</v>
      </c>
      <c r="F462" s="11" t="s">
        <v>378</v>
      </c>
      <c r="G462" s="11" t="s">
        <v>379</v>
      </c>
      <c r="H462" s="11">
        <v>12</v>
      </c>
      <c r="I462" s="11">
        <v>12</v>
      </c>
      <c r="J462" s="16">
        <f t="shared" si="16"/>
        <v>0</v>
      </c>
    </row>
    <row r="463" spans="1:11" x14ac:dyDescent="0.2">
      <c r="A463" s="11" t="s">
        <v>143</v>
      </c>
      <c r="B463" s="11" t="str">
        <f t="shared" si="15"/>
        <v>060025</v>
      </c>
      <c r="C463" s="11" t="str">
        <f>_xlfn.CONCAT(+VLOOKUP(VALUE(MID(A463,13,2)),'Tabla de codigos'!$A$2:$B$60,2,1)," ",VLOOKUP(VALUE(MID(A463,15,4)),'Tabla de codigos'!$E$2:$F$102,2,1))</f>
        <v>BUDINERA   24</v>
      </c>
      <c r="D463" s="11" t="s">
        <v>330</v>
      </c>
      <c r="E463" s="11" t="s">
        <v>145</v>
      </c>
      <c r="F463" s="11" t="s">
        <v>378</v>
      </c>
      <c r="G463" s="11" t="s">
        <v>379</v>
      </c>
      <c r="H463" s="11">
        <v>12</v>
      </c>
      <c r="I463" s="11">
        <v>12</v>
      </c>
      <c r="J463" s="15">
        <f t="shared" si="16"/>
        <v>0</v>
      </c>
    </row>
    <row r="464" spans="1:11" x14ac:dyDescent="0.2">
      <c r="A464" s="11" t="s">
        <v>332</v>
      </c>
      <c r="B464" s="11" t="str">
        <f t="shared" si="15"/>
        <v>060025</v>
      </c>
      <c r="C464" s="11" t="str">
        <f>_xlfn.CONCAT(+VLOOKUP(VALUE(MID(A464,13,2)),'Tabla de codigos'!$A$2:$B$60,2,1)," ",VLOOKUP(VALUE(MID(A464,15,4)),'Tabla de codigos'!$E$2:$F$102,2,1))</f>
        <v>BUDINERA   24</v>
      </c>
      <c r="D464" s="11" t="s">
        <v>330</v>
      </c>
      <c r="E464" s="11" t="s">
        <v>145</v>
      </c>
      <c r="F464" s="11" t="s">
        <v>378</v>
      </c>
      <c r="G464" s="11" t="s">
        <v>379</v>
      </c>
      <c r="H464" s="11">
        <v>6</v>
      </c>
      <c r="I464" s="11">
        <v>0</v>
      </c>
      <c r="J464" s="15">
        <f t="shared" si="16"/>
        <v>6</v>
      </c>
    </row>
    <row r="465" spans="1:10" x14ac:dyDescent="0.2">
      <c r="A465" s="11" t="s">
        <v>148</v>
      </c>
      <c r="B465" s="11" t="str">
        <f t="shared" si="15"/>
        <v>060026</v>
      </c>
      <c r="C465" s="11" t="str">
        <f>_xlfn.CONCAT(+VLOOKUP(VALUE(MID(A465,13,2)),'Tabla de codigos'!$A$2:$B$60,2,1)," ",VLOOKUP(VALUE(MID(A465,15,4)),'Tabla de codigos'!$E$2:$F$102,2,1))</f>
        <v>BUDINERA   26</v>
      </c>
      <c r="D465" s="11" t="s">
        <v>330</v>
      </c>
      <c r="E465" s="11" t="s">
        <v>145</v>
      </c>
      <c r="F465" s="11" t="s">
        <v>378</v>
      </c>
      <c r="G465" s="11" t="s">
        <v>379</v>
      </c>
      <c r="H465" s="11">
        <v>12</v>
      </c>
      <c r="I465" s="11">
        <v>0</v>
      </c>
      <c r="J465" s="16">
        <f t="shared" si="16"/>
        <v>12</v>
      </c>
    </row>
    <row r="466" spans="1:10" x14ac:dyDescent="0.2">
      <c r="A466" s="11" t="s">
        <v>169</v>
      </c>
      <c r="B466" s="11" t="str">
        <f t="shared" si="15"/>
        <v>060029</v>
      </c>
      <c r="C466" s="11" t="str">
        <f>_xlfn.CONCAT(+VLOOKUP(VALUE(MID(A466,13,2)),'Tabla de codigos'!$A$2:$B$60,2,1)," ",VLOOKUP(VALUE(MID(A466,15,4)),'Tabla de codigos'!$E$2:$F$102,2,1))</f>
        <v>BUDINERA   30</v>
      </c>
      <c r="D466" s="11" t="s">
        <v>330</v>
      </c>
      <c r="E466" s="11" t="s">
        <v>145</v>
      </c>
      <c r="F466" s="11" t="s">
        <v>378</v>
      </c>
      <c r="G466" s="11" t="s">
        <v>379</v>
      </c>
      <c r="H466" s="11">
        <v>12</v>
      </c>
      <c r="I466" s="11">
        <v>12</v>
      </c>
      <c r="J466" s="15">
        <f t="shared" si="16"/>
        <v>0</v>
      </c>
    </row>
    <row r="467" spans="1:10" x14ac:dyDescent="0.2">
      <c r="A467" s="11" t="s">
        <v>242</v>
      </c>
      <c r="B467" s="11" t="str">
        <f t="shared" si="15"/>
        <v>100024</v>
      </c>
      <c r="C467" s="11" t="str">
        <f>_xlfn.CONCAT(+VLOOKUP(VALUE(MID(A467,13,2)),'Tabla de codigos'!$A$2:$B$60,2,1)," ",VLOOKUP(VALUE(MID(A467,15,4)),'Tabla de codigos'!$E$2:$F$102,2,1))</f>
        <v>COMAL 22</v>
      </c>
      <c r="D467" s="11" t="s">
        <v>330</v>
      </c>
      <c r="E467" s="11" t="s">
        <v>145</v>
      </c>
      <c r="F467" s="11" t="s">
        <v>378</v>
      </c>
      <c r="G467" s="11" t="s">
        <v>379</v>
      </c>
      <c r="H467" s="11">
        <v>24</v>
      </c>
      <c r="I467" s="11">
        <v>24</v>
      </c>
      <c r="J467" s="15">
        <f t="shared" si="16"/>
        <v>0</v>
      </c>
    </row>
    <row r="468" spans="1:10" x14ac:dyDescent="0.2">
      <c r="A468" s="11" t="s">
        <v>149</v>
      </c>
      <c r="B468" s="11" t="str">
        <f t="shared" si="15"/>
        <v>100028</v>
      </c>
      <c r="C468" s="11" t="str">
        <f>_xlfn.CONCAT(+VLOOKUP(VALUE(MID(A468,13,2)),'Tabla de codigos'!$A$2:$B$60,2,1)," ",VLOOKUP(VALUE(MID(A468,15,4)),'Tabla de codigos'!$E$2:$F$102,2,1))</f>
        <v>COMAL 28</v>
      </c>
      <c r="D468" s="11" t="s">
        <v>330</v>
      </c>
      <c r="E468" s="11" t="s">
        <v>145</v>
      </c>
      <c r="F468" s="11" t="s">
        <v>378</v>
      </c>
      <c r="G468" s="11" t="s">
        <v>379</v>
      </c>
      <c r="H468" s="11">
        <v>24</v>
      </c>
      <c r="I468" s="11">
        <v>24</v>
      </c>
      <c r="J468" s="16">
        <f t="shared" si="16"/>
        <v>0</v>
      </c>
    </row>
    <row r="469" spans="1:10" x14ac:dyDescent="0.2">
      <c r="A469" s="11" t="s">
        <v>333</v>
      </c>
      <c r="B469" s="11" t="str">
        <f t="shared" si="15"/>
        <v>240015</v>
      </c>
      <c r="C469" s="11" t="str">
        <f>_xlfn.CONCAT(+VLOOKUP(VALUE(MID(A469,13,2)),'Tabla de codigos'!$A$2:$B$60,2,1)," ",VLOOKUP(VALUE(MID(A469,15,4)),'Tabla de codigos'!$E$2:$F$102,2,1))</f>
        <v>OLLA CONVEXA 14</v>
      </c>
      <c r="D469" s="11" t="s">
        <v>330</v>
      </c>
      <c r="E469" s="11" t="s">
        <v>145</v>
      </c>
      <c r="F469" s="11" t="s">
        <v>378</v>
      </c>
      <c r="G469" s="11" t="s">
        <v>379</v>
      </c>
      <c r="H469" s="11">
        <v>36</v>
      </c>
      <c r="I469" s="11">
        <v>36</v>
      </c>
      <c r="J469" s="15">
        <f t="shared" si="16"/>
        <v>0</v>
      </c>
    </row>
    <row r="470" spans="1:10" x14ac:dyDescent="0.2">
      <c r="A470" s="11" t="s">
        <v>220</v>
      </c>
      <c r="B470" s="11" t="str">
        <f t="shared" si="15"/>
        <v>240017</v>
      </c>
      <c r="C470" s="11" t="str">
        <f>_xlfn.CONCAT(+VLOOKUP(VALUE(MID(A470,13,2)),'Tabla de codigos'!$A$2:$B$60,2,1)," ",VLOOKUP(VALUE(MID(A470,15,4)),'Tabla de codigos'!$E$2:$F$102,2,1))</f>
        <v>OLLA CONVEXA 16</v>
      </c>
      <c r="D470" s="11" t="s">
        <v>330</v>
      </c>
      <c r="E470" s="11" t="s">
        <v>145</v>
      </c>
      <c r="F470" s="11" t="s">
        <v>378</v>
      </c>
      <c r="G470" s="11" t="s">
        <v>379</v>
      </c>
      <c r="H470" s="11">
        <v>24</v>
      </c>
      <c r="I470" s="11">
        <v>24</v>
      </c>
      <c r="J470" s="16">
        <f t="shared" si="16"/>
        <v>0</v>
      </c>
    </row>
    <row r="471" spans="1:10" x14ac:dyDescent="0.2">
      <c r="A471" s="11" t="s">
        <v>150</v>
      </c>
      <c r="B471" s="11" t="str">
        <f t="shared" si="15"/>
        <v>240021</v>
      </c>
      <c r="C471" s="11" t="str">
        <f>_xlfn.CONCAT(+VLOOKUP(VALUE(MID(A471,13,2)),'Tabla de codigos'!$A$2:$B$60,2,1)," ",VLOOKUP(VALUE(MID(A471,15,4)),'Tabla de codigos'!$E$2:$F$102,2,1))</f>
        <v>OLLA CONVEXA 18</v>
      </c>
      <c r="D471" s="11" t="s">
        <v>330</v>
      </c>
      <c r="E471" s="11" t="s">
        <v>145</v>
      </c>
      <c r="F471" s="11" t="s">
        <v>378</v>
      </c>
      <c r="G471" s="11" t="s">
        <v>379</v>
      </c>
      <c r="H471" s="11">
        <v>24</v>
      </c>
      <c r="I471" s="11">
        <v>0</v>
      </c>
      <c r="J471" s="15">
        <f t="shared" si="16"/>
        <v>24</v>
      </c>
    </row>
    <row r="472" spans="1:10" x14ac:dyDescent="0.2">
      <c r="A472" s="11" t="s">
        <v>151</v>
      </c>
      <c r="B472" s="11" t="str">
        <f t="shared" si="15"/>
        <v>240022</v>
      </c>
      <c r="C472" s="11" t="str">
        <f>_xlfn.CONCAT(+VLOOKUP(VALUE(MID(A472,13,2)),'Tabla de codigos'!$A$2:$B$60,2,1)," ",VLOOKUP(VALUE(MID(A472,15,4)),'Tabla de codigos'!$E$2:$F$102,2,1))</f>
        <v>OLLA CONVEXA 20</v>
      </c>
      <c r="D472" s="11" t="s">
        <v>330</v>
      </c>
      <c r="E472" s="11" t="s">
        <v>145</v>
      </c>
      <c r="F472" s="11" t="s">
        <v>378</v>
      </c>
      <c r="G472" s="11" t="s">
        <v>379</v>
      </c>
      <c r="H472" s="11">
        <v>12</v>
      </c>
      <c r="I472" s="11">
        <v>0</v>
      </c>
      <c r="J472" s="15">
        <f t="shared" si="16"/>
        <v>12</v>
      </c>
    </row>
    <row r="473" spans="1:10" x14ac:dyDescent="0.2">
      <c r="A473" s="11" t="s">
        <v>43</v>
      </c>
      <c r="B473" s="11" t="str">
        <f t="shared" si="15"/>
        <v>240024</v>
      </c>
      <c r="C473" s="11" t="str">
        <f>_xlfn.CONCAT(+VLOOKUP(VALUE(MID(A473,13,2)),'Tabla de codigos'!$A$2:$B$60,2,1)," ",VLOOKUP(VALUE(MID(A473,15,4)),'Tabla de codigos'!$E$2:$F$102,2,1))</f>
        <v>OLLA CONVEXA 22</v>
      </c>
      <c r="D473" s="11" t="s">
        <v>330</v>
      </c>
      <c r="E473" s="11" t="s">
        <v>145</v>
      </c>
      <c r="F473" s="11" t="s">
        <v>378</v>
      </c>
      <c r="G473" s="11" t="s">
        <v>379</v>
      </c>
      <c r="H473" s="11">
        <v>12</v>
      </c>
      <c r="I473" s="11">
        <v>12</v>
      </c>
      <c r="J473" s="15">
        <f t="shared" si="16"/>
        <v>0</v>
      </c>
    </row>
    <row r="474" spans="1:10" x14ac:dyDescent="0.2">
      <c r="A474" s="11" t="s">
        <v>153</v>
      </c>
      <c r="B474" s="11" t="str">
        <f t="shared" si="15"/>
        <v>240026</v>
      </c>
      <c r="C474" s="11" t="str">
        <f>_xlfn.CONCAT(+VLOOKUP(VALUE(MID(A474,13,2)),'Tabla de codigos'!$A$2:$B$60,2,1)," ",VLOOKUP(VALUE(MID(A474,15,4)),'Tabla de codigos'!$E$2:$F$102,2,1))</f>
        <v>OLLA CONVEXA 26</v>
      </c>
      <c r="D474" s="11" t="s">
        <v>330</v>
      </c>
      <c r="E474" s="11" t="s">
        <v>145</v>
      </c>
      <c r="F474" s="11" t="s">
        <v>378</v>
      </c>
      <c r="G474" s="11" t="s">
        <v>379</v>
      </c>
      <c r="H474" s="11">
        <v>24</v>
      </c>
      <c r="I474" s="11">
        <v>24</v>
      </c>
      <c r="J474" s="15">
        <f t="shared" si="16"/>
        <v>0</v>
      </c>
    </row>
    <row r="475" spans="1:10" x14ac:dyDescent="0.2">
      <c r="A475" s="11" t="s">
        <v>154</v>
      </c>
      <c r="B475" s="11" t="str">
        <f t="shared" si="15"/>
        <v>240029</v>
      </c>
      <c r="C475" s="11" t="str">
        <f>_xlfn.CONCAT(+VLOOKUP(VALUE(MID(A475,13,2)),'Tabla de codigos'!$A$2:$B$60,2,1)," ",VLOOKUP(VALUE(MID(A475,15,4)),'Tabla de codigos'!$E$2:$F$102,2,1))</f>
        <v>OLLA CONVEXA 30</v>
      </c>
      <c r="D475" s="11" t="s">
        <v>330</v>
      </c>
      <c r="E475" s="11" t="s">
        <v>145</v>
      </c>
      <c r="F475" s="11" t="s">
        <v>378</v>
      </c>
      <c r="G475" s="11" t="s">
        <v>379</v>
      </c>
      <c r="H475" s="11">
        <v>6</v>
      </c>
      <c r="I475" s="11">
        <v>6</v>
      </c>
      <c r="J475" s="15">
        <f t="shared" si="16"/>
        <v>0</v>
      </c>
    </row>
    <row r="476" spans="1:10" x14ac:dyDescent="0.2">
      <c r="A476" s="11" t="s">
        <v>221</v>
      </c>
      <c r="B476" s="11" t="str">
        <f t="shared" si="15"/>
        <v>240031</v>
      </c>
      <c r="C476" s="11" t="str">
        <f>_xlfn.CONCAT(+VLOOKUP(VALUE(MID(A476,13,2)),'Tabla de codigos'!$A$2:$B$60,2,1)," ",VLOOKUP(VALUE(MID(A476,15,4)),'Tabla de codigos'!$E$2:$F$102,2,1))</f>
        <v>OLLA CONVEXA 34</v>
      </c>
      <c r="D476" s="11" t="s">
        <v>330</v>
      </c>
      <c r="E476" s="11" t="s">
        <v>145</v>
      </c>
      <c r="F476" s="11" t="s">
        <v>378</v>
      </c>
      <c r="G476" s="11" t="s">
        <v>379</v>
      </c>
      <c r="H476" s="11">
        <v>10</v>
      </c>
      <c r="I476" s="11">
        <v>10</v>
      </c>
      <c r="J476" s="15">
        <f t="shared" si="16"/>
        <v>0</v>
      </c>
    </row>
    <row r="477" spans="1:10" x14ac:dyDescent="0.2">
      <c r="A477" s="11" t="s">
        <v>260</v>
      </c>
      <c r="B477" s="11" t="str">
        <f t="shared" si="15"/>
        <v>250022</v>
      </c>
      <c r="C477" s="11" t="str">
        <f>_xlfn.CONCAT(+VLOOKUP(VALUE(MID(A477,13,2)),'Tabla de codigos'!$A$2:$B$60,2,1)," ",VLOOKUP(VALUE(MID(A477,15,4)),'Tabla de codigos'!$E$2:$F$102,2,1))</f>
        <v>OLLA RECTA 20</v>
      </c>
      <c r="D477" s="11" t="s">
        <v>330</v>
      </c>
      <c r="E477" s="11" t="s">
        <v>145</v>
      </c>
      <c r="F477" s="11" t="s">
        <v>378</v>
      </c>
      <c r="G477" s="11" t="s">
        <v>379</v>
      </c>
      <c r="H477" s="11">
        <v>24</v>
      </c>
      <c r="I477" s="11">
        <v>24</v>
      </c>
      <c r="J477" s="15">
        <f t="shared" si="16"/>
        <v>0</v>
      </c>
    </row>
    <row r="478" spans="1:10" x14ac:dyDescent="0.2">
      <c r="A478" s="11" t="s">
        <v>380</v>
      </c>
      <c r="B478" s="11" t="str">
        <f t="shared" si="15"/>
        <v>250022</v>
      </c>
      <c r="C478" s="11" t="str">
        <f>_xlfn.CONCAT(+VLOOKUP(VALUE(MID(A478,13,2)),'Tabla de codigos'!$A$2:$B$60,2,1)," ",VLOOKUP(VALUE(MID(A478,15,4)),'Tabla de codigos'!$E$2:$F$102,2,1))</f>
        <v>OLLA RECTA 20</v>
      </c>
      <c r="D478" s="11" t="s">
        <v>330</v>
      </c>
      <c r="E478" s="11" t="s">
        <v>145</v>
      </c>
      <c r="F478" s="11" t="s">
        <v>378</v>
      </c>
      <c r="G478" s="11" t="s">
        <v>379</v>
      </c>
      <c r="H478" s="11">
        <v>12</v>
      </c>
      <c r="I478" s="11">
        <v>12</v>
      </c>
      <c r="J478" s="15">
        <f t="shared" si="16"/>
        <v>0</v>
      </c>
    </row>
    <row r="479" spans="1:10" x14ac:dyDescent="0.2">
      <c r="A479" s="11" t="s">
        <v>236</v>
      </c>
      <c r="B479" s="11" t="str">
        <f t="shared" si="15"/>
        <v>250024</v>
      </c>
      <c r="C479" s="11" t="str">
        <f>_xlfn.CONCAT(+VLOOKUP(VALUE(MID(A479,13,2)),'Tabla de codigos'!$A$2:$B$60,2,1)," ",VLOOKUP(VALUE(MID(A479,15,4)),'Tabla de codigos'!$E$2:$F$102,2,1))</f>
        <v>OLLA RECTA 22</v>
      </c>
      <c r="D479" s="11" t="s">
        <v>330</v>
      </c>
      <c r="E479" s="11" t="s">
        <v>145</v>
      </c>
      <c r="F479" s="11" t="s">
        <v>378</v>
      </c>
      <c r="G479" s="11" t="s">
        <v>379</v>
      </c>
      <c r="H479" s="11">
        <v>12</v>
      </c>
      <c r="I479" s="11">
        <v>12</v>
      </c>
      <c r="J479" s="16">
        <f t="shared" si="16"/>
        <v>0</v>
      </c>
    </row>
    <row r="480" spans="1:10" x14ac:dyDescent="0.2">
      <c r="A480" s="11" t="s">
        <v>237</v>
      </c>
      <c r="B480" s="11" t="str">
        <f t="shared" si="15"/>
        <v>250025</v>
      </c>
      <c r="C480" s="11" t="str">
        <f>_xlfn.CONCAT(+VLOOKUP(VALUE(MID(A480,13,2)),'Tabla de codigos'!$A$2:$B$60,2,1)," ",VLOOKUP(VALUE(MID(A480,15,4)),'Tabla de codigos'!$E$2:$F$102,2,1))</f>
        <v>OLLA RECTA 24</v>
      </c>
      <c r="D480" s="11" t="s">
        <v>330</v>
      </c>
      <c r="E480" s="11" t="s">
        <v>145</v>
      </c>
      <c r="F480" s="11" t="s">
        <v>378</v>
      </c>
      <c r="G480" s="11" t="s">
        <v>379</v>
      </c>
      <c r="H480" s="11">
        <v>12</v>
      </c>
      <c r="I480" s="11">
        <v>0</v>
      </c>
      <c r="J480" s="15">
        <f t="shared" si="16"/>
        <v>12</v>
      </c>
    </row>
    <row r="481" spans="1:11" x14ac:dyDescent="0.2">
      <c r="A481" s="11" t="s">
        <v>381</v>
      </c>
      <c r="B481" s="11" t="str">
        <f t="shared" si="15"/>
        <v>250025</v>
      </c>
      <c r="C481" s="11" t="str">
        <f>_xlfn.CONCAT(+VLOOKUP(VALUE(MID(A481,13,2)),'Tabla de codigos'!$A$2:$B$60,2,1)," ",VLOOKUP(VALUE(MID(A481,15,4)),'Tabla de codigos'!$E$2:$F$102,2,1))</f>
        <v>OLLA RECTA 24</v>
      </c>
      <c r="D481" s="11" t="s">
        <v>330</v>
      </c>
      <c r="E481" s="11" t="s">
        <v>145</v>
      </c>
      <c r="F481" s="11" t="s">
        <v>378</v>
      </c>
      <c r="G481" s="11" t="s">
        <v>379</v>
      </c>
      <c r="H481" s="11">
        <v>6</v>
      </c>
      <c r="I481" s="11">
        <v>6</v>
      </c>
      <c r="J481" s="15">
        <f t="shared" si="16"/>
        <v>0</v>
      </c>
    </row>
    <row r="482" spans="1:11" x14ac:dyDescent="0.2">
      <c r="A482" s="11" t="s">
        <v>224</v>
      </c>
      <c r="B482" s="11" t="str">
        <f t="shared" si="15"/>
        <v>250026</v>
      </c>
      <c r="C482" s="11" t="str">
        <f>_xlfn.CONCAT(+VLOOKUP(VALUE(MID(A482,13,2)),'Tabla de codigos'!$A$2:$B$60,2,1)," ",VLOOKUP(VALUE(MID(A482,15,4)),'Tabla de codigos'!$E$2:$F$102,2,1))</f>
        <v>OLLA RECTA 26</v>
      </c>
      <c r="D482" s="11" t="s">
        <v>330</v>
      </c>
      <c r="E482" s="11" t="s">
        <v>145</v>
      </c>
      <c r="F482" s="11" t="s">
        <v>378</v>
      </c>
      <c r="G482" s="11" t="s">
        <v>379</v>
      </c>
      <c r="H482" s="11">
        <v>6</v>
      </c>
      <c r="I482" s="11">
        <v>6</v>
      </c>
      <c r="J482" s="15">
        <f t="shared" si="16"/>
        <v>0</v>
      </c>
    </row>
    <row r="483" spans="1:11" x14ac:dyDescent="0.2">
      <c r="A483" s="11" t="s">
        <v>336</v>
      </c>
      <c r="B483" s="11" t="str">
        <f t="shared" si="15"/>
        <v>250028</v>
      </c>
      <c r="C483" s="11" t="str">
        <f>_xlfn.CONCAT(+VLOOKUP(VALUE(MID(A483,13,2)),'Tabla de codigos'!$A$2:$B$60,2,1)," ",VLOOKUP(VALUE(MID(A483,15,4)),'Tabla de codigos'!$E$2:$F$102,2,1))</f>
        <v>OLLA RECTA 28</v>
      </c>
      <c r="D483" s="11" t="s">
        <v>330</v>
      </c>
      <c r="E483" s="11" t="s">
        <v>145</v>
      </c>
      <c r="F483" s="11" t="s">
        <v>378</v>
      </c>
      <c r="G483" s="11" t="s">
        <v>379</v>
      </c>
      <c r="H483" s="11">
        <v>4</v>
      </c>
      <c r="I483" s="11">
        <v>0</v>
      </c>
      <c r="J483" s="15">
        <f t="shared" si="16"/>
        <v>4</v>
      </c>
    </row>
    <row r="484" spans="1:11" x14ac:dyDescent="0.2">
      <c r="A484" s="11" t="s">
        <v>155</v>
      </c>
      <c r="B484" s="11" t="str">
        <f t="shared" si="15"/>
        <v>250029</v>
      </c>
      <c r="C484" s="11" t="str">
        <f>_xlfn.CONCAT(+VLOOKUP(VALUE(MID(A484,13,2)),'Tabla de codigos'!$A$2:$B$60,2,1)," ",VLOOKUP(VALUE(MID(A484,15,4)),'Tabla de codigos'!$E$2:$F$102,2,1))</f>
        <v>OLLA RECTA 30</v>
      </c>
      <c r="D484" s="11" t="s">
        <v>330</v>
      </c>
      <c r="E484" s="11" t="s">
        <v>145</v>
      </c>
      <c r="F484" s="11" t="s">
        <v>378</v>
      </c>
      <c r="G484" s="11" t="s">
        <v>379</v>
      </c>
      <c r="H484" s="11">
        <v>15</v>
      </c>
      <c r="I484" s="11">
        <v>0</v>
      </c>
      <c r="J484" s="15">
        <f t="shared" si="16"/>
        <v>15</v>
      </c>
    </row>
    <row r="485" spans="1:11" x14ac:dyDescent="0.2">
      <c r="A485" s="11" t="s">
        <v>157</v>
      </c>
      <c r="B485" s="11" t="str">
        <f t="shared" si="15"/>
        <v>250033</v>
      </c>
      <c r="C485" s="11" t="str">
        <f>_xlfn.CONCAT(+VLOOKUP(VALUE(MID(A485,13,2)),'Tabla de codigos'!$A$2:$B$60,2,1)," ",VLOOKUP(VALUE(MID(A485,15,4)),'Tabla de codigos'!$E$2:$F$102,2,1))</f>
        <v>OLLA RECTA 42</v>
      </c>
      <c r="D485" s="11" t="s">
        <v>330</v>
      </c>
      <c r="E485" s="11" t="s">
        <v>145</v>
      </c>
      <c r="F485" s="11" t="s">
        <v>378</v>
      </c>
      <c r="G485" s="11" t="s">
        <v>379</v>
      </c>
      <c r="H485" s="11">
        <v>2</v>
      </c>
      <c r="I485" s="11">
        <v>2</v>
      </c>
      <c r="J485" s="16">
        <f t="shared" si="16"/>
        <v>0</v>
      </c>
    </row>
    <row r="486" spans="1:11" x14ac:dyDescent="0.2">
      <c r="A486" s="11" t="s">
        <v>227</v>
      </c>
      <c r="B486" s="11" t="str">
        <f t="shared" si="15"/>
        <v>360024</v>
      </c>
      <c r="C486" s="11" t="str">
        <f>_xlfn.CONCAT(+VLOOKUP(VALUE(MID(A486,13,2)),'Tabla de codigos'!$A$2:$B$60,2,1)," ",VLOOKUP(VALUE(MID(A486,15,4)),'Tabla de codigos'!$E$2:$F$102,2,1))</f>
        <v>SARTEN 22</v>
      </c>
      <c r="D486" s="11" t="s">
        <v>330</v>
      </c>
      <c r="E486" s="11" t="s">
        <v>145</v>
      </c>
      <c r="F486" s="11" t="s">
        <v>378</v>
      </c>
      <c r="G486" s="11" t="s">
        <v>379</v>
      </c>
      <c r="H486" s="11">
        <v>24</v>
      </c>
      <c r="I486" s="11">
        <v>0</v>
      </c>
      <c r="J486" s="15">
        <f t="shared" si="16"/>
        <v>24</v>
      </c>
    </row>
    <row r="487" spans="1:11" x14ac:dyDescent="0.2">
      <c r="A487" s="11" t="s">
        <v>239</v>
      </c>
      <c r="B487" s="11" t="str">
        <f t="shared" si="15"/>
        <v>360026</v>
      </c>
      <c r="C487" s="11" t="str">
        <f>_xlfn.CONCAT(+VLOOKUP(VALUE(MID(A487,13,2)),'Tabla de codigos'!$A$2:$B$60,2,1)," ",VLOOKUP(VALUE(MID(A487,15,4)),'Tabla de codigos'!$E$2:$F$102,2,1))</f>
        <v>SARTEN 26</v>
      </c>
      <c r="D487" s="11" t="s">
        <v>330</v>
      </c>
      <c r="E487" s="11" t="s">
        <v>145</v>
      </c>
      <c r="F487" s="11" t="s">
        <v>378</v>
      </c>
      <c r="G487" s="11" t="s">
        <v>379</v>
      </c>
      <c r="H487" s="11">
        <v>24</v>
      </c>
      <c r="I487" s="11">
        <v>24</v>
      </c>
      <c r="J487" s="15">
        <f t="shared" si="16"/>
        <v>0</v>
      </c>
    </row>
    <row r="488" spans="1:11" x14ac:dyDescent="0.2">
      <c r="A488" s="11" t="s">
        <v>240</v>
      </c>
      <c r="B488" s="11" t="str">
        <f t="shared" si="15"/>
        <v>440031</v>
      </c>
      <c r="C488" s="11" t="str">
        <f>_xlfn.CONCAT(+VLOOKUP(VALUE(MID(A488,13,2)),'Tabla de codigos'!$A$2:$B$60,2,1)," ",VLOOKUP(VALUE(MID(A488,15,4)),'Tabla de codigos'!$E$2:$F$102,2,1))</f>
        <v>VAPORERA 34</v>
      </c>
      <c r="D488" s="11" t="s">
        <v>330</v>
      </c>
      <c r="E488" s="11" t="s">
        <v>145</v>
      </c>
      <c r="F488" s="11" t="s">
        <v>378</v>
      </c>
      <c r="G488" s="11" t="s">
        <v>379</v>
      </c>
      <c r="H488" s="11">
        <v>8</v>
      </c>
      <c r="I488" s="11">
        <v>0</v>
      </c>
      <c r="J488" s="15">
        <f t="shared" si="16"/>
        <v>8</v>
      </c>
    </row>
    <row r="489" spans="1:11" x14ac:dyDescent="0.2">
      <c r="A489" s="11" t="s">
        <v>238</v>
      </c>
      <c r="B489" s="11" t="str">
        <f t="shared" si="15"/>
        <v>250099</v>
      </c>
      <c r="C489" s="11" t="str">
        <f>_xlfn.CONCAT(+VLOOKUP(VALUE(MID(A489,13,2)),'Tabla de codigos'!$A$2:$B$60,2,1)," ",VLOOKUP(VALUE(MID(A489,15,4)),'Tabla de codigos'!$E$2:$F$102,2,1))</f>
        <v>OLLA RECTA 38</v>
      </c>
      <c r="D489" s="11" t="s">
        <v>330</v>
      </c>
      <c r="E489" s="11" t="s">
        <v>145</v>
      </c>
      <c r="F489" s="11" t="s">
        <v>378</v>
      </c>
      <c r="G489" s="11" t="s">
        <v>379</v>
      </c>
      <c r="H489" s="11">
        <v>8</v>
      </c>
      <c r="I489" s="11">
        <f>6+2</f>
        <v>8</v>
      </c>
      <c r="J489" s="15">
        <f t="shared" si="16"/>
        <v>0</v>
      </c>
      <c r="K489" s="17">
        <f>(SUM(I461:I489))/(SUM(H461:H489))</f>
        <v>0.68235294117647061</v>
      </c>
    </row>
    <row r="490" spans="1:11" x14ac:dyDescent="0.2">
      <c r="A490" s="11" t="s">
        <v>255</v>
      </c>
      <c r="B490" s="11" t="str">
        <f t="shared" si="15"/>
        <v>060014</v>
      </c>
      <c r="C490" s="11" t="str">
        <f>_xlfn.CONCAT(+VLOOKUP(VALUE(MID(A490,13,2)),'Tabla de codigos'!$A$2:$B$60,2,1)," ",VLOOKUP(VALUE(MID(A490,15,4)),'Tabla de codigos'!$E$2:$F$102,2,1))</f>
        <v>BUDINERA   12</v>
      </c>
      <c r="D490" s="11" t="s">
        <v>382</v>
      </c>
      <c r="E490" s="11" t="s">
        <v>145</v>
      </c>
      <c r="F490" s="11" t="s">
        <v>383</v>
      </c>
      <c r="G490" s="11" t="s">
        <v>379</v>
      </c>
      <c r="H490" s="11">
        <v>54</v>
      </c>
      <c r="I490" s="11">
        <f>2+18+2</f>
        <v>22</v>
      </c>
      <c r="J490" s="15">
        <f t="shared" si="16"/>
        <v>32</v>
      </c>
    </row>
    <row r="491" spans="1:11" x14ac:dyDescent="0.2">
      <c r="A491" s="11" t="s">
        <v>256</v>
      </c>
      <c r="B491" s="11" t="str">
        <f t="shared" si="15"/>
        <v>060015</v>
      </c>
      <c r="C491" s="11" t="str">
        <f>_xlfn.CONCAT(+VLOOKUP(VALUE(MID(A491,13,2)),'Tabla de codigos'!$A$2:$B$60,2,1)," ",VLOOKUP(VALUE(MID(A491,15,4)),'Tabla de codigos'!$E$2:$F$102,2,1))</f>
        <v>BUDINERA   14</v>
      </c>
      <c r="D491" s="11" t="s">
        <v>382</v>
      </c>
      <c r="E491" s="11" t="s">
        <v>145</v>
      </c>
      <c r="F491" s="11" t="s">
        <v>383</v>
      </c>
      <c r="G491" s="11" t="s">
        <v>379</v>
      </c>
      <c r="H491" s="11">
        <v>54</v>
      </c>
      <c r="I491" s="11">
        <v>0</v>
      </c>
      <c r="J491" s="16">
        <f t="shared" si="16"/>
        <v>54</v>
      </c>
    </row>
    <row r="492" spans="1:11" x14ac:dyDescent="0.2">
      <c r="A492" s="11" t="s">
        <v>189</v>
      </c>
      <c r="B492" s="11" t="str">
        <f t="shared" si="15"/>
        <v>060017</v>
      </c>
      <c r="C492" s="11" t="str">
        <f>_xlfn.CONCAT(+VLOOKUP(VALUE(MID(A492,13,2)),'Tabla de codigos'!$A$2:$B$60,2,1)," ",VLOOKUP(VALUE(MID(A492,15,4)),'Tabla de codigos'!$E$2:$F$102,2,1))</f>
        <v>BUDINERA   16</v>
      </c>
      <c r="D492" s="11" t="s">
        <v>382</v>
      </c>
      <c r="E492" s="11" t="s">
        <v>145</v>
      </c>
      <c r="F492" s="11" t="s">
        <v>383</v>
      </c>
      <c r="G492" s="11" t="s">
        <v>379</v>
      </c>
      <c r="H492" s="11">
        <v>54</v>
      </c>
      <c r="I492" s="11">
        <v>0</v>
      </c>
      <c r="J492" s="16">
        <f t="shared" si="16"/>
        <v>54</v>
      </c>
    </row>
    <row r="493" spans="1:11" x14ac:dyDescent="0.2">
      <c r="A493" s="11" t="s">
        <v>214</v>
      </c>
      <c r="B493" s="11" t="str">
        <f t="shared" si="15"/>
        <v>060021</v>
      </c>
      <c r="C493" s="11" t="str">
        <f>_xlfn.CONCAT(+VLOOKUP(VALUE(MID(A493,13,2)),'Tabla de codigos'!$A$2:$B$60,2,1)," ",VLOOKUP(VALUE(MID(A493,15,4)),'Tabla de codigos'!$E$2:$F$102,2,1))</f>
        <v>BUDINERA   18</v>
      </c>
      <c r="D493" s="11" t="s">
        <v>382</v>
      </c>
      <c r="E493" s="11" t="s">
        <v>145</v>
      </c>
      <c r="F493" s="11" t="s">
        <v>383</v>
      </c>
      <c r="G493" s="11" t="s">
        <v>379</v>
      </c>
      <c r="H493" s="11">
        <v>54</v>
      </c>
      <c r="I493" s="11">
        <v>54</v>
      </c>
      <c r="J493" s="15">
        <f t="shared" si="16"/>
        <v>0</v>
      </c>
    </row>
    <row r="494" spans="1:11" x14ac:dyDescent="0.2">
      <c r="A494" s="11" t="s">
        <v>215</v>
      </c>
      <c r="B494" s="11" t="str">
        <f t="shared" si="15"/>
        <v>060022</v>
      </c>
      <c r="C494" s="11" t="str">
        <f>_xlfn.CONCAT(+VLOOKUP(VALUE(MID(A494,13,2)),'Tabla de codigos'!$A$2:$B$60,2,1)," ",VLOOKUP(VALUE(MID(A494,15,4)),'Tabla de codigos'!$E$2:$F$102,2,1))</f>
        <v>BUDINERA   20</v>
      </c>
      <c r="D494" s="11" t="s">
        <v>382</v>
      </c>
      <c r="E494" s="11" t="s">
        <v>145</v>
      </c>
      <c r="F494" s="11" t="s">
        <v>383</v>
      </c>
      <c r="G494" s="11" t="s">
        <v>379</v>
      </c>
      <c r="H494" s="11">
        <v>54</v>
      </c>
      <c r="I494" s="11">
        <v>54</v>
      </c>
      <c r="J494" s="15">
        <f t="shared" si="16"/>
        <v>0</v>
      </c>
    </row>
    <row r="495" spans="1:11" x14ac:dyDescent="0.2">
      <c r="A495" s="11" t="s">
        <v>241</v>
      </c>
      <c r="B495" s="11" t="str">
        <f t="shared" si="15"/>
        <v>060024</v>
      </c>
      <c r="C495" s="11" t="str">
        <f>_xlfn.CONCAT(+VLOOKUP(VALUE(MID(A495,13,2)),'Tabla de codigos'!$A$2:$B$60,2,1)," ",VLOOKUP(VALUE(MID(A495,15,4)),'Tabla de codigos'!$E$2:$F$102,2,1))</f>
        <v>BUDINERA   22</v>
      </c>
      <c r="D495" s="11" t="s">
        <v>382</v>
      </c>
      <c r="E495" s="11" t="s">
        <v>145</v>
      </c>
      <c r="F495" s="11" t="s">
        <v>383</v>
      </c>
      <c r="G495" s="11" t="s">
        <v>379</v>
      </c>
      <c r="H495" s="11">
        <v>24</v>
      </c>
      <c r="I495" s="11">
        <f>10+14</f>
        <v>24</v>
      </c>
      <c r="J495" s="15">
        <f t="shared" si="16"/>
        <v>0</v>
      </c>
    </row>
    <row r="496" spans="1:11" x14ac:dyDescent="0.2">
      <c r="A496" s="11" t="s">
        <v>187</v>
      </c>
      <c r="B496" s="11" t="str">
        <f t="shared" si="15"/>
        <v>240014</v>
      </c>
      <c r="C496" s="11" t="str">
        <f>_xlfn.CONCAT(+VLOOKUP(VALUE(MID(A496,13,2)),'Tabla de codigos'!$A$2:$B$60,2,1)," ",VLOOKUP(VALUE(MID(A496,15,4)),'Tabla de codigos'!$E$2:$F$102,2,1))</f>
        <v>OLLA CONVEXA 12</v>
      </c>
      <c r="D496" s="11" t="s">
        <v>382</v>
      </c>
      <c r="E496" s="11" t="s">
        <v>145</v>
      </c>
      <c r="F496" s="11" t="s">
        <v>383</v>
      </c>
      <c r="G496" s="11" t="s">
        <v>379</v>
      </c>
      <c r="H496" s="11">
        <v>54</v>
      </c>
      <c r="I496" s="11">
        <v>0</v>
      </c>
      <c r="J496" s="15">
        <f t="shared" si="16"/>
        <v>54</v>
      </c>
    </row>
    <row r="497" spans="1:11" x14ac:dyDescent="0.2">
      <c r="A497" s="11" t="s">
        <v>333</v>
      </c>
      <c r="B497" s="11" t="str">
        <f t="shared" si="15"/>
        <v>240015</v>
      </c>
      <c r="C497" s="11" t="str">
        <f>_xlfn.CONCAT(+VLOOKUP(VALUE(MID(A497,13,2)),'Tabla de codigos'!$A$2:$B$60,2,1)," ",VLOOKUP(VALUE(MID(A497,15,4)),'Tabla de codigos'!$E$2:$F$102,2,1))</f>
        <v>OLLA CONVEXA 14</v>
      </c>
      <c r="D497" s="11" t="s">
        <v>382</v>
      </c>
      <c r="E497" s="11" t="s">
        <v>145</v>
      </c>
      <c r="F497" s="11" t="s">
        <v>383</v>
      </c>
      <c r="G497" s="11" t="s">
        <v>379</v>
      </c>
      <c r="H497" s="11">
        <v>54</v>
      </c>
      <c r="I497" s="11">
        <v>54</v>
      </c>
      <c r="J497" s="15">
        <f t="shared" si="16"/>
        <v>0</v>
      </c>
    </row>
    <row r="498" spans="1:11" x14ac:dyDescent="0.2">
      <c r="A498" s="11" t="s">
        <v>220</v>
      </c>
      <c r="B498" s="11" t="str">
        <f t="shared" si="15"/>
        <v>240017</v>
      </c>
      <c r="C498" s="11" t="str">
        <f>_xlfn.CONCAT(+VLOOKUP(VALUE(MID(A498,13,2)),'Tabla de codigos'!$A$2:$B$60,2,1)," ",VLOOKUP(VALUE(MID(A498,15,4)),'Tabla de codigos'!$E$2:$F$102,2,1))</f>
        <v>OLLA CONVEXA 16</v>
      </c>
      <c r="D498" s="11" t="s">
        <v>382</v>
      </c>
      <c r="E498" s="11" t="s">
        <v>145</v>
      </c>
      <c r="F498" s="11" t="s">
        <v>383</v>
      </c>
      <c r="G498" s="11" t="s">
        <v>379</v>
      </c>
      <c r="H498" s="11">
        <v>36</v>
      </c>
      <c r="I498" s="11">
        <v>36</v>
      </c>
      <c r="J498" s="16">
        <f t="shared" si="16"/>
        <v>0</v>
      </c>
    </row>
    <row r="499" spans="1:11" x14ac:dyDescent="0.2">
      <c r="A499" s="11" t="s">
        <v>222</v>
      </c>
      <c r="B499" s="11" t="str">
        <f t="shared" si="15"/>
        <v>250014</v>
      </c>
      <c r="C499" s="11" t="str">
        <f>_xlfn.CONCAT(+VLOOKUP(VALUE(MID(A499,13,2)),'Tabla de codigos'!$A$2:$B$60,2,1)," ",VLOOKUP(VALUE(MID(A499,15,4)),'Tabla de codigos'!$E$2:$F$102,2,1))</f>
        <v>OLLA RECTA 12</v>
      </c>
      <c r="D499" s="11" t="s">
        <v>382</v>
      </c>
      <c r="E499" s="11" t="s">
        <v>145</v>
      </c>
      <c r="F499" s="11" t="s">
        <v>383</v>
      </c>
      <c r="G499" s="11" t="s">
        <v>379</v>
      </c>
      <c r="H499" s="11">
        <v>54</v>
      </c>
      <c r="I499" s="11">
        <v>36</v>
      </c>
      <c r="J499" s="15">
        <f t="shared" si="16"/>
        <v>18</v>
      </c>
    </row>
    <row r="500" spans="1:11" x14ac:dyDescent="0.2">
      <c r="A500" s="11" t="s">
        <v>257</v>
      </c>
      <c r="B500" s="11" t="str">
        <f t="shared" si="15"/>
        <v>250015</v>
      </c>
      <c r="C500" s="11" t="str">
        <f>_xlfn.CONCAT(+VLOOKUP(VALUE(MID(A500,13,2)),'Tabla de codigos'!$A$2:$B$60,2,1)," ",VLOOKUP(VALUE(MID(A500,15,4)),'Tabla de codigos'!$E$2:$F$102,2,1))</f>
        <v>OLLA RECTA 14</v>
      </c>
      <c r="D500" s="11" t="s">
        <v>382</v>
      </c>
      <c r="E500" s="11" t="s">
        <v>145</v>
      </c>
      <c r="F500" s="11" t="s">
        <v>383</v>
      </c>
      <c r="G500" s="11" t="s">
        <v>379</v>
      </c>
      <c r="H500" s="11">
        <v>54</v>
      </c>
      <c r="I500" s="11">
        <v>0</v>
      </c>
      <c r="J500" s="16">
        <f t="shared" si="16"/>
        <v>54</v>
      </c>
    </row>
    <row r="501" spans="1:11" x14ac:dyDescent="0.2">
      <c r="A501" s="11" t="s">
        <v>258</v>
      </c>
      <c r="B501" s="11" t="str">
        <f t="shared" si="15"/>
        <v>250017</v>
      </c>
      <c r="C501" s="11" t="str">
        <f>_xlfn.CONCAT(+VLOOKUP(VALUE(MID(A501,13,2)),'Tabla de codigos'!$A$2:$B$60,2,1)," ",VLOOKUP(VALUE(MID(A501,15,4)),'Tabla de codigos'!$E$2:$F$102,2,1))</f>
        <v>OLLA RECTA 16</v>
      </c>
      <c r="D501" s="11" t="s">
        <v>382</v>
      </c>
      <c r="E501" s="11" t="s">
        <v>145</v>
      </c>
      <c r="F501" s="11" t="s">
        <v>383</v>
      </c>
      <c r="G501" s="11" t="s">
        <v>379</v>
      </c>
      <c r="H501" s="11">
        <v>36</v>
      </c>
      <c r="I501" s="11">
        <v>36</v>
      </c>
      <c r="J501" s="15">
        <f t="shared" si="16"/>
        <v>0</v>
      </c>
    </row>
    <row r="502" spans="1:11" x14ac:dyDescent="0.2">
      <c r="A502" s="11" t="s">
        <v>259</v>
      </c>
      <c r="B502" s="11" t="str">
        <f t="shared" si="15"/>
        <v>250021</v>
      </c>
      <c r="C502" s="11" t="str">
        <f>_xlfn.CONCAT(+VLOOKUP(VALUE(MID(A502,13,2)),'Tabla de codigos'!$A$2:$B$60,2,1)," ",VLOOKUP(VALUE(MID(A502,15,4)),'Tabla de codigos'!$E$2:$F$102,2,1))</f>
        <v>OLLA RECTA 18</v>
      </c>
      <c r="D502" s="11" t="s">
        <v>382</v>
      </c>
      <c r="E502" s="11" t="s">
        <v>145</v>
      </c>
      <c r="F502" s="11" t="s">
        <v>383</v>
      </c>
      <c r="G502" s="11" t="s">
        <v>379</v>
      </c>
      <c r="H502" s="11">
        <v>36</v>
      </c>
      <c r="I502" s="11">
        <f>24+12</f>
        <v>36</v>
      </c>
      <c r="J502" s="15">
        <f t="shared" si="16"/>
        <v>0</v>
      </c>
    </row>
    <row r="503" spans="1:11" x14ac:dyDescent="0.2">
      <c r="A503" s="11" t="s">
        <v>260</v>
      </c>
      <c r="B503" s="11" t="str">
        <f t="shared" si="15"/>
        <v>250022</v>
      </c>
      <c r="C503" s="11" t="str">
        <f>_xlfn.CONCAT(+VLOOKUP(VALUE(MID(A503,13,2)),'Tabla de codigos'!$A$2:$B$60,2,1)," ",VLOOKUP(VALUE(MID(A503,15,4)),'Tabla de codigos'!$E$2:$F$102,2,1))</f>
        <v>OLLA RECTA 20</v>
      </c>
      <c r="D503" s="11" t="s">
        <v>382</v>
      </c>
      <c r="E503" s="11" t="s">
        <v>145</v>
      </c>
      <c r="F503" s="11" t="s">
        <v>383</v>
      </c>
      <c r="G503" s="11" t="s">
        <v>379</v>
      </c>
      <c r="H503" s="11">
        <v>36</v>
      </c>
      <c r="I503" s="11">
        <v>36</v>
      </c>
      <c r="J503" s="15">
        <f t="shared" si="16"/>
        <v>0</v>
      </c>
    </row>
    <row r="504" spans="1:11" x14ac:dyDescent="0.2">
      <c r="A504" s="11" t="s">
        <v>66</v>
      </c>
      <c r="B504" s="11" t="str">
        <f t="shared" si="15"/>
        <v>260022</v>
      </c>
      <c r="C504" s="11" t="str">
        <f>_xlfn.CONCAT(+VLOOKUP(VALUE(MID(A504,13,2)),'Tabla de codigos'!$A$2:$B$60,2,1)," ",VLOOKUP(VALUE(MID(A504,15,4)),'Tabla de codigos'!$E$2:$F$102,2,1))</f>
        <v>PLATO AVENERO 20</v>
      </c>
      <c r="D504" s="11" t="s">
        <v>382</v>
      </c>
      <c r="E504" s="11" t="s">
        <v>145</v>
      </c>
      <c r="F504" s="11" t="s">
        <v>383</v>
      </c>
      <c r="G504" s="11" t="s">
        <v>379</v>
      </c>
      <c r="H504" s="11">
        <v>48</v>
      </c>
      <c r="I504" s="11">
        <f>43+5</f>
        <v>48</v>
      </c>
      <c r="J504" s="15">
        <f t="shared" si="16"/>
        <v>0</v>
      </c>
    </row>
    <row r="505" spans="1:11" x14ac:dyDescent="0.2">
      <c r="A505" s="11" t="s">
        <v>283</v>
      </c>
      <c r="B505" s="11" t="str">
        <f t="shared" si="15"/>
        <v>260022</v>
      </c>
      <c r="C505" s="11" t="str">
        <f>_xlfn.CONCAT(+VLOOKUP(VALUE(MID(A505,13,2)),'Tabla de codigos'!$A$2:$B$60,2,1)," ",VLOOKUP(VALUE(MID(A505,15,4)),'Tabla de codigos'!$E$2:$F$102,2,1))</f>
        <v>PLATO AVENERO 20</v>
      </c>
      <c r="D505" s="11" t="s">
        <v>382</v>
      </c>
      <c r="E505" s="11" t="s">
        <v>145</v>
      </c>
      <c r="F505" s="11" t="s">
        <v>383</v>
      </c>
      <c r="G505" s="11" t="s">
        <v>379</v>
      </c>
      <c r="H505" s="11">
        <v>48</v>
      </c>
      <c r="I505" s="11">
        <v>48</v>
      </c>
      <c r="J505" s="15">
        <f t="shared" si="16"/>
        <v>0</v>
      </c>
    </row>
    <row r="506" spans="1:11" x14ac:dyDescent="0.2">
      <c r="A506" s="11" t="s">
        <v>225</v>
      </c>
      <c r="B506" s="11" t="str">
        <f t="shared" si="15"/>
        <v>330012</v>
      </c>
      <c r="C506" s="11" t="str">
        <f>_xlfn.CONCAT(+VLOOKUP(VALUE(MID(A506,13,2)),'Tabla de codigos'!$A$2:$B$60,2,1)," ",VLOOKUP(VALUE(MID(A506,15,4)),'Tabla de codigos'!$E$2:$F$102,2,1))</f>
        <v>POCILLO 8</v>
      </c>
      <c r="D506" s="11" t="s">
        <v>382</v>
      </c>
      <c r="E506" s="11" t="s">
        <v>145</v>
      </c>
      <c r="F506" s="11" t="s">
        <v>383</v>
      </c>
      <c r="G506" s="11" t="s">
        <v>379</v>
      </c>
      <c r="H506" s="11">
        <v>72</v>
      </c>
      <c r="I506" s="11">
        <v>72</v>
      </c>
      <c r="J506" s="15">
        <f t="shared" si="16"/>
        <v>0</v>
      </c>
    </row>
    <row r="507" spans="1:11" x14ac:dyDescent="0.2">
      <c r="A507" s="11" t="s">
        <v>226</v>
      </c>
      <c r="B507" s="11" t="str">
        <f t="shared" si="15"/>
        <v>330013</v>
      </c>
      <c r="C507" s="11" t="str">
        <f>_xlfn.CONCAT(+VLOOKUP(VALUE(MID(A507,13,2)),'Tabla de codigos'!$A$2:$B$60,2,1)," ",VLOOKUP(VALUE(MID(A507,15,4)),'Tabla de codigos'!$E$2:$F$102,2,1))</f>
        <v>POCILLO 10</v>
      </c>
      <c r="D507" s="11" t="s">
        <v>382</v>
      </c>
      <c r="E507" s="11" t="s">
        <v>145</v>
      </c>
      <c r="F507" s="11" t="s">
        <v>383</v>
      </c>
      <c r="G507" s="11" t="s">
        <v>379</v>
      </c>
      <c r="H507" s="11">
        <v>72</v>
      </c>
      <c r="I507" s="11">
        <f>24+16+32</f>
        <v>72</v>
      </c>
      <c r="J507" s="16">
        <f t="shared" si="16"/>
        <v>0</v>
      </c>
    </row>
    <row r="508" spans="1:11" x14ac:dyDescent="0.2">
      <c r="A508" s="11" t="s">
        <v>180</v>
      </c>
      <c r="B508" s="11" t="str">
        <f t="shared" si="15"/>
        <v>330014</v>
      </c>
      <c r="C508" s="11" t="str">
        <f>_xlfn.CONCAT(+VLOOKUP(VALUE(MID(A508,13,2)),'Tabla de codigos'!$A$2:$B$60,2,1)," ",VLOOKUP(VALUE(MID(A508,15,4)),'Tabla de codigos'!$E$2:$F$102,2,1))</f>
        <v>POCILLO 12</v>
      </c>
      <c r="D508" s="11" t="s">
        <v>382</v>
      </c>
      <c r="E508" s="11" t="s">
        <v>145</v>
      </c>
      <c r="F508" s="11" t="s">
        <v>383</v>
      </c>
      <c r="G508" s="11" t="s">
        <v>379</v>
      </c>
      <c r="H508" s="11">
        <v>36</v>
      </c>
      <c r="I508" s="11">
        <v>0</v>
      </c>
      <c r="J508" s="15">
        <f t="shared" si="16"/>
        <v>36</v>
      </c>
    </row>
    <row r="509" spans="1:11" x14ac:dyDescent="0.2">
      <c r="A509" s="11" t="s">
        <v>262</v>
      </c>
      <c r="B509" s="11" t="str">
        <f t="shared" si="15"/>
        <v>360022</v>
      </c>
      <c r="C509" s="11" t="str">
        <f>_xlfn.CONCAT(+VLOOKUP(VALUE(MID(A509,13,2)),'Tabla de codigos'!$A$2:$B$60,2,1)," ",VLOOKUP(VALUE(MID(A509,15,4)),'Tabla de codigos'!$E$2:$F$102,2,1))</f>
        <v>SARTEN 20</v>
      </c>
      <c r="D509" s="11" t="s">
        <v>382</v>
      </c>
      <c r="E509" s="11" t="s">
        <v>145</v>
      </c>
      <c r="F509" s="11" t="s">
        <v>383</v>
      </c>
      <c r="G509" s="11" t="s">
        <v>379</v>
      </c>
      <c r="H509" s="11">
        <v>24</v>
      </c>
      <c r="I509" s="11">
        <v>0</v>
      </c>
      <c r="J509" s="15">
        <f t="shared" si="16"/>
        <v>24</v>
      </c>
    </row>
    <row r="510" spans="1:11" x14ac:dyDescent="0.2">
      <c r="A510" s="11" t="s">
        <v>227</v>
      </c>
      <c r="B510" s="11" t="str">
        <f t="shared" si="15"/>
        <v>360024</v>
      </c>
      <c r="C510" s="11" t="str">
        <f>_xlfn.CONCAT(+VLOOKUP(VALUE(MID(A510,13,2)),'Tabla de codigos'!$A$2:$B$60,2,1)," ",VLOOKUP(VALUE(MID(A510,15,4)),'Tabla de codigos'!$E$2:$F$102,2,1))</f>
        <v>SARTEN 22</v>
      </c>
      <c r="D510" s="11" t="s">
        <v>382</v>
      </c>
      <c r="E510" s="11" t="s">
        <v>145</v>
      </c>
      <c r="F510" s="11" t="s">
        <v>383</v>
      </c>
      <c r="G510" s="11" t="s">
        <v>379</v>
      </c>
      <c r="H510" s="11">
        <v>24</v>
      </c>
      <c r="I510" s="11">
        <v>0</v>
      </c>
      <c r="J510" s="15">
        <f t="shared" si="16"/>
        <v>24</v>
      </c>
    </row>
    <row r="511" spans="1:11" x14ac:dyDescent="0.2">
      <c r="A511" s="11" t="s">
        <v>44</v>
      </c>
      <c r="B511" s="11" t="str">
        <f t="shared" si="15"/>
        <v>360025</v>
      </c>
      <c r="C511" s="11" t="str">
        <f>_xlfn.CONCAT(+VLOOKUP(VALUE(MID(A511,13,2)),'Tabla de codigos'!$A$2:$B$60,2,1)," ",VLOOKUP(VALUE(MID(A511,15,4)),'Tabla de codigos'!$E$2:$F$102,2,1))</f>
        <v>SARTEN 24</v>
      </c>
      <c r="D511" s="11" t="s">
        <v>382</v>
      </c>
      <c r="E511" s="11" t="s">
        <v>145</v>
      </c>
      <c r="F511" s="11" t="s">
        <v>383</v>
      </c>
      <c r="G511" s="11" t="s">
        <v>379</v>
      </c>
      <c r="H511" s="11">
        <v>24</v>
      </c>
      <c r="I511" s="11">
        <v>0</v>
      </c>
      <c r="J511" s="15">
        <f t="shared" si="16"/>
        <v>24</v>
      </c>
    </row>
    <row r="512" spans="1:11" x14ac:dyDescent="0.2">
      <c r="A512" s="11" t="s">
        <v>239</v>
      </c>
      <c r="B512" s="11" t="str">
        <f t="shared" si="15"/>
        <v>360026</v>
      </c>
      <c r="C512" s="11" t="str">
        <f>_xlfn.CONCAT(+VLOOKUP(VALUE(MID(A512,13,2)),'Tabla de codigos'!$A$2:$B$60,2,1)," ",VLOOKUP(VALUE(MID(A512,15,4)),'Tabla de codigos'!$E$2:$F$102,2,1))</f>
        <v>SARTEN 26</v>
      </c>
      <c r="D512" s="11" t="s">
        <v>382</v>
      </c>
      <c r="E512" s="11" t="s">
        <v>145</v>
      </c>
      <c r="F512" s="11" t="s">
        <v>383</v>
      </c>
      <c r="G512" s="11" t="s">
        <v>379</v>
      </c>
      <c r="H512" s="11">
        <v>24</v>
      </c>
      <c r="I512" s="11">
        <v>24</v>
      </c>
      <c r="J512" s="15">
        <f t="shared" si="16"/>
        <v>0</v>
      </c>
      <c r="K512" s="17">
        <f>(SUM(I490:I512))/(SUM(H490:H512))</f>
        <v>0.63547758284600386</v>
      </c>
    </row>
    <row r="513" spans="1:11" x14ac:dyDescent="0.2">
      <c r="A513" s="11" t="s">
        <v>85</v>
      </c>
      <c r="B513" s="11" t="str">
        <f t="shared" si="15"/>
        <v>390022</v>
      </c>
      <c r="C513" s="11" t="str">
        <f>_xlfn.CONCAT(+VLOOKUP(VALUE(MID(A513,13,2)),'Tabla de codigos'!$A$2:$B$60,2,1)," ",VLOOKUP(VALUE(MID(A513,15,4)),'Tabla de codigos'!$E$2:$F$102,2,1))</f>
        <v>TAZON  20</v>
      </c>
      <c r="D513" s="11" t="s">
        <v>384</v>
      </c>
      <c r="E513" s="11" t="s">
        <v>145</v>
      </c>
      <c r="F513" s="11" t="s">
        <v>385</v>
      </c>
      <c r="G513" s="11" t="s">
        <v>386</v>
      </c>
      <c r="H513" s="11">
        <v>204</v>
      </c>
      <c r="I513" s="11">
        <f>75+1+1</f>
        <v>77</v>
      </c>
      <c r="J513" s="15">
        <f t="shared" si="16"/>
        <v>127</v>
      </c>
    </row>
    <row r="514" spans="1:11" x14ac:dyDescent="0.2">
      <c r="A514" s="11" t="s">
        <v>387</v>
      </c>
      <c r="B514" s="11" t="str">
        <f t="shared" si="15"/>
        <v>390022</v>
      </c>
      <c r="C514" s="11" t="str">
        <f>_xlfn.CONCAT(+VLOOKUP(VALUE(MID(A514,13,2)),'Tabla de codigos'!$A$2:$B$60,2,1)," ",VLOOKUP(VALUE(MID(A514,15,4)),'Tabla de codigos'!$E$2:$F$102,2,1))</f>
        <v>TAZON  20</v>
      </c>
      <c r="D514" s="11" t="s">
        <v>384</v>
      </c>
      <c r="E514" s="11" t="s">
        <v>145</v>
      </c>
      <c r="F514" s="11" t="s">
        <v>385</v>
      </c>
      <c r="G514" s="11" t="s">
        <v>386</v>
      </c>
      <c r="H514" s="11">
        <v>180</v>
      </c>
      <c r="I514" s="11">
        <v>0</v>
      </c>
      <c r="J514" s="15">
        <f t="shared" si="16"/>
        <v>180</v>
      </c>
    </row>
    <row r="515" spans="1:11" x14ac:dyDescent="0.2">
      <c r="A515" s="11" t="s">
        <v>388</v>
      </c>
      <c r="B515" s="11" t="str">
        <f t="shared" ref="B515:B578" si="17">+MID(A515,13,6)</f>
        <v>390022</v>
      </c>
      <c r="C515" s="11" t="str">
        <f>_xlfn.CONCAT(+VLOOKUP(VALUE(MID(A515,13,2)),'Tabla de codigos'!$A$2:$B$60,2,1)," ",VLOOKUP(VALUE(MID(A515,15,4)),'Tabla de codigos'!$E$2:$F$102,2,1))</f>
        <v>TAZON  20</v>
      </c>
      <c r="D515" s="11" t="s">
        <v>384</v>
      </c>
      <c r="E515" s="11" t="s">
        <v>145</v>
      </c>
      <c r="F515" s="11" t="s">
        <v>385</v>
      </c>
      <c r="G515" s="11" t="s">
        <v>386</v>
      </c>
      <c r="H515" s="11">
        <v>180</v>
      </c>
      <c r="I515" s="11">
        <v>0</v>
      </c>
      <c r="J515" s="15">
        <f t="shared" si="16"/>
        <v>180</v>
      </c>
    </row>
    <row r="516" spans="1:11" x14ac:dyDescent="0.2">
      <c r="A516" s="11" t="s">
        <v>389</v>
      </c>
      <c r="B516" s="11" t="str">
        <f t="shared" si="17"/>
        <v>390022</v>
      </c>
      <c r="C516" s="11" t="str">
        <f>_xlfn.CONCAT(+VLOOKUP(VALUE(MID(A516,13,2)),'Tabla de codigos'!$A$2:$B$60,2,1)," ",VLOOKUP(VALUE(MID(A516,15,4)),'Tabla de codigos'!$E$2:$F$102,2,1))</f>
        <v>TAZON  20</v>
      </c>
      <c r="D516" s="11" t="s">
        <v>384</v>
      </c>
      <c r="E516" s="11" t="s">
        <v>145</v>
      </c>
      <c r="F516" s="11" t="s">
        <v>385</v>
      </c>
      <c r="G516" s="11" t="s">
        <v>386</v>
      </c>
      <c r="H516" s="11">
        <v>180</v>
      </c>
      <c r="I516" s="11">
        <v>12</v>
      </c>
      <c r="J516" s="15">
        <f t="shared" si="16"/>
        <v>168</v>
      </c>
    </row>
    <row r="517" spans="1:11" x14ac:dyDescent="0.2">
      <c r="A517" s="11" t="s">
        <v>390</v>
      </c>
      <c r="B517" s="11" t="str">
        <f t="shared" si="17"/>
        <v>390022</v>
      </c>
      <c r="C517" s="11" t="str">
        <f>_xlfn.CONCAT(+VLOOKUP(VALUE(MID(A517,13,2)),'Tabla de codigos'!$A$2:$B$60,2,1)," ",VLOOKUP(VALUE(MID(A517,15,4)),'Tabla de codigos'!$E$2:$F$102,2,1))</f>
        <v>TAZON  20</v>
      </c>
      <c r="D517" s="11" t="s">
        <v>384</v>
      </c>
      <c r="E517" s="11" t="s">
        <v>145</v>
      </c>
      <c r="F517" s="11" t="s">
        <v>385</v>
      </c>
      <c r="G517" s="11" t="s">
        <v>386</v>
      </c>
      <c r="H517" s="11">
        <v>180</v>
      </c>
      <c r="I517" s="11">
        <v>180</v>
      </c>
      <c r="J517" s="15">
        <f t="shared" si="16"/>
        <v>0</v>
      </c>
      <c r="K517" s="17">
        <f>(SUM(I513:I517))/(SUM(H513:H517))</f>
        <v>0.29112554112554112</v>
      </c>
    </row>
    <row r="518" spans="1:11" x14ac:dyDescent="0.2">
      <c r="A518" s="11" t="s">
        <v>233</v>
      </c>
      <c r="B518" s="11" t="str">
        <f t="shared" si="17"/>
        <v>040058</v>
      </c>
      <c r="C518" s="11" t="str">
        <f>_xlfn.CONCAT(+VLOOKUP(VALUE(MID(A518,13,2)),'Tabla de codigos'!$A$2:$B$60,2,1)," ",VLOOKUP(VALUE(MID(A518,15,4)),'Tabla de codigos'!$E$2:$F$102,2,1))</f>
        <v>BATERIA AZULEJO</v>
      </c>
      <c r="D518" s="11" t="s">
        <v>391</v>
      </c>
      <c r="E518" s="11" t="s">
        <v>11</v>
      </c>
      <c r="F518" s="11" t="s">
        <v>392</v>
      </c>
      <c r="G518" s="11" t="s">
        <v>393</v>
      </c>
      <c r="H518" s="11">
        <v>10</v>
      </c>
      <c r="I518" s="15">
        <v>10</v>
      </c>
      <c r="J518" s="15">
        <f t="shared" si="16"/>
        <v>0</v>
      </c>
    </row>
    <row r="519" spans="1:11" x14ac:dyDescent="0.2">
      <c r="A519" s="11" t="s">
        <v>175</v>
      </c>
      <c r="B519" s="11" t="str">
        <f t="shared" si="17"/>
        <v>210043</v>
      </c>
      <c r="C519" s="11" t="str">
        <f>_xlfn.CONCAT(+VLOOKUP(VALUE(MID(A519,13,2)),'Tabla de codigos'!$A$2:$B$60,2,1)," ",VLOOKUP(VALUE(MID(A519,15,4)),'Tabla de codigos'!$E$2:$F$102,2,1))</f>
        <v>JUEGO 3+3</v>
      </c>
      <c r="D519" s="11" t="s">
        <v>391</v>
      </c>
      <c r="E519" s="11" t="s">
        <v>11</v>
      </c>
      <c r="F519" s="11" t="s">
        <v>392</v>
      </c>
      <c r="G519" s="11" t="s">
        <v>393</v>
      </c>
      <c r="H519" s="11">
        <v>20</v>
      </c>
      <c r="I519" s="15">
        <v>0</v>
      </c>
      <c r="J519" s="15">
        <f t="shared" ref="J519:J582" si="18">+H519-I519</f>
        <v>20</v>
      </c>
    </row>
    <row r="520" spans="1:11" x14ac:dyDescent="0.2">
      <c r="A520" s="11" t="s">
        <v>394</v>
      </c>
      <c r="B520" s="11" t="str">
        <f t="shared" si="17"/>
        <v>210044</v>
      </c>
      <c r="C520" s="11" t="str">
        <f>_xlfn.CONCAT(+VLOOKUP(VALUE(MID(A520,13,2)),'Tabla de codigos'!$A$2:$B$60,2,1)," ",VLOOKUP(VALUE(MID(A520,15,4)),'Tabla de codigos'!$E$2:$F$102,2,1))</f>
        <v>JUEGO 5+5</v>
      </c>
      <c r="D520" s="11" t="s">
        <v>391</v>
      </c>
      <c r="E520" s="11" t="s">
        <v>11</v>
      </c>
      <c r="F520" s="11" t="s">
        <v>392</v>
      </c>
      <c r="G520" s="11" t="s">
        <v>393</v>
      </c>
      <c r="H520" s="11">
        <v>20</v>
      </c>
      <c r="I520" s="15">
        <v>0</v>
      </c>
      <c r="J520" s="15">
        <f t="shared" si="18"/>
        <v>20</v>
      </c>
    </row>
    <row r="521" spans="1:11" x14ac:dyDescent="0.2">
      <c r="A521" s="11" t="s">
        <v>395</v>
      </c>
      <c r="B521" s="11" t="str">
        <f t="shared" si="17"/>
        <v>210060</v>
      </c>
      <c r="C521" s="11" t="str">
        <f>_xlfn.CONCAT(+VLOOKUP(VALUE(MID(A521,13,2)),'Tabla de codigos'!$A$2:$B$60,2,1)," ",VLOOKUP(VALUE(MID(A521,15,4)),'Tabla de codigos'!$E$2:$F$102,2,1))</f>
        <v>JUEGO BODEGON</v>
      </c>
      <c r="D521" s="11" t="s">
        <v>391</v>
      </c>
      <c r="E521" s="11" t="s">
        <v>11</v>
      </c>
      <c r="F521" s="11" t="s">
        <v>392</v>
      </c>
      <c r="G521" s="11" t="s">
        <v>393</v>
      </c>
      <c r="H521" s="11">
        <v>20</v>
      </c>
      <c r="I521" s="15">
        <v>0</v>
      </c>
      <c r="J521" s="15">
        <f t="shared" si="18"/>
        <v>20</v>
      </c>
    </row>
    <row r="522" spans="1:11" x14ac:dyDescent="0.2">
      <c r="A522" s="11" t="s">
        <v>66</v>
      </c>
      <c r="B522" s="11" t="str">
        <f t="shared" si="17"/>
        <v>260022</v>
      </c>
      <c r="C522" s="11" t="str">
        <f>_xlfn.CONCAT(+VLOOKUP(VALUE(MID(A522,13,2)),'Tabla de codigos'!$A$2:$B$60,2,1)," ",VLOOKUP(VALUE(MID(A522,15,4)),'Tabla de codigos'!$E$2:$F$102,2,1))</f>
        <v>PLATO AVENERO 20</v>
      </c>
      <c r="D522" s="11" t="s">
        <v>391</v>
      </c>
      <c r="E522" s="11" t="s">
        <v>11</v>
      </c>
      <c r="F522" s="11" t="s">
        <v>392</v>
      </c>
      <c r="G522" s="11" t="s">
        <v>393</v>
      </c>
      <c r="H522" s="11">
        <v>240</v>
      </c>
      <c r="I522" s="15">
        <f>50+48+3+139</f>
        <v>240</v>
      </c>
      <c r="J522" s="15">
        <f t="shared" si="18"/>
        <v>0</v>
      </c>
    </row>
    <row r="523" spans="1:11" x14ac:dyDescent="0.2">
      <c r="A523" s="11" t="s">
        <v>283</v>
      </c>
      <c r="B523" s="11" t="str">
        <f t="shared" si="17"/>
        <v>260022</v>
      </c>
      <c r="C523" s="11" t="str">
        <f>_xlfn.CONCAT(+VLOOKUP(VALUE(MID(A523,13,2)),'Tabla de codigos'!$A$2:$B$60,2,1)," ",VLOOKUP(VALUE(MID(A523,15,4)),'Tabla de codigos'!$E$2:$F$102,2,1))</f>
        <v>PLATO AVENERO 20</v>
      </c>
      <c r="D523" s="11" t="s">
        <v>391</v>
      </c>
      <c r="E523" s="11" t="s">
        <v>11</v>
      </c>
      <c r="F523" s="11" t="s">
        <v>392</v>
      </c>
      <c r="G523" s="11" t="s">
        <v>393</v>
      </c>
      <c r="H523" s="11">
        <v>240</v>
      </c>
      <c r="I523" s="15">
        <v>240</v>
      </c>
      <c r="J523" s="15">
        <f t="shared" si="18"/>
        <v>0</v>
      </c>
    </row>
    <row r="524" spans="1:11" x14ac:dyDescent="0.2">
      <c r="A524" s="11" t="s">
        <v>85</v>
      </c>
      <c r="B524" s="11" t="str">
        <f t="shared" si="17"/>
        <v>390022</v>
      </c>
      <c r="C524" s="11" t="str">
        <f>_xlfn.CONCAT(+VLOOKUP(VALUE(MID(A524,13,2)),'Tabla de codigos'!$A$2:$B$60,2,1)," ",VLOOKUP(VALUE(MID(A524,15,4)),'Tabla de codigos'!$E$2:$F$102,2,1))</f>
        <v>TAZON  20</v>
      </c>
      <c r="D524" s="11" t="s">
        <v>391</v>
      </c>
      <c r="E524" s="11" t="s">
        <v>11</v>
      </c>
      <c r="F524" s="11" t="s">
        <v>392</v>
      </c>
      <c r="G524" s="11" t="s">
        <v>393</v>
      </c>
      <c r="H524" s="11">
        <v>120</v>
      </c>
      <c r="I524" s="15">
        <v>0</v>
      </c>
      <c r="J524" s="15">
        <f t="shared" si="18"/>
        <v>120</v>
      </c>
    </row>
    <row r="525" spans="1:11" x14ac:dyDescent="0.2">
      <c r="A525" s="11" t="s">
        <v>387</v>
      </c>
      <c r="B525" s="11" t="str">
        <f t="shared" si="17"/>
        <v>390022</v>
      </c>
      <c r="C525" s="11" t="str">
        <f>_xlfn.CONCAT(+VLOOKUP(VALUE(MID(A525,13,2)),'Tabla de codigos'!$A$2:$B$60,2,1)," ",VLOOKUP(VALUE(MID(A525,15,4)),'Tabla de codigos'!$E$2:$F$102,2,1))</f>
        <v>TAZON  20</v>
      </c>
      <c r="D525" s="11" t="s">
        <v>391</v>
      </c>
      <c r="E525" s="11" t="s">
        <v>11</v>
      </c>
      <c r="F525" s="11" t="s">
        <v>392</v>
      </c>
      <c r="G525" s="11" t="s">
        <v>393</v>
      </c>
      <c r="H525" s="11">
        <v>42</v>
      </c>
      <c r="I525" s="15">
        <v>0</v>
      </c>
      <c r="J525" s="15">
        <f t="shared" si="18"/>
        <v>42</v>
      </c>
    </row>
    <row r="526" spans="1:11" x14ac:dyDescent="0.2">
      <c r="A526" s="11" t="s">
        <v>388</v>
      </c>
      <c r="B526" s="11" t="str">
        <f t="shared" si="17"/>
        <v>390022</v>
      </c>
      <c r="C526" s="11" t="str">
        <f>_xlfn.CONCAT(+VLOOKUP(VALUE(MID(A526,13,2)),'Tabla de codigos'!$A$2:$B$60,2,1)," ",VLOOKUP(VALUE(MID(A526,15,4)),'Tabla de codigos'!$E$2:$F$102,2,1))</f>
        <v>TAZON  20</v>
      </c>
      <c r="D526" s="11" t="s">
        <v>391</v>
      </c>
      <c r="E526" s="11" t="s">
        <v>11</v>
      </c>
      <c r="F526" s="11" t="s">
        <v>392</v>
      </c>
      <c r="G526" s="11" t="s">
        <v>393</v>
      </c>
      <c r="H526" s="11">
        <v>42</v>
      </c>
      <c r="I526" s="15">
        <v>0</v>
      </c>
      <c r="J526" s="15">
        <f t="shared" si="18"/>
        <v>42</v>
      </c>
    </row>
    <row r="527" spans="1:11" x14ac:dyDescent="0.2">
      <c r="A527" s="11" t="s">
        <v>389</v>
      </c>
      <c r="B527" s="11" t="str">
        <f t="shared" si="17"/>
        <v>390022</v>
      </c>
      <c r="C527" s="11" t="str">
        <f>_xlfn.CONCAT(+VLOOKUP(VALUE(MID(A527,13,2)),'Tabla de codigos'!$A$2:$B$60,2,1)," ",VLOOKUP(VALUE(MID(A527,15,4)),'Tabla de codigos'!$E$2:$F$102,2,1))</f>
        <v>TAZON  20</v>
      </c>
      <c r="D527" s="11" t="s">
        <v>391</v>
      </c>
      <c r="E527" s="11" t="s">
        <v>11</v>
      </c>
      <c r="F527" s="11" t="s">
        <v>392</v>
      </c>
      <c r="G527" s="11" t="s">
        <v>393</v>
      </c>
      <c r="H527" s="11">
        <v>42</v>
      </c>
      <c r="I527" s="15">
        <v>0</v>
      </c>
      <c r="J527" s="15">
        <f t="shared" si="18"/>
        <v>42</v>
      </c>
    </row>
    <row r="528" spans="1:11" x14ac:dyDescent="0.2">
      <c r="A528" s="11" t="s">
        <v>396</v>
      </c>
      <c r="B528" s="11" t="str">
        <f t="shared" si="17"/>
        <v>210086</v>
      </c>
      <c r="C528" s="11" t="str">
        <f>_xlfn.CONCAT(+VLOOKUP(VALUE(MID(A528,13,2)),'Tabla de codigos'!$A$2:$B$60,2,1)," ",VLOOKUP(VALUE(MID(A528,15,4)),'Tabla de codigos'!$E$2:$F$102,2,1))</f>
        <v>JUEGO MARIMAR</v>
      </c>
      <c r="D528" s="11" t="s">
        <v>391</v>
      </c>
      <c r="E528" s="11" t="s">
        <v>11</v>
      </c>
      <c r="F528" s="11" t="s">
        <v>392</v>
      </c>
      <c r="G528" s="11" t="s">
        <v>393</v>
      </c>
      <c r="H528" s="11">
        <v>20</v>
      </c>
      <c r="I528" s="15">
        <v>20</v>
      </c>
      <c r="J528" s="15">
        <f t="shared" si="18"/>
        <v>0</v>
      </c>
      <c r="K528" s="17">
        <f>(SUM(I518:I528))/(SUM(H518:H528))</f>
        <v>0.625</v>
      </c>
    </row>
    <row r="529" spans="1:10" x14ac:dyDescent="0.2">
      <c r="A529" s="11" t="s">
        <v>256</v>
      </c>
      <c r="B529" s="11" t="str">
        <f t="shared" si="17"/>
        <v>060015</v>
      </c>
      <c r="C529" s="11" t="str">
        <f>_xlfn.CONCAT(+VLOOKUP(VALUE(MID(A529,13,2)),'Tabla de codigos'!$A$2:$B$60,2,1)," ",VLOOKUP(VALUE(MID(A529,15,4)),'Tabla de codigos'!$E$2:$F$102,2,1))</f>
        <v>BUDINERA   14</v>
      </c>
      <c r="D529" s="11" t="s">
        <v>397</v>
      </c>
      <c r="E529" s="11" t="s">
        <v>11</v>
      </c>
      <c r="F529" s="11" t="s">
        <v>398</v>
      </c>
      <c r="G529" s="11" t="s">
        <v>393</v>
      </c>
      <c r="H529" s="11">
        <v>36</v>
      </c>
      <c r="I529" s="15">
        <v>0</v>
      </c>
      <c r="J529" s="15">
        <f t="shared" si="18"/>
        <v>36</v>
      </c>
    </row>
    <row r="530" spans="1:10" x14ac:dyDescent="0.2">
      <c r="A530" s="11" t="s">
        <v>189</v>
      </c>
      <c r="B530" s="11" t="str">
        <f t="shared" si="17"/>
        <v>060017</v>
      </c>
      <c r="C530" s="11" t="str">
        <f>_xlfn.CONCAT(+VLOOKUP(VALUE(MID(A530,13,2)),'Tabla de codigos'!$A$2:$B$60,2,1)," ",VLOOKUP(VALUE(MID(A530,15,4)),'Tabla de codigos'!$E$2:$F$102,2,1))</f>
        <v>BUDINERA   16</v>
      </c>
      <c r="D530" s="11" t="s">
        <v>397</v>
      </c>
      <c r="E530" s="11" t="s">
        <v>11</v>
      </c>
      <c r="F530" s="11" t="s">
        <v>398</v>
      </c>
      <c r="G530" s="11" t="s">
        <v>393</v>
      </c>
      <c r="H530" s="11">
        <v>36</v>
      </c>
      <c r="I530" s="15">
        <v>0</v>
      </c>
      <c r="J530" s="15">
        <f t="shared" si="18"/>
        <v>36</v>
      </c>
    </row>
    <row r="531" spans="1:10" x14ac:dyDescent="0.2">
      <c r="A531" s="11" t="s">
        <v>214</v>
      </c>
      <c r="B531" s="11" t="str">
        <f t="shared" si="17"/>
        <v>060021</v>
      </c>
      <c r="C531" s="11" t="str">
        <f>_xlfn.CONCAT(+VLOOKUP(VALUE(MID(A531,13,2)),'Tabla de codigos'!$A$2:$B$60,2,1)," ",VLOOKUP(VALUE(MID(A531,15,4)),'Tabla de codigos'!$E$2:$F$102,2,1))</f>
        <v>BUDINERA   18</v>
      </c>
      <c r="D531" s="11" t="s">
        <v>397</v>
      </c>
      <c r="E531" s="11" t="s">
        <v>11</v>
      </c>
      <c r="F531" s="11" t="s">
        <v>398</v>
      </c>
      <c r="G531" s="11" t="s">
        <v>393</v>
      </c>
      <c r="H531" s="11">
        <v>36</v>
      </c>
      <c r="I531" s="15">
        <v>36</v>
      </c>
      <c r="J531" s="15">
        <f t="shared" si="18"/>
        <v>0</v>
      </c>
    </row>
    <row r="532" spans="1:10" x14ac:dyDescent="0.2">
      <c r="A532" s="11" t="s">
        <v>215</v>
      </c>
      <c r="B532" s="11" t="str">
        <f t="shared" si="17"/>
        <v>060022</v>
      </c>
      <c r="C532" s="11" t="str">
        <f>_xlfn.CONCAT(+VLOOKUP(VALUE(MID(A532,13,2)),'Tabla de codigos'!$A$2:$B$60,2,1)," ",VLOOKUP(VALUE(MID(A532,15,4)),'Tabla de codigos'!$E$2:$F$102,2,1))</f>
        <v>BUDINERA   20</v>
      </c>
      <c r="D532" s="11" t="s">
        <v>397</v>
      </c>
      <c r="E532" s="11" t="s">
        <v>11</v>
      </c>
      <c r="F532" s="11" t="s">
        <v>398</v>
      </c>
      <c r="G532" s="11" t="s">
        <v>393</v>
      </c>
      <c r="H532" s="11">
        <v>36</v>
      </c>
      <c r="I532" s="15">
        <f>2+34</f>
        <v>36</v>
      </c>
      <c r="J532" s="15">
        <f t="shared" si="18"/>
        <v>0</v>
      </c>
    </row>
    <row r="533" spans="1:10" x14ac:dyDescent="0.2">
      <c r="A533" s="11" t="s">
        <v>241</v>
      </c>
      <c r="B533" s="11" t="str">
        <f t="shared" si="17"/>
        <v>060024</v>
      </c>
      <c r="C533" s="11" t="str">
        <f>_xlfn.CONCAT(+VLOOKUP(VALUE(MID(A533,13,2)),'Tabla de codigos'!$A$2:$B$60,2,1)," ",VLOOKUP(VALUE(MID(A533,15,4)),'Tabla de codigos'!$E$2:$F$102,2,1))</f>
        <v>BUDINERA   22</v>
      </c>
      <c r="D533" s="11" t="s">
        <v>397</v>
      </c>
      <c r="E533" s="11" t="s">
        <v>11</v>
      </c>
      <c r="F533" s="11" t="s">
        <v>398</v>
      </c>
      <c r="G533" s="11" t="s">
        <v>393</v>
      </c>
      <c r="H533" s="11">
        <v>24</v>
      </c>
      <c r="I533" s="15">
        <f>24</f>
        <v>24</v>
      </c>
      <c r="J533" s="15">
        <f t="shared" si="18"/>
        <v>0</v>
      </c>
    </row>
    <row r="534" spans="1:10" x14ac:dyDescent="0.2">
      <c r="A534" s="11" t="s">
        <v>143</v>
      </c>
      <c r="B534" s="11" t="str">
        <f t="shared" si="17"/>
        <v>060025</v>
      </c>
      <c r="C534" s="11" t="str">
        <f>_xlfn.CONCAT(+VLOOKUP(VALUE(MID(A534,13,2)),'Tabla de codigos'!$A$2:$B$60,2,1)," ",VLOOKUP(VALUE(MID(A534,15,4)),'Tabla de codigos'!$E$2:$F$102,2,1))</f>
        <v>BUDINERA   24</v>
      </c>
      <c r="D534" s="11" t="s">
        <v>397</v>
      </c>
      <c r="E534" s="11" t="s">
        <v>11</v>
      </c>
      <c r="F534" s="11" t="s">
        <v>398</v>
      </c>
      <c r="G534" s="11" t="s">
        <v>393</v>
      </c>
      <c r="H534" s="11">
        <v>24</v>
      </c>
      <c r="I534" s="15">
        <v>24</v>
      </c>
      <c r="J534" s="15">
        <f t="shared" si="18"/>
        <v>0</v>
      </c>
    </row>
    <row r="535" spans="1:10" x14ac:dyDescent="0.2">
      <c r="A535" s="11" t="s">
        <v>148</v>
      </c>
      <c r="B535" s="11" t="str">
        <f t="shared" si="17"/>
        <v>060026</v>
      </c>
      <c r="C535" s="11" t="str">
        <f>_xlfn.CONCAT(+VLOOKUP(VALUE(MID(A535,13,2)),'Tabla de codigos'!$A$2:$B$60,2,1)," ",VLOOKUP(VALUE(MID(A535,15,4)),'Tabla de codigos'!$E$2:$F$102,2,1))</f>
        <v>BUDINERA   26</v>
      </c>
      <c r="D535" s="11" t="s">
        <v>397</v>
      </c>
      <c r="E535" s="11" t="s">
        <v>11</v>
      </c>
      <c r="F535" s="11" t="s">
        <v>398</v>
      </c>
      <c r="G535" s="11" t="s">
        <v>393</v>
      </c>
      <c r="H535" s="11">
        <v>24</v>
      </c>
      <c r="I535" s="15">
        <v>0</v>
      </c>
      <c r="J535" s="15">
        <f t="shared" si="18"/>
        <v>24</v>
      </c>
    </row>
    <row r="536" spans="1:10" x14ac:dyDescent="0.2">
      <c r="A536" s="11" t="s">
        <v>169</v>
      </c>
      <c r="B536" s="11" t="str">
        <f t="shared" si="17"/>
        <v>060029</v>
      </c>
      <c r="C536" s="11" t="str">
        <f>_xlfn.CONCAT(+VLOOKUP(VALUE(MID(A536,13,2)),'Tabla de codigos'!$A$2:$B$60,2,1)," ",VLOOKUP(VALUE(MID(A536,15,4)),'Tabla de codigos'!$E$2:$F$102,2,1))</f>
        <v>BUDINERA   30</v>
      </c>
      <c r="D536" s="11" t="s">
        <v>397</v>
      </c>
      <c r="E536" s="11" t="s">
        <v>11</v>
      </c>
      <c r="F536" s="11" t="s">
        <v>398</v>
      </c>
      <c r="G536" s="11" t="s">
        <v>393</v>
      </c>
      <c r="H536" s="11">
        <v>8</v>
      </c>
      <c r="I536" s="15">
        <f>6+2</f>
        <v>8</v>
      </c>
      <c r="J536" s="15">
        <f t="shared" si="18"/>
        <v>0</v>
      </c>
    </row>
    <row r="537" spans="1:10" x14ac:dyDescent="0.2">
      <c r="A537" s="11" t="s">
        <v>38</v>
      </c>
      <c r="B537" s="11" t="str">
        <f t="shared" si="17"/>
        <v>060033</v>
      </c>
      <c r="C537" s="11" t="str">
        <f>_xlfn.CONCAT(+VLOOKUP(VALUE(MID(A537,13,2)),'Tabla de codigos'!$A$2:$B$60,2,1)," ",VLOOKUP(VALUE(MID(A537,15,4)),'Tabla de codigos'!$E$2:$F$102,2,1))</f>
        <v>BUDINERA   42</v>
      </c>
      <c r="D537" s="11" t="s">
        <v>397</v>
      </c>
      <c r="E537" s="11" t="s">
        <v>11</v>
      </c>
      <c r="F537" s="11" t="s">
        <v>398</v>
      </c>
      <c r="G537" s="11" t="s">
        <v>393</v>
      </c>
      <c r="H537" s="11">
        <v>4</v>
      </c>
      <c r="I537" s="15">
        <v>0</v>
      </c>
      <c r="J537" s="15">
        <f t="shared" si="18"/>
        <v>4</v>
      </c>
    </row>
    <row r="538" spans="1:10" x14ac:dyDescent="0.2">
      <c r="A538" s="11" t="s">
        <v>242</v>
      </c>
      <c r="B538" s="11" t="str">
        <f t="shared" si="17"/>
        <v>100024</v>
      </c>
      <c r="C538" s="11" t="str">
        <f>_xlfn.CONCAT(+VLOOKUP(VALUE(MID(A538,13,2)),'Tabla de codigos'!$A$2:$B$60,2,1)," ",VLOOKUP(VALUE(MID(A538,15,4)),'Tabla de codigos'!$E$2:$F$102,2,1))</f>
        <v>COMAL 22</v>
      </c>
      <c r="D538" s="11" t="s">
        <v>397</v>
      </c>
      <c r="E538" s="11" t="s">
        <v>11</v>
      </c>
      <c r="F538" s="11" t="s">
        <v>398</v>
      </c>
      <c r="G538" s="11" t="s">
        <v>393</v>
      </c>
      <c r="H538" s="11">
        <v>48</v>
      </c>
      <c r="I538" s="15">
        <v>48</v>
      </c>
      <c r="J538" s="15">
        <f t="shared" si="18"/>
        <v>0</v>
      </c>
    </row>
    <row r="539" spans="1:10" x14ac:dyDescent="0.2">
      <c r="A539" s="11" t="s">
        <v>149</v>
      </c>
      <c r="B539" s="11" t="str">
        <f t="shared" si="17"/>
        <v>100028</v>
      </c>
      <c r="C539" s="11" t="str">
        <f>_xlfn.CONCAT(+VLOOKUP(VALUE(MID(A539,13,2)),'Tabla de codigos'!$A$2:$B$60,2,1)," ",VLOOKUP(VALUE(MID(A539,15,4)),'Tabla de codigos'!$E$2:$F$102,2,1))</f>
        <v>COMAL 28</v>
      </c>
      <c r="D539" s="11" t="s">
        <v>397</v>
      </c>
      <c r="E539" s="11" t="s">
        <v>11</v>
      </c>
      <c r="F539" s="11" t="s">
        <v>398</v>
      </c>
      <c r="G539" s="11" t="s">
        <v>393</v>
      </c>
      <c r="H539" s="11">
        <v>24</v>
      </c>
      <c r="I539" s="15">
        <v>24</v>
      </c>
      <c r="J539" s="15">
        <f t="shared" si="18"/>
        <v>0</v>
      </c>
    </row>
    <row r="540" spans="1:10" x14ac:dyDescent="0.2">
      <c r="A540" s="11" t="s">
        <v>344</v>
      </c>
      <c r="B540" s="11" t="str">
        <f t="shared" si="17"/>
        <v>100032</v>
      </c>
      <c r="C540" s="11" t="str">
        <f>_xlfn.CONCAT(+VLOOKUP(VALUE(MID(A540,13,2)),'Tabla de codigos'!$A$2:$B$60,2,1)," ",VLOOKUP(VALUE(MID(A540,15,4)),'Tabla de codigos'!$E$2:$F$102,2,1))</f>
        <v>COMAL 36</v>
      </c>
      <c r="D540" s="11" t="s">
        <v>397</v>
      </c>
      <c r="E540" s="11" t="s">
        <v>11</v>
      </c>
      <c r="F540" s="11" t="s">
        <v>398</v>
      </c>
      <c r="G540" s="11" t="s">
        <v>393</v>
      </c>
      <c r="H540" s="11">
        <v>24</v>
      </c>
      <c r="I540" s="15">
        <v>0</v>
      </c>
      <c r="J540" s="15">
        <f t="shared" si="18"/>
        <v>24</v>
      </c>
    </row>
    <row r="541" spans="1:10" x14ac:dyDescent="0.2">
      <c r="A541" s="11" t="s">
        <v>333</v>
      </c>
      <c r="B541" s="11" t="str">
        <f t="shared" si="17"/>
        <v>240015</v>
      </c>
      <c r="C541" s="11" t="str">
        <f>_xlfn.CONCAT(+VLOOKUP(VALUE(MID(A541,13,2)),'Tabla de codigos'!$A$2:$B$60,2,1)," ",VLOOKUP(VALUE(MID(A541,15,4)),'Tabla de codigos'!$E$2:$F$102,2,1))</f>
        <v>OLLA CONVEXA 14</v>
      </c>
      <c r="D541" s="11" t="s">
        <v>397</v>
      </c>
      <c r="E541" s="11" t="s">
        <v>11</v>
      </c>
      <c r="F541" s="11" t="s">
        <v>398</v>
      </c>
      <c r="G541" s="11" t="s">
        <v>393</v>
      </c>
      <c r="H541" s="11">
        <v>36</v>
      </c>
      <c r="I541" s="15">
        <v>36</v>
      </c>
      <c r="J541" s="15">
        <f t="shared" si="18"/>
        <v>0</v>
      </c>
    </row>
    <row r="542" spans="1:10" x14ac:dyDescent="0.2">
      <c r="A542" s="11" t="s">
        <v>220</v>
      </c>
      <c r="B542" s="11" t="str">
        <f t="shared" si="17"/>
        <v>240017</v>
      </c>
      <c r="C542" s="11" t="str">
        <f>_xlfn.CONCAT(+VLOOKUP(VALUE(MID(A542,13,2)),'Tabla de codigos'!$A$2:$B$60,2,1)," ",VLOOKUP(VALUE(MID(A542,15,4)),'Tabla de codigos'!$E$2:$F$102,2,1))</f>
        <v>OLLA CONVEXA 16</v>
      </c>
      <c r="D542" s="11" t="s">
        <v>397</v>
      </c>
      <c r="E542" s="11" t="s">
        <v>11</v>
      </c>
      <c r="F542" s="11" t="s">
        <v>398</v>
      </c>
      <c r="G542" s="11" t="s">
        <v>393</v>
      </c>
      <c r="H542" s="11">
        <v>24</v>
      </c>
      <c r="I542" s="15">
        <v>24</v>
      </c>
      <c r="J542" s="16">
        <f t="shared" si="18"/>
        <v>0</v>
      </c>
    </row>
    <row r="543" spans="1:10" x14ac:dyDescent="0.2">
      <c r="A543" s="11" t="s">
        <v>150</v>
      </c>
      <c r="B543" s="11" t="str">
        <f t="shared" si="17"/>
        <v>240021</v>
      </c>
      <c r="C543" s="11" t="str">
        <f>_xlfn.CONCAT(+VLOOKUP(VALUE(MID(A543,13,2)),'Tabla de codigos'!$A$2:$B$60,2,1)," ",VLOOKUP(VALUE(MID(A543,15,4)),'Tabla de codigos'!$E$2:$F$102,2,1))</f>
        <v>OLLA CONVEXA 18</v>
      </c>
      <c r="D543" s="11" t="s">
        <v>397</v>
      </c>
      <c r="E543" s="11" t="s">
        <v>11</v>
      </c>
      <c r="F543" s="11" t="s">
        <v>398</v>
      </c>
      <c r="G543" s="11" t="s">
        <v>393</v>
      </c>
      <c r="H543" s="11">
        <v>24</v>
      </c>
      <c r="I543" s="15">
        <v>0</v>
      </c>
      <c r="J543" s="15">
        <f t="shared" si="18"/>
        <v>24</v>
      </c>
    </row>
    <row r="544" spans="1:10" x14ac:dyDescent="0.2">
      <c r="A544" s="11" t="s">
        <v>151</v>
      </c>
      <c r="B544" s="11" t="str">
        <f t="shared" si="17"/>
        <v>240022</v>
      </c>
      <c r="C544" s="11" t="str">
        <f>_xlfn.CONCAT(+VLOOKUP(VALUE(MID(A544,13,2)),'Tabla de codigos'!$A$2:$B$60,2,1)," ",VLOOKUP(VALUE(MID(A544,15,4)),'Tabla de codigos'!$E$2:$F$102,2,1))</f>
        <v>OLLA CONVEXA 20</v>
      </c>
      <c r="D544" s="11" t="s">
        <v>397</v>
      </c>
      <c r="E544" s="11" t="s">
        <v>11</v>
      </c>
      <c r="F544" s="11" t="s">
        <v>398</v>
      </c>
      <c r="G544" s="11" t="s">
        <v>393</v>
      </c>
      <c r="H544" s="11">
        <v>24</v>
      </c>
      <c r="I544" s="15">
        <v>0</v>
      </c>
      <c r="J544" s="15">
        <f t="shared" si="18"/>
        <v>24</v>
      </c>
    </row>
    <row r="545" spans="1:10" x14ac:dyDescent="0.2">
      <c r="A545" s="11" t="s">
        <v>43</v>
      </c>
      <c r="B545" s="11" t="str">
        <f t="shared" si="17"/>
        <v>240024</v>
      </c>
      <c r="C545" s="11" t="str">
        <f>_xlfn.CONCAT(+VLOOKUP(VALUE(MID(A545,13,2)),'Tabla de codigos'!$A$2:$B$60,2,1)," ",VLOOKUP(VALUE(MID(A545,15,4)),'Tabla de codigos'!$E$2:$F$102,2,1))</f>
        <v>OLLA CONVEXA 22</v>
      </c>
      <c r="D545" s="11" t="s">
        <v>397</v>
      </c>
      <c r="E545" s="11" t="s">
        <v>11</v>
      </c>
      <c r="F545" s="11" t="s">
        <v>398</v>
      </c>
      <c r="G545" s="11" t="s">
        <v>393</v>
      </c>
      <c r="H545" s="11">
        <v>12</v>
      </c>
      <c r="I545" s="15">
        <v>12</v>
      </c>
      <c r="J545" s="15">
        <f t="shared" si="18"/>
        <v>0</v>
      </c>
    </row>
    <row r="546" spans="1:10" x14ac:dyDescent="0.2">
      <c r="A546" s="11" t="s">
        <v>221</v>
      </c>
      <c r="B546" s="11" t="str">
        <f t="shared" si="17"/>
        <v>240031</v>
      </c>
      <c r="C546" s="11" t="str">
        <f>_xlfn.CONCAT(+VLOOKUP(VALUE(MID(A546,13,2)),'Tabla de codigos'!$A$2:$B$60,2,1)," ",VLOOKUP(VALUE(MID(A546,15,4)),'Tabla de codigos'!$E$2:$F$102,2,1))</f>
        <v>OLLA CONVEXA 34</v>
      </c>
      <c r="D546" s="11" t="s">
        <v>397</v>
      </c>
      <c r="E546" s="11" t="s">
        <v>11</v>
      </c>
      <c r="F546" s="11" t="s">
        <v>398</v>
      </c>
      <c r="G546" s="11" t="s">
        <v>393</v>
      </c>
      <c r="H546" s="11">
        <v>4</v>
      </c>
      <c r="I546" s="15">
        <v>4</v>
      </c>
      <c r="J546" s="15">
        <f t="shared" si="18"/>
        <v>0</v>
      </c>
    </row>
    <row r="547" spans="1:10" x14ac:dyDescent="0.2">
      <c r="A547" s="11" t="s">
        <v>257</v>
      </c>
      <c r="B547" s="11" t="str">
        <f t="shared" si="17"/>
        <v>250015</v>
      </c>
      <c r="C547" s="11" t="str">
        <f>_xlfn.CONCAT(+VLOOKUP(VALUE(MID(A547,13,2)),'Tabla de codigos'!$A$2:$B$60,2,1)," ",VLOOKUP(VALUE(MID(A547,15,4)),'Tabla de codigos'!$E$2:$F$102,2,1))</f>
        <v>OLLA RECTA 14</v>
      </c>
      <c r="D547" s="11" t="s">
        <v>397</v>
      </c>
      <c r="E547" s="11" t="s">
        <v>11</v>
      </c>
      <c r="F547" s="11" t="s">
        <v>398</v>
      </c>
      <c r="G547" s="11" t="s">
        <v>393</v>
      </c>
      <c r="H547" s="11">
        <v>36</v>
      </c>
      <c r="I547" s="15">
        <v>0</v>
      </c>
      <c r="J547" s="16">
        <f t="shared" si="18"/>
        <v>36</v>
      </c>
    </row>
    <row r="548" spans="1:10" x14ac:dyDescent="0.2">
      <c r="A548" s="11" t="s">
        <v>258</v>
      </c>
      <c r="B548" s="11" t="str">
        <f t="shared" si="17"/>
        <v>250017</v>
      </c>
      <c r="C548" s="11" t="str">
        <f>_xlfn.CONCAT(+VLOOKUP(VALUE(MID(A548,13,2)),'Tabla de codigos'!$A$2:$B$60,2,1)," ",VLOOKUP(VALUE(MID(A548,15,4)),'Tabla de codigos'!$E$2:$F$102,2,1))</f>
        <v>OLLA RECTA 16</v>
      </c>
      <c r="D548" s="11" t="s">
        <v>397</v>
      </c>
      <c r="E548" s="11" t="s">
        <v>11</v>
      </c>
      <c r="F548" s="11" t="s">
        <v>398</v>
      </c>
      <c r="G548" s="11" t="s">
        <v>393</v>
      </c>
      <c r="H548" s="11">
        <v>24</v>
      </c>
      <c r="I548" s="15">
        <v>24</v>
      </c>
      <c r="J548" s="15">
        <f t="shared" si="18"/>
        <v>0</v>
      </c>
    </row>
    <row r="549" spans="1:10" x14ac:dyDescent="0.2">
      <c r="A549" s="11" t="s">
        <v>259</v>
      </c>
      <c r="B549" s="11" t="str">
        <f t="shared" si="17"/>
        <v>250021</v>
      </c>
      <c r="C549" s="11" t="str">
        <f>_xlfn.CONCAT(+VLOOKUP(VALUE(MID(A549,13,2)),'Tabla de codigos'!$A$2:$B$60,2,1)," ",VLOOKUP(VALUE(MID(A549,15,4)),'Tabla de codigos'!$E$2:$F$102,2,1))</f>
        <v>OLLA RECTA 18</v>
      </c>
      <c r="D549" s="11" t="s">
        <v>397</v>
      </c>
      <c r="E549" s="11" t="s">
        <v>11</v>
      </c>
      <c r="F549" s="11" t="s">
        <v>398</v>
      </c>
      <c r="G549" s="11" t="s">
        <v>393</v>
      </c>
      <c r="H549" s="11">
        <v>24</v>
      </c>
      <c r="I549" s="15">
        <v>24</v>
      </c>
      <c r="J549" s="15">
        <f t="shared" si="18"/>
        <v>0</v>
      </c>
    </row>
    <row r="550" spans="1:10" x14ac:dyDescent="0.2">
      <c r="A550" s="11" t="s">
        <v>260</v>
      </c>
      <c r="B550" s="11" t="str">
        <f t="shared" si="17"/>
        <v>250022</v>
      </c>
      <c r="C550" s="11" t="str">
        <f>_xlfn.CONCAT(+VLOOKUP(VALUE(MID(A550,13,2)),'Tabla de codigos'!$A$2:$B$60,2,1)," ",VLOOKUP(VALUE(MID(A550,15,4)),'Tabla de codigos'!$E$2:$F$102,2,1))</f>
        <v>OLLA RECTA 20</v>
      </c>
      <c r="D550" s="11" t="s">
        <v>397</v>
      </c>
      <c r="E550" s="11" t="s">
        <v>11</v>
      </c>
      <c r="F550" s="11" t="s">
        <v>398</v>
      </c>
      <c r="G550" s="11" t="s">
        <v>393</v>
      </c>
      <c r="H550" s="11">
        <v>24</v>
      </c>
      <c r="I550" s="15">
        <v>24</v>
      </c>
      <c r="J550" s="15">
        <f t="shared" si="18"/>
        <v>0</v>
      </c>
    </row>
    <row r="551" spans="1:10" x14ac:dyDescent="0.2">
      <c r="A551" s="11" t="s">
        <v>236</v>
      </c>
      <c r="B551" s="11" t="str">
        <f t="shared" si="17"/>
        <v>250024</v>
      </c>
      <c r="C551" s="11" t="str">
        <f>_xlfn.CONCAT(+VLOOKUP(VALUE(MID(A551,13,2)),'Tabla de codigos'!$A$2:$B$60,2,1)," ",VLOOKUP(VALUE(MID(A551,15,4)),'Tabla de codigos'!$E$2:$F$102,2,1))</f>
        <v>OLLA RECTA 22</v>
      </c>
      <c r="D551" s="11" t="s">
        <v>397</v>
      </c>
      <c r="E551" s="11" t="s">
        <v>11</v>
      </c>
      <c r="F551" s="11" t="s">
        <v>398</v>
      </c>
      <c r="G551" s="11" t="s">
        <v>393</v>
      </c>
      <c r="H551" s="11">
        <v>12</v>
      </c>
      <c r="I551" s="15">
        <v>12</v>
      </c>
      <c r="J551" s="16">
        <f t="shared" si="18"/>
        <v>0</v>
      </c>
    </row>
    <row r="552" spans="1:10" x14ac:dyDescent="0.2">
      <c r="A552" s="11" t="s">
        <v>237</v>
      </c>
      <c r="B552" s="11" t="str">
        <f t="shared" si="17"/>
        <v>250025</v>
      </c>
      <c r="C552" s="11" t="str">
        <f>_xlfn.CONCAT(+VLOOKUP(VALUE(MID(A552,13,2)),'Tabla de codigos'!$A$2:$B$60,2,1)," ",VLOOKUP(VALUE(MID(A552,15,4)),'Tabla de codigos'!$E$2:$F$102,2,1))</f>
        <v>OLLA RECTA 24</v>
      </c>
      <c r="D552" s="11" t="s">
        <v>397</v>
      </c>
      <c r="E552" s="11" t="s">
        <v>11</v>
      </c>
      <c r="F552" s="11" t="s">
        <v>398</v>
      </c>
      <c r="G552" s="11" t="s">
        <v>393</v>
      </c>
      <c r="H552" s="11">
        <v>12</v>
      </c>
      <c r="I552" s="15">
        <v>0</v>
      </c>
      <c r="J552" s="15">
        <f t="shared" si="18"/>
        <v>12</v>
      </c>
    </row>
    <row r="553" spans="1:10" x14ac:dyDescent="0.2">
      <c r="A553" s="11" t="s">
        <v>224</v>
      </c>
      <c r="B553" s="11" t="str">
        <f t="shared" si="17"/>
        <v>250026</v>
      </c>
      <c r="C553" s="11" t="str">
        <f>_xlfn.CONCAT(+VLOOKUP(VALUE(MID(A553,13,2)),'Tabla de codigos'!$A$2:$B$60,2,1)," ",VLOOKUP(VALUE(MID(A553,15,4)),'Tabla de codigos'!$E$2:$F$102,2,1))</f>
        <v>OLLA RECTA 26</v>
      </c>
      <c r="D553" s="11" t="s">
        <v>397</v>
      </c>
      <c r="E553" s="11" t="s">
        <v>11</v>
      </c>
      <c r="F553" s="11" t="s">
        <v>398</v>
      </c>
      <c r="G553" s="11" t="s">
        <v>393</v>
      </c>
      <c r="H553" s="11">
        <v>12</v>
      </c>
      <c r="I553" s="15">
        <v>12</v>
      </c>
      <c r="J553" s="15">
        <f t="shared" si="18"/>
        <v>0</v>
      </c>
    </row>
    <row r="554" spans="1:10" x14ac:dyDescent="0.2">
      <c r="A554" s="11" t="s">
        <v>336</v>
      </c>
      <c r="B554" s="11" t="str">
        <f t="shared" si="17"/>
        <v>250028</v>
      </c>
      <c r="C554" s="11" t="str">
        <f>_xlfn.CONCAT(+VLOOKUP(VALUE(MID(A554,13,2)),'Tabla de codigos'!$A$2:$B$60,2,1)," ",VLOOKUP(VALUE(MID(A554,15,4)),'Tabla de codigos'!$E$2:$F$102,2,1))</f>
        <v>OLLA RECTA 28</v>
      </c>
      <c r="D554" s="11" t="s">
        <v>397</v>
      </c>
      <c r="E554" s="11" t="s">
        <v>11</v>
      </c>
      <c r="F554" s="11" t="s">
        <v>398</v>
      </c>
      <c r="G554" s="11" t="s">
        <v>393</v>
      </c>
      <c r="H554" s="11">
        <v>4</v>
      </c>
      <c r="I554" s="15">
        <v>0</v>
      </c>
      <c r="J554" s="15">
        <f t="shared" si="18"/>
        <v>4</v>
      </c>
    </row>
    <row r="555" spans="1:10" x14ac:dyDescent="0.2">
      <c r="A555" s="11" t="s">
        <v>155</v>
      </c>
      <c r="B555" s="11" t="str">
        <f t="shared" si="17"/>
        <v>250029</v>
      </c>
      <c r="C555" s="11" t="str">
        <f>_xlfn.CONCAT(+VLOOKUP(VALUE(MID(A555,13,2)),'Tabla de codigos'!$A$2:$B$60,2,1)," ",VLOOKUP(VALUE(MID(A555,15,4)),'Tabla de codigos'!$E$2:$F$102,2,1))</f>
        <v>OLLA RECTA 30</v>
      </c>
      <c r="D555" s="11" t="s">
        <v>397</v>
      </c>
      <c r="E555" s="11" t="s">
        <v>11</v>
      </c>
      <c r="F555" s="11" t="s">
        <v>398</v>
      </c>
      <c r="G555" s="11" t="s">
        <v>393</v>
      </c>
      <c r="H555" s="11">
        <v>4</v>
      </c>
      <c r="I555" s="15">
        <v>0</v>
      </c>
      <c r="J555" s="15">
        <f t="shared" si="18"/>
        <v>4</v>
      </c>
    </row>
    <row r="556" spans="1:10" x14ac:dyDescent="0.2">
      <c r="A556" s="11" t="s">
        <v>156</v>
      </c>
      <c r="B556" s="11" t="str">
        <f t="shared" si="17"/>
        <v>250031</v>
      </c>
      <c r="C556" s="11" t="str">
        <f>_xlfn.CONCAT(+VLOOKUP(VALUE(MID(A556,13,2)),'Tabla de codigos'!$A$2:$B$60,2,1)," ",VLOOKUP(VALUE(MID(A556,15,4)),'Tabla de codigos'!$E$2:$F$102,2,1))</f>
        <v>OLLA RECTA 34</v>
      </c>
      <c r="D556" s="11" t="s">
        <v>397</v>
      </c>
      <c r="E556" s="11" t="s">
        <v>11</v>
      </c>
      <c r="F556" s="11" t="s">
        <v>398</v>
      </c>
      <c r="G556" s="11" t="s">
        <v>393</v>
      </c>
      <c r="H556" s="11">
        <v>4</v>
      </c>
      <c r="I556" s="15">
        <v>0</v>
      </c>
      <c r="J556" s="15">
        <f t="shared" si="18"/>
        <v>4</v>
      </c>
    </row>
    <row r="557" spans="1:10" x14ac:dyDescent="0.2">
      <c r="A557" s="11" t="s">
        <v>157</v>
      </c>
      <c r="B557" s="11" t="str">
        <f t="shared" si="17"/>
        <v>250033</v>
      </c>
      <c r="C557" s="11" t="str">
        <f>_xlfn.CONCAT(+VLOOKUP(VALUE(MID(A557,13,2)),'Tabla de codigos'!$A$2:$B$60,2,1)," ",VLOOKUP(VALUE(MID(A557,15,4)),'Tabla de codigos'!$E$2:$F$102,2,1))</f>
        <v>OLLA RECTA 42</v>
      </c>
      <c r="D557" s="11" t="s">
        <v>397</v>
      </c>
      <c r="E557" s="11" t="s">
        <v>11</v>
      </c>
      <c r="F557" s="11" t="s">
        <v>398</v>
      </c>
      <c r="G557" s="11" t="s">
        <v>393</v>
      </c>
      <c r="H557" s="11">
        <v>2</v>
      </c>
      <c r="I557" s="15">
        <v>2</v>
      </c>
      <c r="J557" s="16">
        <f t="shared" si="18"/>
        <v>0</v>
      </c>
    </row>
    <row r="558" spans="1:10" x14ac:dyDescent="0.2">
      <c r="A558" s="11" t="s">
        <v>182</v>
      </c>
      <c r="B558" s="11" t="str">
        <f t="shared" si="17"/>
        <v>330015</v>
      </c>
      <c r="C558" s="11" t="str">
        <f>_xlfn.CONCAT(+VLOOKUP(VALUE(MID(A558,13,2)),'Tabla de codigos'!$A$2:$B$60,2,1)," ",VLOOKUP(VALUE(MID(A558,15,4)),'Tabla de codigos'!$E$2:$F$102,2,1))</f>
        <v>POCILLO 14</v>
      </c>
      <c r="D558" s="11" t="s">
        <v>397</v>
      </c>
      <c r="E558" s="11" t="s">
        <v>11</v>
      </c>
      <c r="F558" s="11" t="s">
        <v>398</v>
      </c>
      <c r="G558" s="11" t="s">
        <v>393</v>
      </c>
      <c r="H558" s="11">
        <v>12</v>
      </c>
      <c r="I558" s="15">
        <f>4+8</f>
        <v>12</v>
      </c>
      <c r="J558" s="15">
        <f t="shared" si="18"/>
        <v>0</v>
      </c>
    </row>
    <row r="559" spans="1:10" x14ac:dyDescent="0.2">
      <c r="A559" s="11" t="s">
        <v>44</v>
      </c>
      <c r="B559" s="11" t="str">
        <f t="shared" si="17"/>
        <v>360025</v>
      </c>
      <c r="C559" s="11" t="str">
        <f>_xlfn.CONCAT(+VLOOKUP(VALUE(MID(A559,13,2)),'Tabla de codigos'!$A$2:$B$60,2,1)," ",VLOOKUP(VALUE(MID(A559,15,4)),'Tabla de codigos'!$E$2:$F$102,2,1))</f>
        <v>SARTEN 24</v>
      </c>
      <c r="D559" s="11" t="s">
        <v>397</v>
      </c>
      <c r="E559" s="11" t="s">
        <v>11</v>
      </c>
      <c r="F559" s="11" t="s">
        <v>398</v>
      </c>
      <c r="G559" s="11" t="s">
        <v>393</v>
      </c>
      <c r="H559" s="11">
        <v>12</v>
      </c>
      <c r="I559" s="15">
        <v>0</v>
      </c>
      <c r="J559" s="15">
        <f t="shared" si="18"/>
        <v>12</v>
      </c>
    </row>
    <row r="560" spans="1:10" x14ac:dyDescent="0.2">
      <c r="A560" s="11" t="s">
        <v>83</v>
      </c>
      <c r="B560" s="11" t="str">
        <f t="shared" si="17"/>
        <v>390016</v>
      </c>
      <c r="C560" s="11" t="str">
        <f>_xlfn.CONCAT(+VLOOKUP(VALUE(MID(A560,13,2)),'Tabla de codigos'!$A$2:$B$60,2,1)," ",VLOOKUP(VALUE(MID(A560,15,4)),'Tabla de codigos'!$E$2:$F$102,2,1))</f>
        <v>TAZON  15.5</v>
      </c>
      <c r="D560" s="11" t="s">
        <v>397</v>
      </c>
      <c r="E560" s="11" t="s">
        <v>11</v>
      </c>
      <c r="F560" s="11" t="s">
        <v>398</v>
      </c>
      <c r="G560" s="11" t="s">
        <v>393</v>
      </c>
      <c r="H560" s="11">
        <v>24</v>
      </c>
      <c r="I560" s="15">
        <v>0</v>
      </c>
      <c r="J560" s="15">
        <f t="shared" si="18"/>
        <v>24</v>
      </c>
    </row>
    <row r="561" spans="1:11" x14ac:dyDescent="0.2">
      <c r="A561" s="11" t="s">
        <v>390</v>
      </c>
      <c r="B561" s="11" t="str">
        <f t="shared" si="17"/>
        <v>390022</v>
      </c>
      <c r="C561" s="11" t="str">
        <f>_xlfn.CONCAT(+VLOOKUP(VALUE(MID(A561,13,2)),'Tabla de codigos'!$A$2:$B$60,2,1)," ",VLOOKUP(VALUE(MID(A561,15,4)),'Tabla de codigos'!$E$2:$F$102,2,1))</f>
        <v>TAZON  20</v>
      </c>
      <c r="D561" s="11" t="s">
        <v>397</v>
      </c>
      <c r="E561" s="11" t="s">
        <v>11</v>
      </c>
      <c r="F561" s="11" t="s">
        <v>398</v>
      </c>
      <c r="G561" s="11" t="s">
        <v>393</v>
      </c>
      <c r="H561" s="11">
        <v>24</v>
      </c>
      <c r="I561" s="15">
        <v>24</v>
      </c>
      <c r="J561" s="15">
        <f t="shared" si="18"/>
        <v>0</v>
      </c>
    </row>
    <row r="562" spans="1:11" x14ac:dyDescent="0.2">
      <c r="A562" s="11" t="s">
        <v>356</v>
      </c>
      <c r="B562" s="11" t="str">
        <f t="shared" si="17"/>
        <v>480015</v>
      </c>
      <c r="C562" s="11" t="str">
        <f>_xlfn.CONCAT(+VLOOKUP(VALUE(MID(A562,13,2)),'Tabla de codigos'!$A$2:$B$60,2,1)," ",VLOOKUP(VALUE(MID(A562,15,4)),'Tabla de codigos'!$E$2:$F$102,2,1))</f>
        <v>VASO RECTO 14</v>
      </c>
      <c r="D562" s="11" t="s">
        <v>397</v>
      </c>
      <c r="E562" s="11" t="s">
        <v>11</v>
      </c>
      <c r="F562" s="11" t="s">
        <v>398</v>
      </c>
      <c r="G562" s="11" t="s">
        <v>393</v>
      </c>
      <c r="H562" s="11">
        <v>48</v>
      </c>
      <c r="I562" s="15">
        <v>48</v>
      </c>
      <c r="J562" s="15">
        <f t="shared" si="18"/>
        <v>0</v>
      </c>
    </row>
    <row r="563" spans="1:11" x14ac:dyDescent="0.2">
      <c r="A563" s="11" t="s">
        <v>399</v>
      </c>
      <c r="B563" s="11" t="str">
        <f t="shared" si="17"/>
        <v>480015</v>
      </c>
      <c r="C563" s="11" t="str">
        <f>_xlfn.CONCAT(+VLOOKUP(VALUE(MID(A563,13,2)),'Tabla de codigos'!$A$2:$B$60,2,1)," ",VLOOKUP(VALUE(MID(A563,15,4)),'Tabla de codigos'!$E$2:$F$102,2,1))</f>
        <v>VASO RECTO 14</v>
      </c>
      <c r="D563" s="11" t="s">
        <v>397</v>
      </c>
      <c r="E563" s="11" t="s">
        <v>11</v>
      </c>
      <c r="F563" s="11" t="s">
        <v>398</v>
      </c>
      <c r="G563" s="11" t="s">
        <v>393</v>
      </c>
      <c r="H563" s="11">
        <v>24</v>
      </c>
      <c r="I563" s="15">
        <v>24</v>
      </c>
      <c r="J563" s="15">
        <f t="shared" si="18"/>
        <v>0</v>
      </c>
      <c r="K563" s="17">
        <f>(SUM(I529:I563))/(SUM(H529:H563))</f>
        <v>0.64266666666666672</v>
      </c>
    </row>
    <row r="564" spans="1:11" x14ac:dyDescent="0.2">
      <c r="A564" s="11" t="s">
        <v>400</v>
      </c>
      <c r="B564" s="11" t="str">
        <f t="shared" si="17"/>
        <v>330009</v>
      </c>
      <c r="C564" s="11" t="str">
        <f>_xlfn.CONCAT(+VLOOKUP(VALUE(MID(A564,13,2)),'Tabla de codigos'!$A$2:$B$60,2,1)," ",VLOOKUP(VALUE(MID(A564,15,4)),'Tabla de codigos'!$E$2:$F$102,2,1))</f>
        <v>POCILLO 5</v>
      </c>
      <c r="D564" s="11" t="s">
        <v>401</v>
      </c>
      <c r="E564" s="11" t="s">
        <v>11</v>
      </c>
      <c r="F564" s="11" t="s">
        <v>402</v>
      </c>
      <c r="G564" s="11" t="s">
        <v>403</v>
      </c>
      <c r="H564" s="11">
        <v>2400</v>
      </c>
      <c r="I564" s="15">
        <f>480+456+48</f>
        <v>984</v>
      </c>
      <c r="J564" s="15">
        <f t="shared" si="18"/>
        <v>1416</v>
      </c>
    </row>
    <row r="565" spans="1:11" x14ac:dyDescent="0.2">
      <c r="A565" s="11" t="s">
        <v>404</v>
      </c>
      <c r="B565" s="11" t="str">
        <f t="shared" si="17"/>
        <v>330012</v>
      </c>
      <c r="C565" s="11" t="str">
        <f>_xlfn.CONCAT(+VLOOKUP(VALUE(MID(A565,13,2)),'Tabla de codigos'!$A$2:$B$60,2,1)," ",VLOOKUP(VALUE(MID(A565,15,4)),'Tabla de codigos'!$E$2:$F$102,2,1))</f>
        <v>POCILLO 8</v>
      </c>
      <c r="D565" s="11" t="s">
        <v>401</v>
      </c>
      <c r="E565" s="11" t="s">
        <v>11</v>
      </c>
      <c r="F565" s="11" t="s">
        <v>402</v>
      </c>
      <c r="G565" s="11" t="s">
        <v>403</v>
      </c>
      <c r="H565" s="11">
        <v>2400</v>
      </c>
      <c r="I565" s="15">
        <f>48+24+216+96+192+21+48+7</f>
        <v>652</v>
      </c>
      <c r="J565" s="15">
        <f t="shared" si="18"/>
        <v>1748</v>
      </c>
    </row>
    <row r="566" spans="1:11" x14ac:dyDescent="0.2">
      <c r="A566" s="11" t="s">
        <v>405</v>
      </c>
      <c r="B566" s="11" t="str">
        <f t="shared" si="17"/>
        <v>330012</v>
      </c>
      <c r="C566" s="11" t="str">
        <f>_xlfn.CONCAT(+VLOOKUP(VALUE(MID(A566,13,2)),'Tabla de codigos'!$A$2:$B$60,2,1)," ",VLOOKUP(VALUE(MID(A566,15,4)),'Tabla de codigos'!$E$2:$F$102,2,1))</f>
        <v>POCILLO 8</v>
      </c>
      <c r="D566" s="11" t="s">
        <v>401</v>
      </c>
      <c r="E566" s="11" t="s">
        <v>11</v>
      </c>
      <c r="F566" s="11" t="s">
        <v>402</v>
      </c>
      <c r="G566" s="11" t="s">
        <v>403</v>
      </c>
      <c r="H566" s="11">
        <v>1200</v>
      </c>
      <c r="I566" s="15">
        <f>240+384+72+96+120+24+8+24+22+48+8</f>
        <v>1046</v>
      </c>
      <c r="J566" s="15">
        <f t="shared" si="18"/>
        <v>154</v>
      </c>
    </row>
    <row r="567" spans="1:11" x14ac:dyDescent="0.2">
      <c r="A567" s="11" t="s">
        <v>406</v>
      </c>
      <c r="B567" s="11" t="str">
        <f t="shared" si="17"/>
        <v>330009</v>
      </c>
      <c r="C567" s="11" t="str">
        <f>_xlfn.CONCAT(+VLOOKUP(VALUE(MID(A567,13,2)),'Tabla de codigos'!$A$2:$B$60,2,1)," ",VLOOKUP(VALUE(MID(A567,15,4)),'Tabla de codigos'!$E$2:$F$102,2,1))</f>
        <v>POCILLO 5</v>
      </c>
      <c r="D567" s="11" t="s">
        <v>401</v>
      </c>
      <c r="E567" s="11" t="s">
        <v>11</v>
      </c>
      <c r="F567" s="11" t="s">
        <v>402</v>
      </c>
      <c r="G567" s="11" t="s">
        <v>403</v>
      </c>
      <c r="H567" s="11">
        <v>1200</v>
      </c>
      <c r="I567" s="15">
        <f>52+288+384+48+360</f>
        <v>1132</v>
      </c>
      <c r="J567" s="15">
        <f t="shared" si="18"/>
        <v>68</v>
      </c>
      <c r="K567" s="17">
        <f>(SUM(I564:I567))/(SUM(H564:H567))</f>
        <v>0.52972222222222221</v>
      </c>
    </row>
    <row r="568" spans="1:11" x14ac:dyDescent="0.2">
      <c r="A568" s="11" t="s">
        <v>407</v>
      </c>
      <c r="B568" s="11" t="str">
        <f t="shared" si="17"/>
        <v>290027</v>
      </c>
      <c r="C568" s="11" t="str">
        <f>_xlfn.CONCAT(+VLOOKUP(VALUE(MID(A568,13,2)),'Tabla de codigos'!$A$2:$B$60,2,1)," ",VLOOKUP(VALUE(MID(A568,15,4)),'Tabla de codigos'!$E$2:$F$102,2,1))</f>
        <v>PLATO HONDO 27</v>
      </c>
      <c r="D568" s="11" t="s">
        <v>408</v>
      </c>
      <c r="E568" s="11" t="s">
        <v>16</v>
      </c>
      <c r="F568" s="11" t="s">
        <v>409</v>
      </c>
      <c r="G568" s="11" t="s">
        <v>410</v>
      </c>
      <c r="H568" s="11">
        <v>30</v>
      </c>
      <c r="I568" s="15">
        <f>24+4</f>
        <v>28</v>
      </c>
      <c r="J568" s="15">
        <f t="shared" si="18"/>
        <v>2</v>
      </c>
    </row>
    <row r="569" spans="1:11" x14ac:dyDescent="0.2">
      <c r="A569" s="11" t="s">
        <v>411</v>
      </c>
      <c r="B569" s="11" t="str">
        <f t="shared" si="17"/>
        <v>300022</v>
      </c>
      <c r="C569" s="11" t="str">
        <f>_xlfn.CONCAT(+VLOOKUP(VALUE(MID(A569,13,2)),'Tabla de codigos'!$A$2:$B$60,2,1)," ",VLOOKUP(VALUE(MID(A569,15,4)),'Tabla de codigos'!$E$2:$F$102,2,1))</f>
        <v>PLATO LISO 20</v>
      </c>
      <c r="D569" s="11" t="s">
        <v>408</v>
      </c>
      <c r="E569" s="11" t="s">
        <v>16</v>
      </c>
      <c r="F569" s="11" t="s">
        <v>409</v>
      </c>
      <c r="G569" s="11" t="s">
        <v>410</v>
      </c>
      <c r="H569" s="11">
        <v>30</v>
      </c>
      <c r="I569" s="15">
        <f>12+6+5+7</f>
        <v>30</v>
      </c>
      <c r="J569" s="15">
        <f t="shared" si="18"/>
        <v>0</v>
      </c>
    </row>
    <row r="570" spans="1:11" x14ac:dyDescent="0.2">
      <c r="A570" s="11" t="s">
        <v>70</v>
      </c>
      <c r="B570" s="11" t="str">
        <f t="shared" si="17"/>
        <v>300025</v>
      </c>
      <c r="C570" s="11" t="str">
        <f>_xlfn.CONCAT(+VLOOKUP(VALUE(MID(A570,13,2)),'Tabla de codigos'!$A$2:$B$60,2,1)," ",VLOOKUP(VALUE(MID(A570,15,4)),'Tabla de codigos'!$E$2:$F$102,2,1))</f>
        <v>PLATO LISO 24</v>
      </c>
      <c r="D570" s="11" t="s">
        <v>408</v>
      </c>
      <c r="E570" s="11" t="s">
        <v>16</v>
      </c>
      <c r="F570" s="11" t="s">
        <v>409</v>
      </c>
      <c r="G570" s="11" t="s">
        <v>410</v>
      </c>
      <c r="H570" s="11">
        <v>102</v>
      </c>
      <c r="I570" s="15">
        <v>0</v>
      </c>
      <c r="J570" s="15">
        <f t="shared" si="18"/>
        <v>102</v>
      </c>
    </row>
    <row r="571" spans="1:11" x14ac:dyDescent="0.2">
      <c r="A571" s="11" t="s">
        <v>412</v>
      </c>
      <c r="B571" s="11" t="str">
        <f t="shared" si="17"/>
        <v>400024</v>
      </c>
      <c r="C571" s="11" t="str">
        <f>_xlfn.CONCAT(+VLOOKUP(VALUE(MID(A571,13,2)),'Tabla de codigos'!$A$2:$B$60,2,1)," ",VLOOKUP(VALUE(MID(A571,15,4)),'Tabla de codigos'!$E$2:$F$102,2,1))</f>
        <v>TAZON INCLINADO 22</v>
      </c>
      <c r="D571" s="11" t="s">
        <v>408</v>
      </c>
      <c r="E571" s="11" t="s">
        <v>16</v>
      </c>
      <c r="F571" s="11" t="s">
        <v>409</v>
      </c>
      <c r="G571" s="11" t="s">
        <v>410</v>
      </c>
      <c r="H571" s="11">
        <v>30</v>
      </c>
      <c r="I571" s="15">
        <v>0</v>
      </c>
      <c r="J571" s="15">
        <f t="shared" si="18"/>
        <v>30</v>
      </c>
      <c r="K571" s="17">
        <f>(SUM(I568:I571))/(SUM(H568:H571))</f>
        <v>0.30208333333333331</v>
      </c>
    </row>
    <row r="572" spans="1:11" x14ac:dyDescent="0.2">
      <c r="A572" s="11" t="s">
        <v>206</v>
      </c>
      <c r="B572" s="11" t="str">
        <f t="shared" si="17"/>
        <v>030005</v>
      </c>
      <c r="C572" s="11" t="str">
        <f>_xlfn.CONCAT(+VLOOKUP(VALUE(MID(A572,13,2)),'Tabla de codigos'!$A$2:$B$60,2,1)," ",VLOOKUP(VALUE(MID(A572,15,4)),'Tabla de codigos'!$E$2:$F$102,2,1))</f>
        <v>BAÑO 1</v>
      </c>
      <c r="D572" s="11" t="s">
        <v>413</v>
      </c>
      <c r="E572" s="11" t="s">
        <v>145</v>
      </c>
      <c r="F572" s="11" t="s">
        <v>414</v>
      </c>
      <c r="G572" s="11" t="s">
        <v>415</v>
      </c>
      <c r="H572" s="11">
        <v>6</v>
      </c>
      <c r="I572" s="15">
        <v>6</v>
      </c>
      <c r="J572" s="15">
        <f t="shared" si="18"/>
        <v>0</v>
      </c>
    </row>
    <row r="573" spans="1:11" x14ac:dyDescent="0.2">
      <c r="A573" s="11" t="s">
        <v>209</v>
      </c>
      <c r="B573" s="11" t="str">
        <f t="shared" si="17"/>
        <v>030006</v>
      </c>
      <c r="C573" s="11" t="str">
        <f>_xlfn.CONCAT(+VLOOKUP(VALUE(MID(A573,13,2)),'Tabla de codigos'!$A$2:$B$60,2,1)," ",VLOOKUP(VALUE(MID(A573,15,4)),'Tabla de codigos'!$E$2:$F$102,2,1))</f>
        <v>BAÑO 2</v>
      </c>
      <c r="D573" s="11" t="s">
        <v>413</v>
      </c>
      <c r="E573" s="11" t="s">
        <v>145</v>
      </c>
      <c r="F573" s="11" t="s">
        <v>414</v>
      </c>
      <c r="G573" s="11" t="s">
        <v>415</v>
      </c>
      <c r="H573" s="11">
        <v>6</v>
      </c>
      <c r="I573" s="15">
        <v>0</v>
      </c>
      <c r="J573" s="15">
        <f t="shared" si="18"/>
        <v>6</v>
      </c>
    </row>
    <row r="574" spans="1:11" x14ac:dyDescent="0.2">
      <c r="A574" s="11" t="s">
        <v>158</v>
      </c>
      <c r="B574" s="11" t="str">
        <f t="shared" si="17"/>
        <v>030007</v>
      </c>
      <c r="C574" s="11" t="str">
        <f>_xlfn.CONCAT(+VLOOKUP(VALUE(MID(A574,13,2)),'Tabla de codigos'!$A$2:$B$60,2,1)," ",VLOOKUP(VALUE(MID(A574,15,4)),'Tabla de codigos'!$E$2:$F$102,2,1))</f>
        <v>BAÑO 3</v>
      </c>
      <c r="D574" s="11" t="s">
        <v>413</v>
      </c>
      <c r="E574" s="11" t="s">
        <v>145</v>
      </c>
      <c r="F574" s="11" t="s">
        <v>414</v>
      </c>
      <c r="G574" s="11" t="s">
        <v>415</v>
      </c>
      <c r="H574" s="11">
        <v>6</v>
      </c>
      <c r="I574" s="15">
        <v>0</v>
      </c>
      <c r="J574" s="15">
        <f t="shared" si="18"/>
        <v>6</v>
      </c>
    </row>
    <row r="575" spans="1:11" x14ac:dyDescent="0.2">
      <c r="A575" s="11" t="s">
        <v>45</v>
      </c>
      <c r="B575" s="11" t="str">
        <f t="shared" si="17"/>
        <v>030008</v>
      </c>
      <c r="C575" s="11" t="str">
        <f>_xlfn.CONCAT(+VLOOKUP(VALUE(MID(A575,13,2)),'Tabla de codigos'!$A$2:$B$60,2,1)," ",VLOOKUP(VALUE(MID(A575,15,4)),'Tabla de codigos'!$E$2:$F$102,2,1))</f>
        <v>BAÑO 4</v>
      </c>
      <c r="D575" s="11" t="s">
        <v>413</v>
      </c>
      <c r="E575" s="11" t="s">
        <v>145</v>
      </c>
      <c r="F575" s="11" t="s">
        <v>414</v>
      </c>
      <c r="G575" s="11" t="s">
        <v>415</v>
      </c>
      <c r="H575" s="11">
        <v>6</v>
      </c>
      <c r="I575" s="15">
        <v>0</v>
      </c>
      <c r="J575" s="15">
        <f t="shared" si="18"/>
        <v>6</v>
      </c>
    </row>
    <row r="576" spans="1:11" x14ac:dyDescent="0.2">
      <c r="A576" s="11" t="s">
        <v>32</v>
      </c>
      <c r="B576" s="11" t="str">
        <f t="shared" si="17"/>
        <v>030009</v>
      </c>
      <c r="C576" s="11" t="str">
        <f>_xlfn.CONCAT(+VLOOKUP(VALUE(MID(A576,13,2)),'Tabla de codigos'!$A$2:$B$60,2,1)," ",VLOOKUP(VALUE(MID(A576,15,4)),'Tabla de codigos'!$E$2:$F$102,2,1))</f>
        <v>BAÑO 5</v>
      </c>
      <c r="D576" s="11" t="s">
        <v>413</v>
      </c>
      <c r="E576" s="11" t="s">
        <v>145</v>
      </c>
      <c r="F576" s="11" t="s">
        <v>414</v>
      </c>
      <c r="G576" s="11" t="s">
        <v>415</v>
      </c>
      <c r="H576" s="11">
        <v>6</v>
      </c>
      <c r="I576" s="15">
        <v>0</v>
      </c>
      <c r="J576" s="15">
        <f t="shared" si="18"/>
        <v>6</v>
      </c>
    </row>
    <row r="577" spans="1:11" x14ac:dyDescent="0.2">
      <c r="A577" s="11" t="s">
        <v>37</v>
      </c>
      <c r="B577" s="11" t="str">
        <f t="shared" si="17"/>
        <v>030010</v>
      </c>
      <c r="C577" s="11" t="str">
        <f>_xlfn.CONCAT(+VLOOKUP(VALUE(MID(A577,13,2)),'Tabla de codigos'!$A$2:$B$60,2,1)," ",VLOOKUP(VALUE(MID(A577,15,4)),'Tabla de codigos'!$E$2:$F$102,2,1))</f>
        <v>BAÑO 6</v>
      </c>
      <c r="D577" s="11" t="s">
        <v>413</v>
      </c>
      <c r="E577" s="11" t="s">
        <v>145</v>
      </c>
      <c r="F577" s="11" t="s">
        <v>414</v>
      </c>
      <c r="G577" s="11" t="s">
        <v>415</v>
      </c>
      <c r="H577" s="11">
        <v>6</v>
      </c>
      <c r="I577" s="15">
        <v>0</v>
      </c>
      <c r="J577" s="15">
        <f t="shared" si="18"/>
        <v>6</v>
      </c>
    </row>
    <row r="578" spans="1:11" x14ac:dyDescent="0.2">
      <c r="A578" s="11" t="s">
        <v>416</v>
      </c>
      <c r="B578" s="11" t="str">
        <f t="shared" si="17"/>
        <v>030011</v>
      </c>
      <c r="C578" s="11" t="str">
        <f>_xlfn.CONCAT(+VLOOKUP(VALUE(MID(A578,13,2)),'Tabla de codigos'!$A$2:$B$60,2,1)," ",VLOOKUP(VALUE(MID(A578,15,4)),'Tabla de codigos'!$E$2:$F$102,2,1))</f>
        <v>BAÑO 7</v>
      </c>
      <c r="D578" s="11" t="s">
        <v>413</v>
      </c>
      <c r="E578" s="11" t="s">
        <v>145</v>
      </c>
      <c r="F578" s="11" t="s">
        <v>414</v>
      </c>
      <c r="G578" s="11" t="s">
        <v>415</v>
      </c>
      <c r="H578" s="11">
        <v>6</v>
      </c>
      <c r="I578" s="15">
        <v>6</v>
      </c>
      <c r="J578" s="15">
        <f t="shared" si="18"/>
        <v>0</v>
      </c>
    </row>
    <row r="579" spans="1:11" x14ac:dyDescent="0.2">
      <c r="A579" s="11" t="s">
        <v>210</v>
      </c>
      <c r="B579" s="11" t="str">
        <f t="shared" ref="B579:B642" si="19">+MID(A579,13,6)</f>
        <v>030012</v>
      </c>
      <c r="C579" s="11" t="str">
        <f>_xlfn.CONCAT(+VLOOKUP(VALUE(MID(A579,13,2)),'Tabla de codigos'!$A$2:$B$60,2,1)," ",VLOOKUP(VALUE(MID(A579,15,4)),'Tabla de codigos'!$E$2:$F$102,2,1))</f>
        <v>BAÑO 8</v>
      </c>
      <c r="D579" s="11" t="s">
        <v>413</v>
      </c>
      <c r="E579" s="11" t="s">
        <v>145</v>
      </c>
      <c r="F579" s="11" t="s">
        <v>414</v>
      </c>
      <c r="G579" s="11" t="s">
        <v>415</v>
      </c>
      <c r="H579" s="11">
        <v>6</v>
      </c>
      <c r="I579" s="15">
        <v>6</v>
      </c>
      <c r="J579" s="15">
        <f t="shared" si="18"/>
        <v>0</v>
      </c>
    </row>
    <row r="580" spans="1:11" x14ac:dyDescent="0.2">
      <c r="A580" s="11" t="s">
        <v>211</v>
      </c>
      <c r="B580" s="11" t="str">
        <f t="shared" si="19"/>
        <v>030013</v>
      </c>
      <c r="C580" s="11" t="str">
        <f>_xlfn.CONCAT(+VLOOKUP(VALUE(MID(A580,13,2)),'Tabla de codigos'!$A$2:$B$60,2,1)," ",VLOOKUP(VALUE(MID(A580,15,4)),'Tabla de codigos'!$E$2:$F$102,2,1))</f>
        <v>BAÑO 10</v>
      </c>
      <c r="D580" s="11" t="s">
        <v>413</v>
      </c>
      <c r="E580" s="11" t="s">
        <v>145</v>
      </c>
      <c r="F580" s="11" t="s">
        <v>414</v>
      </c>
      <c r="G580" s="11" t="s">
        <v>415</v>
      </c>
      <c r="H580" s="11">
        <v>10</v>
      </c>
      <c r="I580" s="15">
        <f>3+7</f>
        <v>10</v>
      </c>
      <c r="J580" s="15">
        <f t="shared" si="18"/>
        <v>0</v>
      </c>
    </row>
    <row r="581" spans="1:11" ht="12.75" customHeight="1" x14ac:dyDescent="0.2">
      <c r="A581" s="11" t="s">
        <v>212</v>
      </c>
      <c r="B581" s="11" t="str">
        <f t="shared" si="19"/>
        <v>030014</v>
      </c>
      <c r="C581" s="11" t="str">
        <f>_xlfn.CONCAT(+VLOOKUP(VALUE(MID(A581,13,2)),'Tabla de codigos'!$A$2:$B$60,2,1)," ",VLOOKUP(VALUE(MID(A581,15,4)),'Tabla de codigos'!$E$2:$F$102,2,1))</f>
        <v>BAÑO 12</v>
      </c>
      <c r="D581" s="11" t="s">
        <v>413</v>
      </c>
      <c r="E581" s="11" t="s">
        <v>145</v>
      </c>
      <c r="F581" s="11" t="s">
        <v>414</v>
      </c>
      <c r="G581" s="11" t="s">
        <v>415</v>
      </c>
      <c r="H581" s="11">
        <v>10</v>
      </c>
      <c r="I581" s="15">
        <v>5</v>
      </c>
      <c r="J581" s="15">
        <f t="shared" si="18"/>
        <v>5</v>
      </c>
      <c r="K581" s="17">
        <f>(SUM(I572:I581))/(SUM(H572:H581))</f>
        <v>0.48529411764705882</v>
      </c>
    </row>
    <row r="582" spans="1:11" x14ac:dyDescent="0.2">
      <c r="A582" s="11" t="s">
        <v>417</v>
      </c>
      <c r="B582" s="11" t="str">
        <f t="shared" si="19"/>
        <v>030002</v>
      </c>
      <c r="C582" s="11" t="str">
        <f>_xlfn.CONCAT(+VLOOKUP(VALUE(MID(A582,13,2)),'Tabla de codigos'!$A$2:$B$60,2,1)," ",VLOOKUP(VALUE(MID(A582,15,4)),'Tabla de codigos'!$E$2:$F$102,2,1))</f>
        <v>BAÑO 0</v>
      </c>
      <c r="D582" s="11" t="s">
        <v>413</v>
      </c>
      <c r="E582" s="11" t="s">
        <v>145</v>
      </c>
      <c r="F582" s="11" t="s">
        <v>418</v>
      </c>
      <c r="G582" s="11" t="s">
        <v>415</v>
      </c>
      <c r="H582" s="11">
        <v>10</v>
      </c>
      <c r="I582" s="15">
        <v>10</v>
      </c>
      <c r="J582" s="15">
        <f t="shared" si="18"/>
        <v>0</v>
      </c>
    </row>
    <row r="583" spans="1:11" x14ac:dyDescent="0.2">
      <c r="A583" s="11" t="s">
        <v>419</v>
      </c>
      <c r="B583" s="11" t="str">
        <f t="shared" si="19"/>
        <v>030005</v>
      </c>
      <c r="C583" s="11" t="str">
        <f>_xlfn.CONCAT(+VLOOKUP(VALUE(MID(A583,13,2)),'Tabla de codigos'!$A$2:$B$60,2,1)," ",VLOOKUP(VALUE(MID(A583,15,4)),'Tabla de codigos'!$E$2:$F$102,2,1))</f>
        <v>BAÑO 1</v>
      </c>
      <c r="D583" s="11" t="s">
        <v>413</v>
      </c>
      <c r="E583" s="11" t="s">
        <v>145</v>
      </c>
      <c r="F583" s="11" t="s">
        <v>418</v>
      </c>
      <c r="G583" s="11" t="s">
        <v>415</v>
      </c>
      <c r="H583" s="11">
        <v>10</v>
      </c>
      <c r="I583" s="15">
        <v>10</v>
      </c>
      <c r="J583" s="15">
        <f t="shared" ref="J583:J646" si="20">+H583-I583</f>
        <v>0</v>
      </c>
    </row>
    <row r="584" spans="1:11" x14ac:dyDescent="0.2">
      <c r="A584" s="11" t="s">
        <v>420</v>
      </c>
      <c r="B584" s="11" t="str">
        <f t="shared" si="19"/>
        <v>030006</v>
      </c>
      <c r="C584" s="11" t="str">
        <f>_xlfn.CONCAT(+VLOOKUP(VALUE(MID(A584,13,2)),'Tabla de codigos'!$A$2:$B$60,2,1)," ",VLOOKUP(VALUE(MID(A584,15,4)),'Tabla de codigos'!$E$2:$F$102,2,1))</f>
        <v>BAÑO 2</v>
      </c>
      <c r="D584" s="11" t="s">
        <v>413</v>
      </c>
      <c r="E584" s="11" t="s">
        <v>145</v>
      </c>
      <c r="F584" s="11" t="s">
        <v>418</v>
      </c>
      <c r="G584" s="11" t="s">
        <v>415</v>
      </c>
      <c r="H584" s="11">
        <v>20</v>
      </c>
      <c r="I584" s="15">
        <v>19</v>
      </c>
      <c r="J584" s="15">
        <f t="shared" si="20"/>
        <v>1</v>
      </c>
    </row>
    <row r="585" spans="1:11" x14ac:dyDescent="0.2">
      <c r="A585" s="11" t="s">
        <v>421</v>
      </c>
      <c r="B585" s="11" t="str">
        <f t="shared" si="19"/>
        <v>030007</v>
      </c>
      <c r="C585" s="11" t="str">
        <f>_xlfn.CONCAT(+VLOOKUP(VALUE(MID(A585,13,2)),'Tabla de codigos'!$A$2:$B$60,2,1)," ",VLOOKUP(VALUE(MID(A585,15,4)),'Tabla de codigos'!$E$2:$F$102,2,1))</f>
        <v>BAÑO 3</v>
      </c>
      <c r="D585" s="11" t="s">
        <v>413</v>
      </c>
      <c r="E585" s="11" t="s">
        <v>145</v>
      </c>
      <c r="F585" s="11" t="s">
        <v>418</v>
      </c>
      <c r="G585" s="11" t="s">
        <v>415</v>
      </c>
      <c r="H585" s="11">
        <v>20</v>
      </c>
      <c r="I585" s="15">
        <v>20</v>
      </c>
      <c r="J585" s="15">
        <f t="shared" si="20"/>
        <v>0</v>
      </c>
    </row>
    <row r="586" spans="1:11" x14ac:dyDescent="0.2">
      <c r="A586" s="11" t="s">
        <v>422</v>
      </c>
      <c r="B586" s="11" t="str">
        <f t="shared" si="19"/>
        <v>030008</v>
      </c>
      <c r="C586" s="11" t="str">
        <f>_xlfn.CONCAT(+VLOOKUP(VALUE(MID(A586,13,2)),'Tabla de codigos'!$A$2:$B$60,2,1)," ",VLOOKUP(VALUE(MID(A586,15,4)),'Tabla de codigos'!$E$2:$F$102,2,1))</f>
        <v>BAÑO 4</v>
      </c>
      <c r="D586" s="11" t="s">
        <v>413</v>
      </c>
      <c r="E586" s="11" t="s">
        <v>145</v>
      </c>
      <c r="F586" s="11" t="s">
        <v>418</v>
      </c>
      <c r="G586" s="11" t="s">
        <v>415</v>
      </c>
      <c r="H586" s="11">
        <v>20</v>
      </c>
      <c r="I586" s="15">
        <v>20</v>
      </c>
      <c r="J586" s="15">
        <f t="shared" si="20"/>
        <v>0</v>
      </c>
    </row>
    <row r="587" spans="1:11" x14ac:dyDescent="0.2">
      <c r="A587" s="11" t="s">
        <v>102</v>
      </c>
      <c r="B587" s="11" t="str">
        <f t="shared" si="19"/>
        <v>030009</v>
      </c>
      <c r="C587" s="11" t="str">
        <f>_xlfn.CONCAT(+VLOOKUP(VALUE(MID(A587,13,2)),'Tabla de codigos'!$A$2:$B$60,2,1)," ",VLOOKUP(VALUE(MID(A587,15,4)),'Tabla de codigos'!$E$2:$F$102,2,1))</f>
        <v>BAÑO 5</v>
      </c>
      <c r="D587" s="11" t="s">
        <v>413</v>
      </c>
      <c r="E587" s="11" t="s">
        <v>145</v>
      </c>
      <c r="F587" s="11" t="s">
        <v>418</v>
      </c>
      <c r="G587" s="11" t="s">
        <v>415</v>
      </c>
      <c r="H587" s="11">
        <v>20</v>
      </c>
      <c r="I587" s="15">
        <v>0</v>
      </c>
      <c r="J587" s="15">
        <f t="shared" si="20"/>
        <v>20</v>
      </c>
    </row>
    <row r="588" spans="1:11" x14ac:dyDescent="0.2">
      <c r="A588" s="11" t="s">
        <v>423</v>
      </c>
      <c r="B588" s="11" t="str">
        <f t="shared" si="19"/>
        <v>030010</v>
      </c>
      <c r="C588" s="11" t="str">
        <f>_xlfn.CONCAT(+VLOOKUP(VALUE(MID(A588,13,2)),'Tabla de codigos'!$A$2:$B$60,2,1)," ",VLOOKUP(VALUE(MID(A588,15,4)),'Tabla de codigos'!$E$2:$F$102,2,1))</f>
        <v>BAÑO 6</v>
      </c>
      <c r="D588" s="11" t="s">
        <v>413</v>
      </c>
      <c r="E588" s="11" t="s">
        <v>145</v>
      </c>
      <c r="F588" s="11" t="s">
        <v>418</v>
      </c>
      <c r="G588" s="11" t="s">
        <v>415</v>
      </c>
      <c r="H588" s="11">
        <v>10</v>
      </c>
      <c r="I588" s="15">
        <v>10</v>
      </c>
      <c r="J588" s="15">
        <f t="shared" si="20"/>
        <v>0</v>
      </c>
    </row>
    <row r="589" spans="1:11" x14ac:dyDescent="0.2">
      <c r="A589" s="11" t="s">
        <v>424</v>
      </c>
      <c r="B589" s="11" t="str">
        <f t="shared" si="19"/>
        <v>030011</v>
      </c>
      <c r="C589" s="11" t="str">
        <f>_xlfn.CONCAT(+VLOOKUP(VALUE(MID(A589,13,2)),'Tabla de codigos'!$A$2:$B$60,2,1)," ",VLOOKUP(VALUE(MID(A589,15,4)),'Tabla de codigos'!$E$2:$F$102,2,1))</f>
        <v>BAÑO 7</v>
      </c>
      <c r="D589" s="11" t="s">
        <v>413</v>
      </c>
      <c r="E589" s="11" t="s">
        <v>145</v>
      </c>
      <c r="F589" s="11" t="s">
        <v>418</v>
      </c>
      <c r="G589" s="11" t="s">
        <v>415</v>
      </c>
      <c r="H589" s="11">
        <v>10</v>
      </c>
      <c r="I589" s="15">
        <v>10</v>
      </c>
      <c r="J589" s="15">
        <f t="shared" si="20"/>
        <v>0</v>
      </c>
    </row>
    <row r="590" spans="1:11" x14ac:dyDescent="0.2">
      <c r="A590" s="11" t="s">
        <v>425</v>
      </c>
      <c r="B590" s="11" t="str">
        <f t="shared" si="19"/>
        <v>110008</v>
      </c>
      <c r="C590" s="11" t="str">
        <f>_xlfn.CONCAT(+VLOOKUP(VALUE(MID(A590,13,2)),'Tabla de codigos'!$A$2:$B$60,2,1)," ",VLOOKUP(VALUE(MID(A590,15,4)),'Tabla de codigos'!$E$2:$F$102,2,1))</f>
        <v>CUBETA 4</v>
      </c>
      <c r="D590" s="11" t="s">
        <v>413</v>
      </c>
      <c r="E590" s="11" t="s">
        <v>145</v>
      </c>
      <c r="F590" s="11" t="s">
        <v>418</v>
      </c>
      <c r="G590" s="11" t="s">
        <v>415</v>
      </c>
      <c r="H590" s="11">
        <v>20</v>
      </c>
      <c r="I590" s="15">
        <v>20</v>
      </c>
      <c r="J590" s="15">
        <f t="shared" si="20"/>
        <v>0</v>
      </c>
    </row>
    <row r="591" spans="1:11" x14ac:dyDescent="0.2">
      <c r="A591" s="11" t="s">
        <v>426</v>
      </c>
      <c r="B591" s="11" t="str">
        <f t="shared" si="19"/>
        <v>110009</v>
      </c>
      <c r="C591" s="11" t="str">
        <f>_xlfn.CONCAT(+VLOOKUP(VALUE(MID(A591,13,2)),'Tabla de codigos'!$A$2:$B$60,2,1)," ",VLOOKUP(VALUE(MID(A591,15,4)),'Tabla de codigos'!$E$2:$F$102,2,1))</f>
        <v>CUBETA 5</v>
      </c>
      <c r="D591" s="11" t="s">
        <v>413</v>
      </c>
      <c r="E591" s="11" t="s">
        <v>145</v>
      </c>
      <c r="F591" s="11" t="s">
        <v>418</v>
      </c>
      <c r="G591" s="11" t="s">
        <v>415</v>
      </c>
      <c r="H591" s="11">
        <v>20</v>
      </c>
      <c r="I591" s="15">
        <v>20</v>
      </c>
      <c r="J591" s="15">
        <f t="shared" si="20"/>
        <v>0</v>
      </c>
    </row>
    <row r="592" spans="1:11" x14ac:dyDescent="0.2">
      <c r="A592" s="11" t="s">
        <v>427</v>
      </c>
      <c r="B592" s="11" t="str">
        <f t="shared" si="19"/>
        <v>110010</v>
      </c>
      <c r="C592" s="11" t="str">
        <f>_xlfn.CONCAT(+VLOOKUP(VALUE(MID(A592,13,2)),'Tabla de codigos'!$A$2:$B$60,2,1)," ",VLOOKUP(VALUE(MID(A592,15,4)),'Tabla de codigos'!$E$2:$F$102,2,1))</f>
        <v>CUBETA 6</v>
      </c>
      <c r="D592" s="11" t="s">
        <v>413</v>
      </c>
      <c r="E592" s="11" t="s">
        <v>145</v>
      </c>
      <c r="F592" s="11" t="s">
        <v>418</v>
      </c>
      <c r="G592" s="11" t="s">
        <v>415</v>
      </c>
      <c r="H592" s="11">
        <v>20</v>
      </c>
      <c r="I592" s="15">
        <v>20</v>
      </c>
      <c r="J592" s="15">
        <f t="shared" si="20"/>
        <v>0</v>
      </c>
    </row>
    <row r="593" spans="1:11" x14ac:dyDescent="0.2">
      <c r="A593" s="11" t="s">
        <v>106</v>
      </c>
      <c r="B593" s="11" t="str">
        <f t="shared" si="19"/>
        <v>110012</v>
      </c>
      <c r="C593" s="11" t="str">
        <f>_xlfn.CONCAT(+VLOOKUP(VALUE(MID(A593,13,2)),'Tabla de codigos'!$A$2:$B$60,2,1)," ",VLOOKUP(VALUE(MID(A593,15,4)),'Tabla de codigos'!$E$2:$F$102,2,1))</f>
        <v>CUBETA 8</v>
      </c>
      <c r="D593" s="11" t="s">
        <v>413</v>
      </c>
      <c r="E593" s="11" t="s">
        <v>145</v>
      </c>
      <c r="F593" s="11" t="s">
        <v>418</v>
      </c>
      <c r="G593" s="11" t="s">
        <v>415</v>
      </c>
      <c r="H593" s="11">
        <v>30</v>
      </c>
      <c r="I593" s="15">
        <v>30</v>
      </c>
      <c r="J593" s="15">
        <f t="shared" si="20"/>
        <v>0</v>
      </c>
    </row>
    <row r="594" spans="1:11" x14ac:dyDescent="0.2">
      <c r="A594" s="11" t="s">
        <v>428</v>
      </c>
      <c r="B594" s="11" t="str">
        <f t="shared" si="19"/>
        <v>110013</v>
      </c>
      <c r="C594" s="11" t="str">
        <f>_xlfn.CONCAT(+VLOOKUP(VALUE(MID(A594,13,2)),'Tabla de codigos'!$A$2:$B$60,2,1)," ",VLOOKUP(VALUE(MID(A594,15,4)),'Tabla de codigos'!$E$2:$F$102,2,1))</f>
        <v>CUBETA 10</v>
      </c>
      <c r="D594" s="11" t="s">
        <v>413</v>
      </c>
      <c r="E594" s="11" t="s">
        <v>145</v>
      </c>
      <c r="F594" s="11" t="s">
        <v>418</v>
      </c>
      <c r="G594" s="11" t="s">
        <v>415</v>
      </c>
      <c r="H594" s="11">
        <v>30</v>
      </c>
      <c r="I594" s="15">
        <v>30</v>
      </c>
      <c r="J594" s="15">
        <f t="shared" si="20"/>
        <v>0</v>
      </c>
    </row>
    <row r="595" spans="1:11" x14ac:dyDescent="0.2">
      <c r="A595" s="11" t="s">
        <v>429</v>
      </c>
      <c r="B595" s="11" t="str">
        <f t="shared" si="19"/>
        <v>110014</v>
      </c>
      <c r="C595" s="11" t="str">
        <f>_xlfn.CONCAT(+VLOOKUP(VALUE(MID(A595,13,2)),'Tabla de codigos'!$A$2:$B$60,2,1)," ",VLOOKUP(VALUE(MID(A595,15,4)),'Tabla de codigos'!$E$2:$F$102,2,1))</f>
        <v>CUBETA 12</v>
      </c>
      <c r="D595" s="11" t="s">
        <v>413</v>
      </c>
      <c r="E595" s="11" t="s">
        <v>145</v>
      </c>
      <c r="F595" s="11" t="s">
        <v>418</v>
      </c>
      <c r="G595" s="11" t="s">
        <v>415</v>
      </c>
      <c r="H595" s="11">
        <v>30</v>
      </c>
      <c r="I595" s="15">
        <v>30</v>
      </c>
      <c r="J595" s="15">
        <f t="shared" si="20"/>
        <v>0</v>
      </c>
    </row>
    <row r="596" spans="1:11" x14ac:dyDescent="0.2">
      <c r="A596" s="11" t="s">
        <v>430</v>
      </c>
      <c r="B596" s="11" t="str">
        <f t="shared" si="19"/>
        <v>110015</v>
      </c>
      <c r="C596" s="11" t="str">
        <f>_xlfn.CONCAT(+VLOOKUP(VALUE(MID(A596,13,2)),'Tabla de codigos'!$A$2:$B$60,2,1)," ",VLOOKUP(VALUE(MID(A596,15,4)),'Tabla de codigos'!$E$2:$F$102,2,1))</f>
        <v>CUBETA 14</v>
      </c>
      <c r="D596" s="11" t="s">
        <v>413</v>
      </c>
      <c r="E596" s="11" t="s">
        <v>145</v>
      </c>
      <c r="F596" s="11" t="s">
        <v>418</v>
      </c>
      <c r="G596" s="11" t="s">
        <v>415</v>
      </c>
      <c r="H596" s="11">
        <v>30</v>
      </c>
      <c r="I596" s="15">
        <v>30</v>
      </c>
      <c r="J596" s="15">
        <f t="shared" si="20"/>
        <v>0</v>
      </c>
    </row>
    <row r="597" spans="1:11" x14ac:dyDescent="0.2">
      <c r="A597" s="11" t="s">
        <v>431</v>
      </c>
      <c r="B597" s="11" t="str">
        <f t="shared" si="19"/>
        <v>110017</v>
      </c>
      <c r="C597" s="11" t="str">
        <f>_xlfn.CONCAT(+VLOOKUP(VALUE(MID(A597,13,2)),'Tabla de codigos'!$A$2:$B$60,2,1)," ",VLOOKUP(VALUE(MID(A597,15,4)),'Tabla de codigos'!$E$2:$F$102,2,1))</f>
        <v>CUBETA 16</v>
      </c>
      <c r="D597" s="11" t="s">
        <v>413</v>
      </c>
      <c r="E597" s="11" t="s">
        <v>145</v>
      </c>
      <c r="F597" s="11" t="s">
        <v>418</v>
      </c>
      <c r="G597" s="11" t="s">
        <v>415</v>
      </c>
      <c r="H597" s="11">
        <v>20</v>
      </c>
      <c r="I597" s="15">
        <v>20</v>
      </c>
      <c r="J597" s="15">
        <f t="shared" si="20"/>
        <v>0</v>
      </c>
    </row>
    <row r="598" spans="1:11" x14ac:dyDescent="0.2">
      <c r="A598" s="11" t="s">
        <v>432</v>
      </c>
      <c r="B598" s="11" t="str">
        <f t="shared" si="19"/>
        <v>110021</v>
      </c>
      <c r="C598" s="11" t="str">
        <f>_xlfn.CONCAT(+VLOOKUP(VALUE(MID(A598,13,2)),'Tabla de codigos'!$A$2:$B$60,2,1)," ",VLOOKUP(VALUE(MID(A598,15,4)),'Tabla de codigos'!$E$2:$F$102,2,1))</f>
        <v>CUBETA 18</v>
      </c>
      <c r="D598" s="11" t="s">
        <v>413</v>
      </c>
      <c r="E598" s="11" t="s">
        <v>145</v>
      </c>
      <c r="F598" s="11" t="s">
        <v>418</v>
      </c>
      <c r="G598" s="11" t="s">
        <v>415</v>
      </c>
      <c r="H598" s="11">
        <v>10</v>
      </c>
      <c r="I598" s="15">
        <v>10</v>
      </c>
      <c r="J598" s="15">
        <f t="shared" si="20"/>
        <v>0</v>
      </c>
    </row>
    <row r="599" spans="1:11" x14ac:dyDescent="0.2">
      <c r="A599" s="11" t="s">
        <v>433</v>
      </c>
      <c r="B599" s="11" t="str">
        <f t="shared" si="19"/>
        <v>110022</v>
      </c>
      <c r="C599" s="11" t="str">
        <f>_xlfn.CONCAT(+VLOOKUP(VALUE(MID(A599,13,2)),'Tabla de codigos'!$A$2:$B$60,2,1)," ",VLOOKUP(VALUE(MID(A599,15,4)),'Tabla de codigos'!$E$2:$F$102,2,1))</f>
        <v>CUBETA 20</v>
      </c>
      <c r="D599" s="11" t="s">
        <v>413</v>
      </c>
      <c r="E599" s="11" t="s">
        <v>145</v>
      </c>
      <c r="F599" s="11" t="s">
        <v>418</v>
      </c>
      <c r="G599" s="11" t="s">
        <v>415</v>
      </c>
      <c r="H599" s="11">
        <v>6</v>
      </c>
      <c r="I599" s="15">
        <v>0</v>
      </c>
      <c r="J599" s="15">
        <f t="shared" si="20"/>
        <v>6</v>
      </c>
      <c r="K599" s="17">
        <f>(SUM(I582:I599))/(SUM(H582:H599))</f>
        <v>0.9196428571428571</v>
      </c>
    </row>
    <row r="600" spans="1:11" x14ac:dyDescent="0.2">
      <c r="A600" s="11" t="s">
        <v>214</v>
      </c>
      <c r="B600" s="11" t="str">
        <f t="shared" si="19"/>
        <v>060021</v>
      </c>
      <c r="C600" s="11" t="str">
        <f>_xlfn.CONCAT(+VLOOKUP(VALUE(MID(A600,13,2)),'Tabla de codigos'!$A$2:$B$60,2,1)," ",VLOOKUP(VALUE(MID(A600,15,4)),'Tabla de codigos'!$E$2:$F$102,2,1))</f>
        <v>BUDINERA   18</v>
      </c>
      <c r="D600" s="11" t="s">
        <v>413</v>
      </c>
      <c r="E600" s="11" t="s">
        <v>145</v>
      </c>
      <c r="F600" s="11" t="s">
        <v>434</v>
      </c>
      <c r="G600" s="11" t="s">
        <v>415</v>
      </c>
      <c r="H600" s="11">
        <v>36</v>
      </c>
      <c r="I600" s="15">
        <v>36</v>
      </c>
      <c r="J600" s="15">
        <f t="shared" si="20"/>
        <v>0</v>
      </c>
    </row>
    <row r="601" spans="1:11" x14ac:dyDescent="0.2">
      <c r="A601" s="11" t="s">
        <v>215</v>
      </c>
      <c r="B601" s="11" t="str">
        <f t="shared" si="19"/>
        <v>060022</v>
      </c>
      <c r="C601" s="11" t="str">
        <f>_xlfn.CONCAT(+VLOOKUP(VALUE(MID(A601,13,2)),'Tabla de codigos'!$A$2:$B$60,2,1)," ",VLOOKUP(VALUE(MID(A601,15,4)),'Tabla de codigos'!$E$2:$F$102,2,1))</f>
        <v>BUDINERA   20</v>
      </c>
      <c r="D601" s="11" t="s">
        <v>413</v>
      </c>
      <c r="E601" s="11" t="s">
        <v>145</v>
      </c>
      <c r="F601" s="11" t="s">
        <v>434</v>
      </c>
      <c r="G601" s="11" t="s">
        <v>415</v>
      </c>
      <c r="H601" s="11">
        <v>36</v>
      </c>
      <c r="I601" s="15">
        <f>4+32</f>
        <v>36</v>
      </c>
      <c r="J601" s="15">
        <f t="shared" si="20"/>
        <v>0</v>
      </c>
    </row>
    <row r="602" spans="1:11" x14ac:dyDescent="0.2">
      <c r="A602" s="11" t="s">
        <v>241</v>
      </c>
      <c r="B602" s="11" t="str">
        <f t="shared" si="19"/>
        <v>060024</v>
      </c>
      <c r="C602" s="11" t="str">
        <f>_xlfn.CONCAT(+VLOOKUP(VALUE(MID(A602,13,2)),'Tabla de codigos'!$A$2:$B$60,2,1)," ",VLOOKUP(VALUE(MID(A602,15,4)),'Tabla de codigos'!$E$2:$F$102,2,1))</f>
        <v>BUDINERA   22</v>
      </c>
      <c r="D602" s="11" t="s">
        <v>413</v>
      </c>
      <c r="E602" s="11" t="s">
        <v>145</v>
      </c>
      <c r="F602" s="11" t="s">
        <v>434</v>
      </c>
      <c r="G602" s="11" t="s">
        <v>415</v>
      </c>
      <c r="H602" s="11">
        <v>24</v>
      </c>
      <c r="I602" s="15">
        <v>24</v>
      </c>
      <c r="J602" s="15">
        <f t="shared" si="20"/>
        <v>0</v>
      </c>
    </row>
    <row r="603" spans="1:11" x14ac:dyDescent="0.2">
      <c r="A603" s="11" t="s">
        <v>143</v>
      </c>
      <c r="B603" s="11" t="str">
        <f t="shared" si="19"/>
        <v>060025</v>
      </c>
      <c r="C603" s="11" t="str">
        <f>_xlfn.CONCAT(+VLOOKUP(VALUE(MID(A603,13,2)),'Tabla de codigos'!$A$2:$B$60,2,1)," ",VLOOKUP(VALUE(MID(A603,15,4)),'Tabla de codigos'!$E$2:$F$102,2,1))</f>
        <v>BUDINERA   24</v>
      </c>
      <c r="D603" s="11" t="s">
        <v>413</v>
      </c>
      <c r="E603" s="11" t="s">
        <v>145</v>
      </c>
      <c r="F603" s="11" t="s">
        <v>434</v>
      </c>
      <c r="G603" s="11" t="s">
        <v>415</v>
      </c>
      <c r="H603" s="11">
        <v>24</v>
      </c>
      <c r="I603" s="15">
        <v>24</v>
      </c>
      <c r="J603" s="15">
        <f t="shared" si="20"/>
        <v>0</v>
      </c>
    </row>
    <row r="604" spans="1:11" x14ac:dyDescent="0.2">
      <c r="A604" s="11" t="s">
        <v>148</v>
      </c>
      <c r="B604" s="11" t="str">
        <f t="shared" si="19"/>
        <v>060026</v>
      </c>
      <c r="C604" s="11" t="str">
        <f>_xlfn.CONCAT(+VLOOKUP(VALUE(MID(A604,13,2)),'Tabla de codigos'!$A$2:$B$60,2,1)," ",VLOOKUP(VALUE(MID(A604,15,4)),'Tabla de codigos'!$E$2:$F$102,2,1))</f>
        <v>BUDINERA   26</v>
      </c>
      <c r="D604" s="11" t="s">
        <v>413</v>
      </c>
      <c r="E604" s="11" t="s">
        <v>145</v>
      </c>
      <c r="F604" s="11" t="s">
        <v>434</v>
      </c>
      <c r="G604" s="11" t="s">
        <v>415</v>
      </c>
      <c r="H604" s="11">
        <v>24</v>
      </c>
      <c r="I604" s="15">
        <v>0</v>
      </c>
      <c r="J604" s="15">
        <f t="shared" si="20"/>
        <v>24</v>
      </c>
    </row>
    <row r="605" spans="1:11" x14ac:dyDescent="0.2">
      <c r="A605" s="11" t="s">
        <v>169</v>
      </c>
      <c r="B605" s="11" t="str">
        <f t="shared" si="19"/>
        <v>060029</v>
      </c>
      <c r="C605" s="11" t="str">
        <f>_xlfn.CONCAT(+VLOOKUP(VALUE(MID(A605,13,2)),'Tabla de codigos'!$A$2:$B$60,2,1)," ",VLOOKUP(VALUE(MID(A605,15,4)),'Tabla de codigos'!$E$2:$F$102,2,1))</f>
        <v>BUDINERA   30</v>
      </c>
      <c r="D605" s="11" t="s">
        <v>413</v>
      </c>
      <c r="E605" s="11" t="s">
        <v>145</v>
      </c>
      <c r="F605" s="11" t="s">
        <v>434</v>
      </c>
      <c r="G605" s="11" t="s">
        <v>415</v>
      </c>
      <c r="H605" s="11">
        <v>8</v>
      </c>
      <c r="I605" s="15">
        <v>8</v>
      </c>
      <c r="J605" s="15">
        <f t="shared" si="20"/>
        <v>0</v>
      </c>
    </row>
    <row r="606" spans="1:11" x14ac:dyDescent="0.2">
      <c r="A606" s="11" t="s">
        <v>173</v>
      </c>
      <c r="B606" s="11" t="str">
        <f t="shared" si="19"/>
        <v>060031</v>
      </c>
      <c r="C606" s="11" t="str">
        <f>_xlfn.CONCAT(+VLOOKUP(VALUE(MID(A606,13,2)),'Tabla de codigos'!$A$2:$B$60,2,1)," ",VLOOKUP(VALUE(MID(A606,15,4)),'Tabla de codigos'!$E$2:$F$102,2,1))</f>
        <v>BUDINERA   34</v>
      </c>
      <c r="D606" s="11" t="s">
        <v>413</v>
      </c>
      <c r="E606" s="11" t="s">
        <v>145</v>
      </c>
      <c r="F606" s="11" t="s">
        <v>434</v>
      </c>
      <c r="G606" s="11" t="s">
        <v>415</v>
      </c>
      <c r="H606" s="11">
        <v>8</v>
      </c>
      <c r="I606" s="15">
        <v>8</v>
      </c>
      <c r="J606" s="15">
        <f t="shared" si="20"/>
        <v>0</v>
      </c>
    </row>
    <row r="607" spans="1:11" x14ac:dyDescent="0.2">
      <c r="A607" s="11" t="s">
        <v>38</v>
      </c>
      <c r="B607" s="11" t="str">
        <f t="shared" si="19"/>
        <v>060033</v>
      </c>
      <c r="C607" s="11" t="str">
        <f>_xlfn.CONCAT(+VLOOKUP(VALUE(MID(A607,13,2)),'Tabla de codigos'!$A$2:$B$60,2,1)," ",VLOOKUP(VALUE(MID(A607,15,4)),'Tabla de codigos'!$E$2:$F$102,2,1))</f>
        <v>BUDINERA   42</v>
      </c>
      <c r="D607" s="11" t="s">
        <v>413</v>
      </c>
      <c r="E607" s="11" t="s">
        <v>145</v>
      </c>
      <c r="F607" s="11" t="s">
        <v>434</v>
      </c>
      <c r="G607" s="11" t="s">
        <v>415</v>
      </c>
      <c r="H607" s="11">
        <v>4</v>
      </c>
      <c r="I607" s="15">
        <v>0</v>
      </c>
      <c r="J607" s="15">
        <f t="shared" si="20"/>
        <v>4</v>
      </c>
    </row>
    <row r="608" spans="1:11" x14ac:dyDescent="0.2">
      <c r="A608" s="11" t="s">
        <v>218</v>
      </c>
      <c r="B608" s="11" t="str">
        <f t="shared" si="19"/>
        <v>070015</v>
      </c>
      <c r="C608" s="11" t="str">
        <f>_xlfn.CONCAT(+VLOOKUP(VALUE(MID(A608,13,2)),'Tabla de codigos'!$A$2:$B$60,2,1)," ",VLOOKUP(VALUE(MID(A608,15,4)),'Tabla de codigos'!$E$2:$F$102,2,1))</f>
        <v>CAZO 14</v>
      </c>
      <c r="D608" s="11" t="s">
        <v>413</v>
      </c>
      <c r="E608" s="11" t="s">
        <v>145</v>
      </c>
      <c r="F608" s="11" t="s">
        <v>434</v>
      </c>
      <c r="G608" s="11" t="s">
        <v>415</v>
      </c>
      <c r="H608" s="11">
        <v>60</v>
      </c>
      <c r="I608" s="15">
        <f>22+38</f>
        <v>60</v>
      </c>
      <c r="J608" s="16">
        <f t="shared" si="20"/>
        <v>0</v>
      </c>
    </row>
    <row r="609" spans="1:10" x14ac:dyDescent="0.2">
      <c r="A609" s="11" t="s">
        <v>219</v>
      </c>
      <c r="B609" s="11" t="str">
        <f t="shared" si="19"/>
        <v>070017</v>
      </c>
      <c r="C609" s="11" t="str">
        <f>_xlfn.CONCAT(+VLOOKUP(VALUE(MID(A609,13,2)),'Tabla de codigos'!$A$2:$B$60,2,1)," ",VLOOKUP(VALUE(MID(A609,15,4)),'Tabla de codigos'!$E$2:$F$102,2,1))</f>
        <v>CAZO 16</v>
      </c>
      <c r="D609" s="11" t="s">
        <v>413</v>
      </c>
      <c r="E609" s="11" t="s">
        <v>145</v>
      </c>
      <c r="F609" s="11" t="s">
        <v>434</v>
      </c>
      <c r="G609" s="11" t="s">
        <v>415</v>
      </c>
      <c r="H609" s="11">
        <v>60</v>
      </c>
      <c r="I609" s="15">
        <v>60</v>
      </c>
      <c r="J609" s="15">
        <f t="shared" si="20"/>
        <v>0</v>
      </c>
    </row>
    <row r="610" spans="1:10" x14ac:dyDescent="0.2">
      <c r="A610" s="11" t="s">
        <v>242</v>
      </c>
      <c r="B610" s="11" t="str">
        <f t="shared" si="19"/>
        <v>100024</v>
      </c>
      <c r="C610" s="11" t="str">
        <f>_xlfn.CONCAT(+VLOOKUP(VALUE(MID(A610,13,2)),'Tabla de codigos'!$A$2:$B$60,2,1)," ",VLOOKUP(VALUE(MID(A610,15,4)),'Tabla de codigos'!$E$2:$F$102,2,1))</f>
        <v>COMAL 22</v>
      </c>
      <c r="D610" s="11" t="s">
        <v>413</v>
      </c>
      <c r="E610" s="11" t="s">
        <v>145</v>
      </c>
      <c r="F610" s="11" t="s">
        <v>434</v>
      </c>
      <c r="G610" s="11" t="s">
        <v>415</v>
      </c>
      <c r="H610" s="11">
        <v>24</v>
      </c>
      <c r="I610" s="15">
        <v>24</v>
      </c>
      <c r="J610" s="15">
        <f t="shared" si="20"/>
        <v>0</v>
      </c>
    </row>
    <row r="611" spans="1:10" x14ac:dyDescent="0.2">
      <c r="A611" s="11" t="s">
        <v>149</v>
      </c>
      <c r="B611" s="11" t="str">
        <f t="shared" si="19"/>
        <v>100028</v>
      </c>
      <c r="C611" s="11" t="str">
        <f>_xlfn.CONCAT(+VLOOKUP(VALUE(MID(A611,13,2)),'Tabla de codigos'!$A$2:$B$60,2,1)," ",VLOOKUP(VALUE(MID(A611,15,4)),'Tabla de codigos'!$E$2:$F$102,2,1))</f>
        <v>COMAL 28</v>
      </c>
      <c r="D611" s="11" t="s">
        <v>413</v>
      </c>
      <c r="E611" s="11" t="s">
        <v>145</v>
      </c>
      <c r="F611" s="11" t="s">
        <v>434</v>
      </c>
      <c r="G611" s="11" t="s">
        <v>415</v>
      </c>
      <c r="H611" s="11">
        <v>12</v>
      </c>
      <c r="I611" s="15">
        <v>12</v>
      </c>
      <c r="J611" s="15">
        <f t="shared" si="20"/>
        <v>0</v>
      </c>
    </row>
    <row r="612" spans="1:10" x14ac:dyDescent="0.2">
      <c r="A612" s="11" t="s">
        <v>175</v>
      </c>
      <c r="B612" s="11" t="str">
        <f t="shared" si="19"/>
        <v>210043</v>
      </c>
      <c r="C612" s="11" t="str">
        <f>_xlfn.CONCAT(+VLOOKUP(VALUE(MID(A612,13,2)),'Tabla de codigos'!$A$2:$B$60,2,1)," ",VLOOKUP(VALUE(MID(A612,15,4)),'Tabla de codigos'!$E$2:$F$102,2,1))</f>
        <v>JUEGO 3+3</v>
      </c>
      <c r="D612" s="11" t="s">
        <v>413</v>
      </c>
      <c r="E612" s="11" t="s">
        <v>145</v>
      </c>
      <c r="F612" s="11" t="s">
        <v>434</v>
      </c>
      <c r="G612" s="11" t="s">
        <v>415</v>
      </c>
      <c r="H612" s="11">
        <v>20</v>
      </c>
      <c r="I612" s="15">
        <v>0</v>
      </c>
      <c r="J612" s="15">
        <f t="shared" si="20"/>
        <v>20</v>
      </c>
    </row>
    <row r="613" spans="1:10" x14ac:dyDescent="0.2">
      <c r="A613" s="11" t="s">
        <v>394</v>
      </c>
      <c r="B613" s="11" t="str">
        <f t="shared" si="19"/>
        <v>210044</v>
      </c>
      <c r="C613" s="11" t="str">
        <f>_xlfn.CONCAT(+VLOOKUP(VALUE(MID(A613,13,2)),'Tabla de codigos'!$A$2:$B$60,2,1)," ",VLOOKUP(VALUE(MID(A613,15,4)),'Tabla de codigos'!$E$2:$F$102,2,1))</f>
        <v>JUEGO 5+5</v>
      </c>
      <c r="D613" s="11" t="s">
        <v>413</v>
      </c>
      <c r="E613" s="11" t="s">
        <v>145</v>
      </c>
      <c r="F613" s="11" t="s">
        <v>434</v>
      </c>
      <c r="G613" s="11" t="s">
        <v>415</v>
      </c>
      <c r="H613" s="11">
        <v>10</v>
      </c>
      <c r="I613" s="15">
        <v>0</v>
      </c>
      <c r="J613" s="15">
        <f t="shared" si="20"/>
        <v>10</v>
      </c>
    </row>
    <row r="614" spans="1:10" x14ac:dyDescent="0.2">
      <c r="A614" s="11" t="s">
        <v>187</v>
      </c>
      <c r="B614" s="11" t="str">
        <f t="shared" si="19"/>
        <v>240014</v>
      </c>
      <c r="C614" s="11" t="str">
        <f>_xlfn.CONCAT(+VLOOKUP(VALUE(MID(A614,13,2)),'Tabla de codigos'!$A$2:$B$60,2,1)," ",VLOOKUP(VALUE(MID(A614,15,4)),'Tabla de codigos'!$E$2:$F$102,2,1))</f>
        <v>OLLA CONVEXA 12</v>
      </c>
      <c r="D614" s="11" t="s">
        <v>413</v>
      </c>
      <c r="E614" s="11" t="s">
        <v>145</v>
      </c>
      <c r="F614" s="11" t="s">
        <v>434</v>
      </c>
      <c r="G614" s="11" t="s">
        <v>415</v>
      </c>
      <c r="H614" s="11">
        <v>36</v>
      </c>
      <c r="I614" s="15">
        <v>0</v>
      </c>
      <c r="J614" s="15">
        <f t="shared" si="20"/>
        <v>36</v>
      </c>
    </row>
    <row r="615" spans="1:10" x14ac:dyDescent="0.2">
      <c r="A615" s="11" t="s">
        <v>333</v>
      </c>
      <c r="B615" s="11" t="str">
        <f t="shared" si="19"/>
        <v>240015</v>
      </c>
      <c r="C615" s="11" t="str">
        <f>_xlfn.CONCAT(+VLOOKUP(VALUE(MID(A615,13,2)),'Tabla de codigos'!$A$2:$B$60,2,1)," ",VLOOKUP(VALUE(MID(A615,15,4)),'Tabla de codigos'!$E$2:$F$102,2,1))</f>
        <v>OLLA CONVEXA 14</v>
      </c>
      <c r="D615" s="11" t="s">
        <v>413</v>
      </c>
      <c r="E615" s="11" t="s">
        <v>145</v>
      </c>
      <c r="F615" s="11" t="s">
        <v>434</v>
      </c>
      <c r="G615" s="11" t="s">
        <v>415</v>
      </c>
      <c r="H615" s="11">
        <v>36</v>
      </c>
      <c r="I615" s="15">
        <v>36</v>
      </c>
      <c r="J615" s="15">
        <f t="shared" si="20"/>
        <v>0</v>
      </c>
    </row>
    <row r="616" spans="1:10" x14ac:dyDescent="0.2">
      <c r="A616" s="11" t="s">
        <v>220</v>
      </c>
      <c r="B616" s="11" t="str">
        <f t="shared" si="19"/>
        <v>240017</v>
      </c>
      <c r="C616" s="11" t="str">
        <f>_xlfn.CONCAT(+VLOOKUP(VALUE(MID(A616,13,2)),'Tabla de codigos'!$A$2:$B$60,2,1)," ",VLOOKUP(VALUE(MID(A616,15,4)),'Tabla de codigos'!$E$2:$F$102,2,1))</f>
        <v>OLLA CONVEXA 16</v>
      </c>
      <c r="D616" s="11" t="s">
        <v>413</v>
      </c>
      <c r="E616" s="11" t="s">
        <v>145</v>
      </c>
      <c r="F616" s="11" t="s">
        <v>434</v>
      </c>
      <c r="G616" s="11" t="s">
        <v>415</v>
      </c>
      <c r="H616" s="11">
        <v>24</v>
      </c>
      <c r="I616" s="15">
        <f>10+3</f>
        <v>13</v>
      </c>
      <c r="J616" s="16">
        <f t="shared" si="20"/>
        <v>11</v>
      </c>
    </row>
    <row r="617" spans="1:10" x14ac:dyDescent="0.2">
      <c r="A617" s="11" t="s">
        <v>150</v>
      </c>
      <c r="B617" s="11" t="str">
        <f t="shared" si="19"/>
        <v>240021</v>
      </c>
      <c r="C617" s="11" t="str">
        <f>_xlfn.CONCAT(+VLOOKUP(VALUE(MID(A617,13,2)),'Tabla de codigos'!$A$2:$B$60,2,1)," ",VLOOKUP(VALUE(MID(A617,15,4)),'Tabla de codigos'!$E$2:$F$102,2,1))</f>
        <v>OLLA CONVEXA 18</v>
      </c>
      <c r="D617" s="11" t="s">
        <v>413</v>
      </c>
      <c r="E617" s="11" t="s">
        <v>145</v>
      </c>
      <c r="F617" s="11" t="s">
        <v>434</v>
      </c>
      <c r="G617" s="11" t="s">
        <v>415</v>
      </c>
      <c r="H617" s="11">
        <v>24</v>
      </c>
      <c r="I617" s="15">
        <v>0</v>
      </c>
      <c r="J617" s="15">
        <f t="shared" si="20"/>
        <v>24</v>
      </c>
    </row>
    <row r="618" spans="1:10" x14ac:dyDescent="0.2">
      <c r="A618" s="11" t="s">
        <v>151</v>
      </c>
      <c r="B618" s="11" t="str">
        <f t="shared" si="19"/>
        <v>240022</v>
      </c>
      <c r="C618" s="11" t="str">
        <f>_xlfn.CONCAT(+VLOOKUP(VALUE(MID(A618,13,2)),'Tabla de codigos'!$A$2:$B$60,2,1)," ",VLOOKUP(VALUE(MID(A618,15,4)),'Tabla de codigos'!$E$2:$F$102,2,1))</f>
        <v>OLLA CONVEXA 20</v>
      </c>
      <c r="D618" s="11" t="s">
        <v>413</v>
      </c>
      <c r="E618" s="11" t="s">
        <v>145</v>
      </c>
      <c r="F618" s="11" t="s">
        <v>434</v>
      </c>
      <c r="G618" s="11" t="s">
        <v>415</v>
      </c>
      <c r="H618" s="11">
        <v>24</v>
      </c>
      <c r="I618" s="15">
        <v>0</v>
      </c>
      <c r="J618" s="15">
        <f t="shared" si="20"/>
        <v>24</v>
      </c>
    </row>
    <row r="619" spans="1:10" x14ac:dyDescent="0.2">
      <c r="A619" s="11" t="s">
        <v>43</v>
      </c>
      <c r="B619" s="11" t="str">
        <f t="shared" si="19"/>
        <v>240024</v>
      </c>
      <c r="C619" s="11" t="str">
        <f>_xlfn.CONCAT(+VLOOKUP(VALUE(MID(A619,13,2)),'Tabla de codigos'!$A$2:$B$60,2,1)," ",VLOOKUP(VALUE(MID(A619,15,4)),'Tabla de codigos'!$E$2:$F$102,2,1))</f>
        <v>OLLA CONVEXA 22</v>
      </c>
      <c r="D619" s="11" t="s">
        <v>413</v>
      </c>
      <c r="E619" s="11" t="s">
        <v>145</v>
      </c>
      <c r="F619" s="11" t="s">
        <v>434</v>
      </c>
      <c r="G619" s="11" t="s">
        <v>415</v>
      </c>
      <c r="H619" s="11">
        <v>12</v>
      </c>
      <c r="I619" s="15">
        <v>12</v>
      </c>
      <c r="J619" s="15">
        <f t="shared" si="20"/>
        <v>0</v>
      </c>
    </row>
    <row r="620" spans="1:10" x14ac:dyDescent="0.2">
      <c r="A620" s="11" t="s">
        <v>152</v>
      </c>
      <c r="B620" s="11" t="str">
        <f t="shared" si="19"/>
        <v>240025</v>
      </c>
      <c r="C620" s="11" t="str">
        <f>_xlfn.CONCAT(+VLOOKUP(VALUE(MID(A620,13,2)),'Tabla de codigos'!$A$2:$B$60,2,1)," ",VLOOKUP(VALUE(MID(A620,15,4)),'Tabla de codigos'!$E$2:$F$102,2,1))</f>
        <v>OLLA CONVEXA 24</v>
      </c>
      <c r="D620" s="11" t="s">
        <v>413</v>
      </c>
      <c r="E620" s="11" t="s">
        <v>145</v>
      </c>
      <c r="F620" s="11" t="s">
        <v>434</v>
      </c>
      <c r="G620" s="11" t="s">
        <v>415</v>
      </c>
      <c r="H620" s="11">
        <v>12</v>
      </c>
      <c r="I620" s="15">
        <f>6+6</f>
        <v>12</v>
      </c>
      <c r="J620" s="15">
        <f t="shared" si="20"/>
        <v>0</v>
      </c>
    </row>
    <row r="621" spans="1:10" x14ac:dyDescent="0.2">
      <c r="A621" s="11" t="s">
        <v>153</v>
      </c>
      <c r="B621" s="11" t="str">
        <f t="shared" si="19"/>
        <v>240026</v>
      </c>
      <c r="C621" s="11" t="str">
        <f>_xlfn.CONCAT(+VLOOKUP(VALUE(MID(A621,13,2)),'Tabla de codigos'!$A$2:$B$60,2,1)," ",VLOOKUP(VALUE(MID(A621,15,4)),'Tabla de codigos'!$E$2:$F$102,2,1))</f>
        <v>OLLA CONVEXA 26</v>
      </c>
      <c r="D621" s="11" t="s">
        <v>413</v>
      </c>
      <c r="E621" s="11" t="s">
        <v>145</v>
      </c>
      <c r="F621" s="11" t="s">
        <v>434</v>
      </c>
      <c r="G621" s="11" t="s">
        <v>415</v>
      </c>
      <c r="H621" s="11">
        <v>12</v>
      </c>
      <c r="I621" s="15">
        <v>12</v>
      </c>
      <c r="J621" s="15">
        <f t="shared" si="20"/>
        <v>0</v>
      </c>
    </row>
    <row r="622" spans="1:10" x14ac:dyDescent="0.2">
      <c r="A622" s="11" t="s">
        <v>154</v>
      </c>
      <c r="B622" s="11" t="str">
        <f t="shared" si="19"/>
        <v>240029</v>
      </c>
      <c r="C622" s="11" t="str">
        <f>_xlfn.CONCAT(+VLOOKUP(VALUE(MID(A622,13,2)),'Tabla de codigos'!$A$2:$B$60,2,1)," ",VLOOKUP(VALUE(MID(A622,15,4)),'Tabla de codigos'!$E$2:$F$102,2,1))</f>
        <v>OLLA CONVEXA 30</v>
      </c>
      <c r="D622" s="11" t="s">
        <v>413</v>
      </c>
      <c r="E622" s="11" t="s">
        <v>145</v>
      </c>
      <c r="F622" s="11" t="s">
        <v>434</v>
      </c>
      <c r="G622" s="11" t="s">
        <v>415</v>
      </c>
      <c r="H622" s="11">
        <v>4</v>
      </c>
      <c r="I622" s="15">
        <v>4</v>
      </c>
      <c r="J622" s="15">
        <f t="shared" si="20"/>
        <v>0</v>
      </c>
    </row>
    <row r="623" spans="1:10" x14ac:dyDescent="0.2">
      <c r="A623" s="11" t="s">
        <v>221</v>
      </c>
      <c r="B623" s="11" t="str">
        <f t="shared" si="19"/>
        <v>240031</v>
      </c>
      <c r="C623" s="11" t="str">
        <f>_xlfn.CONCAT(+VLOOKUP(VALUE(MID(A623,13,2)),'Tabla de codigos'!$A$2:$B$60,2,1)," ",VLOOKUP(VALUE(MID(A623,15,4)),'Tabla de codigos'!$E$2:$F$102,2,1))</f>
        <v>OLLA CONVEXA 34</v>
      </c>
      <c r="D623" s="11" t="s">
        <v>413</v>
      </c>
      <c r="E623" s="11" t="s">
        <v>145</v>
      </c>
      <c r="F623" s="11" t="s">
        <v>434</v>
      </c>
      <c r="G623" s="11" t="s">
        <v>415</v>
      </c>
      <c r="H623" s="11">
        <v>4</v>
      </c>
      <c r="I623" s="15">
        <v>4</v>
      </c>
      <c r="J623" s="15">
        <f t="shared" si="20"/>
        <v>0</v>
      </c>
    </row>
    <row r="624" spans="1:10" x14ac:dyDescent="0.2">
      <c r="A624" s="11" t="s">
        <v>257</v>
      </c>
      <c r="B624" s="11" t="str">
        <f t="shared" si="19"/>
        <v>250015</v>
      </c>
      <c r="C624" s="11" t="str">
        <f>_xlfn.CONCAT(+VLOOKUP(VALUE(MID(A624,13,2)),'Tabla de codigos'!$A$2:$B$60,2,1)," ",VLOOKUP(VALUE(MID(A624,15,4)),'Tabla de codigos'!$E$2:$F$102,2,1))</f>
        <v>OLLA RECTA 14</v>
      </c>
      <c r="D624" s="11" t="s">
        <v>413</v>
      </c>
      <c r="E624" s="11" t="s">
        <v>145</v>
      </c>
      <c r="F624" s="11" t="s">
        <v>434</v>
      </c>
      <c r="G624" s="11" t="s">
        <v>415</v>
      </c>
      <c r="H624" s="11">
        <v>36</v>
      </c>
      <c r="I624" s="15">
        <v>0</v>
      </c>
      <c r="J624" s="15">
        <f t="shared" si="20"/>
        <v>36</v>
      </c>
    </row>
    <row r="625" spans="1:10" x14ac:dyDescent="0.2">
      <c r="A625" s="11" t="s">
        <v>258</v>
      </c>
      <c r="B625" s="11" t="str">
        <f t="shared" si="19"/>
        <v>250017</v>
      </c>
      <c r="C625" s="11" t="str">
        <f>_xlfn.CONCAT(+VLOOKUP(VALUE(MID(A625,13,2)),'Tabla de codigos'!$A$2:$B$60,2,1)," ",VLOOKUP(VALUE(MID(A625,15,4)),'Tabla de codigos'!$E$2:$F$102,2,1))</f>
        <v>OLLA RECTA 16</v>
      </c>
      <c r="D625" s="11" t="s">
        <v>413</v>
      </c>
      <c r="E625" s="11" t="s">
        <v>145</v>
      </c>
      <c r="F625" s="11" t="s">
        <v>434</v>
      </c>
      <c r="G625" s="11" t="s">
        <v>415</v>
      </c>
      <c r="H625" s="11">
        <v>24</v>
      </c>
      <c r="I625" s="15">
        <v>24</v>
      </c>
      <c r="J625" s="15">
        <f t="shared" si="20"/>
        <v>0</v>
      </c>
    </row>
    <row r="626" spans="1:10" x14ac:dyDescent="0.2">
      <c r="A626" s="11" t="s">
        <v>259</v>
      </c>
      <c r="B626" s="11" t="str">
        <f t="shared" si="19"/>
        <v>250021</v>
      </c>
      <c r="C626" s="11" t="str">
        <f>_xlfn.CONCAT(+VLOOKUP(VALUE(MID(A626,13,2)),'Tabla de codigos'!$A$2:$B$60,2,1)," ",VLOOKUP(VALUE(MID(A626,15,4)),'Tabla de codigos'!$E$2:$F$102,2,1))</f>
        <v>OLLA RECTA 18</v>
      </c>
      <c r="D626" s="11" t="s">
        <v>413</v>
      </c>
      <c r="E626" s="11" t="s">
        <v>145</v>
      </c>
      <c r="F626" s="11" t="s">
        <v>434</v>
      </c>
      <c r="G626" s="11" t="s">
        <v>415</v>
      </c>
      <c r="H626" s="11">
        <v>24</v>
      </c>
      <c r="I626" s="15">
        <f>3+21</f>
        <v>24</v>
      </c>
      <c r="J626" s="15">
        <f t="shared" si="20"/>
        <v>0</v>
      </c>
    </row>
    <row r="627" spans="1:10" x14ac:dyDescent="0.2">
      <c r="A627" s="11" t="s">
        <v>260</v>
      </c>
      <c r="B627" s="11" t="str">
        <f t="shared" si="19"/>
        <v>250022</v>
      </c>
      <c r="C627" s="11" t="str">
        <f>_xlfn.CONCAT(+VLOOKUP(VALUE(MID(A627,13,2)),'Tabla de codigos'!$A$2:$B$60,2,1)," ",VLOOKUP(VALUE(MID(A627,15,4)),'Tabla de codigos'!$E$2:$F$102,2,1))</f>
        <v>OLLA RECTA 20</v>
      </c>
      <c r="D627" s="11" t="s">
        <v>413</v>
      </c>
      <c r="E627" s="11" t="s">
        <v>145</v>
      </c>
      <c r="F627" s="11" t="s">
        <v>434</v>
      </c>
      <c r="G627" s="11" t="s">
        <v>415</v>
      </c>
      <c r="H627" s="11">
        <v>24</v>
      </c>
      <c r="I627" s="15">
        <v>24</v>
      </c>
      <c r="J627" s="15">
        <f t="shared" si="20"/>
        <v>0</v>
      </c>
    </row>
    <row r="628" spans="1:10" x14ac:dyDescent="0.2">
      <c r="A628" s="11" t="s">
        <v>236</v>
      </c>
      <c r="B628" s="11" t="str">
        <f t="shared" si="19"/>
        <v>250024</v>
      </c>
      <c r="C628" s="11" t="str">
        <f>_xlfn.CONCAT(+VLOOKUP(VALUE(MID(A628,13,2)),'Tabla de codigos'!$A$2:$B$60,2,1)," ",VLOOKUP(VALUE(MID(A628,15,4)),'Tabla de codigos'!$E$2:$F$102,2,1))</f>
        <v>OLLA RECTA 22</v>
      </c>
      <c r="D628" s="11" t="s">
        <v>413</v>
      </c>
      <c r="E628" s="11" t="s">
        <v>145</v>
      </c>
      <c r="F628" s="11" t="s">
        <v>434</v>
      </c>
      <c r="G628" s="11" t="s">
        <v>415</v>
      </c>
      <c r="H628" s="11">
        <v>12</v>
      </c>
      <c r="I628" s="15">
        <v>12</v>
      </c>
      <c r="J628" s="16">
        <f t="shared" si="20"/>
        <v>0</v>
      </c>
    </row>
    <row r="629" spans="1:10" x14ac:dyDescent="0.2">
      <c r="A629" s="11" t="s">
        <v>237</v>
      </c>
      <c r="B629" s="11" t="str">
        <f t="shared" si="19"/>
        <v>250025</v>
      </c>
      <c r="C629" s="11" t="str">
        <f>_xlfn.CONCAT(+VLOOKUP(VALUE(MID(A629,13,2)),'Tabla de codigos'!$A$2:$B$60,2,1)," ",VLOOKUP(VALUE(MID(A629,15,4)),'Tabla de codigos'!$E$2:$F$102,2,1))</f>
        <v>OLLA RECTA 24</v>
      </c>
      <c r="D629" s="11" t="s">
        <v>413</v>
      </c>
      <c r="E629" s="11" t="s">
        <v>145</v>
      </c>
      <c r="F629" s="11" t="s">
        <v>434</v>
      </c>
      <c r="G629" s="11" t="s">
        <v>415</v>
      </c>
      <c r="H629" s="11">
        <v>12</v>
      </c>
      <c r="I629" s="15">
        <v>0</v>
      </c>
      <c r="J629" s="15">
        <f t="shared" si="20"/>
        <v>12</v>
      </c>
    </row>
    <row r="630" spans="1:10" x14ac:dyDescent="0.2">
      <c r="A630" s="11" t="s">
        <v>224</v>
      </c>
      <c r="B630" s="11" t="str">
        <f t="shared" si="19"/>
        <v>250026</v>
      </c>
      <c r="C630" s="11" t="str">
        <f>_xlfn.CONCAT(+VLOOKUP(VALUE(MID(A630,13,2)),'Tabla de codigos'!$A$2:$B$60,2,1)," ",VLOOKUP(VALUE(MID(A630,15,4)),'Tabla de codigos'!$E$2:$F$102,2,1))</f>
        <v>OLLA RECTA 26</v>
      </c>
      <c r="D630" s="11" t="s">
        <v>413</v>
      </c>
      <c r="E630" s="11" t="s">
        <v>145</v>
      </c>
      <c r="F630" s="11" t="s">
        <v>434</v>
      </c>
      <c r="G630" s="11" t="s">
        <v>415</v>
      </c>
      <c r="H630" s="11">
        <v>12</v>
      </c>
      <c r="I630" s="15">
        <v>12</v>
      </c>
      <c r="J630" s="15">
        <f t="shared" si="20"/>
        <v>0</v>
      </c>
    </row>
    <row r="631" spans="1:10" x14ac:dyDescent="0.2">
      <c r="A631" s="11" t="s">
        <v>155</v>
      </c>
      <c r="B631" s="11" t="str">
        <f t="shared" si="19"/>
        <v>250029</v>
      </c>
      <c r="C631" s="11" t="str">
        <f>_xlfn.CONCAT(+VLOOKUP(VALUE(MID(A631,13,2)),'Tabla de codigos'!$A$2:$B$60,2,1)," ",VLOOKUP(VALUE(MID(A631,15,4)),'Tabla de codigos'!$E$2:$F$102,2,1))</f>
        <v>OLLA RECTA 30</v>
      </c>
      <c r="D631" s="11" t="s">
        <v>413</v>
      </c>
      <c r="E631" s="11" t="s">
        <v>145</v>
      </c>
      <c r="F631" s="11" t="s">
        <v>434</v>
      </c>
      <c r="G631" s="11" t="s">
        <v>415</v>
      </c>
      <c r="H631" s="11">
        <v>4</v>
      </c>
      <c r="I631" s="15">
        <v>0</v>
      </c>
      <c r="J631" s="15">
        <f t="shared" si="20"/>
        <v>4</v>
      </c>
    </row>
    <row r="632" spans="1:10" x14ac:dyDescent="0.2">
      <c r="A632" s="11" t="s">
        <v>156</v>
      </c>
      <c r="B632" s="11" t="str">
        <f t="shared" si="19"/>
        <v>250031</v>
      </c>
      <c r="C632" s="11" t="str">
        <f>_xlfn.CONCAT(+VLOOKUP(VALUE(MID(A632,13,2)),'Tabla de codigos'!$A$2:$B$60,2,1)," ",VLOOKUP(VALUE(MID(A632,15,4)),'Tabla de codigos'!$E$2:$F$102,2,1))</f>
        <v>OLLA RECTA 34</v>
      </c>
      <c r="D632" s="11" t="s">
        <v>413</v>
      </c>
      <c r="E632" s="11" t="s">
        <v>145</v>
      </c>
      <c r="F632" s="11" t="s">
        <v>434</v>
      </c>
      <c r="G632" s="11" t="s">
        <v>415</v>
      </c>
      <c r="H632" s="11">
        <v>4</v>
      </c>
      <c r="I632" s="15">
        <v>0</v>
      </c>
      <c r="J632" s="15">
        <f t="shared" si="20"/>
        <v>4</v>
      </c>
    </row>
    <row r="633" spans="1:10" x14ac:dyDescent="0.2">
      <c r="A633" s="11" t="s">
        <v>157</v>
      </c>
      <c r="B633" s="11" t="str">
        <f t="shared" si="19"/>
        <v>250033</v>
      </c>
      <c r="C633" s="11" t="str">
        <f>_xlfn.CONCAT(+VLOOKUP(VALUE(MID(A633,13,2)),'Tabla de codigos'!$A$2:$B$60,2,1)," ",VLOOKUP(VALUE(MID(A633,15,4)),'Tabla de codigos'!$E$2:$F$102,2,1))</f>
        <v>OLLA RECTA 42</v>
      </c>
      <c r="D633" s="11" t="s">
        <v>413</v>
      </c>
      <c r="E633" s="11" t="s">
        <v>145</v>
      </c>
      <c r="F633" s="11" t="s">
        <v>434</v>
      </c>
      <c r="G633" s="11" t="s">
        <v>415</v>
      </c>
      <c r="H633" s="11">
        <v>2</v>
      </c>
      <c r="I633" s="15">
        <v>2</v>
      </c>
      <c r="J633" s="15">
        <f t="shared" si="20"/>
        <v>0</v>
      </c>
    </row>
    <row r="634" spans="1:10" x14ac:dyDescent="0.2">
      <c r="A634" s="11" t="s">
        <v>225</v>
      </c>
      <c r="B634" s="11" t="str">
        <f t="shared" si="19"/>
        <v>330012</v>
      </c>
      <c r="C634" s="11" t="str">
        <f>_xlfn.CONCAT(+VLOOKUP(VALUE(MID(A634,13,2)),'Tabla de codigos'!$A$2:$B$60,2,1)," ",VLOOKUP(VALUE(MID(A634,15,4)),'Tabla de codigos'!$E$2:$F$102,2,1))</f>
        <v>POCILLO 8</v>
      </c>
      <c r="D634" s="11" t="s">
        <v>413</v>
      </c>
      <c r="E634" s="11" t="s">
        <v>145</v>
      </c>
      <c r="F634" s="11" t="s">
        <v>434</v>
      </c>
      <c r="G634" s="11" t="s">
        <v>415</v>
      </c>
      <c r="H634" s="11">
        <v>72</v>
      </c>
      <c r="I634" s="15">
        <v>72</v>
      </c>
      <c r="J634" s="15">
        <f t="shared" si="20"/>
        <v>0</v>
      </c>
    </row>
    <row r="635" spans="1:10" x14ac:dyDescent="0.2">
      <c r="A635" s="11" t="s">
        <v>226</v>
      </c>
      <c r="B635" s="11" t="str">
        <f t="shared" si="19"/>
        <v>330013</v>
      </c>
      <c r="C635" s="11" t="str">
        <f>_xlfn.CONCAT(+VLOOKUP(VALUE(MID(A635,13,2)),'Tabla de codigos'!$A$2:$B$60,2,1)," ",VLOOKUP(VALUE(MID(A635,15,4)),'Tabla de codigos'!$E$2:$F$102,2,1))</f>
        <v>POCILLO 10</v>
      </c>
      <c r="D635" s="11" t="s">
        <v>413</v>
      </c>
      <c r="E635" s="11" t="s">
        <v>145</v>
      </c>
      <c r="F635" s="11" t="s">
        <v>434</v>
      </c>
      <c r="G635" s="11" t="s">
        <v>415</v>
      </c>
      <c r="H635" s="11">
        <v>120</v>
      </c>
      <c r="I635" s="15">
        <v>120</v>
      </c>
      <c r="J635" s="16">
        <f t="shared" si="20"/>
        <v>0</v>
      </c>
    </row>
    <row r="636" spans="1:10" x14ac:dyDescent="0.2">
      <c r="A636" s="11" t="s">
        <v>180</v>
      </c>
      <c r="B636" s="11" t="str">
        <f t="shared" si="19"/>
        <v>330014</v>
      </c>
      <c r="C636" s="11" t="str">
        <f>_xlfn.CONCAT(+VLOOKUP(VALUE(MID(A636,13,2)),'Tabla de codigos'!$A$2:$B$60,2,1)," ",VLOOKUP(VALUE(MID(A636,15,4)),'Tabla de codigos'!$E$2:$F$102,2,1))</f>
        <v>POCILLO 12</v>
      </c>
      <c r="D636" s="11" t="s">
        <v>413</v>
      </c>
      <c r="E636" s="11" t="s">
        <v>145</v>
      </c>
      <c r="F636" s="11" t="s">
        <v>434</v>
      </c>
      <c r="G636" s="11" t="s">
        <v>415</v>
      </c>
      <c r="H636" s="11">
        <v>120</v>
      </c>
      <c r="I636" s="15">
        <v>0</v>
      </c>
      <c r="J636" s="15">
        <f t="shared" si="20"/>
        <v>120</v>
      </c>
    </row>
    <row r="637" spans="1:10" x14ac:dyDescent="0.2">
      <c r="A637" s="11" t="s">
        <v>182</v>
      </c>
      <c r="B637" s="11" t="str">
        <f t="shared" si="19"/>
        <v>330015</v>
      </c>
      <c r="C637" s="11" t="str">
        <f>_xlfn.CONCAT(+VLOOKUP(VALUE(MID(A637,13,2)),'Tabla de codigos'!$A$2:$B$60,2,1)," ",VLOOKUP(VALUE(MID(A637,15,4)),'Tabla de codigos'!$E$2:$F$102,2,1))</f>
        <v>POCILLO 14</v>
      </c>
      <c r="D637" s="11" t="s">
        <v>413</v>
      </c>
      <c r="E637" s="11" t="s">
        <v>145</v>
      </c>
      <c r="F637" s="11" t="s">
        <v>434</v>
      </c>
      <c r="G637" s="11" t="s">
        <v>415</v>
      </c>
      <c r="H637" s="11">
        <v>60</v>
      </c>
      <c r="I637" s="15">
        <f>28+32</f>
        <v>60</v>
      </c>
      <c r="J637" s="15">
        <f t="shared" si="20"/>
        <v>0</v>
      </c>
    </row>
    <row r="638" spans="1:10" x14ac:dyDescent="0.2">
      <c r="A638" s="11" t="s">
        <v>227</v>
      </c>
      <c r="B638" s="11" t="str">
        <f t="shared" si="19"/>
        <v>360024</v>
      </c>
      <c r="C638" s="11" t="str">
        <f>_xlfn.CONCAT(+VLOOKUP(VALUE(MID(A638,13,2)),'Tabla de codigos'!$A$2:$B$60,2,1)," ",VLOOKUP(VALUE(MID(A638,15,4)),'Tabla de codigos'!$E$2:$F$102,2,1))</f>
        <v>SARTEN 22</v>
      </c>
      <c r="D638" s="11" t="s">
        <v>413</v>
      </c>
      <c r="E638" s="11" t="s">
        <v>145</v>
      </c>
      <c r="F638" s="11" t="s">
        <v>434</v>
      </c>
      <c r="G638" s="11" t="s">
        <v>415</v>
      </c>
      <c r="H638" s="11">
        <v>12</v>
      </c>
      <c r="I638" s="15">
        <v>0</v>
      </c>
      <c r="J638" s="15">
        <f t="shared" si="20"/>
        <v>12</v>
      </c>
    </row>
    <row r="639" spans="1:10" x14ac:dyDescent="0.2">
      <c r="A639" s="11" t="s">
        <v>44</v>
      </c>
      <c r="B639" s="11" t="str">
        <f t="shared" si="19"/>
        <v>360025</v>
      </c>
      <c r="C639" s="11" t="str">
        <f>_xlfn.CONCAT(+VLOOKUP(VALUE(MID(A639,13,2)),'Tabla de codigos'!$A$2:$B$60,2,1)," ",VLOOKUP(VALUE(MID(A639,15,4)),'Tabla de codigos'!$E$2:$F$102,2,1))</f>
        <v>SARTEN 24</v>
      </c>
      <c r="D639" s="11" t="s">
        <v>413</v>
      </c>
      <c r="E639" s="11" t="s">
        <v>145</v>
      </c>
      <c r="F639" s="11" t="s">
        <v>434</v>
      </c>
      <c r="G639" s="11" t="s">
        <v>415</v>
      </c>
      <c r="H639" s="11">
        <v>12</v>
      </c>
      <c r="I639" s="15">
        <v>0</v>
      </c>
      <c r="J639" s="15">
        <f t="shared" si="20"/>
        <v>12</v>
      </c>
    </row>
    <row r="640" spans="1:10" x14ac:dyDescent="0.2">
      <c r="A640" s="11" t="s">
        <v>239</v>
      </c>
      <c r="B640" s="11" t="str">
        <f t="shared" si="19"/>
        <v>360026</v>
      </c>
      <c r="C640" s="11" t="str">
        <f>_xlfn.CONCAT(+VLOOKUP(VALUE(MID(A640,13,2)),'Tabla de codigos'!$A$2:$B$60,2,1)," ",VLOOKUP(VALUE(MID(A640,15,4)),'Tabla de codigos'!$E$2:$F$102,2,1))</f>
        <v>SARTEN 26</v>
      </c>
      <c r="D640" s="11" t="s">
        <v>413</v>
      </c>
      <c r="E640" s="11" t="s">
        <v>145</v>
      </c>
      <c r="F640" s="11" t="s">
        <v>434</v>
      </c>
      <c r="G640" s="11" t="s">
        <v>415</v>
      </c>
      <c r="H640" s="11">
        <v>12</v>
      </c>
      <c r="I640" s="15">
        <v>12</v>
      </c>
      <c r="J640" s="15">
        <f t="shared" si="20"/>
        <v>0</v>
      </c>
    </row>
    <row r="641" spans="1:11" x14ac:dyDescent="0.2">
      <c r="A641" s="11" t="s">
        <v>356</v>
      </c>
      <c r="B641" s="11" t="str">
        <f t="shared" si="19"/>
        <v>480015</v>
      </c>
      <c r="C641" s="11" t="str">
        <f>_xlfn.CONCAT(+VLOOKUP(VALUE(MID(A641,13,2)),'Tabla de codigos'!$A$2:$B$60,2,1)," ",VLOOKUP(VALUE(MID(A641,15,4)),'Tabla de codigos'!$E$2:$F$102,2,1))</f>
        <v>VASO RECTO 14</v>
      </c>
      <c r="D641" s="11" t="s">
        <v>413</v>
      </c>
      <c r="E641" s="11" t="s">
        <v>145</v>
      </c>
      <c r="F641" s="11" t="s">
        <v>434</v>
      </c>
      <c r="G641" s="11" t="s">
        <v>415</v>
      </c>
      <c r="H641" s="11">
        <v>120</v>
      </c>
      <c r="I641" s="15">
        <v>120</v>
      </c>
      <c r="J641" s="15">
        <f t="shared" si="20"/>
        <v>0</v>
      </c>
      <c r="K641" s="17">
        <f>(SUM(I600:I641))/(SUM(H600:H641))</f>
        <v>0.71065573770491808</v>
      </c>
    </row>
    <row r="642" spans="1:11" x14ac:dyDescent="0.2">
      <c r="A642" s="11" t="s">
        <v>165</v>
      </c>
      <c r="B642" s="11" t="str">
        <f t="shared" si="19"/>
        <v>120049</v>
      </c>
      <c r="C642" s="11" t="str">
        <f>_xlfn.CONCAT(+VLOOKUP(VALUE(MID(A642,13,2)),'Tabla de codigos'!$A$2:$B$60,2,1)," ",VLOOKUP(VALUE(MID(A642,15,4)),'Tabla de codigos'!$E$2:$F$102,2,1))</f>
        <v>CUCHARA CAFÉ</v>
      </c>
      <c r="D642" s="11" t="s">
        <v>435</v>
      </c>
      <c r="E642" s="11" t="s">
        <v>16</v>
      </c>
      <c r="F642" s="11" t="s">
        <v>436</v>
      </c>
      <c r="G642" s="11" t="s">
        <v>437</v>
      </c>
      <c r="H642" s="11">
        <v>48</v>
      </c>
      <c r="I642" s="15">
        <v>0</v>
      </c>
      <c r="J642" s="15">
        <f t="shared" si="20"/>
        <v>48</v>
      </c>
      <c r="K642" s="18"/>
    </row>
    <row r="643" spans="1:11" x14ac:dyDescent="0.2">
      <c r="A643" s="11" t="s">
        <v>438</v>
      </c>
      <c r="B643" s="11" t="str">
        <f t="shared" ref="B643:B706" si="21">+MID(A643,13,6)</f>
        <v>300025</v>
      </c>
      <c r="C643" s="11" t="str">
        <f>_xlfn.CONCAT(+VLOOKUP(VALUE(MID(A643,13,2)),'Tabla de codigos'!$A$2:$B$60,2,1)," ",VLOOKUP(VALUE(MID(A643,15,4)),'Tabla de codigos'!$E$2:$F$102,2,1))</f>
        <v>PLATO LISO 24</v>
      </c>
      <c r="D643" s="11" t="s">
        <v>435</v>
      </c>
      <c r="E643" s="11" t="s">
        <v>16</v>
      </c>
      <c r="F643" s="11" t="s">
        <v>436</v>
      </c>
      <c r="G643" s="11" t="s">
        <v>437</v>
      </c>
      <c r="H643" s="11">
        <v>72</v>
      </c>
      <c r="I643" s="15">
        <v>0</v>
      </c>
      <c r="J643" s="15">
        <f t="shared" si="20"/>
        <v>72</v>
      </c>
      <c r="K643" s="18"/>
    </row>
    <row r="644" spans="1:11" x14ac:dyDescent="0.2">
      <c r="A644" s="11" t="s">
        <v>133</v>
      </c>
      <c r="B644" s="11" t="str">
        <f t="shared" si="21"/>
        <v>390016</v>
      </c>
      <c r="C644" s="11" t="str">
        <f>_xlfn.CONCAT(+VLOOKUP(VALUE(MID(A644,13,2)),'Tabla de codigos'!$A$2:$B$60,2,1)," ",VLOOKUP(VALUE(MID(A644,15,4)),'Tabla de codigos'!$E$2:$F$102,2,1))</f>
        <v>TAZON  15.5</v>
      </c>
      <c r="D644" s="11" t="s">
        <v>435</v>
      </c>
      <c r="E644" s="11" t="s">
        <v>16</v>
      </c>
      <c r="F644" s="11" t="s">
        <v>436</v>
      </c>
      <c r="G644" s="11" t="s">
        <v>437</v>
      </c>
      <c r="H644" s="11">
        <v>72</v>
      </c>
      <c r="I644" s="15">
        <f>32+2+12+10</f>
        <v>56</v>
      </c>
      <c r="J644" s="15">
        <f t="shared" si="20"/>
        <v>16</v>
      </c>
      <c r="K644" s="17">
        <f>(SUM(I642:I644))/(SUM(H642:H644))</f>
        <v>0.29166666666666669</v>
      </c>
    </row>
    <row r="645" spans="1:11" x14ac:dyDescent="0.2">
      <c r="A645" s="11" t="s">
        <v>32</v>
      </c>
      <c r="B645" s="11" t="str">
        <f t="shared" si="21"/>
        <v>030009</v>
      </c>
      <c r="C645" s="11" t="str">
        <f>_xlfn.CONCAT(+VLOOKUP(VALUE(MID(A645,13,2)),'Tabla de codigos'!$A$2:$B$60,2,1)," ",VLOOKUP(VALUE(MID(A645,15,4)),'Tabla de codigos'!$E$2:$F$102,2,1))</f>
        <v>BAÑO 5</v>
      </c>
      <c r="D645" s="11" t="s">
        <v>439</v>
      </c>
      <c r="E645" s="11" t="s">
        <v>34</v>
      </c>
      <c r="F645" s="11" t="s">
        <v>440</v>
      </c>
      <c r="G645" s="11" t="s">
        <v>441</v>
      </c>
      <c r="H645" s="11">
        <v>50</v>
      </c>
      <c r="I645" s="15">
        <v>0</v>
      </c>
      <c r="J645" s="15">
        <f t="shared" si="20"/>
        <v>50</v>
      </c>
      <c r="K645" s="17">
        <f>(SUM(I645))/(SUM(H645))</f>
        <v>0</v>
      </c>
    </row>
    <row r="646" spans="1:11" x14ac:dyDescent="0.2">
      <c r="A646" s="11" t="s">
        <v>38</v>
      </c>
      <c r="B646" s="11" t="str">
        <f t="shared" si="21"/>
        <v>060033</v>
      </c>
      <c r="C646" s="11" t="str">
        <f>_xlfn.CONCAT(+VLOOKUP(VALUE(MID(A646,13,2)),'Tabla de codigos'!$A$2:$B$60,2,1)," ",VLOOKUP(VALUE(MID(A646,15,4)),'Tabla de codigos'!$E$2:$F$102,2,1))</f>
        <v>BUDINERA   42</v>
      </c>
      <c r="D646" s="11" t="s">
        <v>439</v>
      </c>
      <c r="E646" s="11" t="s">
        <v>34</v>
      </c>
      <c r="F646" s="11" t="s">
        <v>442</v>
      </c>
      <c r="G646" s="11" t="s">
        <v>441</v>
      </c>
      <c r="H646" s="11">
        <v>6</v>
      </c>
      <c r="I646" s="15">
        <v>0</v>
      </c>
      <c r="J646" s="15">
        <f t="shared" si="20"/>
        <v>6</v>
      </c>
    </row>
    <row r="647" spans="1:11" x14ac:dyDescent="0.2">
      <c r="A647" s="11" t="s">
        <v>236</v>
      </c>
      <c r="B647" s="11" t="str">
        <f t="shared" si="21"/>
        <v>250024</v>
      </c>
      <c r="C647" s="11" t="str">
        <f>_xlfn.CONCAT(+VLOOKUP(VALUE(MID(A647,13,2)),'Tabla de codigos'!$A$2:$B$60,2,1)," ",VLOOKUP(VALUE(MID(A647,15,4)),'Tabla de codigos'!$E$2:$F$102,2,1))</f>
        <v>OLLA RECTA 22</v>
      </c>
      <c r="D647" s="11" t="s">
        <v>439</v>
      </c>
      <c r="E647" s="11" t="s">
        <v>34</v>
      </c>
      <c r="F647" s="11" t="s">
        <v>442</v>
      </c>
      <c r="G647" s="11" t="s">
        <v>441</v>
      </c>
      <c r="H647" s="11">
        <v>36</v>
      </c>
      <c r="I647" s="15">
        <v>36</v>
      </c>
      <c r="J647" s="15">
        <f t="shared" ref="J647:J710" si="22">+H647-I647</f>
        <v>0</v>
      </c>
    </row>
    <row r="648" spans="1:11" x14ac:dyDescent="0.2">
      <c r="A648" s="11" t="s">
        <v>237</v>
      </c>
      <c r="B648" s="11" t="str">
        <f t="shared" si="21"/>
        <v>250025</v>
      </c>
      <c r="C648" s="11" t="str">
        <f>_xlfn.CONCAT(+VLOOKUP(VALUE(MID(A648,13,2)),'Tabla de codigos'!$A$2:$B$60,2,1)," ",VLOOKUP(VALUE(MID(A648,15,4)),'Tabla de codigos'!$E$2:$F$102,2,1))</f>
        <v>OLLA RECTA 24</v>
      </c>
      <c r="D648" s="11" t="s">
        <v>439</v>
      </c>
      <c r="E648" s="11" t="s">
        <v>34</v>
      </c>
      <c r="F648" s="11" t="s">
        <v>442</v>
      </c>
      <c r="G648" s="11" t="s">
        <v>441</v>
      </c>
      <c r="H648" s="11">
        <v>18</v>
      </c>
      <c r="I648" s="15">
        <v>0</v>
      </c>
      <c r="J648" s="15">
        <f t="shared" si="22"/>
        <v>18</v>
      </c>
    </row>
    <row r="649" spans="1:11" x14ac:dyDescent="0.2">
      <c r="A649" s="11" t="s">
        <v>130</v>
      </c>
      <c r="B649" s="11" t="str">
        <f t="shared" si="21"/>
        <v>330015</v>
      </c>
      <c r="C649" s="11" t="str">
        <f>_xlfn.CONCAT(+VLOOKUP(VALUE(MID(A649,13,2)),'Tabla de codigos'!$A$2:$B$60,2,1)," ",VLOOKUP(VALUE(MID(A649,15,4)),'Tabla de codigos'!$E$2:$F$102,2,1))</f>
        <v>POCILLO 14</v>
      </c>
      <c r="D649" s="11" t="s">
        <v>439</v>
      </c>
      <c r="E649" s="11" t="s">
        <v>34</v>
      </c>
      <c r="F649" s="11" t="s">
        <v>442</v>
      </c>
      <c r="G649" s="11" t="s">
        <v>441</v>
      </c>
      <c r="H649" s="11">
        <v>90</v>
      </c>
      <c r="I649" s="15">
        <v>0</v>
      </c>
      <c r="J649" s="15">
        <f t="shared" si="22"/>
        <v>90</v>
      </c>
    </row>
    <row r="650" spans="1:11" x14ac:dyDescent="0.2">
      <c r="A650" s="11" t="s">
        <v>44</v>
      </c>
      <c r="B650" s="11" t="str">
        <f t="shared" si="21"/>
        <v>360025</v>
      </c>
      <c r="C650" s="11" t="str">
        <f>_xlfn.CONCAT(+VLOOKUP(VALUE(MID(A650,13,2)),'Tabla de codigos'!$A$2:$B$60,2,1)," ",VLOOKUP(VALUE(MID(A650,15,4)),'Tabla de codigos'!$E$2:$F$102,2,1))</f>
        <v>SARTEN 24</v>
      </c>
      <c r="D650" s="11" t="s">
        <v>439</v>
      </c>
      <c r="E650" s="11" t="s">
        <v>34</v>
      </c>
      <c r="F650" s="11" t="s">
        <v>442</v>
      </c>
      <c r="G650" s="11" t="s">
        <v>441</v>
      </c>
      <c r="H650" s="11">
        <v>36</v>
      </c>
      <c r="I650" s="15">
        <v>0</v>
      </c>
      <c r="J650" s="15">
        <f t="shared" si="22"/>
        <v>36</v>
      </c>
      <c r="K650" s="17">
        <f>(SUM(I646:I650))/(SUM(H646:H650))</f>
        <v>0.19354838709677419</v>
      </c>
    </row>
    <row r="651" spans="1:11" x14ac:dyDescent="0.2">
      <c r="A651" s="11" t="s">
        <v>262</v>
      </c>
      <c r="B651" s="11" t="str">
        <f t="shared" si="21"/>
        <v>360022</v>
      </c>
      <c r="C651" s="11" t="str">
        <f>_xlfn.CONCAT(+VLOOKUP(VALUE(MID(A651,13,2)),'Tabla de codigos'!$A$2:$B$60,2,1)," ",VLOOKUP(VALUE(MID(A651,15,4)),'Tabla de codigos'!$E$2:$F$102,2,1))</f>
        <v>SARTEN 20</v>
      </c>
      <c r="D651" s="11" t="s">
        <v>443</v>
      </c>
      <c r="E651" s="11" t="s">
        <v>34</v>
      </c>
      <c r="F651" s="11" t="s">
        <v>444</v>
      </c>
      <c r="G651" s="11" t="s">
        <v>441</v>
      </c>
      <c r="H651" s="11">
        <v>12</v>
      </c>
      <c r="I651" s="15">
        <v>0</v>
      </c>
      <c r="J651" s="15">
        <f t="shared" si="22"/>
        <v>12</v>
      </c>
    </row>
    <row r="652" spans="1:11" x14ac:dyDescent="0.2">
      <c r="A652" s="11" t="s">
        <v>227</v>
      </c>
      <c r="B652" s="11" t="str">
        <f t="shared" si="21"/>
        <v>360024</v>
      </c>
      <c r="C652" s="11" t="str">
        <f>_xlfn.CONCAT(+VLOOKUP(VALUE(MID(A652,13,2)),'Tabla de codigos'!$A$2:$B$60,2,1)," ",VLOOKUP(VALUE(MID(A652,15,4)),'Tabla de codigos'!$E$2:$F$102,2,1))</f>
        <v>SARTEN 22</v>
      </c>
      <c r="D652" s="11" t="s">
        <v>443</v>
      </c>
      <c r="E652" s="11" t="s">
        <v>34</v>
      </c>
      <c r="F652" s="11" t="s">
        <v>444</v>
      </c>
      <c r="G652" s="11" t="s">
        <v>441</v>
      </c>
      <c r="H652" s="11">
        <v>12</v>
      </c>
      <c r="I652" s="15">
        <v>0</v>
      </c>
      <c r="J652" s="15">
        <f t="shared" si="22"/>
        <v>12</v>
      </c>
    </row>
    <row r="653" spans="1:11" x14ac:dyDescent="0.2">
      <c r="A653" s="11" t="s">
        <v>44</v>
      </c>
      <c r="B653" s="11" t="str">
        <f t="shared" si="21"/>
        <v>360025</v>
      </c>
      <c r="C653" s="11" t="str">
        <f>_xlfn.CONCAT(+VLOOKUP(VALUE(MID(A653,13,2)),'Tabla de codigos'!$A$2:$B$60,2,1)," ",VLOOKUP(VALUE(MID(A653,15,4)),'Tabla de codigos'!$E$2:$F$102,2,1))</f>
        <v>SARTEN 24</v>
      </c>
      <c r="D653" s="11" t="s">
        <v>443</v>
      </c>
      <c r="E653" s="11" t="s">
        <v>34</v>
      </c>
      <c r="F653" s="11" t="s">
        <v>444</v>
      </c>
      <c r="G653" s="11" t="s">
        <v>441</v>
      </c>
      <c r="H653" s="11">
        <v>12</v>
      </c>
      <c r="I653" s="15">
        <v>0</v>
      </c>
      <c r="J653" s="15">
        <f t="shared" si="22"/>
        <v>12</v>
      </c>
      <c r="K653" s="17">
        <f>(SUM(I651:I653))/(SUM(H651:H653))</f>
        <v>0</v>
      </c>
    </row>
    <row r="654" spans="1:11" x14ac:dyDescent="0.2">
      <c r="A654" s="11" t="s">
        <v>445</v>
      </c>
      <c r="B654" s="11" t="str">
        <f t="shared" si="21"/>
        <v>180045</v>
      </c>
      <c r="C654" s="11" t="str">
        <f>_xlfn.CONCAT(+VLOOKUP(VALUE(MID(A654,13,2)),'Tabla de codigos'!$A$2:$B$60,2,1)," ",VLOOKUP(VALUE(MID(A654,15,4)),'Tabla de codigos'!$E$2:$F$102,2,1))</f>
        <v>FUENTE PARA HORNO 30X20</v>
      </c>
      <c r="D654" s="11" t="s">
        <v>446</v>
      </c>
      <c r="E654" s="11" t="s">
        <v>34</v>
      </c>
      <c r="F654" s="11" t="s">
        <v>447</v>
      </c>
      <c r="G654" s="11" t="s">
        <v>441</v>
      </c>
      <c r="H654" s="11">
        <v>10</v>
      </c>
      <c r="I654" s="15">
        <v>0</v>
      </c>
      <c r="J654" s="15">
        <f t="shared" si="22"/>
        <v>10</v>
      </c>
    </row>
    <row r="655" spans="1:11" x14ac:dyDescent="0.2">
      <c r="A655" s="11" t="s">
        <v>363</v>
      </c>
      <c r="B655" s="11" t="str">
        <f t="shared" si="21"/>
        <v>190037</v>
      </c>
      <c r="C655" s="11" t="str">
        <f>_xlfn.CONCAT(+VLOOKUP(VALUE(MID(A655,13,2)),'Tabla de codigos'!$A$2:$B$60,2,1)," ",VLOOKUP(VALUE(MID(A655,15,4)),'Tabla de codigos'!$E$2:$F$102,2,1))</f>
        <v>JARRA RECTA 2.5 LTS</v>
      </c>
      <c r="D655" s="11" t="s">
        <v>446</v>
      </c>
      <c r="E655" s="11" t="s">
        <v>34</v>
      </c>
      <c r="F655" s="11" t="s">
        <v>447</v>
      </c>
      <c r="G655" s="11" t="s">
        <v>441</v>
      </c>
      <c r="H655" s="11">
        <v>6</v>
      </c>
      <c r="I655" s="15">
        <v>0</v>
      </c>
      <c r="J655" s="15">
        <f t="shared" si="22"/>
        <v>6</v>
      </c>
    </row>
    <row r="656" spans="1:11" x14ac:dyDescent="0.2">
      <c r="A656" s="11" t="s">
        <v>438</v>
      </c>
      <c r="B656" s="11" t="str">
        <f t="shared" si="21"/>
        <v>300025</v>
      </c>
      <c r="C656" s="11" t="str">
        <f>_xlfn.CONCAT(+VLOOKUP(VALUE(MID(A656,13,2)),'Tabla de codigos'!$A$2:$B$60,2,1)," ",VLOOKUP(VALUE(MID(A656,15,4)),'Tabla de codigos'!$E$2:$F$102,2,1))</f>
        <v>PLATO LISO 24</v>
      </c>
      <c r="D656" s="11" t="s">
        <v>446</v>
      </c>
      <c r="E656" s="11" t="s">
        <v>34</v>
      </c>
      <c r="F656" s="11" t="s">
        <v>447</v>
      </c>
      <c r="G656" s="11" t="s">
        <v>441</v>
      </c>
      <c r="H656" s="11">
        <v>12</v>
      </c>
      <c r="I656" s="15">
        <v>0</v>
      </c>
      <c r="J656" s="15">
        <f t="shared" si="22"/>
        <v>12</v>
      </c>
    </row>
    <row r="657" spans="1:11" x14ac:dyDescent="0.2">
      <c r="A657" s="11" t="s">
        <v>448</v>
      </c>
      <c r="B657" s="11" t="str">
        <f t="shared" si="21"/>
        <v>540097</v>
      </c>
      <c r="C657" s="11" t="str">
        <f>_xlfn.CONCAT(+VLOOKUP(VALUE(MID(A657,13,2)),'Tabla de codigos'!$A$2:$B$60,2,1)," ",VLOOKUP(VALUE(MID(A657,15,4)),'Tabla de codigos'!$E$2:$F$102,2,1))</f>
        <v>JARRA ABOMBADA 3 L</v>
      </c>
      <c r="D657" s="11" t="s">
        <v>446</v>
      </c>
      <c r="E657" s="11" t="s">
        <v>34</v>
      </c>
      <c r="F657" s="11" t="s">
        <v>447</v>
      </c>
      <c r="G657" s="11" t="s">
        <v>441</v>
      </c>
      <c r="H657" s="11">
        <v>1</v>
      </c>
      <c r="I657" s="15">
        <v>0</v>
      </c>
      <c r="J657" s="15">
        <f t="shared" si="22"/>
        <v>1</v>
      </c>
      <c r="K657" s="17">
        <f>(SUM(I654:I657))/(SUM(H654:H657))</f>
        <v>0</v>
      </c>
    </row>
    <row r="658" spans="1:11" x14ac:dyDescent="0.2">
      <c r="A658" s="11" t="s">
        <v>218</v>
      </c>
      <c r="B658" s="11" t="str">
        <f t="shared" si="21"/>
        <v>070015</v>
      </c>
      <c r="C658" s="11" t="str">
        <f>_xlfn.CONCAT(+VLOOKUP(VALUE(MID(A658,13,2)),'Tabla de codigos'!$A$2:$B$60,2,1)," ",VLOOKUP(VALUE(MID(A658,15,4)),'Tabla de codigos'!$E$2:$F$102,2,1))</f>
        <v>CAZO 14</v>
      </c>
      <c r="D658" s="11" t="s">
        <v>446</v>
      </c>
      <c r="E658" s="11" t="s">
        <v>34</v>
      </c>
      <c r="F658" s="11" t="s">
        <v>449</v>
      </c>
      <c r="G658" s="11" t="s">
        <v>441</v>
      </c>
      <c r="H658" s="11">
        <v>24</v>
      </c>
      <c r="I658" s="15">
        <v>24</v>
      </c>
      <c r="J658" s="15">
        <f t="shared" si="22"/>
        <v>0</v>
      </c>
    </row>
    <row r="659" spans="1:11" x14ac:dyDescent="0.2">
      <c r="A659" s="11" t="s">
        <v>110</v>
      </c>
      <c r="B659" s="11" t="str">
        <f t="shared" si="21"/>
        <v>110008</v>
      </c>
      <c r="C659" s="11" t="str">
        <f>_xlfn.CONCAT(+VLOOKUP(VALUE(MID(A659,13,2)),'Tabla de codigos'!$A$2:$B$60,2,1)," ",VLOOKUP(VALUE(MID(A659,15,4)),'Tabla de codigos'!$E$2:$F$102,2,1))</f>
        <v>CUBETA 4</v>
      </c>
      <c r="D659" s="11" t="s">
        <v>446</v>
      </c>
      <c r="E659" s="11" t="s">
        <v>34</v>
      </c>
      <c r="F659" s="11" t="s">
        <v>449</v>
      </c>
      <c r="G659" s="11" t="s">
        <v>441</v>
      </c>
      <c r="H659" s="11">
        <v>12</v>
      </c>
      <c r="I659" s="15">
        <v>12</v>
      </c>
      <c r="J659" s="15">
        <f t="shared" si="22"/>
        <v>0</v>
      </c>
    </row>
    <row r="660" spans="1:11" x14ac:dyDescent="0.2">
      <c r="A660" s="11" t="s">
        <v>220</v>
      </c>
      <c r="B660" s="11" t="str">
        <f t="shared" si="21"/>
        <v>240017</v>
      </c>
      <c r="C660" s="11" t="str">
        <f>_xlfn.CONCAT(+VLOOKUP(VALUE(MID(A660,13,2)),'Tabla de codigos'!$A$2:$B$60,2,1)," ",VLOOKUP(VALUE(MID(A660,15,4)),'Tabla de codigos'!$E$2:$F$102,2,1))</f>
        <v>OLLA CONVEXA 16</v>
      </c>
      <c r="D660" s="11" t="s">
        <v>446</v>
      </c>
      <c r="E660" s="11" t="s">
        <v>34</v>
      </c>
      <c r="F660" s="11" t="s">
        <v>449</v>
      </c>
      <c r="G660" s="11" t="s">
        <v>441</v>
      </c>
      <c r="H660" s="11">
        <v>12</v>
      </c>
      <c r="I660" s="15">
        <v>0</v>
      </c>
      <c r="J660" s="16">
        <f t="shared" si="22"/>
        <v>12</v>
      </c>
    </row>
    <row r="661" spans="1:11" x14ac:dyDescent="0.2">
      <c r="A661" s="11" t="s">
        <v>154</v>
      </c>
      <c r="B661" s="11" t="str">
        <f t="shared" si="21"/>
        <v>240029</v>
      </c>
      <c r="C661" s="11" t="str">
        <f>_xlfn.CONCAT(+VLOOKUP(VALUE(MID(A661,13,2)),'Tabla de codigos'!$A$2:$B$60,2,1)," ",VLOOKUP(VALUE(MID(A661,15,4)),'Tabla de codigos'!$E$2:$F$102,2,1))</f>
        <v>OLLA CONVEXA 30</v>
      </c>
      <c r="D661" s="11" t="s">
        <v>446</v>
      </c>
      <c r="E661" s="11" t="s">
        <v>34</v>
      </c>
      <c r="F661" s="11" t="s">
        <v>449</v>
      </c>
      <c r="G661" s="11" t="s">
        <v>441</v>
      </c>
      <c r="H661" s="11">
        <v>6</v>
      </c>
      <c r="I661" s="15">
        <v>6</v>
      </c>
      <c r="J661" s="15">
        <f t="shared" si="22"/>
        <v>0</v>
      </c>
    </row>
    <row r="662" spans="1:11" x14ac:dyDescent="0.2">
      <c r="A662" s="11" t="s">
        <v>222</v>
      </c>
      <c r="B662" s="11" t="str">
        <f t="shared" si="21"/>
        <v>250014</v>
      </c>
      <c r="C662" s="11" t="str">
        <f>_xlfn.CONCAT(+VLOOKUP(VALUE(MID(A662,13,2)),'Tabla de codigos'!$A$2:$B$60,2,1)," ",VLOOKUP(VALUE(MID(A662,15,4)),'Tabla de codigos'!$E$2:$F$102,2,1))</f>
        <v>OLLA RECTA 12</v>
      </c>
      <c r="D662" s="11" t="s">
        <v>446</v>
      </c>
      <c r="E662" s="11" t="s">
        <v>34</v>
      </c>
      <c r="F662" s="11" t="s">
        <v>449</v>
      </c>
      <c r="G662" s="11" t="s">
        <v>441</v>
      </c>
      <c r="H662" s="11">
        <v>18</v>
      </c>
      <c r="I662" s="15">
        <v>18</v>
      </c>
      <c r="J662" s="15">
        <f t="shared" si="22"/>
        <v>0</v>
      </c>
    </row>
    <row r="663" spans="1:11" x14ac:dyDescent="0.2">
      <c r="A663" s="11" t="s">
        <v>257</v>
      </c>
      <c r="B663" s="11" t="str">
        <f t="shared" si="21"/>
        <v>250015</v>
      </c>
      <c r="C663" s="11" t="str">
        <f>_xlfn.CONCAT(+VLOOKUP(VALUE(MID(A663,13,2)),'Tabla de codigos'!$A$2:$B$60,2,1)," ",VLOOKUP(VALUE(MID(A663,15,4)),'Tabla de codigos'!$E$2:$F$102,2,1))</f>
        <v>OLLA RECTA 14</v>
      </c>
      <c r="D663" s="11" t="s">
        <v>446</v>
      </c>
      <c r="E663" s="11" t="s">
        <v>34</v>
      </c>
      <c r="F663" s="11" t="s">
        <v>449</v>
      </c>
      <c r="G663" s="11" t="s">
        <v>441</v>
      </c>
      <c r="H663" s="11">
        <v>18</v>
      </c>
      <c r="I663" s="15">
        <v>0</v>
      </c>
      <c r="J663" s="15">
        <f t="shared" si="22"/>
        <v>18</v>
      </c>
    </row>
    <row r="664" spans="1:11" x14ac:dyDescent="0.2">
      <c r="A664" s="11" t="s">
        <v>236</v>
      </c>
      <c r="B664" s="11" t="str">
        <f t="shared" si="21"/>
        <v>250024</v>
      </c>
      <c r="C664" s="11" t="str">
        <f>_xlfn.CONCAT(+VLOOKUP(VALUE(MID(A664,13,2)),'Tabla de codigos'!$A$2:$B$60,2,1)," ",VLOOKUP(VALUE(MID(A664,15,4)),'Tabla de codigos'!$E$2:$F$102,2,1))</f>
        <v>OLLA RECTA 22</v>
      </c>
      <c r="D664" s="11" t="s">
        <v>446</v>
      </c>
      <c r="E664" s="11" t="s">
        <v>34</v>
      </c>
      <c r="F664" s="11" t="s">
        <v>449</v>
      </c>
      <c r="G664" s="11" t="s">
        <v>441</v>
      </c>
      <c r="H664" s="11">
        <v>6</v>
      </c>
      <c r="I664" s="15">
        <v>6</v>
      </c>
      <c r="J664" s="15">
        <f t="shared" si="22"/>
        <v>0</v>
      </c>
    </row>
    <row r="665" spans="1:11" x14ac:dyDescent="0.2">
      <c r="A665" s="11" t="s">
        <v>237</v>
      </c>
      <c r="B665" s="11" t="str">
        <f t="shared" si="21"/>
        <v>250025</v>
      </c>
      <c r="C665" s="11" t="str">
        <f>_xlfn.CONCAT(+VLOOKUP(VALUE(MID(A665,13,2)),'Tabla de codigos'!$A$2:$B$60,2,1)," ",VLOOKUP(VALUE(MID(A665,15,4)),'Tabla de codigos'!$E$2:$F$102,2,1))</f>
        <v>OLLA RECTA 24</v>
      </c>
      <c r="D665" s="11" t="s">
        <v>446</v>
      </c>
      <c r="E665" s="11" t="s">
        <v>34</v>
      </c>
      <c r="F665" s="11" t="s">
        <v>449</v>
      </c>
      <c r="G665" s="11" t="s">
        <v>441</v>
      </c>
      <c r="H665" s="11">
        <v>6</v>
      </c>
      <c r="I665" s="15">
        <v>0</v>
      </c>
      <c r="J665" s="15">
        <f t="shared" si="22"/>
        <v>6</v>
      </c>
    </row>
    <row r="666" spans="1:11" x14ac:dyDescent="0.2">
      <c r="A666" s="11" t="s">
        <v>227</v>
      </c>
      <c r="B666" s="11" t="str">
        <f t="shared" si="21"/>
        <v>360024</v>
      </c>
      <c r="C666" s="11" t="str">
        <f>_xlfn.CONCAT(+VLOOKUP(VALUE(MID(A666,13,2)),'Tabla de codigos'!$A$2:$B$60,2,1)," ",VLOOKUP(VALUE(MID(A666,15,4)),'Tabla de codigos'!$E$2:$F$102,2,1))</f>
        <v>SARTEN 22</v>
      </c>
      <c r="D666" s="11" t="s">
        <v>446</v>
      </c>
      <c r="E666" s="11" t="s">
        <v>34</v>
      </c>
      <c r="F666" s="11" t="s">
        <v>449</v>
      </c>
      <c r="G666" s="11" t="s">
        <v>441</v>
      </c>
      <c r="H666" s="11">
        <v>12</v>
      </c>
      <c r="I666" s="15">
        <v>0</v>
      </c>
      <c r="J666" s="15">
        <f t="shared" si="22"/>
        <v>12</v>
      </c>
    </row>
    <row r="667" spans="1:11" x14ac:dyDescent="0.2">
      <c r="A667" s="11" t="s">
        <v>44</v>
      </c>
      <c r="B667" s="11" t="str">
        <f t="shared" si="21"/>
        <v>360025</v>
      </c>
      <c r="C667" s="11" t="str">
        <f>_xlfn.CONCAT(+VLOOKUP(VALUE(MID(A667,13,2)),'Tabla de codigos'!$A$2:$B$60,2,1)," ",VLOOKUP(VALUE(MID(A667,15,4)),'Tabla de codigos'!$E$2:$F$102,2,1))</f>
        <v>SARTEN 24</v>
      </c>
      <c r="D667" s="11" t="s">
        <v>446</v>
      </c>
      <c r="E667" s="11" t="s">
        <v>34</v>
      </c>
      <c r="F667" s="11" t="s">
        <v>449</v>
      </c>
      <c r="G667" s="11" t="s">
        <v>441</v>
      </c>
      <c r="H667" s="11">
        <v>12</v>
      </c>
      <c r="I667" s="15">
        <v>0</v>
      </c>
      <c r="J667" s="15">
        <f t="shared" si="22"/>
        <v>12</v>
      </c>
    </row>
    <row r="668" spans="1:11" x14ac:dyDescent="0.2">
      <c r="A668" s="11" t="s">
        <v>356</v>
      </c>
      <c r="B668" s="11" t="str">
        <f t="shared" si="21"/>
        <v>480015</v>
      </c>
      <c r="C668" s="11" t="str">
        <f>_xlfn.CONCAT(+VLOOKUP(VALUE(MID(A668,13,2)),'Tabla de codigos'!$A$2:$B$60,2,1)," ",VLOOKUP(VALUE(MID(A668,15,4)),'Tabla de codigos'!$E$2:$F$102,2,1))</f>
        <v>VASO RECTO 14</v>
      </c>
      <c r="D668" s="11" t="s">
        <v>446</v>
      </c>
      <c r="E668" s="11" t="s">
        <v>34</v>
      </c>
      <c r="F668" s="11" t="s">
        <v>449</v>
      </c>
      <c r="G668" s="11" t="s">
        <v>441</v>
      </c>
      <c r="H668" s="11">
        <v>24</v>
      </c>
      <c r="I668" s="15">
        <f>15+9</f>
        <v>24</v>
      </c>
      <c r="J668" s="15">
        <f t="shared" si="22"/>
        <v>0</v>
      </c>
      <c r="K668" s="17">
        <f>(SUM(I658:I668))/(SUM(H658:H668))</f>
        <v>0.6</v>
      </c>
    </row>
    <row r="669" spans="1:11" x14ac:dyDescent="0.2">
      <c r="A669" s="11" t="s">
        <v>236</v>
      </c>
      <c r="B669" s="11" t="str">
        <f t="shared" si="21"/>
        <v>250024</v>
      </c>
      <c r="C669" s="11" t="str">
        <f>_xlfn.CONCAT(+VLOOKUP(VALUE(MID(A669,13,2)),'Tabla de codigos'!$A$2:$B$60,2,1)," ",VLOOKUP(VALUE(MID(A669,15,4)),'Tabla de codigos'!$E$2:$F$102,2,1))</f>
        <v>OLLA RECTA 22</v>
      </c>
      <c r="D669" s="11" t="s">
        <v>450</v>
      </c>
      <c r="E669" s="11" t="s">
        <v>34</v>
      </c>
      <c r="F669" s="11" t="s">
        <v>451</v>
      </c>
      <c r="G669" s="11" t="s">
        <v>441</v>
      </c>
      <c r="H669" s="11">
        <v>12</v>
      </c>
      <c r="I669" s="15">
        <v>12</v>
      </c>
      <c r="J669" s="15">
        <f t="shared" si="22"/>
        <v>0</v>
      </c>
      <c r="K669" s="18"/>
    </row>
    <row r="670" spans="1:11" x14ac:dyDescent="0.2">
      <c r="A670" s="11" t="s">
        <v>156</v>
      </c>
      <c r="B670" s="11" t="str">
        <f t="shared" si="21"/>
        <v>250031</v>
      </c>
      <c r="C670" s="11" t="str">
        <f>_xlfn.CONCAT(+VLOOKUP(VALUE(MID(A670,13,2)),'Tabla de codigos'!$A$2:$B$60,2,1)," ",VLOOKUP(VALUE(MID(A670,15,4)),'Tabla de codigos'!$E$2:$F$102,2,1))</f>
        <v>OLLA RECTA 34</v>
      </c>
      <c r="D670" s="11" t="s">
        <v>450</v>
      </c>
      <c r="E670" s="11" t="s">
        <v>34</v>
      </c>
      <c r="F670" s="11" t="s">
        <v>451</v>
      </c>
      <c r="G670" s="11" t="s">
        <v>441</v>
      </c>
      <c r="H670" s="11">
        <v>4</v>
      </c>
      <c r="I670" s="15">
        <v>0</v>
      </c>
      <c r="J670" s="15">
        <f t="shared" si="22"/>
        <v>4</v>
      </c>
      <c r="K670" s="18"/>
    </row>
    <row r="671" spans="1:11" x14ac:dyDescent="0.2">
      <c r="A671" s="11" t="s">
        <v>237</v>
      </c>
      <c r="B671" s="11" t="str">
        <f t="shared" si="21"/>
        <v>250025</v>
      </c>
      <c r="C671" s="11" t="str">
        <f>_xlfn.CONCAT(+VLOOKUP(VALUE(MID(A671,13,2)),'Tabla de codigos'!$A$2:$B$60,2,1)," ",VLOOKUP(VALUE(MID(A671,15,4)),'Tabla de codigos'!$E$2:$F$102,2,1))</f>
        <v>OLLA RECTA 24</v>
      </c>
      <c r="D671" s="11" t="s">
        <v>450</v>
      </c>
      <c r="E671" s="11" t="s">
        <v>34</v>
      </c>
      <c r="F671" s="11" t="s">
        <v>451</v>
      </c>
      <c r="G671" s="11" t="s">
        <v>441</v>
      </c>
      <c r="H671" s="11">
        <v>6</v>
      </c>
      <c r="I671" s="15">
        <v>0</v>
      </c>
      <c r="J671" s="15">
        <f t="shared" si="22"/>
        <v>6</v>
      </c>
      <c r="K671" s="17">
        <f>(SUM(I669:I671))/(SUM(H669:H671))</f>
        <v>0.54545454545454541</v>
      </c>
    </row>
    <row r="672" spans="1:11" x14ac:dyDescent="0.2">
      <c r="A672" s="11" t="s">
        <v>218</v>
      </c>
      <c r="B672" s="11" t="str">
        <f t="shared" si="21"/>
        <v>070015</v>
      </c>
      <c r="C672" s="11" t="str">
        <f>_xlfn.CONCAT(+VLOOKUP(VALUE(MID(A672,13,2)),'Tabla de codigos'!$A$2:$B$60,2,1)," ",VLOOKUP(VALUE(MID(A672,15,4)),'Tabla de codigos'!$E$2:$F$102,2,1))</f>
        <v>CAZO 14</v>
      </c>
      <c r="D672" s="11" t="s">
        <v>452</v>
      </c>
      <c r="E672" s="11" t="s">
        <v>34</v>
      </c>
      <c r="F672" s="11" t="s">
        <v>453</v>
      </c>
      <c r="G672" s="11" t="s">
        <v>454</v>
      </c>
      <c r="H672" s="11">
        <v>24</v>
      </c>
      <c r="I672" s="11">
        <f>7+17</f>
        <v>24</v>
      </c>
      <c r="J672" s="15">
        <f t="shared" si="22"/>
        <v>0</v>
      </c>
    </row>
    <row r="673" spans="1:11" x14ac:dyDescent="0.2">
      <c r="A673" s="11" t="s">
        <v>333</v>
      </c>
      <c r="B673" s="11" t="str">
        <f t="shared" si="21"/>
        <v>240015</v>
      </c>
      <c r="C673" s="11" t="str">
        <f>_xlfn.CONCAT(+VLOOKUP(VALUE(MID(A673,13,2)),'Tabla de codigos'!$A$2:$B$60,2,1)," ",VLOOKUP(VALUE(MID(A673,15,4)),'Tabla de codigos'!$E$2:$F$102,2,1))</f>
        <v>OLLA CONVEXA 14</v>
      </c>
      <c r="D673" s="11" t="s">
        <v>452</v>
      </c>
      <c r="E673" s="11" t="s">
        <v>34</v>
      </c>
      <c r="F673" s="11" t="s">
        <v>453</v>
      </c>
      <c r="G673" s="11" t="s">
        <v>454</v>
      </c>
      <c r="H673" s="11">
        <v>12</v>
      </c>
      <c r="I673" s="11">
        <v>12</v>
      </c>
      <c r="J673" s="15">
        <f t="shared" si="22"/>
        <v>0</v>
      </c>
    </row>
    <row r="674" spans="1:11" x14ac:dyDescent="0.2">
      <c r="A674" s="11" t="s">
        <v>236</v>
      </c>
      <c r="B674" s="11" t="str">
        <f t="shared" si="21"/>
        <v>250024</v>
      </c>
      <c r="C674" s="11" t="str">
        <f>_xlfn.CONCAT(+VLOOKUP(VALUE(MID(A674,13,2)),'Tabla de codigos'!$A$2:$B$60,2,1)," ",VLOOKUP(VALUE(MID(A674,15,4)),'Tabla de codigos'!$E$2:$F$102,2,1))</f>
        <v>OLLA RECTA 22</v>
      </c>
      <c r="D674" s="11" t="s">
        <v>452</v>
      </c>
      <c r="E674" s="11" t="s">
        <v>34</v>
      </c>
      <c r="F674" s="11" t="s">
        <v>453</v>
      </c>
      <c r="G674" s="11" t="s">
        <v>454</v>
      </c>
      <c r="H674" s="11">
        <v>6</v>
      </c>
      <c r="I674" s="11">
        <v>6</v>
      </c>
      <c r="J674" s="15">
        <f t="shared" si="22"/>
        <v>0</v>
      </c>
    </row>
    <row r="675" spans="1:11" x14ac:dyDescent="0.2">
      <c r="A675" s="11" t="s">
        <v>237</v>
      </c>
      <c r="B675" s="11" t="str">
        <f t="shared" si="21"/>
        <v>250025</v>
      </c>
      <c r="C675" s="11" t="str">
        <f>_xlfn.CONCAT(+VLOOKUP(VALUE(MID(A675,13,2)),'Tabla de codigos'!$A$2:$B$60,2,1)," ",VLOOKUP(VALUE(MID(A675,15,4)),'Tabla de codigos'!$E$2:$F$102,2,1))</f>
        <v>OLLA RECTA 24</v>
      </c>
      <c r="D675" s="11" t="s">
        <v>452</v>
      </c>
      <c r="E675" s="11" t="s">
        <v>34</v>
      </c>
      <c r="F675" s="11" t="s">
        <v>453</v>
      </c>
      <c r="G675" s="11" t="s">
        <v>454</v>
      </c>
      <c r="H675" s="11">
        <v>12</v>
      </c>
      <c r="I675" s="11">
        <v>0</v>
      </c>
      <c r="J675" s="15">
        <f t="shared" si="22"/>
        <v>12</v>
      </c>
    </row>
    <row r="676" spans="1:11" x14ac:dyDescent="0.2">
      <c r="A676" s="11" t="s">
        <v>156</v>
      </c>
      <c r="B676" s="11" t="str">
        <f t="shared" si="21"/>
        <v>250031</v>
      </c>
      <c r="C676" s="11" t="str">
        <f>_xlfn.CONCAT(+VLOOKUP(VALUE(MID(A676,13,2)),'Tabla de codigos'!$A$2:$B$60,2,1)," ",VLOOKUP(VALUE(MID(A676,15,4)),'Tabla de codigos'!$E$2:$F$102,2,1))</f>
        <v>OLLA RECTA 34</v>
      </c>
      <c r="D676" s="11" t="s">
        <v>452</v>
      </c>
      <c r="E676" s="11" t="s">
        <v>34</v>
      </c>
      <c r="F676" s="11" t="s">
        <v>453</v>
      </c>
      <c r="G676" s="11" t="s">
        <v>454</v>
      </c>
      <c r="H676" s="11">
        <v>2</v>
      </c>
      <c r="I676" s="11">
        <v>0</v>
      </c>
      <c r="J676" s="15">
        <f t="shared" si="22"/>
        <v>2</v>
      </c>
    </row>
    <row r="677" spans="1:11" x14ac:dyDescent="0.2">
      <c r="A677" s="11" t="s">
        <v>227</v>
      </c>
      <c r="B677" s="11" t="str">
        <f t="shared" si="21"/>
        <v>360024</v>
      </c>
      <c r="C677" s="11" t="str">
        <f>_xlfn.CONCAT(+VLOOKUP(VALUE(MID(A677,13,2)),'Tabla de codigos'!$A$2:$B$60,2,1)," ",VLOOKUP(VALUE(MID(A677,15,4)),'Tabla de codigos'!$E$2:$F$102,2,1))</f>
        <v>SARTEN 22</v>
      </c>
      <c r="D677" s="11" t="s">
        <v>452</v>
      </c>
      <c r="E677" s="11" t="s">
        <v>34</v>
      </c>
      <c r="F677" s="11" t="s">
        <v>453</v>
      </c>
      <c r="G677" s="11" t="s">
        <v>454</v>
      </c>
      <c r="H677" s="11">
        <v>12</v>
      </c>
      <c r="I677" s="11">
        <v>0</v>
      </c>
      <c r="J677" s="15">
        <f t="shared" si="22"/>
        <v>12</v>
      </c>
    </row>
    <row r="678" spans="1:11" x14ac:dyDescent="0.2">
      <c r="A678" s="11" t="s">
        <v>44</v>
      </c>
      <c r="B678" s="11" t="str">
        <f t="shared" si="21"/>
        <v>360025</v>
      </c>
      <c r="C678" s="11" t="str">
        <f>_xlfn.CONCAT(+VLOOKUP(VALUE(MID(A678,13,2)),'Tabla de codigos'!$A$2:$B$60,2,1)," ",VLOOKUP(VALUE(MID(A678,15,4)),'Tabla de codigos'!$E$2:$F$102,2,1))</f>
        <v>SARTEN 24</v>
      </c>
      <c r="D678" s="11" t="s">
        <v>452</v>
      </c>
      <c r="E678" s="11" t="s">
        <v>34</v>
      </c>
      <c r="F678" s="11" t="s">
        <v>453</v>
      </c>
      <c r="G678" s="11" t="s">
        <v>454</v>
      </c>
      <c r="H678" s="11">
        <v>12</v>
      </c>
      <c r="I678" s="11">
        <v>0</v>
      </c>
      <c r="J678" s="15">
        <f t="shared" si="22"/>
        <v>12</v>
      </c>
    </row>
    <row r="679" spans="1:11" x14ac:dyDescent="0.2">
      <c r="A679" s="11" t="s">
        <v>399</v>
      </c>
      <c r="B679" s="11" t="str">
        <f t="shared" si="21"/>
        <v>480015</v>
      </c>
      <c r="C679" s="11" t="str">
        <f>_xlfn.CONCAT(+VLOOKUP(VALUE(MID(A679,13,2)),'Tabla de codigos'!$A$2:$B$60,2,1)," ",VLOOKUP(VALUE(MID(A679,15,4)),'Tabla de codigos'!$E$2:$F$102,2,1))</f>
        <v>VASO RECTO 14</v>
      </c>
      <c r="D679" s="11" t="s">
        <v>452</v>
      </c>
      <c r="E679" s="11" t="s">
        <v>34</v>
      </c>
      <c r="F679" s="11" t="s">
        <v>453</v>
      </c>
      <c r="G679" s="11" t="s">
        <v>454</v>
      </c>
      <c r="H679" s="11">
        <v>24</v>
      </c>
      <c r="I679" s="11">
        <v>24</v>
      </c>
      <c r="J679" s="15">
        <f t="shared" si="22"/>
        <v>0</v>
      </c>
      <c r="K679" s="17">
        <f>(SUM(I672:I679))/(SUM(H672:H679))</f>
        <v>0.63461538461538458</v>
      </c>
    </row>
    <row r="680" spans="1:11" x14ac:dyDescent="0.2">
      <c r="A680" s="11" t="s">
        <v>455</v>
      </c>
      <c r="B680" s="11" t="str">
        <f t="shared" si="21"/>
        <v>150027</v>
      </c>
      <c r="C680" s="11" t="str">
        <f>_xlfn.CONCAT(+VLOOKUP(VALUE(MID(A680,13,2)),'Tabla de codigos'!$A$2:$B$60,2,1)," ",VLOOKUP(VALUE(MID(A680,15,4)),'Tabla de codigos'!$E$2:$F$102,2,1))</f>
        <v>ENSALADERA 27</v>
      </c>
      <c r="D680" s="11" t="s">
        <v>456</v>
      </c>
      <c r="E680" s="11" t="s">
        <v>11</v>
      </c>
      <c r="F680" s="11" t="s">
        <v>457</v>
      </c>
      <c r="G680" s="11" t="s">
        <v>458</v>
      </c>
      <c r="H680" s="11">
        <v>6</v>
      </c>
      <c r="I680" s="11">
        <v>0</v>
      </c>
      <c r="J680" s="15">
        <f t="shared" si="22"/>
        <v>6</v>
      </c>
      <c r="K680" s="18"/>
    </row>
    <row r="681" spans="1:11" x14ac:dyDescent="0.2">
      <c r="A681" s="11" t="s">
        <v>121</v>
      </c>
      <c r="B681" s="11" t="str">
        <f t="shared" si="21"/>
        <v>290027</v>
      </c>
      <c r="C681" s="11" t="str">
        <f>_xlfn.CONCAT(+VLOOKUP(VALUE(MID(A681,13,2)),'Tabla de codigos'!$A$2:$B$60,2,1)," ",VLOOKUP(VALUE(MID(A681,15,4)),'Tabla de codigos'!$E$2:$F$102,2,1))</f>
        <v>PLATO HONDO 27</v>
      </c>
      <c r="D681" s="11" t="s">
        <v>456</v>
      </c>
      <c r="E681" s="11" t="s">
        <v>11</v>
      </c>
      <c r="F681" s="11" t="s">
        <v>457</v>
      </c>
      <c r="G681" s="11" t="s">
        <v>458</v>
      </c>
      <c r="H681" s="11">
        <v>30</v>
      </c>
      <c r="I681" s="11">
        <f>18+12</f>
        <v>30</v>
      </c>
      <c r="J681" s="15">
        <f t="shared" si="22"/>
        <v>0</v>
      </c>
      <c r="K681" s="18"/>
    </row>
    <row r="682" spans="1:11" x14ac:dyDescent="0.2">
      <c r="A682" s="11" t="s">
        <v>288</v>
      </c>
      <c r="B682" s="11" t="str">
        <f t="shared" si="21"/>
        <v>300022</v>
      </c>
      <c r="C682" s="11" t="str">
        <f>_xlfn.CONCAT(+VLOOKUP(VALUE(MID(A682,13,2)),'Tabla de codigos'!$A$2:$B$60,2,1)," ",VLOOKUP(VALUE(MID(A682,15,4)),'Tabla de codigos'!$E$2:$F$102,2,1))</f>
        <v>PLATO LISO 20</v>
      </c>
      <c r="D682" s="11" t="s">
        <v>456</v>
      </c>
      <c r="E682" s="11" t="s">
        <v>11</v>
      </c>
      <c r="F682" s="11" t="s">
        <v>457</v>
      </c>
      <c r="G682" s="11" t="s">
        <v>458</v>
      </c>
      <c r="H682" s="11">
        <v>60</v>
      </c>
      <c r="I682" s="11">
        <f>38+22</f>
        <v>60</v>
      </c>
      <c r="J682" s="15">
        <f t="shared" si="22"/>
        <v>0</v>
      </c>
      <c r="K682" s="18"/>
    </row>
    <row r="683" spans="1:11" x14ac:dyDescent="0.2">
      <c r="A683" s="11" t="s">
        <v>459</v>
      </c>
      <c r="B683" s="11" t="str">
        <f t="shared" si="21"/>
        <v>300022</v>
      </c>
      <c r="C683" s="11" t="str">
        <f>_xlfn.CONCAT(+VLOOKUP(VALUE(MID(A683,13,2)),'Tabla de codigos'!$A$2:$B$60,2,1)," ",VLOOKUP(VALUE(MID(A683,15,4)),'Tabla de codigos'!$E$2:$F$102,2,1))</f>
        <v>PLATO LISO 20</v>
      </c>
      <c r="D683" s="11" t="s">
        <v>456</v>
      </c>
      <c r="E683" s="11" t="s">
        <v>11</v>
      </c>
      <c r="F683" s="11" t="s">
        <v>457</v>
      </c>
      <c r="G683" s="11" t="s">
        <v>458</v>
      </c>
      <c r="H683" s="11">
        <v>60</v>
      </c>
      <c r="I683" s="11">
        <f>6+2+42+1+1</f>
        <v>52</v>
      </c>
      <c r="J683" s="15">
        <f t="shared" si="22"/>
        <v>8</v>
      </c>
      <c r="K683" s="18"/>
    </row>
    <row r="684" spans="1:11" x14ac:dyDescent="0.2">
      <c r="A684" s="11" t="s">
        <v>72</v>
      </c>
      <c r="B684" s="11" t="str">
        <f t="shared" si="21"/>
        <v>300027</v>
      </c>
      <c r="C684" s="11" t="str">
        <f>_xlfn.CONCAT(+VLOOKUP(VALUE(MID(A684,13,2)),'Tabla de codigos'!$A$2:$B$60,2,1)," ",VLOOKUP(VALUE(MID(A684,15,4)),'Tabla de codigos'!$E$2:$F$102,2,1))</f>
        <v>PLATO LISO 27</v>
      </c>
      <c r="D684" s="11" t="s">
        <v>456</v>
      </c>
      <c r="E684" s="11" t="s">
        <v>11</v>
      </c>
      <c r="F684" s="11" t="s">
        <v>457</v>
      </c>
      <c r="G684" s="11" t="s">
        <v>458</v>
      </c>
      <c r="H684" s="11">
        <v>60</v>
      </c>
      <c r="I684" s="11">
        <v>60</v>
      </c>
      <c r="J684" s="15">
        <f t="shared" si="22"/>
        <v>0</v>
      </c>
      <c r="K684" s="18"/>
    </row>
    <row r="685" spans="1:11" x14ac:dyDescent="0.2">
      <c r="A685" s="11" t="s">
        <v>270</v>
      </c>
      <c r="B685" s="11" t="str">
        <f t="shared" si="21"/>
        <v>300027</v>
      </c>
      <c r="C685" s="11" t="str">
        <f>_xlfn.CONCAT(+VLOOKUP(VALUE(MID(A685,13,2)),'Tabla de codigos'!$A$2:$B$60,2,1)," ",VLOOKUP(VALUE(MID(A685,15,4)),'Tabla de codigos'!$E$2:$F$102,2,1))</f>
        <v>PLATO LISO 27</v>
      </c>
      <c r="D685" s="11" t="s">
        <v>456</v>
      </c>
      <c r="E685" s="11" t="s">
        <v>11</v>
      </c>
      <c r="F685" s="11" t="s">
        <v>457</v>
      </c>
      <c r="G685" s="11" t="s">
        <v>458</v>
      </c>
      <c r="H685" s="11">
        <v>60</v>
      </c>
      <c r="I685" s="11">
        <v>60</v>
      </c>
      <c r="J685" s="15">
        <f t="shared" si="22"/>
        <v>0</v>
      </c>
      <c r="K685" s="18"/>
    </row>
    <row r="686" spans="1:11" x14ac:dyDescent="0.2">
      <c r="A686" s="11" t="s">
        <v>73</v>
      </c>
      <c r="B686" s="11" t="str">
        <f t="shared" si="21"/>
        <v>330009</v>
      </c>
      <c r="C686" s="11" t="str">
        <f>_xlfn.CONCAT(+VLOOKUP(VALUE(MID(A686,13,2)),'Tabla de codigos'!$A$2:$B$60,2,1)," ",VLOOKUP(VALUE(MID(A686,15,4)),'Tabla de codigos'!$E$2:$F$102,2,1))</f>
        <v>POCILLO 5</v>
      </c>
      <c r="D686" s="11" t="s">
        <v>456</v>
      </c>
      <c r="E686" s="11" t="s">
        <v>11</v>
      </c>
      <c r="F686" s="11" t="s">
        <v>457</v>
      </c>
      <c r="G686" s="11" t="s">
        <v>458</v>
      </c>
      <c r="H686" s="11">
        <v>288</v>
      </c>
      <c r="I686" s="11">
        <v>133</v>
      </c>
      <c r="J686" s="15">
        <f t="shared" si="22"/>
        <v>155</v>
      </c>
      <c r="K686" s="18"/>
    </row>
    <row r="687" spans="1:11" x14ac:dyDescent="0.2">
      <c r="A687" s="11" t="s">
        <v>78</v>
      </c>
      <c r="B687" s="11" t="str">
        <f t="shared" si="21"/>
        <v>330010</v>
      </c>
      <c r="C687" s="11" t="str">
        <f>_xlfn.CONCAT(+VLOOKUP(VALUE(MID(A687,13,2)),'Tabla de codigos'!$A$2:$B$60,2,1)," ",VLOOKUP(VALUE(MID(A687,15,4)),'Tabla de codigos'!$E$2:$F$102,2,1))</f>
        <v>POCILLO 6</v>
      </c>
      <c r="D687" s="11" t="s">
        <v>456</v>
      </c>
      <c r="E687" s="11" t="s">
        <v>11</v>
      </c>
      <c r="F687" s="11" t="s">
        <v>457</v>
      </c>
      <c r="G687" s="11" t="s">
        <v>458</v>
      </c>
      <c r="H687" s="11">
        <v>120</v>
      </c>
      <c r="I687" s="11">
        <v>0</v>
      </c>
      <c r="J687" s="15">
        <f t="shared" si="22"/>
        <v>120</v>
      </c>
      <c r="K687" s="18"/>
    </row>
    <row r="688" spans="1:11" x14ac:dyDescent="0.2">
      <c r="A688" s="11" t="s">
        <v>460</v>
      </c>
      <c r="B688" s="11" t="str">
        <f t="shared" si="21"/>
        <v>380001</v>
      </c>
      <c r="C688" s="11" t="str">
        <f>_xlfn.CONCAT(+VLOOKUP(VALUE(MID(A688,13,2)),'Tabla de codigos'!$A$2:$B$60,2,1)," ",VLOOKUP(VALUE(MID(A688,15,4)),'Tabla de codigos'!$E$2:$F$102,2,1))</f>
        <v>TAZA BISTRO S/I</v>
      </c>
      <c r="D688" s="11" t="s">
        <v>456</v>
      </c>
      <c r="E688" s="11" t="s">
        <v>11</v>
      </c>
      <c r="F688" s="11" t="s">
        <v>457</v>
      </c>
      <c r="G688" s="11" t="s">
        <v>458</v>
      </c>
      <c r="H688" s="11">
        <v>144</v>
      </c>
      <c r="I688" s="11">
        <v>0</v>
      </c>
      <c r="J688" s="15">
        <f t="shared" si="22"/>
        <v>144</v>
      </c>
      <c r="K688" s="18"/>
    </row>
    <row r="689" spans="1:11" x14ac:dyDescent="0.2">
      <c r="A689" s="11" t="s">
        <v>461</v>
      </c>
      <c r="B689" s="11" t="str">
        <f t="shared" si="21"/>
        <v>420021</v>
      </c>
      <c r="C689" s="11" t="str">
        <f>_xlfn.CONCAT(+VLOOKUP(VALUE(MID(A689,13,2)),'Tabla de codigos'!$A$2:$B$60,2,1)," ",VLOOKUP(VALUE(MID(A689,15,4)),'Tabla de codigos'!$E$2:$F$102,2,1))</f>
        <v>TORTILLERO  18</v>
      </c>
      <c r="D689" s="11" t="s">
        <v>456</v>
      </c>
      <c r="E689" s="11" t="s">
        <v>11</v>
      </c>
      <c r="F689" s="11" t="s">
        <v>457</v>
      </c>
      <c r="G689" s="11" t="s">
        <v>458</v>
      </c>
      <c r="H689" s="11">
        <v>30</v>
      </c>
      <c r="I689" s="11">
        <f>2</f>
        <v>2</v>
      </c>
      <c r="J689" s="15">
        <f t="shared" si="22"/>
        <v>28</v>
      </c>
      <c r="K689" s="18"/>
    </row>
    <row r="690" spans="1:11" x14ac:dyDescent="0.2">
      <c r="A690" s="11" t="s">
        <v>134</v>
      </c>
      <c r="B690" s="11" t="str">
        <f t="shared" si="21"/>
        <v>520032</v>
      </c>
      <c r="C690" s="11" t="str">
        <f>_xlfn.CONCAT(+VLOOKUP(VALUE(MID(A690,13,2)),'Tabla de codigos'!$A$2:$B$60,2,1)," ",VLOOKUP(VALUE(MID(A690,15,4)),'Tabla de codigos'!$E$2:$F$102,2,1))</f>
        <v>PLATO OVAL 36</v>
      </c>
      <c r="D690" s="11" t="s">
        <v>456</v>
      </c>
      <c r="E690" s="11" t="s">
        <v>11</v>
      </c>
      <c r="F690" s="11" t="s">
        <v>457</v>
      </c>
      <c r="G690" s="11" t="s">
        <v>458</v>
      </c>
      <c r="H690" s="11">
        <v>36</v>
      </c>
      <c r="I690" s="11">
        <v>0</v>
      </c>
      <c r="J690" s="15">
        <f t="shared" si="22"/>
        <v>36</v>
      </c>
      <c r="K690" s="18"/>
    </row>
    <row r="691" spans="1:11" x14ac:dyDescent="0.2">
      <c r="A691" s="11" t="s">
        <v>99</v>
      </c>
      <c r="B691" s="11" t="str">
        <f t="shared" si="21"/>
        <v>520030</v>
      </c>
      <c r="C691" s="11" t="str">
        <f>_xlfn.CONCAT(+VLOOKUP(VALUE(MID(A691,13,2)),'Tabla de codigos'!$A$2:$B$60,2,1)," ",VLOOKUP(VALUE(MID(A691,15,4)),'Tabla de codigos'!$E$2:$F$102,2,1))</f>
        <v>PLATO OVAL 32</v>
      </c>
      <c r="D691" s="11" t="s">
        <v>456</v>
      </c>
      <c r="E691" s="11" t="s">
        <v>11</v>
      </c>
      <c r="F691" s="11" t="s">
        <v>457</v>
      </c>
      <c r="G691" s="11" t="s">
        <v>458</v>
      </c>
      <c r="H691" s="11">
        <v>36</v>
      </c>
      <c r="I691" s="11">
        <v>0</v>
      </c>
      <c r="J691" s="15">
        <f t="shared" si="22"/>
        <v>36</v>
      </c>
      <c r="K691" s="18"/>
    </row>
    <row r="692" spans="1:11" x14ac:dyDescent="0.2">
      <c r="A692" s="11" t="s">
        <v>249</v>
      </c>
      <c r="B692" s="11" t="str">
        <f t="shared" si="21"/>
        <v>520030</v>
      </c>
      <c r="C692" s="11" t="str">
        <f>_xlfn.CONCAT(+VLOOKUP(VALUE(MID(A692,13,2)),'Tabla de codigos'!$A$2:$B$60,2,1)," ",VLOOKUP(VALUE(MID(A692,15,4)),'Tabla de codigos'!$E$2:$F$102,2,1))</f>
        <v>PLATO OVAL 32</v>
      </c>
      <c r="D692" s="11" t="s">
        <v>456</v>
      </c>
      <c r="E692" s="11" t="s">
        <v>11</v>
      </c>
      <c r="F692" s="11" t="s">
        <v>457</v>
      </c>
      <c r="G692" s="11" t="s">
        <v>458</v>
      </c>
      <c r="H692" s="11">
        <v>60</v>
      </c>
      <c r="I692" s="11">
        <f>19+2</f>
        <v>21</v>
      </c>
      <c r="J692" s="15">
        <f t="shared" si="22"/>
        <v>39</v>
      </c>
      <c r="K692" s="18"/>
    </row>
    <row r="693" spans="1:11" x14ac:dyDescent="0.2">
      <c r="A693" s="11" t="s">
        <v>308</v>
      </c>
      <c r="B693" s="11" t="str">
        <f t="shared" si="21"/>
        <v>520028</v>
      </c>
      <c r="C693" s="11" t="str">
        <f>_xlfn.CONCAT(+VLOOKUP(VALUE(MID(A693,13,2)),'Tabla de codigos'!$A$2:$B$60,2,1)," ",VLOOKUP(VALUE(MID(A693,15,4)),'Tabla de codigos'!$E$2:$F$102,2,1))</f>
        <v>PLATO OVAL 28</v>
      </c>
      <c r="D693" s="11" t="s">
        <v>456</v>
      </c>
      <c r="E693" s="11" t="s">
        <v>11</v>
      </c>
      <c r="F693" s="11" t="s">
        <v>457</v>
      </c>
      <c r="G693" s="11" t="s">
        <v>458</v>
      </c>
      <c r="H693" s="11">
        <v>60</v>
      </c>
      <c r="I693" s="11">
        <f>5</f>
        <v>5</v>
      </c>
      <c r="J693" s="15">
        <f t="shared" si="22"/>
        <v>55</v>
      </c>
      <c r="K693" s="18"/>
    </row>
    <row r="694" spans="1:11" x14ac:dyDescent="0.2">
      <c r="A694" s="11" t="s">
        <v>251</v>
      </c>
      <c r="B694" s="11" t="str">
        <f t="shared" si="21"/>
        <v>520028</v>
      </c>
      <c r="C694" s="11" t="str">
        <f>_xlfn.CONCAT(+VLOOKUP(VALUE(MID(A694,13,2)),'Tabla de codigos'!$A$2:$B$60,2,1)," ",VLOOKUP(VALUE(MID(A694,15,4)),'Tabla de codigos'!$E$2:$F$102,2,1))</f>
        <v>PLATO OVAL 28</v>
      </c>
      <c r="D694" s="11" t="s">
        <v>456</v>
      </c>
      <c r="E694" s="11" t="s">
        <v>11</v>
      </c>
      <c r="F694" s="11" t="s">
        <v>457</v>
      </c>
      <c r="G694" s="11" t="s">
        <v>458</v>
      </c>
      <c r="H694" s="11">
        <v>36</v>
      </c>
      <c r="I694" s="11">
        <v>0</v>
      </c>
      <c r="J694" s="15">
        <f t="shared" si="22"/>
        <v>36</v>
      </c>
      <c r="K694" s="17">
        <f>(SUM(I680:I694))/(SUM(H680:H694))</f>
        <v>0.38950276243093923</v>
      </c>
    </row>
    <row r="695" spans="1:11" x14ac:dyDescent="0.2">
      <c r="A695" s="11" t="s">
        <v>19</v>
      </c>
      <c r="B695" s="11" t="str">
        <f t="shared" si="21"/>
        <v>010025</v>
      </c>
      <c r="C695" s="11" t="str">
        <f>_xlfn.CONCAT(+VLOOKUP(VALUE(MID(A695,13,2)),'Tabla de codigos'!$A$2:$B$60,2,1)," ",VLOOKUP(VALUE(MID(A695,15,4)),'Tabla de codigos'!$E$2:$F$102,2,1))</f>
        <v>BACINICA 24</v>
      </c>
      <c r="D695" s="11" t="s">
        <v>462</v>
      </c>
      <c r="E695" s="11" t="s">
        <v>11</v>
      </c>
      <c r="F695" s="11" t="s">
        <v>463</v>
      </c>
      <c r="G695" s="11" t="s">
        <v>458</v>
      </c>
      <c r="H695" s="11">
        <v>24</v>
      </c>
      <c r="I695" s="11">
        <v>0</v>
      </c>
      <c r="J695" s="15">
        <f t="shared" si="22"/>
        <v>24</v>
      </c>
      <c r="K695" s="18"/>
    </row>
    <row r="696" spans="1:11" x14ac:dyDescent="0.2">
      <c r="A696" s="11" t="s">
        <v>255</v>
      </c>
      <c r="B696" s="11" t="str">
        <f t="shared" si="21"/>
        <v>060014</v>
      </c>
      <c r="C696" s="11" t="str">
        <f>_xlfn.CONCAT(+VLOOKUP(VALUE(MID(A696,13,2)),'Tabla de codigos'!$A$2:$B$60,2,1)," ",VLOOKUP(VALUE(MID(A696,15,4)),'Tabla de codigos'!$E$2:$F$102,2,1))</f>
        <v>BUDINERA   12</v>
      </c>
      <c r="D696" s="11" t="s">
        <v>462</v>
      </c>
      <c r="E696" s="11" t="s">
        <v>11</v>
      </c>
      <c r="F696" s="11" t="s">
        <v>463</v>
      </c>
      <c r="G696" s="11" t="s">
        <v>458</v>
      </c>
      <c r="H696" s="11">
        <v>54</v>
      </c>
      <c r="I696" s="11">
        <v>0</v>
      </c>
      <c r="J696" s="15">
        <f t="shared" si="22"/>
        <v>54</v>
      </c>
      <c r="K696" s="18"/>
    </row>
    <row r="697" spans="1:11" x14ac:dyDescent="0.2">
      <c r="A697" s="11" t="s">
        <v>215</v>
      </c>
      <c r="B697" s="11" t="str">
        <f t="shared" si="21"/>
        <v>060022</v>
      </c>
      <c r="C697" s="11" t="str">
        <f>_xlfn.CONCAT(+VLOOKUP(VALUE(MID(A697,13,2)),'Tabla de codigos'!$A$2:$B$60,2,1)," ",VLOOKUP(VALUE(MID(A697,15,4)),'Tabla de codigos'!$E$2:$F$102,2,1))</f>
        <v>BUDINERA   20</v>
      </c>
      <c r="D697" s="11" t="s">
        <v>462</v>
      </c>
      <c r="E697" s="11" t="s">
        <v>11</v>
      </c>
      <c r="F697" s="11" t="s">
        <v>463</v>
      </c>
      <c r="G697" s="11" t="s">
        <v>458</v>
      </c>
      <c r="H697" s="11">
        <v>72</v>
      </c>
      <c r="I697" s="11">
        <f>60+12</f>
        <v>72</v>
      </c>
      <c r="J697" s="15">
        <f t="shared" si="22"/>
        <v>0</v>
      </c>
      <c r="K697" s="18"/>
    </row>
    <row r="698" spans="1:11" x14ac:dyDescent="0.2">
      <c r="A698" s="11" t="s">
        <v>241</v>
      </c>
      <c r="B698" s="11" t="str">
        <f t="shared" si="21"/>
        <v>060024</v>
      </c>
      <c r="C698" s="11" t="str">
        <f>_xlfn.CONCAT(+VLOOKUP(VALUE(MID(A698,13,2)),'Tabla de codigos'!$A$2:$B$60,2,1)," ",VLOOKUP(VALUE(MID(A698,15,4)),'Tabla de codigos'!$E$2:$F$102,2,1))</f>
        <v>BUDINERA   22</v>
      </c>
      <c r="D698" s="11" t="s">
        <v>462</v>
      </c>
      <c r="E698" s="11" t="s">
        <v>11</v>
      </c>
      <c r="F698" s="11" t="s">
        <v>463</v>
      </c>
      <c r="G698" s="11" t="s">
        <v>458</v>
      </c>
      <c r="H698" s="11">
        <v>72</v>
      </c>
      <c r="I698" s="11">
        <v>72</v>
      </c>
      <c r="J698" s="15">
        <f t="shared" si="22"/>
        <v>0</v>
      </c>
      <c r="K698" s="18"/>
    </row>
    <row r="699" spans="1:11" x14ac:dyDescent="0.2">
      <c r="A699" s="11" t="s">
        <v>143</v>
      </c>
      <c r="B699" s="11" t="str">
        <f t="shared" si="21"/>
        <v>060025</v>
      </c>
      <c r="C699" s="11" t="str">
        <f>_xlfn.CONCAT(+VLOOKUP(VALUE(MID(A699,13,2)),'Tabla de codigos'!$A$2:$B$60,2,1)," ",VLOOKUP(VALUE(MID(A699,15,4)),'Tabla de codigos'!$E$2:$F$102,2,1))</f>
        <v>BUDINERA   24</v>
      </c>
      <c r="D699" s="11" t="s">
        <v>462</v>
      </c>
      <c r="E699" s="11" t="s">
        <v>11</v>
      </c>
      <c r="F699" s="11" t="s">
        <v>463</v>
      </c>
      <c r="G699" s="11" t="s">
        <v>458</v>
      </c>
      <c r="H699" s="11">
        <v>72</v>
      </c>
      <c r="I699" s="11">
        <f>60+12</f>
        <v>72</v>
      </c>
      <c r="J699" s="15">
        <f t="shared" si="22"/>
        <v>0</v>
      </c>
      <c r="K699" s="18"/>
    </row>
    <row r="700" spans="1:11" x14ac:dyDescent="0.2">
      <c r="A700" s="11" t="s">
        <v>148</v>
      </c>
      <c r="B700" s="11" t="str">
        <f t="shared" si="21"/>
        <v>060026</v>
      </c>
      <c r="C700" s="11" t="str">
        <f>_xlfn.CONCAT(+VLOOKUP(VALUE(MID(A700,13,2)),'Tabla de codigos'!$A$2:$B$60,2,1)," ",VLOOKUP(VALUE(MID(A700,15,4)),'Tabla de codigos'!$E$2:$F$102,2,1))</f>
        <v>BUDINERA   26</v>
      </c>
      <c r="D700" s="11" t="s">
        <v>462</v>
      </c>
      <c r="E700" s="11" t="s">
        <v>11</v>
      </c>
      <c r="F700" s="11" t="s">
        <v>463</v>
      </c>
      <c r="G700" s="11" t="s">
        <v>458</v>
      </c>
      <c r="H700" s="11">
        <v>72</v>
      </c>
      <c r="I700" s="11">
        <v>0</v>
      </c>
      <c r="J700" s="15">
        <f t="shared" si="22"/>
        <v>72</v>
      </c>
      <c r="K700" s="18"/>
    </row>
    <row r="701" spans="1:11" x14ac:dyDescent="0.2">
      <c r="A701" s="11" t="s">
        <v>169</v>
      </c>
      <c r="B701" s="11" t="str">
        <f t="shared" si="21"/>
        <v>060029</v>
      </c>
      <c r="C701" s="11" t="str">
        <f>_xlfn.CONCAT(+VLOOKUP(VALUE(MID(A701,13,2)),'Tabla de codigos'!$A$2:$B$60,2,1)," ",VLOOKUP(VALUE(MID(A701,15,4)),'Tabla de codigos'!$E$2:$F$102,2,1))</f>
        <v>BUDINERA   30</v>
      </c>
      <c r="D701" s="11" t="s">
        <v>462</v>
      </c>
      <c r="E701" s="11" t="s">
        <v>11</v>
      </c>
      <c r="F701" s="11" t="s">
        <v>463</v>
      </c>
      <c r="G701" s="11" t="s">
        <v>458</v>
      </c>
      <c r="H701" s="11">
        <v>12</v>
      </c>
      <c r="I701" s="11">
        <v>12</v>
      </c>
      <c r="J701" s="15">
        <f t="shared" si="22"/>
        <v>0</v>
      </c>
      <c r="K701" s="18"/>
    </row>
    <row r="702" spans="1:11" x14ac:dyDescent="0.2">
      <c r="A702" s="11" t="s">
        <v>38</v>
      </c>
      <c r="B702" s="11" t="str">
        <f t="shared" si="21"/>
        <v>060033</v>
      </c>
      <c r="C702" s="11" t="str">
        <f>_xlfn.CONCAT(+VLOOKUP(VALUE(MID(A702,13,2)),'Tabla de codigos'!$A$2:$B$60,2,1)," ",VLOOKUP(VALUE(MID(A702,15,4)),'Tabla de codigos'!$E$2:$F$102,2,1))</f>
        <v>BUDINERA   42</v>
      </c>
      <c r="D702" s="11" t="s">
        <v>462</v>
      </c>
      <c r="E702" s="11" t="s">
        <v>11</v>
      </c>
      <c r="F702" s="11" t="s">
        <v>463</v>
      </c>
      <c r="G702" s="11" t="s">
        <v>458</v>
      </c>
      <c r="H702" s="11">
        <v>2</v>
      </c>
      <c r="I702" s="11">
        <v>0</v>
      </c>
      <c r="J702" s="15">
        <f t="shared" si="22"/>
        <v>2</v>
      </c>
      <c r="K702" s="18"/>
    </row>
    <row r="703" spans="1:11" x14ac:dyDescent="0.2">
      <c r="A703" s="11" t="s">
        <v>218</v>
      </c>
      <c r="B703" s="11" t="str">
        <f t="shared" si="21"/>
        <v>070015</v>
      </c>
      <c r="C703" s="11" t="str">
        <f>_xlfn.CONCAT(+VLOOKUP(VALUE(MID(A703,13,2)),'Tabla de codigos'!$A$2:$B$60,2,1)," ",VLOOKUP(VALUE(MID(A703,15,4)),'Tabla de codigos'!$E$2:$F$102,2,1))</f>
        <v>CAZO 14</v>
      </c>
      <c r="D703" s="11" t="s">
        <v>462</v>
      </c>
      <c r="E703" s="11" t="s">
        <v>11</v>
      </c>
      <c r="F703" s="11" t="s">
        <v>463</v>
      </c>
      <c r="G703" s="11" t="s">
        <v>458</v>
      </c>
      <c r="H703" s="11">
        <v>120</v>
      </c>
      <c r="I703" s="11">
        <v>120</v>
      </c>
      <c r="J703" s="15">
        <f t="shared" si="22"/>
        <v>0</v>
      </c>
      <c r="K703" s="18"/>
    </row>
    <row r="704" spans="1:11" x14ac:dyDescent="0.2">
      <c r="A704" s="11" t="s">
        <v>219</v>
      </c>
      <c r="B704" s="11" t="str">
        <f t="shared" si="21"/>
        <v>070017</v>
      </c>
      <c r="C704" s="11" t="str">
        <f>_xlfn.CONCAT(+VLOOKUP(VALUE(MID(A704,13,2)),'Tabla de codigos'!$A$2:$B$60,2,1)," ",VLOOKUP(VALUE(MID(A704,15,4)),'Tabla de codigos'!$E$2:$F$102,2,1))</f>
        <v>CAZO 16</v>
      </c>
      <c r="D704" s="11" t="s">
        <v>462</v>
      </c>
      <c r="E704" s="11" t="s">
        <v>11</v>
      </c>
      <c r="F704" s="11" t="s">
        <v>463</v>
      </c>
      <c r="G704" s="11" t="s">
        <v>458</v>
      </c>
      <c r="H704" s="11">
        <v>120</v>
      </c>
      <c r="I704" s="11">
        <v>0</v>
      </c>
      <c r="J704" s="15">
        <f t="shared" si="22"/>
        <v>120</v>
      </c>
      <c r="K704" s="18"/>
    </row>
    <row r="705" spans="1:11" x14ac:dyDescent="0.2">
      <c r="A705" s="11" t="s">
        <v>333</v>
      </c>
      <c r="B705" s="11" t="str">
        <f t="shared" si="21"/>
        <v>240015</v>
      </c>
      <c r="C705" s="11" t="str">
        <f>_xlfn.CONCAT(+VLOOKUP(VALUE(MID(A705,13,2)),'Tabla de codigos'!$A$2:$B$60,2,1)," ",VLOOKUP(VALUE(MID(A705,15,4)),'Tabla de codigos'!$E$2:$F$102,2,1))</f>
        <v>OLLA CONVEXA 14</v>
      </c>
      <c r="D705" s="11" t="s">
        <v>462</v>
      </c>
      <c r="E705" s="11" t="s">
        <v>11</v>
      </c>
      <c r="F705" s="11" t="s">
        <v>463</v>
      </c>
      <c r="G705" s="11" t="s">
        <v>458</v>
      </c>
      <c r="H705" s="11">
        <v>90</v>
      </c>
      <c r="I705" s="11">
        <v>90</v>
      </c>
      <c r="J705" s="15">
        <f t="shared" si="22"/>
        <v>0</v>
      </c>
      <c r="K705" s="18"/>
    </row>
    <row r="706" spans="1:11" x14ac:dyDescent="0.2">
      <c r="A706" s="11" t="s">
        <v>220</v>
      </c>
      <c r="B706" s="11" t="str">
        <f t="shared" si="21"/>
        <v>240017</v>
      </c>
      <c r="C706" s="11" t="str">
        <f>_xlfn.CONCAT(+VLOOKUP(VALUE(MID(A706,13,2)),'Tabla de codigos'!$A$2:$B$60,2,1)," ",VLOOKUP(VALUE(MID(A706,15,4)),'Tabla de codigos'!$E$2:$F$102,2,1))</f>
        <v>OLLA CONVEXA 16</v>
      </c>
      <c r="D706" s="11" t="s">
        <v>462</v>
      </c>
      <c r="E706" s="11" t="s">
        <v>11</v>
      </c>
      <c r="F706" s="11" t="s">
        <v>463</v>
      </c>
      <c r="G706" s="11" t="s">
        <v>458</v>
      </c>
      <c r="H706" s="11">
        <v>60</v>
      </c>
      <c r="I706" s="11">
        <v>0</v>
      </c>
      <c r="J706" s="15">
        <f t="shared" si="22"/>
        <v>60</v>
      </c>
      <c r="K706" s="18"/>
    </row>
    <row r="707" spans="1:11" x14ac:dyDescent="0.2">
      <c r="A707" s="11" t="s">
        <v>150</v>
      </c>
      <c r="B707" s="11" t="str">
        <f t="shared" ref="B707:B770" si="23">+MID(A707,13,6)</f>
        <v>240021</v>
      </c>
      <c r="C707" s="11" t="str">
        <f>_xlfn.CONCAT(+VLOOKUP(VALUE(MID(A707,13,2)),'Tabla de codigos'!$A$2:$B$60,2,1)," ",VLOOKUP(VALUE(MID(A707,15,4)),'Tabla de codigos'!$E$2:$F$102,2,1))</f>
        <v>OLLA CONVEXA 18</v>
      </c>
      <c r="D707" s="11" t="s">
        <v>462</v>
      </c>
      <c r="E707" s="11" t="s">
        <v>11</v>
      </c>
      <c r="F707" s="11" t="s">
        <v>463</v>
      </c>
      <c r="G707" s="11" t="s">
        <v>458</v>
      </c>
      <c r="H707" s="11">
        <v>60</v>
      </c>
      <c r="I707" s="11">
        <v>0</v>
      </c>
      <c r="J707" s="15">
        <f t="shared" si="22"/>
        <v>60</v>
      </c>
      <c r="K707" s="18"/>
    </row>
    <row r="708" spans="1:11" x14ac:dyDescent="0.2">
      <c r="A708" s="11" t="s">
        <v>237</v>
      </c>
      <c r="B708" s="11" t="str">
        <f t="shared" si="23"/>
        <v>250025</v>
      </c>
      <c r="C708" s="11" t="str">
        <f>_xlfn.CONCAT(+VLOOKUP(VALUE(MID(A708,13,2)),'Tabla de codigos'!$A$2:$B$60,2,1)," ",VLOOKUP(VALUE(MID(A708,15,4)),'Tabla de codigos'!$E$2:$F$102,2,1))</f>
        <v>OLLA RECTA 24</v>
      </c>
      <c r="D708" s="11" t="s">
        <v>462</v>
      </c>
      <c r="E708" s="11" t="s">
        <v>11</v>
      </c>
      <c r="F708" s="11" t="s">
        <v>463</v>
      </c>
      <c r="G708" s="11" t="s">
        <v>458</v>
      </c>
      <c r="H708" s="11">
        <v>36</v>
      </c>
      <c r="I708" s="11">
        <v>0</v>
      </c>
      <c r="J708" s="15">
        <f t="shared" si="22"/>
        <v>36</v>
      </c>
      <c r="K708" s="18"/>
    </row>
    <row r="709" spans="1:11" x14ac:dyDescent="0.2">
      <c r="A709" s="11" t="s">
        <v>224</v>
      </c>
      <c r="B709" s="11" t="str">
        <f t="shared" si="23"/>
        <v>250026</v>
      </c>
      <c r="C709" s="11" t="str">
        <f>_xlfn.CONCAT(+VLOOKUP(VALUE(MID(A709,13,2)),'Tabla de codigos'!$A$2:$B$60,2,1)," ",VLOOKUP(VALUE(MID(A709,15,4)),'Tabla de codigos'!$E$2:$F$102,2,1))</f>
        <v>OLLA RECTA 26</v>
      </c>
      <c r="D709" s="11" t="s">
        <v>462</v>
      </c>
      <c r="E709" s="11" t="s">
        <v>11</v>
      </c>
      <c r="F709" s="11" t="s">
        <v>463</v>
      </c>
      <c r="G709" s="11" t="s">
        <v>458</v>
      </c>
      <c r="H709" s="11">
        <v>36</v>
      </c>
      <c r="I709" s="11">
        <f>4</f>
        <v>4</v>
      </c>
      <c r="J709" s="15">
        <f t="shared" si="22"/>
        <v>32</v>
      </c>
      <c r="K709" s="18"/>
    </row>
    <row r="710" spans="1:11" x14ac:dyDescent="0.2">
      <c r="A710" s="11" t="s">
        <v>336</v>
      </c>
      <c r="B710" s="11" t="str">
        <f t="shared" si="23"/>
        <v>250028</v>
      </c>
      <c r="C710" s="11" t="str">
        <f>_xlfn.CONCAT(+VLOOKUP(VALUE(MID(A710,13,2)),'Tabla de codigos'!$A$2:$B$60,2,1)," ",VLOOKUP(VALUE(MID(A710,15,4)),'Tabla de codigos'!$E$2:$F$102,2,1))</f>
        <v>OLLA RECTA 28</v>
      </c>
      <c r="D710" s="11" t="s">
        <v>462</v>
      </c>
      <c r="E710" s="11" t="s">
        <v>11</v>
      </c>
      <c r="F710" s="11" t="s">
        <v>463</v>
      </c>
      <c r="G710" s="11" t="s">
        <v>458</v>
      </c>
      <c r="H710" s="11">
        <v>10</v>
      </c>
      <c r="I710" s="11">
        <v>0</v>
      </c>
      <c r="J710" s="15">
        <f t="shared" si="22"/>
        <v>10</v>
      </c>
      <c r="K710" s="18"/>
    </row>
    <row r="711" spans="1:11" x14ac:dyDescent="0.2">
      <c r="A711" s="11" t="s">
        <v>155</v>
      </c>
      <c r="B711" s="11" t="str">
        <f t="shared" si="23"/>
        <v>250029</v>
      </c>
      <c r="C711" s="11" t="str">
        <f>_xlfn.CONCAT(+VLOOKUP(VALUE(MID(A711,13,2)),'Tabla de codigos'!$A$2:$B$60,2,1)," ",VLOOKUP(VALUE(MID(A711,15,4)),'Tabla de codigos'!$E$2:$F$102,2,1))</f>
        <v>OLLA RECTA 30</v>
      </c>
      <c r="D711" s="11" t="s">
        <v>462</v>
      </c>
      <c r="E711" s="11" t="s">
        <v>11</v>
      </c>
      <c r="F711" s="11" t="s">
        <v>463</v>
      </c>
      <c r="G711" s="11" t="s">
        <v>458</v>
      </c>
      <c r="H711" s="11">
        <v>10</v>
      </c>
      <c r="I711" s="11">
        <v>0</v>
      </c>
      <c r="J711" s="15">
        <f t="shared" ref="J711:J774" si="24">+H711-I711</f>
        <v>10</v>
      </c>
      <c r="K711" s="18"/>
    </row>
    <row r="712" spans="1:11" x14ac:dyDescent="0.2">
      <c r="A712" s="11" t="s">
        <v>156</v>
      </c>
      <c r="B712" s="11" t="str">
        <f t="shared" si="23"/>
        <v>250031</v>
      </c>
      <c r="C712" s="11" t="str">
        <f>_xlfn.CONCAT(+VLOOKUP(VALUE(MID(A712,13,2)),'Tabla de codigos'!$A$2:$B$60,2,1)," ",VLOOKUP(VALUE(MID(A712,15,4)),'Tabla de codigos'!$E$2:$F$102,2,1))</f>
        <v>OLLA RECTA 34</v>
      </c>
      <c r="D712" s="11" t="s">
        <v>462</v>
      </c>
      <c r="E712" s="11" t="s">
        <v>11</v>
      </c>
      <c r="F712" s="11" t="s">
        <v>463</v>
      </c>
      <c r="G712" s="11" t="s">
        <v>458</v>
      </c>
      <c r="H712" s="11">
        <v>8</v>
      </c>
      <c r="I712" s="11">
        <v>0</v>
      </c>
      <c r="J712" s="15">
        <f t="shared" si="24"/>
        <v>8</v>
      </c>
      <c r="K712" s="18"/>
    </row>
    <row r="713" spans="1:11" x14ac:dyDescent="0.2">
      <c r="A713" s="11" t="s">
        <v>157</v>
      </c>
      <c r="B713" s="11" t="str">
        <f t="shared" si="23"/>
        <v>250033</v>
      </c>
      <c r="C713" s="11" t="str">
        <f>_xlfn.CONCAT(+VLOOKUP(VALUE(MID(A713,13,2)),'Tabla de codigos'!$A$2:$B$60,2,1)," ",VLOOKUP(VALUE(MID(A713,15,4)),'Tabla de codigos'!$E$2:$F$102,2,1))</f>
        <v>OLLA RECTA 42</v>
      </c>
      <c r="D713" s="11" t="s">
        <v>462</v>
      </c>
      <c r="E713" s="11" t="s">
        <v>11</v>
      </c>
      <c r="F713" s="11" t="s">
        <v>463</v>
      </c>
      <c r="G713" s="11" t="s">
        <v>458</v>
      </c>
      <c r="H713" s="11">
        <v>6</v>
      </c>
      <c r="I713" s="11">
        <v>6</v>
      </c>
      <c r="J713" s="15">
        <f t="shared" si="24"/>
        <v>0</v>
      </c>
      <c r="K713" s="18"/>
    </row>
    <row r="714" spans="1:11" x14ac:dyDescent="0.2">
      <c r="A714" s="11" t="s">
        <v>262</v>
      </c>
      <c r="B714" s="11" t="str">
        <f t="shared" si="23"/>
        <v>360022</v>
      </c>
      <c r="C714" s="11" t="str">
        <f>_xlfn.CONCAT(+VLOOKUP(VALUE(MID(A714,13,2)),'Tabla de codigos'!$A$2:$B$60,2,1)," ",VLOOKUP(VALUE(MID(A714,15,4)),'Tabla de codigos'!$E$2:$F$102,2,1))</f>
        <v>SARTEN 20</v>
      </c>
      <c r="D714" s="11" t="s">
        <v>462</v>
      </c>
      <c r="E714" s="11" t="s">
        <v>11</v>
      </c>
      <c r="F714" s="11" t="s">
        <v>463</v>
      </c>
      <c r="G714" s="11" t="s">
        <v>458</v>
      </c>
      <c r="H714" s="11">
        <v>72</v>
      </c>
      <c r="I714" s="11">
        <v>0</v>
      </c>
      <c r="J714" s="15">
        <f t="shared" si="24"/>
        <v>72</v>
      </c>
      <c r="K714" s="18"/>
    </row>
    <row r="715" spans="1:11" x14ac:dyDescent="0.2">
      <c r="A715" s="11" t="s">
        <v>44</v>
      </c>
      <c r="B715" s="11" t="str">
        <f t="shared" si="23"/>
        <v>360025</v>
      </c>
      <c r="C715" s="11" t="str">
        <f>_xlfn.CONCAT(+VLOOKUP(VALUE(MID(A715,13,2)),'Tabla de codigos'!$A$2:$B$60,2,1)," ",VLOOKUP(VALUE(MID(A715,15,4)),'Tabla de codigos'!$E$2:$F$102,2,1))</f>
        <v>SARTEN 24</v>
      </c>
      <c r="D715" s="11" t="s">
        <v>462</v>
      </c>
      <c r="E715" s="11" t="s">
        <v>11</v>
      </c>
      <c r="F715" s="11" t="s">
        <v>463</v>
      </c>
      <c r="G715" s="11" t="s">
        <v>458</v>
      </c>
      <c r="H715" s="11">
        <v>48</v>
      </c>
      <c r="I715" s="11">
        <v>0</v>
      </c>
      <c r="J715" s="15">
        <f t="shared" si="24"/>
        <v>48</v>
      </c>
      <c r="K715" s="18"/>
    </row>
    <row r="716" spans="1:11" x14ac:dyDescent="0.2">
      <c r="A716" s="11" t="s">
        <v>238</v>
      </c>
      <c r="B716" s="11" t="str">
        <f t="shared" si="23"/>
        <v>250099</v>
      </c>
      <c r="C716" s="11" t="str">
        <f>_xlfn.CONCAT(+VLOOKUP(VALUE(MID(A716,13,2)),'Tabla de codigos'!$A$2:$B$60,2,1)," ",VLOOKUP(VALUE(MID(A716,15,4)),'Tabla de codigos'!$E$2:$F$102,2,1))</f>
        <v>OLLA RECTA 38</v>
      </c>
      <c r="D716" s="11" t="s">
        <v>462</v>
      </c>
      <c r="E716" s="11" t="s">
        <v>11</v>
      </c>
      <c r="F716" s="11" t="s">
        <v>463</v>
      </c>
      <c r="G716" s="11" t="s">
        <v>458</v>
      </c>
      <c r="H716" s="11">
        <v>4</v>
      </c>
      <c r="I716" s="11">
        <f>1+3</f>
        <v>4</v>
      </c>
      <c r="J716" s="15">
        <f t="shared" si="24"/>
        <v>0</v>
      </c>
      <c r="K716" s="17">
        <f>(SUM(I695:I716))/(SUM(H695:H716))</f>
        <v>0.42641509433962266</v>
      </c>
    </row>
    <row r="717" spans="1:11" x14ac:dyDescent="0.2">
      <c r="A717" s="11" t="s">
        <v>215</v>
      </c>
      <c r="B717" s="11" t="str">
        <f t="shared" si="23"/>
        <v>060022</v>
      </c>
      <c r="C717" s="11" t="str">
        <f>_xlfn.CONCAT(+VLOOKUP(VALUE(MID(A717,13,2)),'Tabla de codigos'!$A$2:$B$60,2,1)," ",VLOOKUP(VALUE(MID(A717,15,4)),'Tabla de codigos'!$E$2:$F$102,2,1))</f>
        <v>BUDINERA   20</v>
      </c>
      <c r="D717" s="11" t="s">
        <v>464</v>
      </c>
      <c r="E717" s="11" t="s">
        <v>34</v>
      </c>
      <c r="F717" s="11" t="s">
        <v>465</v>
      </c>
      <c r="G717" s="11" t="s">
        <v>466</v>
      </c>
      <c r="H717" s="11">
        <v>180</v>
      </c>
      <c r="I717" s="11">
        <v>180</v>
      </c>
      <c r="J717" s="15">
        <f t="shared" si="24"/>
        <v>0</v>
      </c>
    </row>
    <row r="718" spans="1:11" x14ac:dyDescent="0.2">
      <c r="A718" s="11" t="s">
        <v>43</v>
      </c>
      <c r="B718" s="11" t="str">
        <f t="shared" si="23"/>
        <v>240024</v>
      </c>
      <c r="C718" s="11" t="str">
        <f>_xlfn.CONCAT(+VLOOKUP(VALUE(MID(A718,13,2)),'Tabla de codigos'!$A$2:$B$60,2,1)," ",VLOOKUP(VALUE(MID(A718,15,4)),'Tabla de codigos'!$E$2:$F$102,2,1))</f>
        <v>OLLA CONVEXA 22</v>
      </c>
      <c r="D718" s="11" t="s">
        <v>464</v>
      </c>
      <c r="E718" s="11" t="s">
        <v>34</v>
      </c>
      <c r="F718" s="11" t="s">
        <v>465</v>
      </c>
      <c r="G718" s="11" t="s">
        <v>466</v>
      </c>
      <c r="H718" s="11">
        <v>12</v>
      </c>
      <c r="I718" s="11">
        <v>12</v>
      </c>
      <c r="J718" s="15">
        <f t="shared" si="24"/>
        <v>0</v>
      </c>
    </row>
    <row r="719" spans="1:11" x14ac:dyDescent="0.2">
      <c r="A719" s="11" t="s">
        <v>237</v>
      </c>
      <c r="B719" s="11" t="str">
        <f t="shared" si="23"/>
        <v>250025</v>
      </c>
      <c r="C719" s="11" t="str">
        <f>_xlfn.CONCAT(+VLOOKUP(VALUE(MID(A719,13,2)),'Tabla de codigos'!$A$2:$B$60,2,1)," ",VLOOKUP(VALUE(MID(A719,15,4)),'Tabla de codigos'!$E$2:$F$102,2,1))</f>
        <v>OLLA RECTA 24</v>
      </c>
      <c r="D719" s="11" t="s">
        <v>464</v>
      </c>
      <c r="E719" s="11" t="s">
        <v>34</v>
      </c>
      <c r="F719" s="11" t="s">
        <v>465</v>
      </c>
      <c r="G719" s="11" t="s">
        <v>466</v>
      </c>
      <c r="H719" s="11">
        <v>60</v>
      </c>
      <c r="I719" s="11">
        <v>0</v>
      </c>
      <c r="J719" s="15">
        <f t="shared" si="24"/>
        <v>60</v>
      </c>
    </row>
    <row r="720" spans="1:11" x14ac:dyDescent="0.2">
      <c r="A720" s="11" t="s">
        <v>336</v>
      </c>
      <c r="B720" s="11" t="str">
        <f t="shared" si="23"/>
        <v>250028</v>
      </c>
      <c r="C720" s="11" t="str">
        <f>_xlfn.CONCAT(+VLOOKUP(VALUE(MID(A720,13,2)),'Tabla de codigos'!$A$2:$B$60,2,1)," ",VLOOKUP(VALUE(MID(A720,15,4)),'Tabla de codigos'!$E$2:$F$102,2,1))</f>
        <v>OLLA RECTA 28</v>
      </c>
      <c r="D720" s="11" t="s">
        <v>464</v>
      </c>
      <c r="E720" s="11" t="s">
        <v>34</v>
      </c>
      <c r="F720" s="11" t="s">
        <v>465</v>
      </c>
      <c r="G720" s="11" t="s">
        <v>466</v>
      </c>
      <c r="H720" s="11">
        <v>2</v>
      </c>
      <c r="I720" s="11">
        <v>0</v>
      </c>
      <c r="J720" s="15">
        <f t="shared" si="24"/>
        <v>2</v>
      </c>
    </row>
    <row r="721" spans="1:11" x14ac:dyDescent="0.2">
      <c r="A721" s="11" t="s">
        <v>66</v>
      </c>
      <c r="B721" s="11" t="str">
        <f t="shared" si="23"/>
        <v>260022</v>
      </c>
      <c r="C721" s="11" t="str">
        <f>_xlfn.CONCAT(+VLOOKUP(VALUE(MID(A721,13,2)),'Tabla de codigos'!$A$2:$B$60,2,1)," ",VLOOKUP(VALUE(MID(A721,15,4)),'Tabla de codigos'!$E$2:$F$102,2,1))</f>
        <v>PLATO AVENERO 20</v>
      </c>
      <c r="D721" s="11" t="s">
        <v>464</v>
      </c>
      <c r="E721" s="11" t="s">
        <v>34</v>
      </c>
      <c r="F721" s="11" t="s">
        <v>465</v>
      </c>
      <c r="G721" s="11" t="s">
        <v>466</v>
      </c>
      <c r="H721" s="11">
        <v>912</v>
      </c>
      <c r="I721" s="11">
        <f>5+120+17+168+264</f>
        <v>574</v>
      </c>
      <c r="J721" s="15">
        <f t="shared" si="24"/>
        <v>338</v>
      </c>
    </row>
    <row r="722" spans="1:11" x14ac:dyDescent="0.2">
      <c r="A722" s="11" t="s">
        <v>80</v>
      </c>
      <c r="B722" s="11" t="str">
        <f t="shared" si="23"/>
        <v>390016</v>
      </c>
      <c r="C722" s="11" t="str">
        <f>_xlfn.CONCAT(+VLOOKUP(VALUE(MID(A722,13,2)),'Tabla de codigos'!$A$2:$B$60,2,1)," ",VLOOKUP(VALUE(MID(A722,15,4)),'Tabla de codigos'!$E$2:$F$102,2,1))</f>
        <v>TAZON  15.5</v>
      </c>
      <c r="D722" s="11" t="s">
        <v>464</v>
      </c>
      <c r="E722" s="11" t="s">
        <v>34</v>
      </c>
      <c r="F722" s="11" t="s">
        <v>465</v>
      </c>
      <c r="G722" s="11" t="s">
        <v>466</v>
      </c>
      <c r="H722" s="11">
        <v>192</v>
      </c>
      <c r="I722" s="11">
        <f>108+84</f>
        <v>192</v>
      </c>
      <c r="J722" s="15">
        <f t="shared" si="24"/>
        <v>0</v>
      </c>
    </row>
    <row r="723" spans="1:11" x14ac:dyDescent="0.2">
      <c r="A723" s="11" t="s">
        <v>85</v>
      </c>
      <c r="B723" s="11" t="str">
        <f t="shared" si="23"/>
        <v>390022</v>
      </c>
      <c r="C723" s="11" t="str">
        <f>_xlfn.CONCAT(+VLOOKUP(VALUE(MID(A723,13,2)),'Tabla de codigos'!$A$2:$B$60,2,1)," ",VLOOKUP(VALUE(MID(A723,15,4)),'Tabla de codigos'!$E$2:$F$102,2,1))</f>
        <v>TAZON  20</v>
      </c>
      <c r="D723" s="11" t="s">
        <v>464</v>
      </c>
      <c r="E723" s="11" t="s">
        <v>34</v>
      </c>
      <c r="F723" s="11" t="s">
        <v>465</v>
      </c>
      <c r="G723" s="11" t="s">
        <v>466</v>
      </c>
      <c r="H723" s="11">
        <v>156</v>
      </c>
      <c r="I723" s="11">
        <v>0</v>
      </c>
      <c r="J723" s="15">
        <f t="shared" si="24"/>
        <v>156</v>
      </c>
      <c r="K723" s="17">
        <f>(SUM(I717:I723))/(SUM(H717:H723))</f>
        <v>0.63276089828269488</v>
      </c>
    </row>
    <row r="724" spans="1:11" x14ac:dyDescent="0.2">
      <c r="A724" s="11" t="s">
        <v>74</v>
      </c>
      <c r="B724" s="11" t="str">
        <f t="shared" si="23"/>
        <v>330009</v>
      </c>
      <c r="C724" s="11" t="str">
        <f>_xlfn.CONCAT(+VLOOKUP(VALUE(MID(A724,13,2)),'Tabla de codigos'!$A$2:$B$60,2,1)," ",VLOOKUP(VALUE(MID(A724,15,4)),'Tabla de codigos'!$E$2:$F$102,2,1))</f>
        <v>POCILLO 5</v>
      </c>
      <c r="D724" s="11" t="s">
        <v>464</v>
      </c>
      <c r="E724" s="11" t="s">
        <v>34</v>
      </c>
      <c r="F724" s="11" t="s">
        <v>467</v>
      </c>
      <c r="G724" s="11" t="s">
        <v>466</v>
      </c>
      <c r="H724" s="11">
        <v>72</v>
      </c>
      <c r="I724" s="11">
        <f>27+24+21</f>
        <v>72</v>
      </c>
      <c r="J724" s="15">
        <f t="shared" si="24"/>
        <v>0</v>
      </c>
    </row>
    <row r="725" spans="1:11" x14ac:dyDescent="0.2">
      <c r="A725" s="11" t="s">
        <v>371</v>
      </c>
      <c r="B725" s="11" t="str">
        <f t="shared" si="23"/>
        <v>330009</v>
      </c>
      <c r="C725" s="11" t="str">
        <f>_xlfn.CONCAT(+VLOOKUP(VALUE(MID(A725,13,2)),'Tabla de codigos'!$A$2:$B$60,2,1)," ",VLOOKUP(VALUE(MID(A725,15,4)),'Tabla de codigos'!$E$2:$F$102,2,1))</f>
        <v>POCILLO 5</v>
      </c>
      <c r="D725" s="11" t="s">
        <v>464</v>
      </c>
      <c r="E725" s="11" t="s">
        <v>34</v>
      </c>
      <c r="F725" s="11" t="s">
        <v>467</v>
      </c>
      <c r="G725" s="11" t="s">
        <v>466</v>
      </c>
      <c r="H725" s="11">
        <v>24</v>
      </c>
      <c r="I725" s="11">
        <v>24</v>
      </c>
      <c r="J725" s="15">
        <f t="shared" si="24"/>
        <v>0</v>
      </c>
    </row>
    <row r="726" spans="1:11" x14ac:dyDescent="0.2">
      <c r="A726" s="11" t="s">
        <v>460</v>
      </c>
      <c r="B726" s="11" t="str">
        <f t="shared" si="23"/>
        <v>380001</v>
      </c>
      <c r="C726" s="11" t="str">
        <f>_xlfn.CONCAT(+VLOOKUP(VALUE(MID(A726,13,2)),'Tabla de codigos'!$A$2:$B$60,2,1)," ",VLOOKUP(VALUE(MID(A726,15,4)),'Tabla de codigos'!$E$2:$F$102,2,1))</f>
        <v>TAZA BISTRO S/I</v>
      </c>
      <c r="D726" s="11" t="s">
        <v>464</v>
      </c>
      <c r="E726" s="11" t="s">
        <v>34</v>
      </c>
      <c r="F726" s="11" t="s">
        <v>467</v>
      </c>
      <c r="G726" s="11" t="s">
        <v>466</v>
      </c>
      <c r="H726" s="11">
        <v>276</v>
      </c>
      <c r="I726" s="11">
        <f>129</f>
        <v>129</v>
      </c>
      <c r="J726" s="15">
        <f t="shared" si="24"/>
        <v>147</v>
      </c>
    </row>
    <row r="727" spans="1:11" x14ac:dyDescent="0.2">
      <c r="A727" s="11" t="s">
        <v>302</v>
      </c>
      <c r="B727" s="11" t="str">
        <f t="shared" si="23"/>
        <v>390012</v>
      </c>
      <c r="C727" s="11" t="str">
        <f>_xlfn.CONCAT(+VLOOKUP(VALUE(MID(A727,13,2)),'Tabla de codigos'!$A$2:$B$60,2,1)," ",VLOOKUP(VALUE(MID(A727,15,4)),'Tabla de codigos'!$E$2:$F$102,2,1))</f>
        <v>TAZON  8</v>
      </c>
      <c r="D727" s="11" t="s">
        <v>464</v>
      </c>
      <c r="E727" s="11" t="s">
        <v>34</v>
      </c>
      <c r="F727" s="11" t="s">
        <v>467</v>
      </c>
      <c r="G727" s="11" t="s">
        <v>466</v>
      </c>
      <c r="H727" s="11">
        <v>1332</v>
      </c>
      <c r="I727" s="11">
        <f>40+36+36+108+108+22+72+648+36+108+28+90</f>
        <v>1332</v>
      </c>
      <c r="J727" s="15">
        <f t="shared" si="24"/>
        <v>0</v>
      </c>
      <c r="K727" s="17">
        <f>(SUM(I724:I727))/(SUM(H724:H727))</f>
        <v>0.91373239436619713</v>
      </c>
    </row>
    <row r="728" spans="1:11" x14ac:dyDescent="0.2">
      <c r="A728" s="11" t="s">
        <v>169</v>
      </c>
      <c r="B728" s="11" t="str">
        <f t="shared" si="23"/>
        <v>060029</v>
      </c>
      <c r="C728" s="11" t="str">
        <f>_xlfn.CONCAT(+VLOOKUP(VALUE(MID(A728,13,2)),'Tabla de codigos'!$A$2:$B$60,2,1)," ",VLOOKUP(VALUE(MID(A728,15,4)),'Tabla de codigos'!$E$2:$F$102,2,1))</f>
        <v>BUDINERA   30</v>
      </c>
      <c r="D728" s="11" t="s">
        <v>464</v>
      </c>
      <c r="E728" s="11" t="s">
        <v>34</v>
      </c>
      <c r="F728" s="11" t="s">
        <v>468</v>
      </c>
      <c r="G728" s="11" t="s">
        <v>466</v>
      </c>
      <c r="H728" s="11">
        <v>44</v>
      </c>
      <c r="I728" s="11">
        <f>2+42</f>
        <v>44</v>
      </c>
      <c r="J728" s="15">
        <f t="shared" si="24"/>
        <v>0</v>
      </c>
    </row>
    <row r="729" spans="1:11" x14ac:dyDescent="0.2">
      <c r="A729" s="11" t="s">
        <v>262</v>
      </c>
      <c r="B729" s="11" t="str">
        <f t="shared" si="23"/>
        <v>360022</v>
      </c>
      <c r="C729" s="11" t="str">
        <f>_xlfn.CONCAT(+VLOOKUP(VALUE(MID(A729,13,2)),'Tabla de codigos'!$A$2:$B$60,2,1)," ",VLOOKUP(VALUE(MID(A729,15,4)),'Tabla de codigos'!$E$2:$F$102,2,1))</f>
        <v>SARTEN 20</v>
      </c>
      <c r="D729" s="11" t="s">
        <v>464</v>
      </c>
      <c r="E729" s="11" t="s">
        <v>34</v>
      </c>
      <c r="F729" s="11" t="s">
        <v>468</v>
      </c>
      <c r="G729" s="11" t="s">
        <v>466</v>
      </c>
      <c r="H729" s="11">
        <v>240</v>
      </c>
      <c r="I729" s="11">
        <v>0</v>
      </c>
      <c r="J729" s="15">
        <f t="shared" si="24"/>
        <v>240</v>
      </c>
    </row>
    <row r="730" spans="1:11" x14ac:dyDescent="0.2">
      <c r="A730" s="11" t="s">
        <v>227</v>
      </c>
      <c r="B730" s="11" t="str">
        <f t="shared" si="23"/>
        <v>360024</v>
      </c>
      <c r="C730" s="11" t="str">
        <f>_xlfn.CONCAT(+VLOOKUP(VALUE(MID(A730,13,2)),'Tabla de codigos'!$A$2:$B$60,2,1)," ",VLOOKUP(VALUE(MID(A730,15,4)),'Tabla de codigos'!$E$2:$F$102,2,1))</f>
        <v>SARTEN 22</v>
      </c>
      <c r="D730" s="11" t="s">
        <v>464</v>
      </c>
      <c r="E730" s="11" t="s">
        <v>34</v>
      </c>
      <c r="F730" s="11" t="s">
        <v>468</v>
      </c>
      <c r="G730" s="11" t="s">
        <v>466</v>
      </c>
      <c r="H730" s="11">
        <v>240</v>
      </c>
      <c r="I730" s="11">
        <v>0</v>
      </c>
      <c r="J730" s="15">
        <f t="shared" si="24"/>
        <v>240</v>
      </c>
    </row>
    <row r="731" spans="1:11" x14ac:dyDescent="0.2">
      <c r="A731" s="11" t="s">
        <v>44</v>
      </c>
      <c r="B731" s="11" t="str">
        <f t="shared" si="23"/>
        <v>360025</v>
      </c>
      <c r="C731" s="11" t="str">
        <f>_xlfn.CONCAT(+VLOOKUP(VALUE(MID(A731,13,2)),'Tabla de codigos'!$A$2:$B$60,2,1)," ",VLOOKUP(VALUE(MID(A731,15,4)),'Tabla de codigos'!$E$2:$F$102,2,1))</f>
        <v>SARTEN 24</v>
      </c>
      <c r="D731" s="11" t="s">
        <v>464</v>
      </c>
      <c r="E731" s="11" t="s">
        <v>34</v>
      </c>
      <c r="F731" s="11" t="s">
        <v>468</v>
      </c>
      <c r="G731" s="11" t="s">
        <v>466</v>
      </c>
      <c r="H731" s="11">
        <v>240</v>
      </c>
      <c r="I731" s="11">
        <v>0</v>
      </c>
      <c r="J731" s="15">
        <f t="shared" si="24"/>
        <v>240</v>
      </c>
      <c r="K731" s="17">
        <f>(SUM(I728:I731))/(SUM(H728:H731))</f>
        <v>5.7591623036649213E-2</v>
      </c>
    </row>
    <row r="732" spans="1:11" x14ac:dyDescent="0.2">
      <c r="A732" s="11" t="s">
        <v>19</v>
      </c>
      <c r="B732" s="11" t="str">
        <f t="shared" si="23"/>
        <v>010025</v>
      </c>
      <c r="C732" s="11" t="str">
        <f>_xlfn.CONCAT(+VLOOKUP(VALUE(MID(A732,13,2)),'Tabla de codigos'!$A$2:$B$60,2,1)," ",VLOOKUP(VALUE(MID(A732,15,4)),'Tabla de codigos'!$E$2:$F$102,2,1))</f>
        <v>BACINICA 24</v>
      </c>
      <c r="D732" s="11" t="s">
        <v>469</v>
      </c>
      <c r="E732" s="11" t="s">
        <v>34</v>
      </c>
      <c r="F732" s="11" t="s">
        <v>470</v>
      </c>
      <c r="G732" s="11" t="s">
        <v>466</v>
      </c>
      <c r="H732" s="11">
        <v>12</v>
      </c>
      <c r="I732" s="11">
        <v>0</v>
      </c>
      <c r="J732" s="15">
        <f t="shared" si="24"/>
        <v>12</v>
      </c>
    </row>
    <row r="733" spans="1:11" x14ac:dyDescent="0.2">
      <c r="A733" s="11" t="s">
        <v>38</v>
      </c>
      <c r="B733" s="11" t="str">
        <f t="shared" si="23"/>
        <v>060033</v>
      </c>
      <c r="C733" s="11" t="str">
        <f>_xlfn.CONCAT(+VLOOKUP(VALUE(MID(A733,13,2)),'Tabla de codigos'!$A$2:$B$60,2,1)," ",VLOOKUP(VALUE(MID(A733,15,4)),'Tabla de codigos'!$E$2:$F$102,2,1))</f>
        <v>BUDINERA   42</v>
      </c>
      <c r="D733" s="11" t="s">
        <v>469</v>
      </c>
      <c r="E733" s="11" t="s">
        <v>34</v>
      </c>
      <c r="F733" s="11" t="s">
        <v>470</v>
      </c>
      <c r="G733" s="11" t="s">
        <v>466</v>
      </c>
      <c r="H733" s="11">
        <v>2</v>
      </c>
      <c r="I733" s="11">
        <v>0</v>
      </c>
      <c r="J733" s="15">
        <f t="shared" si="24"/>
        <v>2</v>
      </c>
    </row>
    <row r="734" spans="1:11" x14ac:dyDescent="0.2">
      <c r="A734" s="11" t="s">
        <v>218</v>
      </c>
      <c r="B734" s="11" t="str">
        <f t="shared" si="23"/>
        <v>070015</v>
      </c>
      <c r="C734" s="11" t="str">
        <f>_xlfn.CONCAT(+VLOOKUP(VALUE(MID(A734,13,2)),'Tabla de codigos'!$A$2:$B$60,2,1)," ",VLOOKUP(VALUE(MID(A734,15,4)),'Tabla de codigos'!$E$2:$F$102,2,1))</f>
        <v>CAZO 14</v>
      </c>
      <c r="D734" s="11" t="s">
        <v>469</v>
      </c>
      <c r="E734" s="11" t="s">
        <v>34</v>
      </c>
      <c r="F734" s="11" t="s">
        <v>470</v>
      </c>
      <c r="G734" s="11" t="s">
        <v>466</v>
      </c>
      <c r="H734" s="11">
        <v>60</v>
      </c>
      <c r="I734" s="11">
        <v>60</v>
      </c>
      <c r="J734" s="15">
        <f t="shared" si="24"/>
        <v>0</v>
      </c>
    </row>
    <row r="735" spans="1:11" x14ac:dyDescent="0.2">
      <c r="A735" s="11" t="s">
        <v>220</v>
      </c>
      <c r="B735" s="11" t="str">
        <f t="shared" si="23"/>
        <v>240017</v>
      </c>
      <c r="C735" s="11" t="str">
        <f>_xlfn.CONCAT(+VLOOKUP(VALUE(MID(A735,13,2)),'Tabla de codigos'!$A$2:$B$60,2,1)," ",VLOOKUP(VALUE(MID(A735,15,4)),'Tabla de codigos'!$E$2:$F$102,2,1))</f>
        <v>OLLA CONVEXA 16</v>
      </c>
      <c r="D735" s="11" t="s">
        <v>469</v>
      </c>
      <c r="E735" s="11" t="s">
        <v>34</v>
      </c>
      <c r="F735" s="11" t="s">
        <v>470</v>
      </c>
      <c r="G735" s="11" t="s">
        <v>466</v>
      </c>
      <c r="H735" s="11">
        <v>24</v>
      </c>
      <c r="I735" s="11">
        <v>0</v>
      </c>
      <c r="J735" s="15">
        <f t="shared" si="24"/>
        <v>24</v>
      </c>
    </row>
    <row r="736" spans="1:11" x14ac:dyDescent="0.2">
      <c r="A736" s="11" t="s">
        <v>150</v>
      </c>
      <c r="B736" s="11" t="str">
        <f t="shared" si="23"/>
        <v>240021</v>
      </c>
      <c r="C736" s="11" t="str">
        <f>_xlfn.CONCAT(+VLOOKUP(VALUE(MID(A736,13,2)),'Tabla de codigos'!$A$2:$B$60,2,1)," ",VLOOKUP(VALUE(MID(A736,15,4)),'Tabla de codigos'!$E$2:$F$102,2,1))</f>
        <v>OLLA CONVEXA 18</v>
      </c>
      <c r="D736" s="11" t="s">
        <v>469</v>
      </c>
      <c r="E736" s="11" t="s">
        <v>34</v>
      </c>
      <c r="F736" s="11" t="s">
        <v>470</v>
      </c>
      <c r="G736" s="11" t="s">
        <v>466</v>
      </c>
      <c r="H736" s="11">
        <v>48</v>
      </c>
      <c r="I736" s="11">
        <v>0</v>
      </c>
      <c r="J736" s="15">
        <f t="shared" si="24"/>
        <v>48</v>
      </c>
    </row>
    <row r="737" spans="1:11" x14ac:dyDescent="0.2">
      <c r="A737" s="11" t="s">
        <v>151</v>
      </c>
      <c r="B737" s="11" t="str">
        <f t="shared" si="23"/>
        <v>240022</v>
      </c>
      <c r="C737" s="11" t="str">
        <f>_xlfn.CONCAT(+VLOOKUP(VALUE(MID(A737,13,2)),'Tabla de codigos'!$A$2:$B$60,2,1)," ",VLOOKUP(VALUE(MID(A737,15,4)),'Tabla de codigos'!$E$2:$F$102,2,1))</f>
        <v>OLLA CONVEXA 20</v>
      </c>
      <c r="D737" s="11" t="s">
        <v>469</v>
      </c>
      <c r="E737" s="11" t="s">
        <v>34</v>
      </c>
      <c r="F737" s="11" t="s">
        <v>470</v>
      </c>
      <c r="G737" s="11" t="s">
        <v>466</v>
      </c>
      <c r="H737" s="11">
        <v>96</v>
      </c>
      <c r="I737" s="11">
        <v>0</v>
      </c>
      <c r="J737" s="15">
        <f t="shared" si="24"/>
        <v>96</v>
      </c>
    </row>
    <row r="738" spans="1:11" x14ac:dyDescent="0.2">
      <c r="A738" s="11" t="s">
        <v>237</v>
      </c>
      <c r="B738" s="11" t="str">
        <f t="shared" si="23"/>
        <v>250025</v>
      </c>
      <c r="C738" s="11" t="str">
        <f>_xlfn.CONCAT(+VLOOKUP(VALUE(MID(A738,13,2)),'Tabla de codigos'!$A$2:$B$60,2,1)," ",VLOOKUP(VALUE(MID(A738,15,4)),'Tabla de codigos'!$E$2:$F$102,2,1))</f>
        <v>OLLA RECTA 24</v>
      </c>
      <c r="D738" s="11" t="s">
        <v>469</v>
      </c>
      <c r="E738" s="11" t="s">
        <v>34</v>
      </c>
      <c r="F738" s="11" t="s">
        <v>470</v>
      </c>
      <c r="G738" s="11" t="s">
        <v>466</v>
      </c>
      <c r="H738" s="11">
        <v>18</v>
      </c>
      <c r="I738" s="11">
        <v>0</v>
      </c>
      <c r="J738" s="15">
        <f t="shared" si="24"/>
        <v>18</v>
      </c>
    </row>
    <row r="739" spans="1:11" x14ac:dyDescent="0.2">
      <c r="A739" s="11" t="s">
        <v>130</v>
      </c>
      <c r="B739" s="11" t="str">
        <f t="shared" si="23"/>
        <v>330015</v>
      </c>
      <c r="C739" s="11" t="str">
        <f>_xlfn.CONCAT(+VLOOKUP(VALUE(MID(A739,13,2)),'Tabla de codigos'!$A$2:$B$60,2,1)," ",VLOOKUP(VALUE(MID(A739,15,4)),'Tabla de codigos'!$E$2:$F$102,2,1))</f>
        <v>POCILLO 14</v>
      </c>
      <c r="D739" s="11" t="s">
        <v>469</v>
      </c>
      <c r="E739" s="11" t="s">
        <v>34</v>
      </c>
      <c r="F739" s="11" t="s">
        <v>470</v>
      </c>
      <c r="G739" s="11" t="s">
        <v>466</v>
      </c>
      <c r="H739" s="11">
        <v>30</v>
      </c>
      <c r="I739" s="11">
        <v>0</v>
      </c>
      <c r="J739" s="15">
        <f t="shared" si="24"/>
        <v>30</v>
      </c>
    </row>
    <row r="740" spans="1:11" x14ac:dyDescent="0.2">
      <c r="A740" s="11" t="s">
        <v>262</v>
      </c>
      <c r="B740" s="11" t="str">
        <f t="shared" si="23"/>
        <v>360022</v>
      </c>
      <c r="C740" s="11" t="str">
        <f>_xlfn.CONCAT(+VLOOKUP(VALUE(MID(A740,13,2)),'Tabla de codigos'!$A$2:$B$60,2,1)," ",VLOOKUP(VALUE(MID(A740,15,4)),'Tabla de codigos'!$E$2:$F$102,2,1))</f>
        <v>SARTEN 20</v>
      </c>
      <c r="D740" s="11" t="s">
        <v>469</v>
      </c>
      <c r="E740" s="11" t="s">
        <v>34</v>
      </c>
      <c r="F740" s="11" t="s">
        <v>470</v>
      </c>
      <c r="G740" s="11" t="s">
        <v>466</v>
      </c>
      <c r="H740" s="11">
        <v>12</v>
      </c>
      <c r="I740" s="11">
        <v>0</v>
      </c>
      <c r="J740" s="15">
        <f t="shared" si="24"/>
        <v>12</v>
      </c>
    </row>
    <row r="741" spans="1:11" x14ac:dyDescent="0.2">
      <c r="A741" s="11" t="s">
        <v>227</v>
      </c>
      <c r="B741" s="11" t="str">
        <f t="shared" si="23"/>
        <v>360024</v>
      </c>
      <c r="C741" s="11" t="str">
        <f>_xlfn.CONCAT(+VLOOKUP(VALUE(MID(A741,13,2)),'Tabla de codigos'!$A$2:$B$60,2,1)," ",VLOOKUP(VALUE(MID(A741,15,4)),'Tabla de codigos'!$E$2:$F$102,2,1))</f>
        <v>SARTEN 22</v>
      </c>
      <c r="D741" s="11" t="s">
        <v>469</v>
      </c>
      <c r="E741" s="11" t="s">
        <v>34</v>
      </c>
      <c r="F741" s="11" t="s">
        <v>470</v>
      </c>
      <c r="G741" s="11" t="s">
        <v>466</v>
      </c>
      <c r="H741" s="11">
        <v>12</v>
      </c>
      <c r="I741" s="11">
        <v>0</v>
      </c>
      <c r="J741" s="15">
        <f t="shared" si="24"/>
        <v>12</v>
      </c>
    </row>
    <row r="742" spans="1:11" x14ac:dyDescent="0.2">
      <c r="A742" s="11" t="s">
        <v>356</v>
      </c>
      <c r="B742" s="11" t="str">
        <f t="shared" si="23"/>
        <v>480015</v>
      </c>
      <c r="C742" s="11" t="str">
        <f>_xlfn.CONCAT(+VLOOKUP(VALUE(MID(A742,13,2)),'Tabla de codigos'!$A$2:$B$60,2,1)," ",VLOOKUP(VALUE(MID(A742,15,4)),'Tabla de codigos'!$E$2:$F$102,2,1))</f>
        <v>VASO RECTO 14</v>
      </c>
      <c r="D742" s="11" t="s">
        <v>469</v>
      </c>
      <c r="E742" s="11" t="s">
        <v>34</v>
      </c>
      <c r="F742" s="11" t="s">
        <v>470</v>
      </c>
      <c r="G742" s="11" t="s">
        <v>466</v>
      </c>
      <c r="H742" s="11">
        <v>24</v>
      </c>
      <c r="I742" s="11">
        <v>24</v>
      </c>
      <c r="J742" s="15">
        <f t="shared" si="24"/>
        <v>0</v>
      </c>
    </row>
    <row r="743" spans="1:11" x14ac:dyDescent="0.2">
      <c r="A743" s="11" t="s">
        <v>399</v>
      </c>
      <c r="B743" s="11" t="str">
        <f t="shared" si="23"/>
        <v>480015</v>
      </c>
      <c r="C743" s="11" t="str">
        <f>_xlfn.CONCAT(+VLOOKUP(VALUE(MID(A743,13,2)),'Tabla de codigos'!$A$2:$B$60,2,1)," ",VLOOKUP(VALUE(MID(A743,15,4)),'Tabla de codigos'!$E$2:$F$102,2,1))</f>
        <v>VASO RECTO 14</v>
      </c>
      <c r="D743" s="11" t="s">
        <v>469</v>
      </c>
      <c r="E743" s="11" t="s">
        <v>34</v>
      </c>
      <c r="F743" s="11" t="s">
        <v>470</v>
      </c>
      <c r="G743" s="11" t="s">
        <v>466</v>
      </c>
      <c r="H743" s="11">
        <v>36</v>
      </c>
      <c r="I743" s="11">
        <v>36</v>
      </c>
      <c r="J743" s="15">
        <f t="shared" si="24"/>
        <v>0</v>
      </c>
    </row>
    <row r="744" spans="1:11" x14ac:dyDescent="0.2">
      <c r="A744" s="11" t="s">
        <v>336</v>
      </c>
      <c r="B744" s="11" t="str">
        <f t="shared" si="23"/>
        <v>250028</v>
      </c>
      <c r="C744" s="11" t="str">
        <f>_xlfn.CONCAT(+VLOOKUP(VALUE(MID(A744,13,2)),'Tabla de codigos'!$A$2:$B$60,2,1)," ",VLOOKUP(VALUE(MID(A744,15,4)),'Tabla de codigos'!$E$2:$F$102,2,1))</f>
        <v>OLLA RECTA 28</v>
      </c>
      <c r="D744" s="11" t="s">
        <v>469</v>
      </c>
      <c r="E744" s="11" t="s">
        <v>34</v>
      </c>
      <c r="F744" s="11" t="s">
        <v>470</v>
      </c>
      <c r="G744" s="11" t="s">
        <v>466</v>
      </c>
      <c r="H744" s="11">
        <v>2</v>
      </c>
      <c r="I744" s="11">
        <v>2</v>
      </c>
      <c r="J744" s="15">
        <f t="shared" si="24"/>
        <v>0</v>
      </c>
    </row>
    <row r="745" spans="1:11" x14ac:dyDescent="0.2">
      <c r="A745" s="11" t="s">
        <v>188</v>
      </c>
      <c r="B745" s="11" t="str">
        <f t="shared" si="23"/>
        <v>330015</v>
      </c>
      <c r="C745" s="11" t="str">
        <f>_xlfn.CONCAT(+VLOOKUP(VALUE(MID(A745,13,2)),'Tabla de codigos'!$A$2:$B$60,2,1)," ",VLOOKUP(VALUE(MID(A745,15,4)),'Tabla de codigos'!$E$2:$F$102,2,1))</f>
        <v>POCILLO 14</v>
      </c>
      <c r="D745" s="11" t="s">
        <v>469</v>
      </c>
      <c r="E745" s="11" t="s">
        <v>34</v>
      </c>
      <c r="F745" s="11" t="s">
        <v>470</v>
      </c>
      <c r="G745" s="11" t="s">
        <v>466</v>
      </c>
      <c r="H745" s="11">
        <v>72</v>
      </c>
      <c r="I745" s="11">
        <v>0</v>
      </c>
      <c r="J745" s="15">
        <f t="shared" si="24"/>
        <v>72</v>
      </c>
      <c r="K745" s="17">
        <f>(SUM(I732:I745))/(SUM(H732:H745))</f>
        <v>0.27232142857142855</v>
      </c>
    </row>
    <row r="746" spans="1:11" x14ac:dyDescent="0.2">
      <c r="A746" s="11" t="s">
        <v>38</v>
      </c>
      <c r="B746" s="11" t="str">
        <f t="shared" si="23"/>
        <v>060033</v>
      </c>
      <c r="C746" s="11" t="str">
        <f>_xlfn.CONCAT(+VLOOKUP(VALUE(MID(A746,13,2)),'Tabla de codigos'!$A$2:$B$60,2,1)," ",VLOOKUP(VALUE(MID(A746,15,4)),'Tabla de codigos'!$E$2:$F$102,2,1))</f>
        <v>BUDINERA   42</v>
      </c>
      <c r="D746" s="11" t="s">
        <v>471</v>
      </c>
      <c r="E746" s="11" t="s">
        <v>34</v>
      </c>
      <c r="F746" s="11" t="s">
        <v>472</v>
      </c>
      <c r="G746" s="11" t="s">
        <v>466</v>
      </c>
      <c r="H746" s="11">
        <v>20</v>
      </c>
      <c r="I746" s="11">
        <v>0</v>
      </c>
      <c r="J746" s="15">
        <f t="shared" si="24"/>
        <v>20</v>
      </c>
      <c r="K746" s="17">
        <f>(SUM(I746))/(SUM(H746))</f>
        <v>0</v>
      </c>
    </row>
    <row r="747" spans="1:11" x14ac:dyDescent="0.2">
      <c r="A747" s="11" t="s">
        <v>220</v>
      </c>
      <c r="B747" s="11" t="str">
        <f t="shared" si="23"/>
        <v>240017</v>
      </c>
      <c r="C747" s="11" t="str">
        <f>_xlfn.CONCAT(+VLOOKUP(VALUE(MID(A747,13,2)),'Tabla de codigos'!$A$2:$B$60,2,1)," ",VLOOKUP(VALUE(MID(A747,15,4)),'Tabla de codigos'!$E$2:$F$102,2,1))</f>
        <v>OLLA CONVEXA 16</v>
      </c>
      <c r="D747" s="11" t="s">
        <v>471</v>
      </c>
      <c r="E747" s="11" t="s">
        <v>34</v>
      </c>
      <c r="F747" s="11" t="s">
        <v>473</v>
      </c>
      <c r="G747" s="11" t="s">
        <v>466</v>
      </c>
      <c r="H747" s="11">
        <v>60</v>
      </c>
      <c r="I747" s="11">
        <v>0</v>
      </c>
      <c r="J747" s="15">
        <f t="shared" si="24"/>
        <v>60</v>
      </c>
    </row>
    <row r="748" spans="1:11" x14ac:dyDescent="0.2">
      <c r="A748" s="11" t="s">
        <v>150</v>
      </c>
      <c r="B748" s="11" t="str">
        <f t="shared" si="23"/>
        <v>240021</v>
      </c>
      <c r="C748" s="11" t="str">
        <f>_xlfn.CONCAT(+VLOOKUP(VALUE(MID(A748,13,2)),'Tabla de codigos'!$A$2:$B$60,2,1)," ",VLOOKUP(VALUE(MID(A748,15,4)),'Tabla de codigos'!$E$2:$F$102,2,1))</f>
        <v>OLLA CONVEXA 18</v>
      </c>
      <c r="D748" s="11" t="s">
        <v>471</v>
      </c>
      <c r="E748" s="11" t="s">
        <v>34</v>
      </c>
      <c r="F748" s="11" t="s">
        <v>473</v>
      </c>
      <c r="G748" s="11" t="s">
        <v>466</v>
      </c>
      <c r="H748" s="11">
        <v>60</v>
      </c>
      <c r="I748" s="11">
        <v>0</v>
      </c>
      <c r="J748" s="15">
        <f t="shared" si="24"/>
        <v>60</v>
      </c>
    </row>
    <row r="749" spans="1:11" x14ac:dyDescent="0.2">
      <c r="A749" s="11" t="s">
        <v>151</v>
      </c>
      <c r="B749" s="11" t="str">
        <f t="shared" si="23"/>
        <v>240022</v>
      </c>
      <c r="C749" s="11" t="str">
        <f>_xlfn.CONCAT(+VLOOKUP(VALUE(MID(A749,13,2)),'Tabla de codigos'!$A$2:$B$60,2,1)," ",VLOOKUP(VALUE(MID(A749,15,4)),'Tabla de codigos'!$E$2:$F$102,2,1))</f>
        <v>OLLA CONVEXA 20</v>
      </c>
      <c r="D749" s="11" t="s">
        <v>471</v>
      </c>
      <c r="E749" s="11" t="s">
        <v>34</v>
      </c>
      <c r="F749" s="11" t="s">
        <v>473</v>
      </c>
      <c r="G749" s="11" t="s">
        <v>466</v>
      </c>
      <c r="H749" s="11">
        <v>36</v>
      </c>
      <c r="I749" s="11">
        <v>0</v>
      </c>
      <c r="J749" s="15">
        <f t="shared" si="24"/>
        <v>36</v>
      </c>
      <c r="K749" s="17">
        <f>(SUM(I747:I749))/(SUM(H747:H749))</f>
        <v>0</v>
      </c>
    </row>
    <row r="750" spans="1:11" x14ac:dyDescent="0.2">
      <c r="A750" s="11" t="s">
        <v>257</v>
      </c>
      <c r="B750" s="11" t="str">
        <f t="shared" si="23"/>
        <v>250015</v>
      </c>
      <c r="C750" s="11" t="str">
        <f>_xlfn.CONCAT(+VLOOKUP(VALUE(MID(A750,13,2)),'Tabla de codigos'!$A$2:$B$60,2,1)," ",VLOOKUP(VALUE(MID(A750,15,4)),'Tabla de codigos'!$E$2:$F$102,2,1))</f>
        <v>OLLA RECTA 14</v>
      </c>
      <c r="D750" s="11" t="s">
        <v>471</v>
      </c>
      <c r="E750" s="11" t="s">
        <v>34</v>
      </c>
      <c r="F750" s="11" t="s">
        <v>474</v>
      </c>
      <c r="G750" s="11" t="s">
        <v>466</v>
      </c>
      <c r="H750" s="11">
        <v>90</v>
      </c>
      <c r="I750" s="11">
        <v>0</v>
      </c>
      <c r="J750" s="15">
        <f t="shared" si="24"/>
        <v>90</v>
      </c>
    </row>
    <row r="751" spans="1:11" x14ac:dyDescent="0.2">
      <c r="A751" s="11" t="s">
        <v>44</v>
      </c>
      <c r="B751" s="11" t="str">
        <f t="shared" si="23"/>
        <v>360025</v>
      </c>
      <c r="C751" s="11" t="str">
        <f>_xlfn.CONCAT(+VLOOKUP(VALUE(MID(A751,13,2)),'Tabla de codigos'!$A$2:$B$60,2,1)," ",VLOOKUP(VALUE(MID(A751,15,4)),'Tabla de codigos'!$E$2:$F$102,2,1))</f>
        <v>SARTEN 24</v>
      </c>
      <c r="D751" s="11" t="s">
        <v>471</v>
      </c>
      <c r="E751" s="11" t="s">
        <v>34</v>
      </c>
      <c r="F751" s="11" t="s">
        <v>474</v>
      </c>
      <c r="G751" s="11" t="s">
        <v>466</v>
      </c>
      <c r="H751" s="11">
        <v>60</v>
      </c>
      <c r="I751" s="11">
        <v>0</v>
      </c>
      <c r="J751" s="15">
        <f t="shared" si="24"/>
        <v>60</v>
      </c>
    </row>
    <row r="752" spans="1:11" x14ac:dyDescent="0.2">
      <c r="A752" s="11" t="s">
        <v>399</v>
      </c>
      <c r="B752" s="11" t="str">
        <f t="shared" si="23"/>
        <v>480015</v>
      </c>
      <c r="C752" s="11" t="str">
        <f>_xlfn.CONCAT(+VLOOKUP(VALUE(MID(A752,13,2)),'Tabla de codigos'!$A$2:$B$60,2,1)," ",VLOOKUP(VALUE(MID(A752,15,4)),'Tabla de codigos'!$E$2:$F$102,2,1))</f>
        <v>VASO RECTO 14</v>
      </c>
      <c r="D752" s="11" t="s">
        <v>471</v>
      </c>
      <c r="E752" s="11" t="s">
        <v>34</v>
      </c>
      <c r="F752" s="11" t="s">
        <v>474</v>
      </c>
      <c r="G752" s="11" t="s">
        <v>466</v>
      </c>
      <c r="H752" s="11">
        <v>120</v>
      </c>
      <c r="I752" s="11">
        <f>44+76</f>
        <v>120</v>
      </c>
      <c r="J752" s="15">
        <f t="shared" si="24"/>
        <v>0</v>
      </c>
    </row>
    <row r="753" spans="1:11" x14ac:dyDescent="0.2">
      <c r="A753" s="11" t="s">
        <v>188</v>
      </c>
      <c r="B753" s="11" t="str">
        <f t="shared" si="23"/>
        <v>330015</v>
      </c>
      <c r="C753" s="11" t="str">
        <f>_xlfn.CONCAT(+VLOOKUP(VALUE(MID(A753,13,2)),'Tabla de codigos'!$A$2:$B$60,2,1)," ",VLOOKUP(VALUE(MID(A753,15,4)),'Tabla de codigos'!$E$2:$F$102,2,1))</f>
        <v>POCILLO 14</v>
      </c>
      <c r="D753" s="11" t="s">
        <v>471</v>
      </c>
      <c r="E753" s="11" t="s">
        <v>34</v>
      </c>
      <c r="F753" s="11" t="s">
        <v>474</v>
      </c>
      <c r="G753" s="11" t="s">
        <v>466</v>
      </c>
      <c r="H753" s="11">
        <v>6</v>
      </c>
      <c r="I753" s="11">
        <v>0</v>
      </c>
      <c r="J753" s="15">
        <f t="shared" si="24"/>
        <v>6</v>
      </c>
      <c r="K753" s="17">
        <f>(SUM(I750:I753))/(SUM(H750:H753))</f>
        <v>0.43478260869565216</v>
      </c>
    </row>
    <row r="754" spans="1:11" x14ac:dyDescent="0.2">
      <c r="A754" s="11" t="s">
        <v>14</v>
      </c>
      <c r="B754" s="11" t="str">
        <f t="shared" si="23"/>
        <v>110013</v>
      </c>
      <c r="C754" s="11" t="str">
        <f>_xlfn.CONCAT(+VLOOKUP(VALUE(MID(A754,13,2)),'Tabla de codigos'!$A$2:$B$60,2,1)," ",VLOOKUP(VALUE(MID(A754,15,4)),'Tabla de codigos'!$E$2:$F$102,2,1))</f>
        <v>CUBETA 10</v>
      </c>
      <c r="D754" s="11" t="s">
        <v>475</v>
      </c>
      <c r="E754" s="11" t="s">
        <v>16</v>
      </c>
      <c r="F754" s="11" t="s">
        <v>476</v>
      </c>
      <c r="G754" s="11" t="s">
        <v>466</v>
      </c>
      <c r="H754" s="11">
        <v>36</v>
      </c>
      <c r="I754" s="11">
        <v>0</v>
      </c>
      <c r="J754" s="15">
        <f t="shared" si="24"/>
        <v>36</v>
      </c>
      <c r="K754" s="17">
        <f>(SUM(I754))/(SUM(H754))</f>
        <v>0</v>
      </c>
    </row>
    <row r="755" spans="1:11" x14ac:dyDescent="0.2">
      <c r="A755" s="11" t="s">
        <v>19</v>
      </c>
      <c r="B755" s="11" t="str">
        <f t="shared" si="23"/>
        <v>010025</v>
      </c>
      <c r="C755" s="11" t="str">
        <f>_xlfn.CONCAT(+VLOOKUP(VALUE(MID(A755,13,2)),'Tabla de codigos'!$A$2:$B$60,2,1)," ",VLOOKUP(VALUE(MID(A755,15,4)),'Tabla de codigos'!$E$2:$F$102,2,1))</f>
        <v>BACINICA 24</v>
      </c>
      <c r="D755" s="11" t="s">
        <v>477</v>
      </c>
      <c r="E755" s="11" t="s">
        <v>34</v>
      </c>
      <c r="F755" s="11" t="s">
        <v>478</v>
      </c>
      <c r="G755" s="11" t="s">
        <v>466</v>
      </c>
      <c r="H755" s="11">
        <v>96</v>
      </c>
      <c r="I755" s="11">
        <v>0</v>
      </c>
      <c r="J755" s="15">
        <f t="shared" si="24"/>
        <v>96</v>
      </c>
    </row>
    <row r="756" spans="1:11" x14ac:dyDescent="0.2">
      <c r="A756" s="11" t="s">
        <v>255</v>
      </c>
      <c r="B756" s="11" t="str">
        <f t="shared" si="23"/>
        <v>060014</v>
      </c>
      <c r="C756" s="11" t="str">
        <f>_xlfn.CONCAT(+VLOOKUP(VALUE(MID(A756,13,2)),'Tabla de codigos'!$A$2:$B$60,2,1)," ",VLOOKUP(VALUE(MID(A756,15,4)),'Tabla de codigos'!$E$2:$F$102,2,1))</f>
        <v>BUDINERA   12</v>
      </c>
      <c r="D756" s="11" t="s">
        <v>477</v>
      </c>
      <c r="E756" s="11" t="s">
        <v>34</v>
      </c>
      <c r="F756" s="11" t="s">
        <v>478</v>
      </c>
      <c r="G756" s="11" t="s">
        <v>466</v>
      </c>
      <c r="H756" s="11">
        <v>54</v>
      </c>
      <c r="I756" s="11">
        <v>0</v>
      </c>
      <c r="J756" s="15">
        <f t="shared" si="24"/>
        <v>54</v>
      </c>
    </row>
    <row r="757" spans="1:11" x14ac:dyDescent="0.2">
      <c r="A757" s="11" t="s">
        <v>256</v>
      </c>
      <c r="B757" s="11" t="str">
        <f t="shared" si="23"/>
        <v>060015</v>
      </c>
      <c r="C757" s="11" t="str">
        <f>_xlfn.CONCAT(+VLOOKUP(VALUE(MID(A757,13,2)),'Tabla de codigos'!$A$2:$B$60,2,1)," ",VLOOKUP(VALUE(MID(A757,15,4)),'Tabla de codigos'!$E$2:$F$102,2,1))</f>
        <v>BUDINERA   14</v>
      </c>
      <c r="D757" s="11" t="s">
        <v>477</v>
      </c>
      <c r="E757" s="11" t="s">
        <v>34</v>
      </c>
      <c r="F757" s="11" t="s">
        <v>478</v>
      </c>
      <c r="G757" s="11" t="s">
        <v>466</v>
      </c>
      <c r="H757" s="11">
        <v>72</v>
      </c>
      <c r="I757" s="11">
        <v>0</v>
      </c>
      <c r="J757" s="15">
        <f t="shared" si="24"/>
        <v>72</v>
      </c>
    </row>
    <row r="758" spans="1:11" x14ac:dyDescent="0.2">
      <c r="A758" s="11" t="s">
        <v>169</v>
      </c>
      <c r="B758" s="11" t="str">
        <f t="shared" si="23"/>
        <v>060029</v>
      </c>
      <c r="C758" s="11" t="str">
        <f>_xlfn.CONCAT(+VLOOKUP(VALUE(MID(A758,13,2)),'Tabla de codigos'!$A$2:$B$60,2,1)," ",VLOOKUP(VALUE(MID(A758,15,4)),'Tabla de codigos'!$E$2:$F$102,2,1))</f>
        <v>BUDINERA   30</v>
      </c>
      <c r="D758" s="11" t="s">
        <v>477</v>
      </c>
      <c r="E758" s="11" t="s">
        <v>34</v>
      </c>
      <c r="F758" s="11" t="s">
        <v>478</v>
      </c>
      <c r="G758" s="11" t="s">
        <v>466</v>
      </c>
      <c r="H758" s="11">
        <v>24</v>
      </c>
      <c r="I758" s="11">
        <v>24</v>
      </c>
      <c r="J758" s="15">
        <f t="shared" si="24"/>
        <v>0</v>
      </c>
    </row>
    <row r="759" spans="1:11" x14ac:dyDescent="0.2">
      <c r="A759" s="11" t="s">
        <v>38</v>
      </c>
      <c r="B759" s="11" t="str">
        <f t="shared" si="23"/>
        <v>060033</v>
      </c>
      <c r="C759" s="11" t="str">
        <f>_xlfn.CONCAT(+VLOOKUP(VALUE(MID(A759,13,2)),'Tabla de codigos'!$A$2:$B$60,2,1)," ",VLOOKUP(VALUE(MID(A759,15,4)),'Tabla de codigos'!$E$2:$F$102,2,1))</f>
        <v>BUDINERA   42</v>
      </c>
      <c r="D759" s="11" t="s">
        <v>477</v>
      </c>
      <c r="E759" s="11" t="s">
        <v>34</v>
      </c>
      <c r="F759" s="11" t="s">
        <v>478</v>
      </c>
      <c r="G759" s="11" t="s">
        <v>466</v>
      </c>
      <c r="H759" s="11">
        <v>10</v>
      </c>
      <c r="I759" s="11">
        <v>0</v>
      </c>
      <c r="J759" s="15">
        <f t="shared" si="24"/>
        <v>10</v>
      </c>
    </row>
    <row r="760" spans="1:11" x14ac:dyDescent="0.2">
      <c r="A760" s="11" t="s">
        <v>218</v>
      </c>
      <c r="B760" s="11" t="str">
        <f t="shared" si="23"/>
        <v>070015</v>
      </c>
      <c r="C760" s="11" t="str">
        <f>_xlfn.CONCAT(+VLOOKUP(VALUE(MID(A760,13,2)),'Tabla de codigos'!$A$2:$B$60,2,1)," ",VLOOKUP(VALUE(MID(A760,15,4)),'Tabla de codigos'!$E$2:$F$102,2,1))</f>
        <v>CAZO 14</v>
      </c>
      <c r="D760" s="11" t="s">
        <v>477</v>
      </c>
      <c r="E760" s="11" t="s">
        <v>34</v>
      </c>
      <c r="F760" s="11" t="s">
        <v>478</v>
      </c>
      <c r="G760" s="11" t="s">
        <v>466</v>
      </c>
      <c r="H760" s="11">
        <v>48</v>
      </c>
      <c r="I760" s="11">
        <v>48</v>
      </c>
      <c r="J760" s="15">
        <f t="shared" si="24"/>
        <v>0</v>
      </c>
    </row>
    <row r="761" spans="1:11" x14ac:dyDescent="0.2">
      <c r="A761" s="11" t="s">
        <v>220</v>
      </c>
      <c r="B761" s="11" t="str">
        <f t="shared" si="23"/>
        <v>240017</v>
      </c>
      <c r="C761" s="11" t="str">
        <f>_xlfn.CONCAT(+VLOOKUP(VALUE(MID(A761,13,2)),'Tabla de codigos'!$A$2:$B$60,2,1)," ",VLOOKUP(VALUE(MID(A761,15,4)),'Tabla de codigos'!$E$2:$F$102,2,1))</f>
        <v>OLLA CONVEXA 16</v>
      </c>
      <c r="D761" s="11" t="s">
        <v>477</v>
      </c>
      <c r="E761" s="11" t="s">
        <v>34</v>
      </c>
      <c r="F761" s="11" t="s">
        <v>478</v>
      </c>
      <c r="G761" s="11" t="s">
        <v>466</v>
      </c>
      <c r="H761" s="11">
        <v>48</v>
      </c>
      <c r="I761" s="11">
        <v>0</v>
      </c>
      <c r="J761" s="15">
        <f t="shared" si="24"/>
        <v>48</v>
      </c>
    </row>
    <row r="762" spans="1:11" x14ac:dyDescent="0.2">
      <c r="A762" s="11" t="s">
        <v>150</v>
      </c>
      <c r="B762" s="11" t="str">
        <f t="shared" si="23"/>
        <v>240021</v>
      </c>
      <c r="C762" s="11" t="str">
        <f>_xlfn.CONCAT(+VLOOKUP(VALUE(MID(A762,13,2)),'Tabla de codigos'!$A$2:$B$60,2,1)," ",VLOOKUP(VALUE(MID(A762,15,4)),'Tabla de codigos'!$E$2:$F$102,2,1))</f>
        <v>OLLA CONVEXA 18</v>
      </c>
      <c r="D762" s="11" t="s">
        <v>477</v>
      </c>
      <c r="E762" s="11" t="s">
        <v>34</v>
      </c>
      <c r="F762" s="11" t="s">
        <v>478</v>
      </c>
      <c r="G762" s="11" t="s">
        <v>466</v>
      </c>
      <c r="H762" s="11">
        <v>96</v>
      </c>
      <c r="I762" s="11">
        <v>0</v>
      </c>
      <c r="J762" s="15">
        <f t="shared" si="24"/>
        <v>96</v>
      </c>
    </row>
    <row r="763" spans="1:11" x14ac:dyDescent="0.2">
      <c r="A763" s="11" t="s">
        <v>151</v>
      </c>
      <c r="B763" s="11" t="str">
        <f t="shared" si="23"/>
        <v>240022</v>
      </c>
      <c r="C763" s="11" t="str">
        <f>_xlfn.CONCAT(+VLOOKUP(VALUE(MID(A763,13,2)),'Tabla de codigos'!$A$2:$B$60,2,1)," ",VLOOKUP(VALUE(MID(A763,15,4)),'Tabla de codigos'!$E$2:$F$102,2,1))</f>
        <v>OLLA CONVEXA 20</v>
      </c>
      <c r="D763" s="11" t="s">
        <v>477</v>
      </c>
      <c r="E763" s="11" t="s">
        <v>34</v>
      </c>
      <c r="F763" s="11" t="s">
        <v>478</v>
      </c>
      <c r="G763" s="11" t="s">
        <v>466</v>
      </c>
      <c r="H763" s="11">
        <v>48</v>
      </c>
      <c r="I763" s="11">
        <v>0</v>
      </c>
      <c r="J763" s="15">
        <f t="shared" si="24"/>
        <v>48</v>
      </c>
    </row>
    <row r="764" spans="1:11" x14ac:dyDescent="0.2">
      <c r="A764" s="11" t="s">
        <v>257</v>
      </c>
      <c r="B764" s="11" t="str">
        <f t="shared" si="23"/>
        <v>250015</v>
      </c>
      <c r="C764" s="11" t="str">
        <f>_xlfn.CONCAT(+VLOOKUP(VALUE(MID(A764,13,2)),'Tabla de codigos'!$A$2:$B$60,2,1)," ",VLOOKUP(VALUE(MID(A764,15,4)),'Tabla de codigos'!$E$2:$F$102,2,1))</f>
        <v>OLLA RECTA 14</v>
      </c>
      <c r="D764" s="11" t="s">
        <v>477</v>
      </c>
      <c r="E764" s="11" t="s">
        <v>34</v>
      </c>
      <c r="F764" s="11" t="s">
        <v>478</v>
      </c>
      <c r="G764" s="11" t="s">
        <v>466</v>
      </c>
      <c r="H764" s="11">
        <v>108</v>
      </c>
      <c r="I764" s="11">
        <v>0</v>
      </c>
      <c r="J764" s="15">
        <f t="shared" si="24"/>
        <v>108</v>
      </c>
    </row>
    <row r="765" spans="1:11" x14ac:dyDescent="0.2">
      <c r="A765" s="11" t="s">
        <v>237</v>
      </c>
      <c r="B765" s="11" t="str">
        <f t="shared" si="23"/>
        <v>250025</v>
      </c>
      <c r="C765" s="11" t="str">
        <f>_xlfn.CONCAT(+VLOOKUP(VALUE(MID(A765,13,2)),'Tabla de codigos'!$A$2:$B$60,2,1)," ",VLOOKUP(VALUE(MID(A765,15,4)),'Tabla de codigos'!$E$2:$F$102,2,1))</f>
        <v>OLLA RECTA 24</v>
      </c>
      <c r="D765" s="11" t="s">
        <v>477</v>
      </c>
      <c r="E765" s="11" t="s">
        <v>34</v>
      </c>
      <c r="F765" s="11" t="s">
        <v>478</v>
      </c>
      <c r="G765" s="11" t="s">
        <v>466</v>
      </c>
      <c r="H765" s="11">
        <v>18</v>
      </c>
      <c r="I765" s="11">
        <v>0</v>
      </c>
      <c r="J765" s="15">
        <f t="shared" si="24"/>
        <v>18</v>
      </c>
    </row>
    <row r="766" spans="1:11" x14ac:dyDescent="0.2">
      <c r="A766" s="11" t="s">
        <v>336</v>
      </c>
      <c r="B766" s="11" t="str">
        <f t="shared" si="23"/>
        <v>250028</v>
      </c>
      <c r="C766" s="11" t="str">
        <f>_xlfn.CONCAT(+VLOOKUP(VALUE(MID(A766,13,2)),'Tabla de codigos'!$A$2:$B$60,2,1)," ",VLOOKUP(VALUE(MID(A766,15,4)),'Tabla de codigos'!$E$2:$F$102,2,1))</f>
        <v>OLLA RECTA 28</v>
      </c>
      <c r="D766" s="11" t="s">
        <v>477</v>
      </c>
      <c r="E766" s="11" t="s">
        <v>34</v>
      </c>
      <c r="F766" s="11" t="s">
        <v>478</v>
      </c>
      <c r="G766" s="11" t="s">
        <v>466</v>
      </c>
      <c r="H766" s="11">
        <v>16</v>
      </c>
      <c r="I766" s="11">
        <v>0</v>
      </c>
      <c r="J766" s="15">
        <f t="shared" si="24"/>
        <v>16</v>
      </c>
    </row>
    <row r="767" spans="1:11" x14ac:dyDescent="0.2">
      <c r="A767" s="11" t="s">
        <v>182</v>
      </c>
      <c r="B767" s="11" t="str">
        <f t="shared" si="23"/>
        <v>330015</v>
      </c>
      <c r="C767" s="11" t="str">
        <f>_xlfn.CONCAT(+VLOOKUP(VALUE(MID(A767,13,2)),'Tabla de codigos'!$A$2:$B$60,2,1)," ",VLOOKUP(VALUE(MID(A767,15,4)),'Tabla de codigos'!$E$2:$F$102,2,1))</f>
        <v>POCILLO 14</v>
      </c>
      <c r="D767" s="11" t="s">
        <v>477</v>
      </c>
      <c r="E767" s="11" t="s">
        <v>34</v>
      </c>
      <c r="F767" s="11" t="s">
        <v>478</v>
      </c>
      <c r="G767" s="11" t="s">
        <v>466</v>
      </c>
      <c r="H767" s="11">
        <v>60</v>
      </c>
      <c r="I767" s="11">
        <v>60</v>
      </c>
      <c r="J767" s="15">
        <f t="shared" si="24"/>
        <v>0</v>
      </c>
    </row>
    <row r="768" spans="1:11" x14ac:dyDescent="0.2">
      <c r="A768" s="11" t="s">
        <v>125</v>
      </c>
      <c r="B768" s="11" t="str">
        <f t="shared" si="23"/>
        <v>330015</v>
      </c>
      <c r="C768" s="11" t="str">
        <f>_xlfn.CONCAT(+VLOOKUP(VALUE(MID(A768,13,2)),'Tabla de codigos'!$A$2:$B$60,2,1)," ",VLOOKUP(VALUE(MID(A768,15,4)),'Tabla de codigos'!$E$2:$F$102,2,1))</f>
        <v>POCILLO 14</v>
      </c>
      <c r="D768" s="11" t="s">
        <v>477</v>
      </c>
      <c r="E768" s="11" t="s">
        <v>34</v>
      </c>
      <c r="F768" s="11" t="s">
        <v>478</v>
      </c>
      <c r="G768" s="11" t="s">
        <v>466</v>
      </c>
      <c r="H768" s="11">
        <v>18</v>
      </c>
      <c r="I768" s="11">
        <v>18</v>
      </c>
      <c r="J768" s="15">
        <f t="shared" si="24"/>
        <v>0</v>
      </c>
    </row>
    <row r="769" spans="1:11" x14ac:dyDescent="0.2">
      <c r="A769" s="11" t="s">
        <v>129</v>
      </c>
      <c r="B769" s="11" t="str">
        <f t="shared" si="23"/>
        <v>330015</v>
      </c>
      <c r="C769" s="11" t="str">
        <f>_xlfn.CONCAT(+VLOOKUP(VALUE(MID(A769,13,2)),'Tabla de codigos'!$A$2:$B$60,2,1)," ",VLOOKUP(VALUE(MID(A769,15,4)),'Tabla de codigos'!$E$2:$F$102,2,1))</f>
        <v>POCILLO 14</v>
      </c>
      <c r="D769" s="11" t="s">
        <v>477</v>
      </c>
      <c r="E769" s="11" t="s">
        <v>34</v>
      </c>
      <c r="F769" s="11" t="s">
        <v>478</v>
      </c>
      <c r="G769" s="11" t="s">
        <v>466</v>
      </c>
      <c r="H769" s="11">
        <v>6</v>
      </c>
      <c r="I769" s="11">
        <v>0</v>
      </c>
      <c r="J769" s="16">
        <f t="shared" si="24"/>
        <v>6</v>
      </c>
    </row>
    <row r="770" spans="1:11" x14ac:dyDescent="0.2">
      <c r="A770" s="11" t="s">
        <v>130</v>
      </c>
      <c r="B770" s="11" t="str">
        <f t="shared" si="23"/>
        <v>330015</v>
      </c>
      <c r="C770" s="11" t="str">
        <f>_xlfn.CONCAT(+VLOOKUP(VALUE(MID(A770,13,2)),'Tabla de codigos'!$A$2:$B$60,2,1)," ",VLOOKUP(VALUE(MID(A770,15,4)),'Tabla de codigos'!$E$2:$F$102,2,1))</f>
        <v>POCILLO 14</v>
      </c>
      <c r="D770" s="11" t="s">
        <v>477</v>
      </c>
      <c r="E770" s="11" t="s">
        <v>34</v>
      </c>
      <c r="F770" s="11" t="s">
        <v>478</v>
      </c>
      <c r="G770" s="11" t="s">
        <v>466</v>
      </c>
      <c r="H770" s="11">
        <v>12</v>
      </c>
      <c r="I770" s="11">
        <v>0</v>
      </c>
      <c r="J770" s="15">
        <f t="shared" si="24"/>
        <v>12</v>
      </c>
    </row>
    <row r="771" spans="1:11" x14ac:dyDescent="0.2">
      <c r="A771" s="11" t="s">
        <v>44</v>
      </c>
      <c r="B771" s="11" t="str">
        <f t="shared" ref="B771:B834" si="25">+MID(A771,13,6)</f>
        <v>360025</v>
      </c>
      <c r="C771" s="11" t="str">
        <f>_xlfn.CONCAT(+VLOOKUP(VALUE(MID(A771,13,2)),'Tabla de codigos'!$A$2:$B$60,2,1)," ",VLOOKUP(VALUE(MID(A771,15,4)),'Tabla de codigos'!$E$2:$F$102,2,1))</f>
        <v>SARTEN 24</v>
      </c>
      <c r="D771" s="11" t="s">
        <v>477</v>
      </c>
      <c r="E771" s="11" t="s">
        <v>34</v>
      </c>
      <c r="F771" s="11" t="s">
        <v>478</v>
      </c>
      <c r="G771" s="11" t="s">
        <v>466</v>
      </c>
      <c r="H771" s="11">
        <v>48</v>
      </c>
      <c r="I771" s="11">
        <v>0</v>
      </c>
      <c r="J771" s="15">
        <f t="shared" si="24"/>
        <v>48</v>
      </c>
      <c r="K771" s="17">
        <f>(SUM(I755:I771))/(SUM(H755:H771))</f>
        <v>0.1918158567774936</v>
      </c>
    </row>
    <row r="772" spans="1:11" x14ac:dyDescent="0.2">
      <c r="A772" s="11" t="s">
        <v>19</v>
      </c>
      <c r="B772" s="11" t="str">
        <f t="shared" si="25"/>
        <v>010025</v>
      </c>
      <c r="C772" s="11" t="str">
        <f>_xlfn.CONCAT(+VLOOKUP(VALUE(MID(A772,13,2)),'Tabla de codigos'!$A$2:$B$60,2,1)," ",VLOOKUP(VALUE(MID(A772,15,4)),'Tabla de codigos'!$E$2:$F$102,2,1))</f>
        <v>BACINICA 24</v>
      </c>
      <c r="D772" s="11" t="s">
        <v>479</v>
      </c>
      <c r="E772" s="11" t="s">
        <v>34</v>
      </c>
      <c r="F772" s="11" t="s">
        <v>480</v>
      </c>
      <c r="G772" s="11" t="s">
        <v>481</v>
      </c>
      <c r="H772" s="11">
        <v>36</v>
      </c>
      <c r="I772" s="11">
        <v>0</v>
      </c>
      <c r="J772" s="15">
        <f t="shared" si="24"/>
        <v>36</v>
      </c>
    </row>
    <row r="773" spans="1:11" x14ac:dyDescent="0.2">
      <c r="A773" s="11" t="s">
        <v>169</v>
      </c>
      <c r="B773" s="11" t="str">
        <f t="shared" si="25"/>
        <v>060029</v>
      </c>
      <c r="C773" s="11" t="str">
        <f>_xlfn.CONCAT(+VLOOKUP(VALUE(MID(A773,13,2)),'Tabla de codigos'!$A$2:$B$60,2,1)," ",VLOOKUP(VALUE(MID(A773,15,4)),'Tabla de codigos'!$E$2:$F$102,2,1))</f>
        <v>BUDINERA   30</v>
      </c>
      <c r="D773" s="11" t="s">
        <v>479</v>
      </c>
      <c r="E773" s="11" t="s">
        <v>34</v>
      </c>
      <c r="F773" s="11" t="s">
        <v>480</v>
      </c>
      <c r="G773" s="11" t="s">
        <v>481</v>
      </c>
      <c r="H773" s="11">
        <v>12</v>
      </c>
      <c r="I773" s="11">
        <v>12</v>
      </c>
      <c r="J773" s="15">
        <f t="shared" si="24"/>
        <v>0</v>
      </c>
    </row>
    <row r="774" spans="1:11" x14ac:dyDescent="0.2">
      <c r="A774" s="11" t="s">
        <v>38</v>
      </c>
      <c r="B774" s="11" t="str">
        <f t="shared" si="25"/>
        <v>060033</v>
      </c>
      <c r="C774" s="11" t="str">
        <f>_xlfn.CONCAT(+VLOOKUP(VALUE(MID(A774,13,2)),'Tabla de codigos'!$A$2:$B$60,2,1)," ",VLOOKUP(VALUE(MID(A774,15,4)),'Tabla de codigos'!$E$2:$F$102,2,1))</f>
        <v>BUDINERA   42</v>
      </c>
      <c r="D774" s="11" t="s">
        <v>479</v>
      </c>
      <c r="E774" s="11" t="s">
        <v>34</v>
      </c>
      <c r="F774" s="11" t="s">
        <v>480</v>
      </c>
      <c r="G774" s="11" t="s">
        <v>481</v>
      </c>
      <c r="H774" s="11">
        <v>6</v>
      </c>
      <c r="I774" s="11">
        <v>0</v>
      </c>
      <c r="J774" s="15">
        <f t="shared" si="24"/>
        <v>6</v>
      </c>
    </row>
    <row r="775" spans="1:11" x14ac:dyDescent="0.2">
      <c r="A775" s="11" t="s">
        <v>220</v>
      </c>
      <c r="B775" s="11" t="str">
        <f t="shared" si="25"/>
        <v>240017</v>
      </c>
      <c r="C775" s="11" t="str">
        <f>_xlfn.CONCAT(+VLOOKUP(VALUE(MID(A775,13,2)),'Tabla de codigos'!$A$2:$B$60,2,1)," ",VLOOKUP(VALUE(MID(A775,15,4)),'Tabla de codigos'!$E$2:$F$102,2,1))</f>
        <v>OLLA CONVEXA 16</v>
      </c>
      <c r="D775" s="11" t="s">
        <v>479</v>
      </c>
      <c r="E775" s="11" t="s">
        <v>34</v>
      </c>
      <c r="F775" s="11" t="s">
        <v>480</v>
      </c>
      <c r="G775" s="11" t="s">
        <v>481</v>
      </c>
      <c r="H775" s="11">
        <v>24</v>
      </c>
      <c r="I775" s="11">
        <v>0</v>
      </c>
      <c r="J775" s="15">
        <f t="shared" ref="J775:J838" si="26">+H775-I775</f>
        <v>24</v>
      </c>
    </row>
    <row r="776" spans="1:11" x14ac:dyDescent="0.2">
      <c r="A776" s="11" t="s">
        <v>151</v>
      </c>
      <c r="B776" s="11" t="str">
        <f t="shared" si="25"/>
        <v>240022</v>
      </c>
      <c r="C776" s="11" t="str">
        <f>_xlfn.CONCAT(+VLOOKUP(VALUE(MID(A776,13,2)),'Tabla de codigos'!$A$2:$B$60,2,1)," ",VLOOKUP(VALUE(MID(A776,15,4)),'Tabla de codigos'!$E$2:$F$102,2,1))</f>
        <v>OLLA CONVEXA 20</v>
      </c>
      <c r="D776" s="11" t="s">
        <v>479</v>
      </c>
      <c r="E776" s="11" t="s">
        <v>34</v>
      </c>
      <c r="F776" s="11" t="s">
        <v>480</v>
      </c>
      <c r="G776" s="11" t="s">
        <v>481</v>
      </c>
      <c r="H776" s="11">
        <v>24</v>
      </c>
      <c r="I776" s="11">
        <v>0</v>
      </c>
      <c r="J776" s="15">
        <f t="shared" si="26"/>
        <v>24</v>
      </c>
    </row>
    <row r="777" spans="1:11" x14ac:dyDescent="0.2">
      <c r="A777" s="11" t="s">
        <v>222</v>
      </c>
      <c r="B777" s="11" t="str">
        <f t="shared" si="25"/>
        <v>250014</v>
      </c>
      <c r="C777" s="11" t="str">
        <f>_xlfn.CONCAT(+VLOOKUP(VALUE(MID(A777,13,2)),'Tabla de codigos'!$A$2:$B$60,2,1)," ",VLOOKUP(VALUE(MID(A777,15,4)),'Tabla de codigos'!$E$2:$F$102,2,1))</f>
        <v>OLLA RECTA 12</v>
      </c>
      <c r="D777" s="11" t="s">
        <v>479</v>
      </c>
      <c r="E777" s="11" t="s">
        <v>34</v>
      </c>
      <c r="F777" s="11" t="s">
        <v>480</v>
      </c>
      <c r="G777" s="11" t="s">
        <v>481</v>
      </c>
      <c r="H777" s="11">
        <v>36</v>
      </c>
      <c r="I777" s="11">
        <v>0</v>
      </c>
      <c r="J777" s="15">
        <f t="shared" si="26"/>
        <v>36</v>
      </c>
    </row>
    <row r="778" spans="1:11" x14ac:dyDescent="0.2">
      <c r="A778" s="11" t="s">
        <v>257</v>
      </c>
      <c r="B778" s="11" t="str">
        <f t="shared" si="25"/>
        <v>250015</v>
      </c>
      <c r="C778" s="11" t="str">
        <f>_xlfn.CONCAT(+VLOOKUP(VALUE(MID(A778,13,2)),'Tabla de codigos'!$A$2:$B$60,2,1)," ",VLOOKUP(VALUE(MID(A778,15,4)),'Tabla de codigos'!$E$2:$F$102,2,1))</f>
        <v>OLLA RECTA 14</v>
      </c>
      <c r="D778" s="11" t="s">
        <v>479</v>
      </c>
      <c r="E778" s="11" t="s">
        <v>34</v>
      </c>
      <c r="F778" s="11" t="s">
        <v>480</v>
      </c>
      <c r="G778" s="11" t="s">
        <v>481</v>
      </c>
      <c r="H778" s="11">
        <v>36</v>
      </c>
      <c r="I778" s="11">
        <v>0</v>
      </c>
      <c r="J778" s="15">
        <f t="shared" si="26"/>
        <v>36</v>
      </c>
    </row>
    <row r="779" spans="1:11" x14ac:dyDescent="0.2">
      <c r="A779" s="11" t="s">
        <v>336</v>
      </c>
      <c r="B779" s="11" t="str">
        <f t="shared" si="25"/>
        <v>250028</v>
      </c>
      <c r="C779" s="11" t="str">
        <f>_xlfn.CONCAT(+VLOOKUP(VALUE(MID(A779,13,2)),'Tabla de codigos'!$A$2:$B$60,2,1)," ",VLOOKUP(VALUE(MID(A779,15,4)),'Tabla de codigos'!$E$2:$F$102,2,1))</f>
        <v>OLLA RECTA 28</v>
      </c>
      <c r="D779" s="11" t="s">
        <v>479</v>
      </c>
      <c r="E779" s="11" t="s">
        <v>34</v>
      </c>
      <c r="F779" s="11" t="s">
        <v>480</v>
      </c>
      <c r="G779" s="11" t="s">
        <v>481</v>
      </c>
      <c r="H779" s="11">
        <v>4</v>
      </c>
      <c r="I779" s="11">
        <v>0</v>
      </c>
      <c r="J779" s="15">
        <f t="shared" si="26"/>
        <v>4</v>
      </c>
    </row>
    <row r="780" spans="1:11" x14ac:dyDescent="0.2">
      <c r="A780" s="11" t="s">
        <v>156</v>
      </c>
      <c r="B780" s="11" t="str">
        <f t="shared" si="25"/>
        <v>250031</v>
      </c>
      <c r="C780" s="11" t="str">
        <f>_xlfn.CONCAT(+VLOOKUP(VALUE(MID(A780,13,2)),'Tabla de codigos'!$A$2:$B$60,2,1)," ",VLOOKUP(VALUE(MID(A780,15,4)),'Tabla de codigos'!$E$2:$F$102,2,1))</f>
        <v>OLLA RECTA 34</v>
      </c>
      <c r="D780" s="11" t="s">
        <v>479</v>
      </c>
      <c r="E780" s="11" t="s">
        <v>34</v>
      </c>
      <c r="F780" s="11" t="s">
        <v>480</v>
      </c>
      <c r="G780" s="11" t="s">
        <v>481</v>
      </c>
      <c r="H780" s="11">
        <v>6</v>
      </c>
      <c r="I780" s="11">
        <v>0</v>
      </c>
      <c r="J780" s="15">
        <f t="shared" si="26"/>
        <v>6</v>
      </c>
    </row>
    <row r="781" spans="1:11" x14ac:dyDescent="0.2">
      <c r="A781" s="11" t="s">
        <v>182</v>
      </c>
      <c r="B781" s="11" t="str">
        <f t="shared" si="25"/>
        <v>330015</v>
      </c>
      <c r="C781" s="11" t="str">
        <f>_xlfn.CONCAT(+VLOOKUP(VALUE(MID(A781,13,2)),'Tabla de codigos'!$A$2:$B$60,2,1)," ",VLOOKUP(VALUE(MID(A781,15,4)),'Tabla de codigos'!$E$2:$F$102,2,1))</f>
        <v>POCILLO 14</v>
      </c>
      <c r="D781" s="11" t="s">
        <v>479</v>
      </c>
      <c r="E781" s="11" t="s">
        <v>34</v>
      </c>
      <c r="F781" s="11" t="s">
        <v>480</v>
      </c>
      <c r="G781" s="11" t="s">
        <v>481</v>
      </c>
      <c r="H781" s="11">
        <v>60</v>
      </c>
      <c r="I781" s="11">
        <v>60</v>
      </c>
      <c r="J781" s="15">
        <f t="shared" si="26"/>
        <v>0</v>
      </c>
    </row>
    <row r="782" spans="1:11" x14ac:dyDescent="0.2">
      <c r="A782" s="11" t="s">
        <v>125</v>
      </c>
      <c r="B782" s="11" t="str">
        <f t="shared" si="25"/>
        <v>330015</v>
      </c>
      <c r="C782" s="11" t="str">
        <f>_xlfn.CONCAT(+VLOOKUP(VALUE(MID(A782,13,2)),'Tabla de codigos'!$A$2:$B$60,2,1)," ",VLOOKUP(VALUE(MID(A782,15,4)),'Tabla de codigos'!$E$2:$F$102,2,1))</f>
        <v>POCILLO 14</v>
      </c>
      <c r="D782" s="11" t="s">
        <v>479</v>
      </c>
      <c r="E782" s="11" t="s">
        <v>34</v>
      </c>
      <c r="F782" s="11" t="s">
        <v>480</v>
      </c>
      <c r="G782" s="11" t="s">
        <v>481</v>
      </c>
      <c r="H782" s="11">
        <v>12</v>
      </c>
      <c r="I782" s="11">
        <f>7</f>
        <v>7</v>
      </c>
      <c r="J782" s="15">
        <f t="shared" si="26"/>
        <v>5</v>
      </c>
    </row>
    <row r="783" spans="1:11" x14ac:dyDescent="0.2">
      <c r="A783" s="11" t="s">
        <v>129</v>
      </c>
      <c r="B783" s="11" t="str">
        <f t="shared" si="25"/>
        <v>330015</v>
      </c>
      <c r="C783" s="11" t="str">
        <f>_xlfn.CONCAT(+VLOOKUP(VALUE(MID(A783,13,2)),'Tabla de codigos'!$A$2:$B$60,2,1)," ",VLOOKUP(VALUE(MID(A783,15,4)),'Tabla de codigos'!$E$2:$F$102,2,1))</f>
        <v>POCILLO 14</v>
      </c>
      <c r="D783" s="11" t="s">
        <v>479</v>
      </c>
      <c r="E783" s="11" t="s">
        <v>34</v>
      </c>
      <c r="F783" s="11" t="s">
        <v>480</v>
      </c>
      <c r="G783" s="11" t="s">
        <v>481</v>
      </c>
      <c r="H783" s="11">
        <v>12</v>
      </c>
      <c r="I783" s="11">
        <v>0</v>
      </c>
      <c r="J783" s="16">
        <f t="shared" si="26"/>
        <v>12</v>
      </c>
    </row>
    <row r="784" spans="1:11" x14ac:dyDescent="0.2">
      <c r="A784" s="11" t="s">
        <v>130</v>
      </c>
      <c r="B784" s="11" t="str">
        <f t="shared" si="25"/>
        <v>330015</v>
      </c>
      <c r="C784" s="11" t="str">
        <f>_xlfn.CONCAT(+VLOOKUP(VALUE(MID(A784,13,2)),'Tabla de codigos'!$A$2:$B$60,2,1)," ",VLOOKUP(VALUE(MID(A784,15,4)),'Tabla de codigos'!$E$2:$F$102,2,1))</f>
        <v>POCILLO 14</v>
      </c>
      <c r="D784" s="11" t="s">
        <v>479</v>
      </c>
      <c r="E784" s="11" t="s">
        <v>34</v>
      </c>
      <c r="F784" s="11" t="s">
        <v>480</v>
      </c>
      <c r="G784" s="11" t="s">
        <v>481</v>
      </c>
      <c r="H784" s="11">
        <v>12</v>
      </c>
      <c r="I784" s="11">
        <v>0</v>
      </c>
      <c r="J784" s="15">
        <f t="shared" si="26"/>
        <v>12</v>
      </c>
    </row>
    <row r="785" spans="1:11" x14ac:dyDescent="0.2">
      <c r="A785" s="11" t="s">
        <v>262</v>
      </c>
      <c r="B785" s="11" t="str">
        <f t="shared" si="25"/>
        <v>360022</v>
      </c>
      <c r="C785" s="11" t="str">
        <f>_xlfn.CONCAT(+VLOOKUP(VALUE(MID(A785,13,2)),'Tabla de codigos'!$A$2:$B$60,2,1)," ",VLOOKUP(VALUE(MID(A785,15,4)),'Tabla de codigos'!$E$2:$F$102,2,1))</f>
        <v>SARTEN 20</v>
      </c>
      <c r="D785" s="11" t="s">
        <v>479</v>
      </c>
      <c r="E785" s="11" t="s">
        <v>34</v>
      </c>
      <c r="F785" s="11" t="s">
        <v>480</v>
      </c>
      <c r="G785" s="11" t="s">
        <v>481</v>
      </c>
      <c r="H785" s="11">
        <v>24</v>
      </c>
      <c r="I785" s="11">
        <v>0</v>
      </c>
      <c r="J785" s="15">
        <f t="shared" si="26"/>
        <v>24</v>
      </c>
    </row>
    <row r="786" spans="1:11" x14ac:dyDescent="0.2">
      <c r="A786" s="11" t="s">
        <v>44</v>
      </c>
      <c r="B786" s="11" t="str">
        <f t="shared" si="25"/>
        <v>360025</v>
      </c>
      <c r="C786" s="11" t="str">
        <f>_xlfn.CONCAT(+VLOOKUP(VALUE(MID(A786,13,2)),'Tabla de codigos'!$A$2:$B$60,2,1)," ",VLOOKUP(VALUE(MID(A786,15,4)),'Tabla de codigos'!$E$2:$F$102,2,1))</f>
        <v>SARTEN 24</v>
      </c>
      <c r="D786" s="11" t="s">
        <v>479</v>
      </c>
      <c r="E786" s="11" t="s">
        <v>34</v>
      </c>
      <c r="F786" s="11" t="s">
        <v>480</v>
      </c>
      <c r="G786" s="11" t="s">
        <v>481</v>
      </c>
      <c r="H786" s="11">
        <v>24</v>
      </c>
      <c r="I786" s="11">
        <v>0</v>
      </c>
      <c r="J786" s="15">
        <f t="shared" si="26"/>
        <v>24</v>
      </c>
      <c r="K786" s="17">
        <f>(SUM(I772:I786))/(SUM(H772:H786))</f>
        <v>0.24085365853658536</v>
      </c>
    </row>
    <row r="787" spans="1:11" x14ac:dyDescent="0.2">
      <c r="A787" s="11" t="s">
        <v>214</v>
      </c>
      <c r="B787" s="11" t="str">
        <f t="shared" si="25"/>
        <v>060021</v>
      </c>
      <c r="C787" s="11" t="str">
        <f>_xlfn.CONCAT(+VLOOKUP(VALUE(MID(A787,13,2)),'Tabla de codigos'!$A$2:$B$60,2,1)," ",VLOOKUP(VALUE(MID(A787,15,4)),'Tabla de codigos'!$E$2:$F$102,2,1))</f>
        <v>BUDINERA   18</v>
      </c>
      <c r="D787" s="11" t="s">
        <v>482</v>
      </c>
      <c r="E787" s="11" t="s">
        <v>34</v>
      </c>
      <c r="F787" s="11" t="s">
        <v>483</v>
      </c>
      <c r="G787" s="11" t="s">
        <v>481</v>
      </c>
      <c r="H787" s="11">
        <v>18</v>
      </c>
      <c r="I787" s="11">
        <v>18</v>
      </c>
      <c r="J787" s="15">
        <f t="shared" si="26"/>
        <v>0</v>
      </c>
    </row>
    <row r="788" spans="1:11" x14ac:dyDescent="0.2">
      <c r="A788" s="11" t="s">
        <v>484</v>
      </c>
      <c r="B788" s="11" t="str">
        <f t="shared" si="25"/>
        <v>060022</v>
      </c>
      <c r="C788" s="11" t="str">
        <f>_xlfn.CONCAT(+VLOOKUP(VALUE(MID(A788,13,2)),'Tabla de codigos'!$A$2:$B$60,2,1)," ",VLOOKUP(VALUE(MID(A788,15,4)),'Tabla de codigos'!$E$2:$F$102,2,1))</f>
        <v>BUDINERA   20</v>
      </c>
      <c r="D788" s="11" t="s">
        <v>482</v>
      </c>
      <c r="E788" s="11" t="s">
        <v>34</v>
      </c>
      <c r="F788" s="11" t="s">
        <v>483</v>
      </c>
      <c r="G788" s="11" t="s">
        <v>481</v>
      </c>
      <c r="H788" s="11">
        <v>6</v>
      </c>
      <c r="I788" s="11">
        <v>0</v>
      </c>
      <c r="J788" s="15">
        <f t="shared" si="26"/>
        <v>6</v>
      </c>
    </row>
    <row r="789" spans="1:11" x14ac:dyDescent="0.2">
      <c r="A789" s="11" t="s">
        <v>329</v>
      </c>
      <c r="B789" s="11" t="str">
        <f t="shared" si="25"/>
        <v>060022</v>
      </c>
      <c r="C789" s="11" t="str">
        <f>_xlfn.CONCAT(+VLOOKUP(VALUE(MID(A789,13,2)),'Tabla de codigos'!$A$2:$B$60,2,1)," ",VLOOKUP(VALUE(MID(A789,15,4)),'Tabla de codigos'!$E$2:$F$102,2,1))</f>
        <v>BUDINERA   20</v>
      </c>
      <c r="D789" s="11" t="s">
        <v>482</v>
      </c>
      <c r="E789" s="11" t="s">
        <v>34</v>
      </c>
      <c r="F789" s="11" t="s">
        <v>483</v>
      </c>
      <c r="G789" s="11" t="s">
        <v>481</v>
      </c>
      <c r="H789" s="11">
        <v>6</v>
      </c>
      <c r="I789" s="11">
        <v>0</v>
      </c>
      <c r="J789" s="15">
        <f t="shared" si="26"/>
        <v>6</v>
      </c>
    </row>
    <row r="790" spans="1:11" x14ac:dyDescent="0.2">
      <c r="A790" s="11" t="s">
        <v>217</v>
      </c>
      <c r="B790" s="11" t="str">
        <f t="shared" si="25"/>
        <v>060025</v>
      </c>
      <c r="C790" s="11" t="str">
        <f>_xlfn.CONCAT(+VLOOKUP(VALUE(MID(A790,13,2)),'Tabla de codigos'!$A$2:$B$60,2,1)," ",VLOOKUP(VALUE(MID(A790,15,4)),'Tabla de codigos'!$E$2:$F$102,2,1))</f>
        <v>BUDINERA   24</v>
      </c>
      <c r="D790" s="11" t="s">
        <v>482</v>
      </c>
      <c r="E790" s="11" t="s">
        <v>34</v>
      </c>
      <c r="F790" s="11" t="s">
        <v>483</v>
      </c>
      <c r="G790" s="11" t="s">
        <v>481</v>
      </c>
      <c r="H790" s="11">
        <v>4</v>
      </c>
      <c r="I790" s="11">
        <v>0</v>
      </c>
      <c r="J790" s="15">
        <f t="shared" si="26"/>
        <v>4</v>
      </c>
    </row>
    <row r="791" spans="1:11" x14ac:dyDescent="0.2">
      <c r="A791" s="11" t="s">
        <v>485</v>
      </c>
      <c r="B791" s="11" t="str">
        <f t="shared" si="25"/>
        <v>060025</v>
      </c>
      <c r="C791" s="11" t="str">
        <f>_xlfn.CONCAT(+VLOOKUP(VALUE(MID(A791,13,2)),'Tabla de codigos'!$A$2:$B$60,2,1)," ",VLOOKUP(VALUE(MID(A791,15,4)),'Tabla de codigos'!$E$2:$F$102,2,1))</f>
        <v>BUDINERA   24</v>
      </c>
      <c r="D791" s="11" t="s">
        <v>482</v>
      </c>
      <c r="E791" s="11" t="s">
        <v>34</v>
      </c>
      <c r="F791" s="11" t="s">
        <v>483</v>
      </c>
      <c r="G791" s="11" t="s">
        <v>481</v>
      </c>
      <c r="H791" s="11">
        <v>4</v>
      </c>
      <c r="I791" s="11">
        <v>1</v>
      </c>
      <c r="J791" s="15">
        <f t="shared" si="26"/>
        <v>3</v>
      </c>
    </row>
    <row r="792" spans="1:11" x14ac:dyDescent="0.2">
      <c r="A792" s="11" t="s">
        <v>332</v>
      </c>
      <c r="B792" s="11" t="str">
        <f t="shared" si="25"/>
        <v>060025</v>
      </c>
      <c r="C792" s="11" t="str">
        <f>_xlfn.CONCAT(+VLOOKUP(VALUE(MID(A792,13,2)),'Tabla de codigos'!$A$2:$B$60,2,1)," ",VLOOKUP(VALUE(MID(A792,15,4)),'Tabla de codigos'!$E$2:$F$102,2,1))</f>
        <v>BUDINERA   24</v>
      </c>
      <c r="D792" s="11" t="s">
        <v>482</v>
      </c>
      <c r="E792" s="11" t="s">
        <v>34</v>
      </c>
      <c r="F792" s="11" t="s">
        <v>483</v>
      </c>
      <c r="G792" s="11" t="s">
        <v>481</v>
      </c>
      <c r="H792" s="11">
        <v>4</v>
      </c>
      <c r="I792" s="11">
        <v>0</v>
      </c>
      <c r="J792" s="15">
        <f t="shared" si="26"/>
        <v>4</v>
      </c>
    </row>
    <row r="793" spans="1:11" x14ac:dyDescent="0.2">
      <c r="A793" s="11" t="s">
        <v>169</v>
      </c>
      <c r="B793" s="11" t="str">
        <f t="shared" si="25"/>
        <v>060029</v>
      </c>
      <c r="C793" s="11" t="str">
        <f>_xlfn.CONCAT(+VLOOKUP(VALUE(MID(A793,13,2)),'Tabla de codigos'!$A$2:$B$60,2,1)," ",VLOOKUP(VALUE(MID(A793,15,4)),'Tabla de codigos'!$E$2:$F$102,2,1))</f>
        <v>BUDINERA   30</v>
      </c>
      <c r="D793" s="11" t="s">
        <v>482</v>
      </c>
      <c r="E793" s="11" t="s">
        <v>34</v>
      </c>
      <c r="F793" s="11" t="s">
        <v>483</v>
      </c>
      <c r="G793" s="11" t="s">
        <v>481</v>
      </c>
      <c r="H793" s="11">
        <v>20</v>
      </c>
      <c r="I793" s="11">
        <v>20</v>
      </c>
      <c r="J793" s="15">
        <f t="shared" si="26"/>
        <v>0</v>
      </c>
    </row>
    <row r="794" spans="1:11" x14ac:dyDescent="0.2">
      <c r="A794" s="11" t="s">
        <v>150</v>
      </c>
      <c r="B794" s="11" t="str">
        <f t="shared" si="25"/>
        <v>240021</v>
      </c>
      <c r="C794" s="11" t="str">
        <f>_xlfn.CONCAT(+VLOOKUP(VALUE(MID(A794,13,2)),'Tabla de codigos'!$A$2:$B$60,2,1)," ",VLOOKUP(VALUE(MID(A794,15,4)),'Tabla de codigos'!$E$2:$F$102,2,1))</f>
        <v>OLLA CONVEXA 18</v>
      </c>
      <c r="D794" s="11" t="s">
        <v>482</v>
      </c>
      <c r="E794" s="11" t="s">
        <v>34</v>
      </c>
      <c r="F794" s="11" t="s">
        <v>483</v>
      </c>
      <c r="G794" s="11" t="s">
        <v>481</v>
      </c>
      <c r="H794" s="11">
        <v>12</v>
      </c>
      <c r="I794" s="11">
        <v>0</v>
      </c>
      <c r="J794" s="15">
        <f t="shared" si="26"/>
        <v>12</v>
      </c>
    </row>
    <row r="795" spans="1:11" x14ac:dyDescent="0.2">
      <c r="A795" s="11" t="s">
        <v>43</v>
      </c>
      <c r="B795" s="11" t="str">
        <f t="shared" si="25"/>
        <v>240024</v>
      </c>
      <c r="C795" s="11" t="str">
        <f>_xlfn.CONCAT(+VLOOKUP(VALUE(MID(A795,13,2)),'Tabla de codigos'!$A$2:$B$60,2,1)," ",VLOOKUP(VALUE(MID(A795,15,4)),'Tabla de codigos'!$E$2:$F$102,2,1))</f>
        <v>OLLA CONVEXA 22</v>
      </c>
      <c r="D795" s="11" t="s">
        <v>482</v>
      </c>
      <c r="E795" s="11" t="s">
        <v>34</v>
      </c>
      <c r="F795" s="11" t="s">
        <v>483</v>
      </c>
      <c r="G795" s="11" t="s">
        <v>481</v>
      </c>
      <c r="H795" s="11">
        <v>12</v>
      </c>
      <c r="I795" s="11">
        <v>12</v>
      </c>
      <c r="J795" s="15">
        <f t="shared" si="26"/>
        <v>0</v>
      </c>
    </row>
    <row r="796" spans="1:11" x14ac:dyDescent="0.2">
      <c r="A796" s="11" t="s">
        <v>154</v>
      </c>
      <c r="B796" s="11" t="str">
        <f t="shared" si="25"/>
        <v>240029</v>
      </c>
      <c r="C796" s="11" t="str">
        <f>_xlfn.CONCAT(+VLOOKUP(VALUE(MID(A796,13,2)),'Tabla de codigos'!$A$2:$B$60,2,1)," ",VLOOKUP(VALUE(MID(A796,15,4)),'Tabla de codigos'!$E$2:$F$102,2,1))</f>
        <v>OLLA CONVEXA 30</v>
      </c>
      <c r="D796" s="11" t="s">
        <v>482</v>
      </c>
      <c r="E796" s="11" t="s">
        <v>34</v>
      </c>
      <c r="F796" s="11" t="s">
        <v>483</v>
      </c>
      <c r="G796" s="11" t="s">
        <v>481</v>
      </c>
      <c r="H796" s="11">
        <v>4</v>
      </c>
      <c r="I796" s="11">
        <v>4</v>
      </c>
      <c r="J796" s="15">
        <f t="shared" si="26"/>
        <v>0</v>
      </c>
    </row>
    <row r="797" spans="1:11" x14ac:dyDescent="0.2">
      <c r="A797" s="11" t="s">
        <v>237</v>
      </c>
      <c r="B797" s="11" t="str">
        <f t="shared" si="25"/>
        <v>250025</v>
      </c>
      <c r="C797" s="11" t="str">
        <f>_xlfn.CONCAT(+VLOOKUP(VALUE(MID(A797,13,2)),'Tabla de codigos'!$A$2:$B$60,2,1)," ",VLOOKUP(VALUE(MID(A797,15,4)),'Tabla de codigos'!$E$2:$F$102,2,1))</f>
        <v>OLLA RECTA 24</v>
      </c>
      <c r="D797" s="11" t="s">
        <v>482</v>
      </c>
      <c r="E797" s="11" t="s">
        <v>34</v>
      </c>
      <c r="F797" s="11" t="s">
        <v>483</v>
      </c>
      <c r="G797" s="11" t="s">
        <v>481</v>
      </c>
      <c r="H797" s="11">
        <v>12</v>
      </c>
      <c r="I797" s="11">
        <v>0</v>
      </c>
      <c r="J797" s="15">
        <f t="shared" si="26"/>
        <v>12</v>
      </c>
    </row>
    <row r="798" spans="1:11" x14ac:dyDescent="0.2">
      <c r="A798" s="11" t="s">
        <v>223</v>
      </c>
      <c r="B798" s="11" t="str">
        <f t="shared" si="25"/>
        <v>250025</v>
      </c>
      <c r="C798" s="11" t="str">
        <f>_xlfn.CONCAT(+VLOOKUP(VALUE(MID(A798,13,2)),'Tabla de codigos'!$A$2:$B$60,2,1)," ",VLOOKUP(VALUE(MID(A798,15,4)),'Tabla de codigos'!$E$2:$F$102,2,1))</f>
        <v>OLLA RECTA 24</v>
      </c>
      <c r="D798" s="11" t="s">
        <v>482</v>
      </c>
      <c r="E798" s="11" t="s">
        <v>34</v>
      </c>
      <c r="F798" s="11" t="s">
        <v>483</v>
      </c>
      <c r="G798" s="11" t="s">
        <v>481</v>
      </c>
      <c r="H798" s="11">
        <v>6</v>
      </c>
      <c r="I798" s="11">
        <v>0</v>
      </c>
      <c r="J798" s="15">
        <f t="shared" si="26"/>
        <v>6</v>
      </c>
    </row>
    <row r="799" spans="1:11" x14ac:dyDescent="0.2">
      <c r="A799" s="11" t="s">
        <v>381</v>
      </c>
      <c r="B799" s="11" t="str">
        <f t="shared" si="25"/>
        <v>250025</v>
      </c>
      <c r="C799" s="11" t="str">
        <f>_xlfn.CONCAT(+VLOOKUP(VALUE(MID(A799,13,2)),'Tabla de codigos'!$A$2:$B$60,2,1)," ",VLOOKUP(VALUE(MID(A799,15,4)),'Tabla de codigos'!$E$2:$F$102,2,1))</f>
        <v>OLLA RECTA 24</v>
      </c>
      <c r="D799" s="11" t="s">
        <v>482</v>
      </c>
      <c r="E799" s="11" t="s">
        <v>34</v>
      </c>
      <c r="F799" s="11" t="s">
        <v>483</v>
      </c>
      <c r="G799" s="11" t="s">
        <v>481</v>
      </c>
      <c r="H799" s="11">
        <v>2</v>
      </c>
      <c r="I799" s="11">
        <v>2</v>
      </c>
      <c r="J799" s="15">
        <f t="shared" si="26"/>
        <v>0</v>
      </c>
    </row>
    <row r="800" spans="1:11" x14ac:dyDescent="0.2">
      <c r="A800" s="11" t="s">
        <v>336</v>
      </c>
      <c r="B800" s="11" t="str">
        <f t="shared" si="25"/>
        <v>250028</v>
      </c>
      <c r="C800" s="11" t="str">
        <f>_xlfn.CONCAT(+VLOOKUP(VALUE(MID(A800,13,2)),'Tabla de codigos'!$A$2:$B$60,2,1)," ",VLOOKUP(VALUE(MID(A800,15,4)),'Tabla de codigos'!$E$2:$F$102,2,1))</f>
        <v>OLLA RECTA 28</v>
      </c>
      <c r="D800" s="11" t="s">
        <v>482</v>
      </c>
      <c r="E800" s="11" t="s">
        <v>34</v>
      </c>
      <c r="F800" s="11" t="s">
        <v>483</v>
      </c>
      <c r="G800" s="11" t="s">
        <v>481</v>
      </c>
      <c r="H800" s="11">
        <v>12</v>
      </c>
      <c r="I800" s="11">
        <v>0</v>
      </c>
      <c r="J800" s="15">
        <f t="shared" si="26"/>
        <v>12</v>
      </c>
    </row>
    <row r="801" spans="1:11" x14ac:dyDescent="0.2">
      <c r="A801" s="11" t="s">
        <v>182</v>
      </c>
      <c r="B801" s="11" t="str">
        <f t="shared" si="25"/>
        <v>330015</v>
      </c>
      <c r="C801" s="11" t="str">
        <f>_xlfn.CONCAT(+VLOOKUP(VALUE(MID(A801,13,2)),'Tabla de codigos'!$A$2:$B$60,2,1)," ",VLOOKUP(VALUE(MID(A801,15,4)),'Tabla de codigos'!$E$2:$F$102,2,1))</f>
        <v>POCILLO 14</v>
      </c>
      <c r="D801" s="11" t="s">
        <v>482</v>
      </c>
      <c r="E801" s="11" t="s">
        <v>34</v>
      </c>
      <c r="F801" s="11" t="s">
        <v>483</v>
      </c>
      <c r="G801" s="11" t="s">
        <v>481</v>
      </c>
      <c r="H801" s="11">
        <v>36</v>
      </c>
      <c r="I801" s="11">
        <f>28+8</f>
        <v>36</v>
      </c>
      <c r="J801" s="15">
        <f t="shared" si="26"/>
        <v>0</v>
      </c>
    </row>
    <row r="802" spans="1:11" x14ac:dyDescent="0.2">
      <c r="A802" s="11" t="s">
        <v>387</v>
      </c>
      <c r="B802" s="11" t="str">
        <f t="shared" si="25"/>
        <v>390022</v>
      </c>
      <c r="C802" s="11" t="str">
        <f>_xlfn.CONCAT(+VLOOKUP(VALUE(MID(A802,13,2)),'Tabla de codigos'!$A$2:$B$60,2,1)," ",VLOOKUP(VALUE(MID(A802,15,4)),'Tabla de codigos'!$E$2:$F$102,2,1))</f>
        <v>TAZON  20</v>
      </c>
      <c r="D802" s="11" t="s">
        <v>482</v>
      </c>
      <c r="E802" s="11" t="s">
        <v>34</v>
      </c>
      <c r="F802" s="11" t="s">
        <v>483</v>
      </c>
      <c r="G802" s="11" t="s">
        <v>481</v>
      </c>
      <c r="H802" s="11">
        <v>6</v>
      </c>
      <c r="I802" s="11">
        <v>0</v>
      </c>
      <c r="J802" s="15">
        <f t="shared" si="26"/>
        <v>6</v>
      </c>
    </row>
    <row r="803" spans="1:11" x14ac:dyDescent="0.2">
      <c r="A803" s="11" t="s">
        <v>388</v>
      </c>
      <c r="B803" s="11" t="str">
        <f t="shared" si="25"/>
        <v>390022</v>
      </c>
      <c r="C803" s="11" t="str">
        <f>_xlfn.CONCAT(+VLOOKUP(VALUE(MID(A803,13,2)),'Tabla de codigos'!$A$2:$B$60,2,1)," ",VLOOKUP(VALUE(MID(A803,15,4)),'Tabla de codigos'!$E$2:$F$102,2,1))</f>
        <v>TAZON  20</v>
      </c>
      <c r="D803" s="11" t="s">
        <v>482</v>
      </c>
      <c r="E803" s="11" t="s">
        <v>34</v>
      </c>
      <c r="F803" s="11" t="s">
        <v>483</v>
      </c>
      <c r="G803" s="11" t="s">
        <v>481</v>
      </c>
      <c r="H803" s="11">
        <v>6</v>
      </c>
      <c r="I803" s="11">
        <v>0</v>
      </c>
      <c r="J803" s="15">
        <f t="shared" si="26"/>
        <v>6</v>
      </c>
    </row>
    <row r="804" spans="1:11" x14ac:dyDescent="0.2">
      <c r="A804" s="11" t="s">
        <v>486</v>
      </c>
      <c r="B804" s="11" t="str">
        <f t="shared" si="25"/>
        <v>440026</v>
      </c>
      <c r="C804" s="11" t="str">
        <f>_xlfn.CONCAT(+VLOOKUP(VALUE(MID(A804,13,2)),'Tabla de codigos'!$A$2:$B$60,2,1)," ",VLOOKUP(VALUE(MID(A804,15,4)),'Tabla de codigos'!$E$2:$F$102,2,1))</f>
        <v>VAPORERA 26</v>
      </c>
      <c r="D804" s="11" t="s">
        <v>482</v>
      </c>
      <c r="E804" s="11" t="s">
        <v>34</v>
      </c>
      <c r="F804" s="11" t="s">
        <v>483</v>
      </c>
      <c r="G804" s="11" t="s">
        <v>481</v>
      </c>
      <c r="H804" s="11">
        <v>6</v>
      </c>
      <c r="I804" s="11">
        <v>0</v>
      </c>
      <c r="J804" s="15">
        <f t="shared" si="26"/>
        <v>6</v>
      </c>
    </row>
    <row r="805" spans="1:11" x14ac:dyDescent="0.2">
      <c r="A805" s="11" t="s">
        <v>487</v>
      </c>
      <c r="B805" s="11" t="str">
        <f t="shared" si="25"/>
        <v>440029</v>
      </c>
      <c r="C805" s="11" t="str">
        <f>_xlfn.CONCAT(+VLOOKUP(VALUE(MID(A805,13,2)),'Tabla de codigos'!$A$2:$B$60,2,1)," ",VLOOKUP(VALUE(MID(A805,15,4)),'Tabla de codigos'!$E$2:$F$102,2,1))</f>
        <v>VAPORERA 30</v>
      </c>
      <c r="D805" s="11" t="s">
        <v>482</v>
      </c>
      <c r="E805" s="11" t="s">
        <v>34</v>
      </c>
      <c r="F805" s="11" t="s">
        <v>483</v>
      </c>
      <c r="G805" s="11" t="s">
        <v>481</v>
      </c>
      <c r="H805" s="11">
        <v>6</v>
      </c>
      <c r="I805" s="11">
        <v>0</v>
      </c>
      <c r="J805" s="15">
        <f t="shared" si="26"/>
        <v>6</v>
      </c>
    </row>
    <row r="806" spans="1:11" x14ac:dyDescent="0.2">
      <c r="A806" s="11" t="s">
        <v>356</v>
      </c>
      <c r="B806" s="11" t="str">
        <f t="shared" si="25"/>
        <v>480015</v>
      </c>
      <c r="C806" s="11" t="str">
        <f>_xlfn.CONCAT(+VLOOKUP(VALUE(MID(A806,13,2)),'Tabla de codigos'!$A$2:$B$60,2,1)," ",VLOOKUP(VALUE(MID(A806,15,4)),'Tabla de codigos'!$E$2:$F$102,2,1))</f>
        <v>VASO RECTO 14</v>
      </c>
      <c r="D806" s="11" t="s">
        <v>482</v>
      </c>
      <c r="E806" s="11" t="s">
        <v>34</v>
      </c>
      <c r="F806" s="11" t="s">
        <v>483</v>
      </c>
      <c r="G806" s="11" t="s">
        <v>481</v>
      </c>
      <c r="H806" s="11">
        <v>24</v>
      </c>
      <c r="I806" s="11">
        <v>24</v>
      </c>
      <c r="J806" s="15">
        <f t="shared" si="26"/>
        <v>0</v>
      </c>
    </row>
    <row r="807" spans="1:11" x14ac:dyDescent="0.2">
      <c r="A807" s="11" t="s">
        <v>399</v>
      </c>
      <c r="B807" s="11" t="str">
        <f t="shared" si="25"/>
        <v>480015</v>
      </c>
      <c r="C807" s="11" t="str">
        <f>_xlfn.CONCAT(+VLOOKUP(VALUE(MID(A807,13,2)),'Tabla de codigos'!$A$2:$B$60,2,1)," ",VLOOKUP(VALUE(MID(A807,15,4)),'Tabla de codigos'!$E$2:$F$102,2,1))</f>
        <v>VASO RECTO 14</v>
      </c>
      <c r="D807" s="11" t="s">
        <v>482</v>
      </c>
      <c r="E807" s="11" t="s">
        <v>34</v>
      </c>
      <c r="F807" s="11" t="s">
        <v>483</v>
      </c>
      <c r="G807" s="11" t="s">
        <v>481</v>
      </c>
      <c r="H807" s="11">
        <v>24</v>
      </c>
      <c r="I807" s="11">
        <f>20+4</f>
        <v>24</v>
      </c>
      <c r="J807" s="15">
        <f t="shared" si="26"/>
        <v>0</v>
      </c>
    </row>
    <row r="808" spans="1:11" x14ac:dyDescent="0.2">
      <c r="A808" s="11" t="s">
        <v>188</v>
      </c>
      <c r="B808" s="11" t="str">
        <f t="shared" si="25"/>
        <v>330015</v>
      </c>
      <c r="C808" s="11" t="str">
        <f>_xlfn.CONCAT(+VLOOKUP(VALUE(MID(A808,13,2)),'Tabla de codigos'!$A$2:$B$60,2,1)," ",VLOOKUP(VALUE(MID(A808,15,4)),'Tabla de codigos'!$E$2:$F$102,2,1))</f>
        <v>POCILLO 14</v>
      </c>
      <c r="D808" s="11" t="s">
        <v>482</v>
      </c>
      <c r="E808" s="11" t="s">
        <v>34</v>
      </c>
      <c r="F808" s="11" t="s">
        <v>483</v>
      </c>
      <c r="G808" s="11" t="s">
        <v>481</v>
      </c>
      <c r="H808" s="11">
        <v>36</v>
      </c>
      <c r="I808" s="11">
        <v>0</v>
      </c>
      <c r="J808" s="15">
        <f t="shared" si="26"/>
        <v>36</v>
      </c>
      <c r="K808" s="17">
        <f>(SUM(I787:I808))/(SUM(H787:H808))</f>
        <v>0.53007518796992481</v>
      </c>
    </row>
    <row r="809" spans="1:11" x14ac:dyDescent="0.2">
      <c r="A809" s="11" t="s">
        <v>484</v>
      </c>
      <c r="B809" s="11" t="str">
        <f t="shared" si="25"/>
        <v>060022</v>
      </c>
      <c r="C809" s="11" t="str">
        <f>_xlfn.CONCAT(+VLOOKUP(VALUE(MID(A809,13,2)),'Tabla de codigos'!$A$2:$B$60,2,1)," ",VLOOKUP(VALUE(MID(A809,15,4)),'Tabla de codigos'!$E$2:$F$102,2,1))</f>
        <v>BUDINERA   20</v>
      </c>
      <c r="D809" s="11" t="s">
        <v>482</v>
      </c>
      <c r="E809" s="11" t="s">
        <v>34</v>
      </c>
      <c r="F809" s="11" t="s">
        <v>488</v>
      </c>
      <c r="G809" s="11" t="s">
        <v>481</v>
      </c>
      <c r="H809" s="11">
        <v>6</v>
      </c>
      <c r="I809" s="11">
        <v>0</v>
      </c>
      <c r="J809" s="15">
        <f t="shared" si="26"/>
        <v>6</v>
      </c>
    </row>
    <row r="810" spans="1:11" x14ac:dyDescent="0.2">
      <c r="A810" s="11" t="s">
        <v>332</v>
      </c>
      <c r="B810" s="11" t="str">
        <f t="shared" si="25"/>
        <v>060025</v>
      </c>
      <c r="C810" s="11" t="str">
        <f>_xlfn.CONCAT(+VLOOKUP(VALUE(MID(A810,13,2)),'Tabla de codigos'!$A$2:$B$60,2,1)," ",VLOOKUP(VALUE(MID(A810,15,4)),'Tabla de codigos'!$E$2:$F$102,2,1))</f>
        <v>BUDINERA   24</v>
      </c>
      <c r="D810" s="11" t="s">
        <v>482</v>
      </c>
      <c r="E810" s="11" t="s">
        <v>34</v>
      </c>
      <c r="F810" s="11" t="s">
        <v>488</v>
      </c>
      <c r="G810" s="11" t="s">
        <v>481</v>
      </c>
      <c r="H810" s="11">
        <v>8</v>
      </c>
      <c r="I810" s="11">
        <v>0</v>
      </c>
      <c r="J810" s="15">
        <f t="shared" si="26"/>
        <v>8</v>
      </c>
    </row>
    <row r="811" spans="1:11" x14ac:dyDescent="0.2">
      <c r="A811" s="11" t="s">
        <v>169</v>
      </c>
      <c r="B811" s="11" t="str">
        <f t="shared" si="25"/>
        <v>060029</v>
      </c>
      <c r="C811" s="11" t="str">
        <f>_xlfn.CONCAT(+VLOOKUP(VALUE(MID(A811,13,2)),'Tabla de codigos'!$A$2:$B$60,2,1)," ",VLOOKUP(VALUE(MID(A811,15,4)),'Tabla de codigos'!$E$2:$F$102,2,1))</f>
        <v>BUDINERA   30</v>
      </c>
      <c r="D811" s="11" t="s">
        <v>482</v>
      </c>
      <c r="E811" s="11" t="s">
        <v>34</v>
      </c>
      <c r="F811" s="11" t="s">
        <v>488</v>
      </c>
      <c r="G811" s="11" t="s">
        <v>481</v>
      </c>
      <c r="H811" s="11">
        <v>20</v>
      </c>
      <c r="I811" s="11">
        <v>20</v>
      </c>
      <c r="J811" s="15">
        <f t="shared" si="26"/>
        <v>0</v>
      </c>
    </row>
    <row r="812" spans="1:11" x14ac:dyDescent="0.2">
      <c r="A812" s="11" t="s">
        <v>237</v>
      </c>
      <c r="B812" s="11" t="str">
        <f t="shared" si="25"/>
        <v>250025</v>
      </c>
      <c r="C812" s="11" t="str">
        <f>_xlfn.CONCAT(+VLOOKUP(VALUE(MID(A812,13,2)),'Tabla de codigos'!$A$2:$B$60,2,1)," ",VLOOKUP(VALUE(MID(A812,15,4)),'Tabla de codigos'!$E$2:$F$102,2,1))</f>
        <v>OLLA RECTA 24</v>
      </c>
      <c r="D812" s="11" t="s">
        <v>482</v>
      </c>
      <c r="E812" s="11" t="s">
        <v>34</v>
      </c>
      <c r="F812" s="11" t="s">
        <v>488</v>
      </c>
      <c r="G812" s="11" t="s">
        <v>481</v>
      </c>
      <c r="H812" s="11">
        <v>6</v>
      </c>
      <c r="I812" s="11">
        <v>0</v>
      </c>
      <c r="J812" s="15">
        <f t="shared" si="26"/>
        <v>6</v>
      </c>
    </row>
    <row r="813" spans="1:11" x14ac:dyDescent="0.2">
      <c r="A813" s="11" t="s">
        <v>336</v>
      </c>
      <c r="B813" s="11" t="str">
        <f t="shared" si="25"/>
        <v>250028</v>
      </c>
      <c r="C813" s="11" t="str">
        <f>_xlfn.CONCAT(+VLOOKUP(VALUE(MID(A813,13,2)),'Tabla de codigos'!$A$2:$B$60,2,1)," ",VLOOKUP(VALUE(MID(A813,15,4)),'Tabla de codigos'!$E$2:$F$102,2,1))</f>
        <v>OLLA RECTA 28</v>
      </c>
      <c r="D813" s="11" t="s">
        <v>482</v>
      </c>
      <c r="E813" s="11" t="s">
        <v>34</v>
      </c>
      <c r="F813" s="11" t="s">
        <v>488</v>
      </c>
      <c r="G813" s="11" t="s">
        <v>481</v>
      </c>
      <c r="H813" s="11">
        <v>4</v>
      </c>
      <c r="I813" s="11">
        <v>0</v>
      </c>
      <c r="J813" s="15">
        <f t="shared" si="26"/>
        <v>4</v>
      </c>
    </row>
    <row r="814" spans="1:11" x14ac:dyDescent="0.2">
      <c r="A814" s="11" t="s">
        <v>66</v>
      </c>
      <c r="B814" s="11" t="str">
        <f t="shared" si="25"/>
        <v>260022</v>
      </c>
      <c r="C814" s="11" t="str">
        <f>_xlfn.CONCAT(+VLOOKUP(VALUE(MID(A814,13,2)),'Tabla de codigos'!$A$2:$B$60,2,1)," ",VLOOKUP(VALUE(MID(A814,15,4)),'Tabla de codigos'!$E$2:$F$102,2,1))</f>
        <v>PLATO AVENERO 20</v>
      </c>
      <c r="D814" s="11" t="s">
        <v>482</v>
      </c>
      <c r="E814" s="11" t="s">
        <v>34</v>
      </c>
      <c r="F814" s="11" t="s">
        <v>488</v>
      </c>
      <c r="G814" s="11" t="s">
        <v>481</v>
      </c>
      <c r="H814" s="11">
        <v>12</v>
      </c>
      <c r="I814" s="11">
        <v>0</v>
      </c>
      <c r="J814" s="15">
        <f t="shared" si="26"/>
        <v>12</v>
      </c>
    </row>
    <row r="815" spans="1:11" x14ac:dyDescent="0.2">
      <c r="A815" s="11" t="s">
        <v>182</v>
      </c>
      <c r="B815" s="11" t="str">
        <f t="shared" si="25"/>
        <v>330015</v>
      </c>
      <c r="C815" s="11" t="str">
        <f>_xlfn.CONCAT(+VLOOKUP(VALUE(MID(A815,13,2)),'Tabla de codigos'!$A$2:$B$60,2,1)," ",VLOOKUP(VALUE(MID(A815,15,4)),'Tabla de codigos'!$E$2:$F$102,2,1))</f>
        <v>POCILLO 14</v>
      </c>
      <c r="D815" s="11" t="s">
        <v>482</v>
      </c>
      <c r="E815" s="11" t="s">
        <v>34</v>
      </c>
      <c r="F815" s="11" t="s">
        <v>488</v>
      </c>
      <c r="G815" s="11" t="s">
        <v>481</v>
      </c>
      <c r="H815" s="11">
        <v>12</v>
      </c>
      <c r="I815" s="11">
        <v>12</v>
      </c>
      <c r="J815" s="15">
        <f t="shared" si="26"/>
        <v>0</v>
      </c>
    </row>
    <row r="816" spans="1:11" x14ac:dyDescent="0.2">
      <c r="A816" s="11" t="s">
        <v>486</v>
      </c>
      <c r="B816" s="11" t="str">
        <f t="shared" si="25"/>
        <v>440026</v>
      </c>
      <c r="C816" s="11" t="str">
        <f>_xlfn.CONCAT(+VLOOKUP(VALUE(MID(A816,13,2)),'Tabla de codigos'!$A$2:$B$60,2,1)," ",VLOOKUP(VALUE(MID(A816,15,4)),'Tabla de codigos'!$E$2:$F$102,2,1))</f>
        <v>VAPORERA 26</v>
      </c>
      <c r="D816" s="11" t="s">
        <v>482</v>
      </c>
      <c r="E816" s="11" t="s">
        <v>34</v>
      </c>
      <c r="F816" s="11" t="s">
        <v>488</v>
      </c>
      <c r="G816" s="11" t="s">
        <v>481</v>
      </c>
      <c r="H816" s="11">
        <v>6</v>
      </c>
      <c r="I816" s="11">
        <v>0</v>
      </c>
      <c r="J816" s="15">
        <f t="shared" si="26"/>
        <v>6</v>
      </c>
    </row>
    <row r="817" spans="1:11" x14ac:dyDescent="0.2">
      <c r="A817" s="11" t="s">
        <v>356</v>
      </c>
      <c r="B817" s="11" t="str">
        <f t="shared" si="25"/>
        <v>480015</v>
      </c>
      <c r="C817" s="11" t="str">
        <f>_xlfn.CONCAT(+VLOOKUP(VALUE(MID(A817,13,2)),'Tabla de codigos'!$A$2:$B$60,2,1)," ",VLOOKUP(VALUE(MID(A817,15,4)),'Tabla de codigos'!$E$2:$F$102,2,1))</f>
        <v>VASO RECTO 14</v>
      </c>
      <c r="D817" s="11" t="s">
        <v>482</v>
      </c>
      <c r="E817" s="11" t="s">
        <v>34</v>
      </c>
      <c r="F817" s="11" t="s">
        <v>488</v>
      </c>
      <c r="G817" s="11" t="s">
        <v>481</v>
      </c>
      <c r="H817" s="11">
        <v>24</v>
      </c>
      <c r="I817" s="11">
        <v>24</v>
      </c>
      <c r="J817" s="15">
        <f t="shared" si="26"/>
        <v>0</v>
      </c>
    </row>
    <row r="818" spans="1:11" x14ac:dyDescent="0.2">
      <c r="A818" s="11" t="s">
        <v>188</v>
      </c>
      <c r="B818" s="11" t="str">
        <f t="shared" si="25"/>
        <v>330015</v>
      </c>
      <c r="C818" s="11" t="str">
        <f>_xlfn.CONCAT(+VLOOKUP(VALUE(MID(A818,13,2)),'Tabla de codigos'!$A$2:$B$60,2,1)," ",VLOOKUP(VALUE(MID(A818,15,4)),'Tabla de codigos'!$E$2:$F$102,2,1))</f>
        <v>POCILLO 14</v>
      </c>
      <c r="D818" s="11" t="s">
        <v>482</v>
      </c>
      <c r="E818" s="11" t="s">
        <v>34</v>
      </c>
      <c r="F818" s="11" t="s">
        <v>488</v>
      </c>
      <c r="G818" s="11" t="s">
        <v>481</v>
      </c>
      <c r="H818" s="11">
        <v>24</v>
      </c>
      <c r="I818" s="11">
        <v>0</v>
      </c>
      <c r="J818" s="15">
        <f t="shared" si="26"/>
        <v>24</v>
      </c>
      <c r="K818" s="17">
        <f>(SUM(I809:I818))/(SUM(H809:H818))</f>
        <v>0.45901639344262296</v>
      </c>
    </row>
    <row r="819" spans="1:11" x14ac:dyDescent="0.2">
      <c r="A819" s="11" t="s">
        <v>214</v>
      </c>
      <c r="B819" s="11" t="str">
        <f t="shared" si="25"/>
        <v>060021</v>
      </c>
      <c r="C819" s="11" t="str">
        <f>_xlfn.CONCAT(+VLOOKUP(VALUE(MID(A819,13,2)),'Tabla de codigos'!$A$2:$B$60,2,1)," ",VLOOKUP(VALUE(MID(A819,15,4)),'Tabla de codigos'!$E$2:$F$102,2,1))</f>
        <v>BUDINERA   18</v>
      </c>
      <c r="D819" s="11" t="s">
        <v>489</v>
      </c>
      <c r="E819" s="11" t="s">
        <v>34</v>
      </c>
      <c r="F819" s="11" t="s">
        <v>490</v>
      </c>
      <c r="G819" s="11" t="s">
        <v>481</v>
      </c>
      <c r="H819" s="11">
        <v>18</v>
      </c>
      <c r="I819" s="11">
        <v>18</v>
      </c>
      <c r="J819" s="15">
        <f t="shared" si="26"/>
        <v>0</v>
      </c>
    </row>
    <row r="820" spans="1:11" x14ac:dyDescent="0.2">
      <c r="A820" s="11" t="s">
        <v>218</v>
      </c>
      <c r="B820" s="11" t="str">
        <f t="shared" si="25"/>
        <v>070015</v>
      </c>
      <c r="C820" s="11" t="str">
        <f>_xlfn.CONCAT(+VLOOKUP(VALUE(MID(A820,13,2)),'Tabla de codigos'!$A$2:$B$60,2,1)," ",VLOOKUP(VALUE(MID(A820,15,4)),'Tabla de codigos'!$E$2:$F$102,2,1))</f>
        <v>CAZO 14</v>
      </c>
      <c r="D820" s="11" t="s">
        <v>489</v>
      </c>
      <c r="E820" s="11" t="s">
        <v>34</v>
      </c>
      <c r="F820" s="11" t="s">
        <v>490</v>
      </c>
      <c r="G820" s="11" t="s">
        <v>481</v>
      </c>
      <c r="H820" s="11">
        <v>60</v>
      </c>
      <c r="I820" s="11">
        <f>19+41</f>
        <v>60</v>
      </c>
      <c r="J820" s="15">
        <f t="shared" si="26"/>
        <v>0</v>
      </c>
    </row>
    <row r="821" spans="1:11" x14ac:dyDescent="0.2">
      <c r="A821" s="11" t="s">
        <v>220</v>
      </c>
      <c r="B821" s="11" t="str">
        <f t="shared" si="25"/>
        <v>240017</v>
      </c>
      <c r="C821" s="11" t="str">
        <f>_xlfn.CONCAT(+VLOOKUP(VALUE(MID(A821,13,2)),'Tabla de codigos'!$A$2:$B$60,2,1)," ",VLOOKUP(VALUE(MID(A821,15,4)),'Tabla de codigos'!$E$2:$F$102,2,1))</f>
        <v>OLLA CONVEXA 16</v>
      </c>
      <c r="D821" s="11" t="s">
        <v>489</v>
      </c>
      <c r="E821" s="11" t="s">
        <v>34</v>
      </c>
      <c r="F821" s="11" t="s">
        <v>490</v>
      </c>
      <c r="G821" s="11" t="s">
        <v>481</v>
      </c>
      <c r="H821" s="11">
        <v>12</v>
      </c>
      <c r="I821" s="11">
        <v>0</v>
      </c>
      <c r="J821" s="15">
        <f t="shared" si="26"/>
        <v>12</v>
      </c>
    </row>
    <row r="822" spans="1:11" x14ac:dyDescent="0.2">
      <c r="A822" s="11" t="s">
        <v>150</v>
      </c>
      <c r="B822" s="11" t="str">
        <f t="shared" si="25"/>
        <v>240021</v>
      </c>
      <c r="C822" s="11" t="str">
        <f>_xlfn.CONCAT(+VLOOKUP(VALUE(MID(A822,13,2)),'Tabla de codigos'!$A$2:$B$60,2,1)," ",VLOOKUP(VALUE(MID(A822,15,4)),'Tabla de codigos'!$E$2:$F$102,2,1))</f>
        <v>OLLA CONVEXA 18</v>
      </c>
      <c r="D822" s="11" t="s">
        <v>489</v>
      </c>
      <c r="E822" s="11" t="s">
        <v>34</v>
      </c>
      <c r="F822" s="11" t="s">
        <v>490</v>
      </c>
      <c r="G822" s="11" t="s">
        <v>481</v>
      </c>
      <c r="H822" s="11">
        <v>48</v>
      </c>
      <c r="I822" s="11">
        <v>0</v>
      </c>
      <c r="J822" s="15">
        <f t="shared" si="26"/>
        <v>48</v>
      </c>
    </row>
    <row r="823" spans="1:11" x14ac:dyDescent="0.2">
      <c r="A823" s="11" t="s">
        <v>151</v>
      </c>
      <c r="B823" s="11" t="str">
        <f t="shared" si="25"/>
        <v>240022</v>
      </c>
      <c r="C823" s="11" t="str">
        <f>_xlfn.CONCAT(+VLOOKUP(VALUE(MID(A823,13,2)),'Tabla de codigos'!$A$2:$B$60,2,1)," ",VLOOKUP(VALUE(MID(A823,15,4)),'Tabla de codigos'!$E$2:$F$102,2,1))</f>
        <v>OLLA CONVEXA 20</v>
      </c>
      <c r="D823" s="11" t="s">
        <v>489</v>
      </c>
      <c r="E823" s="11" t="s">
        <v>34</v>
      </c>
      <c r="F823" s="11" t="s">
        <v>490</v>
      </c>
      <c r="G823" s="11" t="s">
        <v>481</v>
      </c>
      <c r="H823" s="11">
        <v>24</v>
      </c>
      <c r="I823" s="11">
        <v>0</v>
      </c>
      <c r="J823" s="15">
        <f t="shared" si="26"/>
        <v>24</v>
      </c>
    </row>
    <row r="824" spans="1:11" x14ac:dyDescent="0.2">
      <c r="A824" s="11" t="s">
        <v>43</v>
      </c>
      <c r="B824" s="11" t="str">
        <f t="shared" si="25"/>
        <v>240024</v>
      </c>
      <c r="C824" s="11" t="str">
        <f>_xlfn.CONCAT(+VLOOKUP(VALUE(MID(A824,13,2)),'Tabla de codigos'!$A$2:$B$60,2,1)," ",VLOOKUP(VALUE(MID(A824,15,4)),'Tabla de codigos'!$E$2:$F$102,2,1))</f>
        <v>OLLA CONVEXA 22</v>
      </c>
      <c r="D824" s="11" t="s">
        <v>489</v>
      </c>
      <c r="E824" s="11" t="s">
        <v>34</v>
      </c>
      <c r="F824" s="11" t="s">
        <v>490</v>
      </c>
      <c r="G824" s="11" t="s">
        <v>481</v>
      </c>
      <c r="H824" s="11">
        <v>24</v>
      </c>
      <c r="I824" s="11">
        <v>24</v>
      </c>
      <c r="J824" s="15">
        <f t="shared" si="26"/>
        <v>0</v>
      </c>
    </row>
    <row r="825" spans="1:11" x14ac:dyDescent="0.2">
      <c r="A825" s="11" t="s">
        <v>182</v>
      </c>
      <c r="B825" s="11" t="str">
        <f t="shared" si="25"/>
        <v>330015</v>
      </c>
      <c r="C825" s="11" t="str">
        <f>_xlfn.CONCAT(+VLOOKUP(VALUE(MID(A825,13,2)),'Tabla de codigos'!$A$2:$B$60,2,1)," ",VLOOKUP(VALUE(MID(A825,15,4)),'Tabla de codigos'!$E$2:$F$102,2,1))</f>
        <v>POCILLO 14</v>
      </c>
      <c r="D825" s="11" t="s">
        <v>489</v>
      </c>
      <c r="E825" s="11" t="s">
        <v>34</v>
      </c>
      <c r="F825" s="11" t="s">
        <v>490</v>
      </c>
      <c r="G825" s="11" t="s">
        <v>481</v>
      </c>
      <c r="H825" s="11">
        <v>144</v>
      </c>
      <c r="I825" s="11">
        <f>94+1+5+44</f>
        <v>144</v>
      </c>
      <c r="J825" s="15">
        <f t="shared" si="26"/>
        <v>0</v>
      </c>
    </row>
    <row r="826" spans="1:11" x14ac:dyDescent="0.2">
      <c r="A826" s="11" t="s">
        <v>44</v>
      </c>
      <c r="B826" s="11" t="str">
        <f t="shared" si="25"/>
        <v>360025</v>
      </c>
      <c r="C826" s="11" t="str">
        <f>_xlfn.CONCAT(+VLOOKUP(VALUE(MID(A826,13,2)),'Tabla de codigos'!$A$2:$B$60,2,1)," ",VLOOKUP(VALUE(MID(A826,15,4)),'Tabla de codigos'!$E$2:$F$102,2,1))</f>
        <v>SARTEN 24</v>
      </c>
      <c r="D826" s="11" t="s">
        <v>489</v>
      </c>
      <c r="E826" s="11" t="s">
        <v>34</v>
      </c>
      <c r="F826" s="11" t="s">
        <v>490</v>
      </c>
      <c r="G826" s="11" t="s">
        <v>481</v>
      </c>
      <c r="H826" s="11">
        <v>144</v>
      </c>
      <c r="I826" s="11">
        <v>0</v>
      </c>
      <c r="J826" s="15">
        <f t="shared" si="26"/>
        <v>144</v>
      </c>
    </row>
    <row r="827" spans="1:11" x14ac:dyDescent="0.2">
      <c r="A827" s="11" t="s">
        <v>356</v>
      </c>
      <c r="B827" s="11" t="str">
        <f t="shared" si="25"/>
        <v>480015</v>
      </c>
      <c r="C827" s="11" t="str">
        <f>_xlfn.CONCAT(+VLOOKUP(VALUE(MID(A827,13,2)),'Tabla de codigos'!$A$2:$B$60,2,1)," ",VLOOKUP(VALUE(MID(A827,15,4)),'Tabla de codigos'!$E$2:$F$102,2,1))</f>
        <v>VASO RECTO 14</v>
      </c>
      <c r="D827" s="11" t="s">
        <v>489</v>
      </c>
      <c r="E827" s="11" t="s">
        <v>34</v>
      </c>
      <c r="F827" s="11" t="s">
        <v>490</v>
      </c>
      <c r="G827" s="11" t="s">
        <v>481</v>
      </c>
      <c r="H827" s="11">
        <v>72</v>
      </c>
      <c r="I827" s="11">
        <v>72</v>
      </c>
      <c r="J827" s="15">
        <f t="shared" si="26"/>
        <v>0</v>
      </c>
      <c r="K827" s="17">
        <f>(SUM(I819:I827))/(SUM(H819:H827))</f>
        <v>0.58241758241758246</v>
      </c>
    </row>
    <row r="828" spans="1:11" x14ac:dyDescent="0.2">
      <c r="A828" s="11" t="s">
        <v>66</v>
      </c>
      <c r="B828" s="11" t="str">
        <f t="shared" si="25"/>
        <v>260022</v>
      </c>
      <c r="C828" s="11" t="str">
        <f>_xlfn.CONCAT(+VLOOKUP(VALUE(MID(A828,13,2)),'Tabla de codigos'!$A$2:$B$60,2,1)," ",VLOOKUP(VALUE(MID(A828,15,4)),'Tabla de codigos'!$E$2:$F$102,2,1))</f>
        <v>PLATO AVENERO 20</v>
      </c>
      <c r="D828" s="11" t="s">
        <v>489</v>
      </c>
      <c r="E828" s="11" t="s">
        <v>34</v>
      </c>
      <c r="F828" s="11" t="s">
        <v>491</v>
      </c>
      <c r="G828" s="11" t="s">
        <v>481</v>
      </c>
      <c r="H828" s="11">
        <v>66</v>
      </c>
      <c r="I828" s="11">
        <v>0</v>
      </c>
      <c r="J828" s="15">
        <f t="shared" si="26"/>
        <v>66</v>
      </c>
    </row>
    <row r="829" spans="1:11" x14ac:dyDescent="0.2">
      <c r="A829" s="11" t="s">
        <v>492</v>
      </c>
      <c r="B829" s="11" t="str">
        <f t="shared" si="25"/>
        <v>390012</v>
      </c>
      <c r="C829" s="11" t="str">
        <f>_xlfn.CONCAT(+VLOOKUP(VALUE(MID(A829,13,2)),'Tabla de codigos'!$A$2:$B$60,2,1)," ",VLOOKUP(VALUE(MID(A829,15,4)),'Tabla de codigos'!$E$2:$F$102,2,1))</f>
        <v>TAZON  8</v>
      </c>
      <c r="D829" s="11" t="s">
        <v>489</v>
      </c>
      <c r="E829" s="11" t="s">
        <v>34</v>
      </c>
      <c r="F829" s="11" t="s">
        <v>491</v>
      </c>
      <c r="G829" s="11" t="s">
        <v>481</v>
      </c>
      <c r="H829" s="11">
        <v>36</v>
      </c>
      <c r="I829" s="11">
        <v>0</v>
      </c>
      <c r="J829" s="15">
        <f t="shared" si="26"/>
        <v>36</v>
      </c>
      <c r="K829" s="17">
        <f>(SUM(I828:I829))/(SUM(H828:H829))</f>
        <v>0</v>
      </c>
    </row>
    <row r="830" spans="1:11" x14ac:dyDescent="0.2">
      <c r="A830" s="11" t="s">
        <v>38</v>
      </c>
      <c r="B830" s="11" t="str">
        <f t="shared" si="25"/>
        <v>060033</v>
      </c>
      <c r="C830" s="11" t="str">
        <f>_xlfn.CONCAT(+VLOOKUP(VALUE(MID(A830,13,2)),'Tabla de codigos'!$A$2:$B$60,2,1)," ",VLOOKUP(VALUE(MID(A830,15,4)),'Tabla de codigos'!$E$2:$F$102,2,1))</f>
        <v>BUDINERA   42</v>
      </c>
      <c r="D830" s="11" t="s">
        <v>493</v>
      </c>
      <c r="E830" s="11" t="s">
        <v>34</v>
      </c>
      <c r="F830" s="11" t="s">
        <v>494</v>
      </c>
      <c r="G830" s="11" t="s">
        <v>481</v>
      </c>
      <c r="H830" s="11">
        <v>16</v>
      </c>
      <c r="I830" s="11">
        <v>0</v>
      </c>
      <c r="J830" s="15">
        <f t="shared" si="26"/>
        <v>16</v>
      </c>
    </row>
    <row r="831" spans="1:11" x14ac:dyDescent="0.2">
      <c r="A831" s="11" t="s">
        <v>220</v>
      </c>
      <c r="B831" s="11" t="str">
        <f t="shared" si="25"/>
        <v>240017</v>
      </c>
      <c r="C831" s="11" t="str">
        <f>_xlfn.CONCAT(+VLOOKUP(VALUE(MID(A831,13,2)),'Tabla de codigos'!$A$2:$B$60,2,1)," ",VLOOKUP(VALUE(MID(A831,15,4)),'Tabla de codigos'!$E$2:$F$102,2,1))</f>
        <v>OLLA CONVEXA 16</v>
      </c>
      <c r="D831" s="11" t="s">
        <v>493</v>
      </c>
      <c r="E831" s="11" t="s">
        <v>34</v>
      </c>
      <c r="F831" s="11" t="s">
        <v>494</v>
      </c>
      <c r="G831" s="11" t="s">
        <v>481</v>
      </c>
      <c r="H831" s="11">
        <v>72</v>
      </c>
      <c r="I831" s="11">
        <v>0</v>
      </c>
      <c r="J831" s="15">
        <f t="shared" si="26"/>
        <v>72</v>
      </c>
    </row>
    <row r="832" spans="1:11" x14ac:dyDescent="0.2">
      <c r="A832" s="11" t="s">
        <v>151</v>
      </c>
      <c r="B832" s="11" t="str">
        <f t="shared" si="25"/>
        <v>240022</v>
      </c>
      <c r="C832" s="11" t="str">
        <f>_xlfn.CONCAT(+VLOOKUP(VALUE(MID(A832,13,2)),'Tabla de codigos'!$A$2:$B$60,2,1)," ",VLOOKUP(VALUE(MID(A832,15,4)),'Tabla de codigos'!$E$2:$F$102,2,1))</f>
        <v>OLLA CONVEXA 20</v>
      </c>
      <c r="D832" s="11" t="s">
        <v>493</v>
      </c>
      <c r="E832" s="11" t="s">
        <v>34</v>
      </c>
      <c r="F832" s="11" t="s">
        <v>494</v>
      </c>
      <c r="G832" s="11" t="s">
        <v>481</v>
      </c>
      <c r="H832" s="11">
        <v>24</v>
      </c>
      <c r="I832" s="11">
        <v>0</v>
      </c>
      <c r="J832" s="15">
        <f t="shared" si="26"/>
        <v>24</v>
      </c>
    </row>
    <row r="833" spans="1:11" x14ac:dyDescent="0.2">
      <c r="A833" s="11" t="s">
        <v>237</v>
      </c>
      <c r="B833" s="11" t="str">
        <f t="shared" si="25"/>
        <v>250025</v>
      </c>
      <c r="C833" s="11" t="str">
        <f>_xlfn.CONCAT(+VLOOKUP(VALUE(MID(A833,13,2)),'Tabla de codigos'!$A$2:$B$60,2,1)," ",VLOOKUP(VALUE(MID(A833,15,4)),'Tabla de codigos'!$E$2:$F$102,2,1))</f>
        <v>OLLA RECTA 24</v>
      </c>
      <c r="D833" s="11" t="s">
        <v>493</v>
      </c>
      <c r="E833" s="11" t="s">
        <v>34</v>
      </c>
      <c r="F833" s="11" t="s">
        <v>494</v>
      </c>
      <c r="G833" s="11" t="s">
        <v>481</v>
      </c>
      <c r="H833" s="11">
        <v>36</v>
      </c>
      <c r="I833" s="11">
        <v>0</v>
      </c>
      <c r="J833" s="15">
        <f t="shared" si="26"/>
        <v>36</v>
      </c>
    </row>
    <row r="834" spans="1:11" x14ac:dyDescent="0.2">
      <c r="A834" s="11" t="s">
        <v>182</v>
      </c>
      <c r="B834" s="11" t="str">
        <f t="shared" si="25"/>
        <v>330015</v>
      </c>
      <c r="C834" s="11" t="str">
        <f>_xlfn.CONCAT(+VLOOKUP(VALUE(MID(A834,13,2)),'Tabla de codigos'!$A$2:$B$60,2,1)," ",VLOOKUP(VALUE(MID(A834,15,4)),'Tabla de codigos'!$E$2:$F$102,2,1))</f>
        <v>POCILLO 14</v>
      </c>
      <c r="D834" s="11" t="s">
        <v>493</v>
      </c>
      <c r="E834" s="11" t="s">
        <v>34</v>
      </c>
      <c r="F834" s="11" t="s">
        <v>494</v>
      </c>
      <c r="G834" s="11" t="s">
        <v>481</v>
      </c>
      <c r="H834" s="11">
        <v>132</v>
      </c>
      <c r="I834" s="11">
        <f>22+102+3+5</f>
        <v>132</v>
      </c>
      <c r="J834" s="15">
        <f t="shared" si="26"/>
        <v>0</v>
      </c>
    </row>
    <row r="835" spans="1:11" x14ac:dyDescent="0.2">
      <c r="A835" s="11" t="s">
        <v>85</v>
      </c>
      <c r="B835" s="11" t="str">
        <f t="shared" ref="B835:B898" si="27">+MID(A835,13,6)</f>
        <v>390022</v>
      </c>
      <c r="C835" s="11" t="str">
        <f>_xlfn.CONCAT(+VLOOKUP(VALUE(MID(A835,13,2)),'Tabla de codigos'!$A$2:$B$60,2,1)," ",VLOOKUP(VALUE(MID(A835,15,4)),'Tabla de codigos'!$E$2:$F$102,2,1))</f>
        <v>TAZON  20</v>
      </c>
      <c r="D835" s="11" t="s">
        <v>493</v>
      </c>
      <c r="E835" s="11" t="s">
        <v>34</v>
      </c>
      <c r="F835" s="11" t="s">
        <v>494</v>
      </c>
      <c r="G835" s="11" t="s">
        <v>481</v>
      </c>
      <c r="H835" s="11">
        <v>48</v>
      </c>
      <c r="I835" s="11">
        <v>0</v>
      </c>
      <c r="J835" s="15">
        <f t="shared" si="26"/>
        <v>48</v>
      </c>
      <c r="K835" s="17">
        <f>(SUM(I830:I835))/(SUM(H830:H835))</f>
        <v>0.40243902439024393</v>
      </c>
    </row>
    <row r="836" spans="1:11" x14ac:dyDescent="0.2">
      <c r="A836" s="11" t="s">
        <v>56</v>
      </c>
      <c r="B836" s="11" t="str">
        <f t="shared" si="27"/>
        <v>080021</v>
      </c>
      <c r="C836" s="11" t="str">
        <f>_xlfn.CONCAT(+VLOOKUP(VALUE(MID(A836,13,2)),'Tabla de codigos'!$A$2:$B$60,2,1)," ",VLOOKUP(VALUE(MID(A836,15,4)),'Tabla de codigos'!$E$2:$F$102,2,1))</f>
        <v>CAZUELA 18</v>
      </c>
      <c r="D836" s="11" t="s">
        <v>495</v>
      </c>
      <c r="E836" s="11" t="s">
        <v>16</v>
      </c>
      <c r="F836" s="11" t="s">
        <v>496</v>
      </c>
      <c r="G836" s="11" t="s">
        <v>481</v>
      </c>
      <c r="H836" s="11">
        <v>48</v>
      </c>
      <c r="I836" s="11">
        <v>0</v>
      </c>
      <c r="J836" s="15">
        <f t="shared" si="26"/>
        <v>48</v>
      </c>
      <c r="K836" s="17">
        <f>(SUM(I836))/(SUM(H836))</f>
        <v>0</v>
      </c>
    </row>
    <row r="837" spans="1:11" x14ac:dyDescent="0.2">
      <c r="A837" s="11" t="s">
        <v>280</v>
      </c>
      <c r="B837" s="11" t="str">
        <f t="shared" si="27"/>
        <v>220001</v>
      </c>
      <c r="C837" s="11" t="str">
        <f>_xlfn.CONCAT(+VLOOKUP(VALUE(MID(A837,13,2)),'Tabla de codigos'!$A$2:$B$60,2,1)," ",VLOOKUP(VALUE(MID(A837,15,4)),'Tabla de codigos'!$E$2:$F$102,2,1))</f>
        <v>MULTIUSOS S/I</v>
      </c>
      <c r="D837" s="11" t="s">
        <v>497</v>
      </c>
      <c r="E837" s="11" t="s">
        <v>16</v>
      </c>
      <c r="F837" s="11" t="s">
        <v>498</v>
      </c>
      <c r="G837" s="11" t="s">
        <v>466</v>
      </c>
      <c r="H837" s="11">
        <v>36</v>
      </c>
      <c r="I837" s="15">
        <v>36</v>
      </c>
      <c r="J837" s="15">
        <f t="shared" si="26"/>
        <v>0</v>
      </c>
    </row>
    <row r="838" spans="1:11" x14ac:dyDescent="0.2">
      <c r="A838" s="11" t="s">
        <v>288</v>
      </c>
      <c r="B838" s="11" t="str">
        <f t="shared" si="27"/>
        <v>300022</v>
      </c>
      <c r="C838" s="11" t="str">
        <f>_xlfn.CONCAT(+VLOOKUP(VALUE(MID(A838,13,2)),'Tabla de codigos'!$A$2:$B$60,2,1)," ",VLOOKUP(VALUE(MID(A838,15,4)),'Tabla de codigos'!$E$2:$F$102,2,1))</f>
        <v>PLATO LISO 20</v>
      </c>
      <c r="D838" s="11" t="s">
        <v>497</v>
      </c>
      <c r="E838" s="11" t="s">
        <v>16</v>
      </c>
      <c r="F838" s="11" t="s">
        <v>498</v>
      </c>
      <c r="G838" s="11" t="s">
        <v>466</v>
      </c>
      <c r="H838" s="11">
        <v>12</v>
      </c>
      <c r="I838" s="15">
        <v>12</v>
      </c>
      <c r="J838" s="15">
        <f t="shared" si="26"/>
        <v>0</v>
      </c>
    </row>
    <row r="839" spans="1:11" x14ac:dyDescent="0.2">
      <c r="A839" s="11" t="s">
        <v>73</v>
      </c>
      <c r="B839" s="11" t="str">
        <f t="shared" si="27"/>
        <v>330009</v>
      </c>
      <c r="C839" s="11" t="str">
        <f>_xlfn.CONCAT(+VLOOKUP(VALUE(MID(A839,13,2)),'Tabla de codigos'!$A$2:$B$60,2,1)," ",VLOOKUP(VALUE(MID(A839,15,4)),'Tabla de codigos'!$E$2:$F$102,2,1))</f>
        <v>POCILLO 5</v>
      </c>
      <c r="D839" s="11" t="s">
        <v>497</v>
      </c>
      <c r="E839" s="11" t="s">
        <v>16</v>
      </c>
      <c r="F839" s="11" t="s">
        <v>498</v>
      </c>
      <c r="G839" s="11" t="s">
        <v>466</v>
      </c>
      <c r="H839" s="11">
        <v>24</v>
      </c>
      <c r="I839" s="15">
        <v>0</v>
      </c>
      <c r="J839" s="15">
        <f t="shared" ref="J839:J902" si="28">+H839-I839</f>
        <v>24</v>
      </c>
    </row>
    <row r="840" spans="1:11" x14ac:dyDescent="0.2">
      <c r="A840" s="11" t="s">
        <v>75</v>
      </c>
      <c r="B840" s="11" t="str">
        <f t="shared" si="27"/>
        <v>330009</v>
      </c>
      <c r="C840" s="11" t="str">
        <f>_xlfn.CONCAT(+VLOOKUP(VALUE(MID(A840,13,2)),'Tabla de codigos'!$A$2:$B$60,2,1)," ",VLOOKUP(VALUE(MID(A840,15,4)),'Tabla de codigos'!$E$2:$F$102,2,1))</f>
        <v>POCILLO 5</v>
      </c>
      <c r="D840" s="11" t="s">
        <v>497</v>
      </c>
      <c r="E840" s="11" t="s">
        <v>16</v>
      </c>
      <c r="F840" s="11" t="s">
        <v>498</v>
      </c>
      <c r="G840" s="11" t="s">
        <v>466</v>
      </c>
      <c r="H840" s="11">
        <v>24</v>
      </c>
      <c r="I840" s="15">
        <v>24</v>
      </c>
      <c r="J840" s="15">
        <f t="shared" si="28"/>
        <v>0</v>
      </c>
    </row>
    <row r="841" spans="1:11" x14ac:dyDescent="0.2">
      <c r="A841" s="11" t="s">
        <v>298</v>
      </c>
      <c r="B841" s="11" t="str">
        <f t="shared" si="27"/>
        <v>330009</v>
      </c>
      <c r="C841" s="11" t="str">
        <f>_xlfn.CONCAT(+VLOOKUP(VALUE(MID(A841,13,2)),'Tabla de codigos'!$A$2:$B$60,2,1)," ",VLOOKUP(VALUE(MID(A841,15,4)),'Tabla de codigos'!$E$2:$F$102,2,1))</f>
        <v>POCILLO 5</v>
      </c>
      <c r="D841" s="11" t="s">
        <v>497</v>
      </c>
      <c r="E841" s="11" t="s">
        <v>16</v>
      </c>
      <c r="F841" s="11" t="s">
        <v>498</v>
      </c>
      <c r="G841" s="11" t="s">
        <v>466</v>
      </c>
      <c r="H841" s="11">
        <v>24</v>
      </c>
      <c r="I841" s="15">
        <v>24</v>
      </c>
      <c r="J841" s="15">
        <f t="shared" si="28"/>
        <v>0</v>
      </c>
    </row>
    <row r="842" spans="1:11" x14ac:dyDescent="0.2">
      <c r="A842" s="11" t="s">
        <v>81</v>
      </c>
      <c r="B842" s="11" t="str">
        <f t="shared" si="27"/>
        <v>390016</v>
      </c>
      <c r="C842" s="11" t="str">
        <f>_xlfn.CONCAT(+VLOOKUP(VALUE(MID(A842,13,2)),'Tabla de codigos'!$A$2:$B$60,2,1)," ",VLOOKUP(VALUE(MID(A842,15,4)),'Tabla de codigos'!$E$2:$F$102,2,1))</f>
        <v>TAZON  15.5</v>
      </c>
      <c r="D842" s="11" t="s">
        <v>497</v>
      </c>
      <c r="E842" s="11" t="s">
        <v>16</v>
      </c>
      <c r="F842" s="11" t="s">
        <v>498</v>
      </c>
      <c r="G842" s="11" t="s">
        <v>466</v>
      </c>
      <c r="H842" s="11">
        <v>12</v>
      </c>
      <c r="I842" s="15">
        <v>2</v>
      </c>
      <c r="J842" s="15">
        <f t="shared" si="28"/>
        <v>10</v>
      </c>
    </row>
    <row r="843" spans="1:11" x14ac:dyDescent="0.2">
      <c r="A843" s="11" t="s">
        <v>83</v>
      </c>
      <c r="B843" s="11" t="str">
        <f t="shared" si="27"/>
        <v>390016</v>
      </c>
      <c r="C843" s="11" t="str">
        <f>_xlfn.CONCAT(+VLOOKUP(VALUE(MID(A843,13,2)),'Tabla de codigos'!$A$2:$B$60,2,1)," ",VLOOKUP(VALUE(MID(A843,15,4)),'Tabla de codigos'!$E$2:$F$102,2,1))</f>
        <v>TAZON  15.5</v>
      </c>
      <c r="D843" s="11" t="s">
        <v>497</v>
      </c>
      <c r="E843" s="11" t="s">
        <v>16</v>
      </c>
      <c r="F843" s="11" t="s">
        <v>498</v>
      </c>
      <c r="G843" s="11" t="s">
        <v>466</v>
      </c>
      <c r="H843" s="11">
        <v>12</v>
      </c>
      <c r="I843" s="15">
        <v>0</v>
      </c>
      <c r="J843" s="15">
        <f t="shared" si="28"/>
        <v>12</v>
      </c>
      <c r="K843" s="17">
        <f>(SUM(I837:I843))/(SUM(H837:H843))</f>
        <v>0.68055555555555558</v>
      </c>
    </row>
    <row r="844" spans="1:11" x14ac:dyDescent="0.2">
      <c r="A844" s="27" t="s">
        <v>270</v>
      </c>
      <c r="B844" s="11" t="str">
        <f t="shared" si="27"/>
        <v>300027</v>
      </c>
      <c r="C844" s="11" t="str">
        <f>_xlfn.CONCAT(+VLOOKUP(VALUE(MID(A844,13,2)),'Tabla de codigos'!$A$2:$B$60,2,1)," ",VLOOKUP(VALUE(MID(A844,15,4)),'Tabla de codigos'!$E$2:$F$102,2,1))</f>
        <v>PLATO LISO 27</v>
      </c>
      <c r="D844" s="27" t="s">
        <v>499</v>
      </c>
      <c r="E844" s="27" t="s">
        <v>16</v>
      </c>
      <c r="F844" s="27" t="s">
        <v>500</v>
      </c>
      <c r="G844" s="27" t="s">
        <v>501</v>
      </c>
      <c r="H844" s="27">
        <v>126</v>
      </c>
      <c r="I844" s="27">
        <v>126</v>
      </c>
      <c r="J844" s="15">
        <f t="shared" si="28"/>
        <v>0</v>
      </c>
    </row>
    <row r="845" spans="1:11" x14ac:dyDescent="0.2">
      <c r="A845" s="27" t="s">
        <v>302</v>
      </c>
      <c r="B845" s="11" t="str">
        <f t="shared" si="27"/>
        <v>390012</v>
      </c>
      <c r="C845" s="11" t="str">
        <f>_xlfn.CONCAT(+VLOOKUP(VALUE(MID(A845,13,2)),'Tabla de codigos'!$A$2:$B$60,2,1)," ",VLOOKUP(VALUE(MID(A845,15,4)),'Tabla de codigos'!$E$2:$F$102,2,1))</f>
        <v>TAZON  8</v>
      </c>
      <c r="D845" s="27" t="s">
        <v>499</v>
      </c>
      <c r="E845" s="27" t="s">
        <v>16</v>
      </c>
      <c r="F845" s="27" t="s">
        <v>500</v>
      </c>
      <c r="G845" s="35">
        <v>45813</v>
      </c>
      <c r="H845" s="27">
        <v>180</v>
      </c>
      <c r="I845" s="27">
        <v>180</v>
      </c>
      <c r="J845" s="15">
        <f t="shared" si="28"/>
        <v>0</v>
      </c>
      <c r="K845" s="17">
        <f>(SUM(I844:I845))/(SUM(H844:H845))</f>
        <v>1</v>
      </c>
    </row>
    <row r="846" spans="1:11" x14ac:dyDescent="0.2">
      <c r="A846" s="11" t="s">
        <v>209</v>
      </c>
      <c r="B846" s="11" t="str">
        <f t="shared" si="27"/>
        <v>030006</v>
      </c>
      <c r="C846" s="11" t="str">
        <f>_xlfn.CONCAT(+VLOOKUP(VALUE(MID(A846,13,2)),'Tabla de codigos'!$A$2:$B$60,2,1)," ",VLOOKUP(VALUE(MID(A846,15,4)),'Tabla de codigos'!$E$2:$F$102,2,1))</f>
        <v>BAÑO 2</v>
      </c>
      <c r="D846" s="11" t="s">
        <v>502</v>
      </c>
      <c r="E846" s="11" t="s">
        <v>34</v>
      </c>
      <c r="F846" s="11" t="s">
        <v>503</v>
      </c>
      <c r="G846" s="11" t="s">
        <v>504</v>
      </c>
      <c r="H846" s="11">
        <v>5</v>
      </c>
      <c r="I846" s="15">
        <v>0</v>
      </c>
      <c r="J846" s="15">
        <f t="shared" si="28"/>
        <v>5</v>
      </c>
    </row>
    <row r="847" spans="1:11" x14ac:dyDescent="0.2">
      <c r="A847" s="11" t="s">
        <v>45</v>
      </c>
      <c r="B847" s="11" t="str">
        <f t="shared" si="27"/>
        <v>030008</v>
      </c>
      <c r="C847" s="11" t="str">
        <f>_xlfn.CONCAT(+VLOOKUP(VALUE(MID(A847,13,2)),'Tabla de codigos'!$A$2:$B$60,2,1)," ",VLOOKUP(VALUE(MID(A847,15,4)),'Tabla de codigos'!$E$2:$F$102,2,1))</f>
        <v>BAÑO 4</v>
      </c>
      <c r="D847" s="11" t="s">
        <v>502</v>
      </c>
      <c r="E847" s="11" t="s">
        <v>34</v>
      </c>
      <c r="F847" s="11" t="s">
        <v>503</v>
      </c>
      <c r="G847" s="11" t="s">
        <v>504</v>
      </c>
      <c r="H847" s="11">
        <v>5</v>
      </c>
      <c r="I847" s="15">
        <v>0</v>
      </c>
      <c r="J847" s="15">
        <f t="shared" si="28"/>
        <v>5</v>
      </c>
    </row>
    <row r="848" spans="1:11" x14ac:dyDescent="0.2">
      <c r="A848" s="11" t="s">
        <v>32</v>
      </c>
      <c r="B848" s="11" t="str">
        <f t="shared" si="27"/>
        <v>030009</v>
      </c>
      <c r="C848" s="11" t="str">
        <f>_xlfn.CONCAT(+VLOOKUP(VALUE(MID(A848,13,2)),'Tabla de codigos'!$A$2:$B$60,2,1)," ",VLOOKUP(VALUE(MID(A848,15,4)),'Tabla de codigos'!$E$2:$F$102,2,1))</f>
        <v>BAÑO 5</v>
      </c>
      <c r="D848" s="11" t="s">
        <v>502</v>
      </c>
      <c r="E848" s="11" t="s">
        <v>34</v>
      </c>
      <c r="F848" s="11" t="s">
        <v>503</v>
      </c>
      <c r="G848" s="11" t="s">
        <v>504</v>
      </c>
      <c r="H848" s="11">
        <v>5</v>
      </c>
      <c r="I848" s="15">
        <v>0</v>
      </c>
      <c r="J848" s="15">
        <f t="shared" si="28"/>
        <v>5</v>
      </c>
    </row>
    <row r="849" spans="1:11" x14ac:dyDescent="0.2">
      <c r="A849" s="11" t="s">
        <v>37</v>
      </c>
      <c r="B849" s="11" t="str">
        <f t="shared" si="27"/>
        <v>030010</v>
      </c>
      <c r="C849" s="11" t="str">
        <f>_xlfn.CONCAT(+VLOOKUP(VALUE(MID(A849,13,2)),'Tabla de codigos'!$A$2:$B$60,2,1)," ",VLOOKUP(VALUE(MID(A849,15,4)),'Tabla de codigos'!$E$2:$F$102,2,1))</f>
        <v>BAÑO 6</v>
      </c>
      <c r="D849" s="11" t="s">
        <v>502</v>
      </c>
      <c r="E849" s="11" t="s">
        <v>34</v>
      </c>
      <c r="F849" s="11" t="s">
        <v>503</v>
      </c>
      <c r="G849" s="11" t="s">
        <v>504</v>
      </c>
      <c r="H849" s="11">
        <v>5</v>
      </c>
      <c r="I849" s="15">
        <v>0</v>
      </c>
      <c r="J849" s="15">
        <f t="shared" si="28"/>
        <v>5</v>
      </c>
      <c r="K849" s="17">
        <f>(SUM(I846:I849))/(SUM(H846:H849))</f>
        <v>0</v>
      </c>
    </row>
    <row r="850" spans="1:11" x14ac:dyDescent="0.2">
      <c r="A850" s="11" t="s">
        <v>38</v>
      </c>
      <c r="B850" s="11" t="str">
        <f t="shared" si="27"/>
        <v>060033</v>
      </c>
      <c r="C850" s="11" t="str">
        <f>_xlfn.CONCAT(+VLOOKUP(VALUE(MID(A850,13,2)),'Tabla de codigos'!$A$2:$B$60,2,1)," ",VLOOKUP(VALUE(MID(A850,15,4)),'Tabla de codigos'!$E$2:$F$102,2,1))</f>
        <v>BUDINERA   42</v>
      </c>
      <c r="D850" s="11" t="s">
        <v>505</v>
      </c>
      <c r="E850" s="11" t="s">
        <v>34</v>
      </c>
      <c r="F850" s="11" t="s">
        <v>506</v>
      </c>
      <c r="G850" s="11" t="s">
        <v>504</v>
      </c>
      <c r="H850" s="11">
        <v>4</v>
      </c>
      <c r="I850" s="15">
        <v>0</v>
      </c>
      <c r="J850" s="15">
        <f t="shared" si="28"/>
        <v>4</v>
      </c>
    </row>
    <row r="851" spans="1:11" x14ac:dyDescent="0.2">
      <c r="A851" s="11" t="s">
        <v>154</v>
      </c>
      <c r="B851" s="11" t="str">
        <f t="shared" si="27"/>
        <v>240029</v>
      </c>
      <c r="C851" s="11" t="str">
        <f>_xlfn.CONCAT(+VLOOKUP(VALUE(MID(A851,13,2)),'Tabla de codigos'!$A$2:$B$60,2,1)," ",VLOOKUP(VALUE(MID(A851,15,4)),'Tabla de codigos'!$E$2:$F$102,2,1))</f>
        <v>OLLA CONVEXA 30</v>
      </c>
      <c r="D851" s="11" t="s">
        <v>505</v>
      </c>
      <c r="E851" s="11" t="s">
        <v>34</v>
      </c>
      <c r="F851" s="11" t="s">
        <v>506</v>
      </c>
      <c r="G851" s="11" t="s">
        <v>504</v>
      </c>
      <c r="H851" s="11">
        <v>4</v>
      </c>
      <c r="I851" s="15">
        <v>4</v>
      </c>
      <c r="J851" s="15">
        <f t="shared" si="28"/>
        <v>0</v>
      </c>
      <c r="K851" s="17">
        <f>(SUM(I850:I851))/(SUM(H850:H851))</f>
        <v>0.5</v>
      </c>
    </row>
    <row r="852" spans="1:11" x14ac:dyDescent="0.2">
      <c r="A852" s="11" t="s">
        <v>38</v>
      </c>
      <c r="B852" s="11" t="str">
        <f t="shared" si="27"/>
        <v>060033</v>
      </c>
      <c r="C852" s="11" t="str">
        <f>_xlfn.CONCAT(+VLOOKUP(VALUE(MID(A852,13,2)),'Tabla de codigos'!$A$2:$B$60,2,1)," ",VLOOKUP(VALUE(MID(A852,15,4)),'Tabla de codigos'!$E$2:$F$102,2,1))</f>
        <v>BUDINERA   42</v>
      </c>
      <c r="D852" s="11" t="s">
        <v>507</v>
      </c>
      <c r="E852" s="11" t="s">
        <v>34</v>
      </c>
      <c r="F852" s="11" t="s">
        <v>508</v>
      </c>
      <c r="G852" s="11" t="s">
        <v>504</v>
      </c>
      <c r="H852" s="11">
        <v>6</v>
      </c>
      <c r="I852" s="15">
        <v>0</v>
      </c>
      <c r="J852" s="15">
        <f t="shared" si="28"/>
        <v>6</v>
      </c>
    </row>
    <row r="853" spans="1:11" x14ac:dyDescent="0.2">
      <c r="A853" s="11" t="s">
        <v>150</v>
      </c>
      <c r="B853" s="11" t="str">
        <f t="shared" si="27"/>
        <v>240021</v>
      </c>
      <c r="C853" s="11" t="str">
        <f>_xlfn.CONCAT(+VLOOKUP(VALUE(MID(A853,13,2)),'Tabla de codigos'!$A$2:$B$60,2,1)," ",VLOOKUP(VALUE(MID(A853,15,4)),'Tabla de codigos'!$E$2:$F$102,2,1))</f>
        <v>OLLA CONVEXA 18</v>
      </c>
      <c r="D853" s="11" t="s">
        <v>507</v>
      </c>
      <c r="E853" s="11" t="s">
        <v>34</v>
      </c>
      <c r="F853" s="11" t="s">
        <v>508</v>
      </c>
      <c r="G853" s="11" t="s">
        <v>504</v>
      </c>
      <c r="H853" s="11">
        <v>24</v>
      </c>
      <c r="I853" s="15">
        <v>0</v>
      </c>
      <c r="J853" s="15">
        <f t="shared" si="28"/>
        <v>24</v>
      </c>
    </row>
    <row r="854" spans="1:11" x14ac:dyDescent="0.2">
      <c r="A854" s="11" t="s">
        <v>237</v>
      </c>
      <c r="B854" s="11" t="str">
        <f t="shared" si="27"/>
        <v>250025</v>
      </c>
      <c r="C854" s="11" t="str">
        <f>_xlfn.CONCAT(+VLOOKUP(VALUE(MID(A854,13,2)),'Tabla de codigos'!$A$2:$B$60,2,1)," ",VLOOKUP(VALUE(MID(A854,15,4)),'Tabla de codigos'!$E$2:$F$102,2,1))</f>
        <v>OLLA RECTA 24</v>
      </c>
      <c r="D854" s="11" t="s">
        <v>507</v>
      </c>
      <c r="E854" s="11" t="s">
        <v>34</v>
      </c>
      <c r="F854" s="11" t="s">
        <v>508</v>
      </c>
      <c r="G854" s="11" t="s">
        <v>504</v>
      </c>
      <c r="H854" s="11">
        <v>12</v>
      </c>
      <c r="I854" s="15">
        <v>0</v>
      </c>
      <c r="J854" s="15">
        <f t="shared" si="28"/>
        <v>12</v>
      </c>
    </row>
    <row r="855" spans="1:11" x14ac:dyDescent="0.2">
      <c r="A855" s="11" t="s">
        <v>156</v>
      </c>
      <c r="B855" s="11" t="str">
        <f t="shared" si="27"/>
        <v>250031</v>
      </c>
      <c r="C855" s="11" t="str">
        <f>_xlfn.CONCAT(+VLOOKUP(VALUE(MID(A855,13,2)),'Tabla de codigos'!$A$2:$B$60,2,1)," ",VLOOKUP(VALUE(MID(A855,15,4)),'Tabla de codigos'!$E$2:$F$102,2,1))</f>
        <v>OLLA RECTA 34</v>
      </c>
      <c r="D855" s="11" t="s">
        <v>507</v>
      </c>
      <c r="E855" s="11" t="s">
        <v>34</v>
      </c>
      <c r="F855" s="11" t="s">
        <v>508</v>
      </c>
      <c r="G855" s="11" t="s">
        <v>504</v>
      </c>
      <c r="H855" s="11">
        <v>6</v>
      </c>
      <c r="I855" s="15">
        <v>0</v>
      </c>
      <c r="J855" s="15">
        <f t="shared" si="28"/>
        <v>6</v>
      </c>
      <c r="K855" s="17">
        <f>(SUM(I852:I855))/(SUM(H852:H855))</f>
        <v>0</v>
      </c>
    </row>
    <row r="856" spans="1:11" x14ac:dyDescent="0.2">
      <c r="A856" s="11" t="s">
        <v>206</v>
      </c>
      <c r="B856" s="11" t="str">
        <f t="shared" si="27"/>
        <v>030005</v>
      </c>
      <c r="C856" s="11" t="str">
        <f>_xlfn.CONCAT(+VLOOKUP(VALUE(MID(A856,13,2)),'Tabla de codigos'!$A$2:$B$60,2,1)," ",VLOOKUP(VALUE(MID(A856,15,4)),'Tabla de codigos'!$E$2:$F$102,2,1))</f>
        <v>BAÑO 1</v>
      </c>
      <c r="D856" s="11" t="s">
        <v>509</v>
      </c>
      <c r="E856" s="11" t="s">
        <v>145</v>
      </c>
      <c r="F856" s="11" t="s">
        <v>510</v>
      </c>
      <c r="G856" s="11" t="s">
        <v>511</v>
      </c>
      <c r="H856" s="11">
        <v>20</v>
      </c>
      <c r="I856" s="15">
        <v>4</v>
      </c>
      <c r="J856" s="15">
        <f t="shared" si="28"/>
        <v>16</v>
      </c>
    </row>
    <row r="857" spans="1:11" x14ac:dyDescent="0.2">
      <c r="A857" s="11" t="s">
        <v>209</v>
      </c>
      <c r="B857" s="11" t="str">
        <f t="shared" si="27"/>
        <v>030006</v>
      </c>
      <c r="C857" s="11" t="str">
        <f>_xlfn.CONCAT(+VLOOKUP(VALUE(MID(A857,13,2)),'Tabla de codigos'!$A$2:$B$60,2,1)," ",VLOOKUP(VALUE(MID(A857,15,4)),'Tabla de codigos'!$E$2:$F$102,2,1))</f>
        <v>BAÑO 2</v>
      </c>
      <c r="D857" s="11" t="s">
        <v>509</v>
      </c>
      <c r="E857" s="11" t="s">
        <v>145</v>
      </c>
      <c r="F857" s="11" t="s">
        <v>510</v>
      </c>
      <c r="G857" s="11" t="s">
        <v>511</v>
      </c>
      <c r="H857" s="11">
        <v>50</v>
      </c>
      <c r="I857" s="15">
        <v>0</v>
      </c>
      <c r="J857" s="15">
        <f t="shared" si="28"/>
        <v>50</v>
      </c>
    </row>
    <row r="858" spans="1:11" x14ac:dyDescent="0.2">
      <c r="A858" s="11" t="s">
        <v>158</v>
      </c>
      <c r="B858" s="11" t="str">
        <f t="shared" si="27"/>
        <v>030007</v>
      </c>
      <c r="C858" s="11" t="str">
        <f>_xlfn.CONCAT(+VLOOKUP(VALUE(MID(A858,13,2)),'Tabla de codigos'!$A$2:$B$60,2,1)," ",VLOOKUP(VALUE(MID(A858,15,4)),'Tabla de codigos'!$E$2:$F$102,2,1))</f>
        <v>BAÑO 3</v>
      </c>
      <c r="D858" s="11" t="s">
        <v>509</v>
      </c>
      <c r="E858" s="11" t="s">
        <v>145</v>
      </c>
      <c r="F858" s="11" t="s">
        <v>510</v>
      </c>
      <c r="G858" s="11" t="s">
        <v>511</v>
      </c>
      <c r="H858" s="11">
        <v>50</v>
      </c>
      <c r="I858" s="15">
        <v>0</v>
      </c>
      <c r="J858" s="15">
        <f t="shared" si="28"/>
        <v>50</v>
      </c>
    </row>
    <row r="859" spans="1:11" x14ac:dyDescent="0.2">
      <c r="A859" s="11" t="s">
        <v>45</v>
      </c>
      <c r="B859" s="11" t="str">
        <f t="shared" si="27"/>
        <v>030008</v>
      </c>
      <c r="C859" s="11" t="str">
        <f>_xlfn.CONCAT(+VLOOKUP(VALUE(MID(A859,13,2)),'Tabla de codigos'!$A$2:$B$60,2,1)," ",VLOOKUP(VALUE(MID(A859,15,4)),'Tabla de codigos'!$E$2:$F$102,2,1))</f>
        <v>BAÑO 4</v>
      </c>
      <c r="D859" s="11" t="s">
        <v>509</v>
      </c>
      <c r="E859" s="11" t="s">
        <v>145</v>
      </c>
      <c r="F859" s="11" t="s">
        <v>510</v>
      </c>
      <c r="G859" s="11" t="s">
        <v>511</v>
      </c>
      <c r="H859" s="11">
        <v>50</v>
      </c>
      <c r="I859" s="15">
        <v>0</v>
      </c>
      <c r="J859" s="15">
        <f t="shared" si="28"/>
        <v>50</v>
      </c>
    </row>
    <row r="860" spans="1:11" x14ac:dyDescent="0.2">
      <c r="A860" s="11" t="s">
        <v>32</v>
      </c>
      <c r="B860" s="11" t="str">
        <f t="shared" si="27"/>
        <v>030009</v>
      </c>
      <c r="C860" s="11" t="str">
        <f>_xlfn.CONCAT(+VLOOKUP(VALUE(MID(A860,13,2)),'Tabla de codigos'!$A$2:$B$60,2,1)," ",VLOOKUP(VALUE(MID(A860,15,4)),'Tabla de codigos'!$E$2:$F$102,2,1))</f>
        <v>BAÑO 5</v>
      </c>
      <c r="D860" s="11" t="s">
        <v>509</v>
      </c>
      <c r="E860" s="11" t="s">
        <v>145</v>
      </c>
      <c r="F860" s="11" t="s">
        <v>510</v>
      </c>
      <c r="G860" s="11" t="s">
        <v>511</v>
      </c>
      <c r="H860" s="11">
        <v>50</v>
      </c>
      <c r="I860" s="15">
        <v>0</v>
      </c>
      <c r="J860" s="15">
        <f t="shared" si="28"/>
        <v>50</v>
      </c>
    </row>
    <row r="861" spans="1:11" x14ac:dyDescent="0.2">
      <c r="A861" s="11" t="s">
        <v>37</v>
      </c>
      <c r="B861" s="11" t="str">
        <f t="shared" si="27"/>
        <v>030010</v>
      </c>
      <c r="C861" s="11" t="str">
        <f>_xlfn.CONCAT(+VLOOKUP(VALUE(MID(A861,13,2)),'Tabla de codigos'!$A$2:$B$60,2,1)," ",VLOOKUP(VALUE(MID(A861,15,4)),'Tabla de codigos'!$E$2:$F$102,2,1))</f>
        <v>BAÑO 6</v>
      </c>
      <c r="D861" s="11" t="s">
        <v>509</v>
      </c>
      <c r="E861" s="11" t="s">
        <v>145</v>
      </c>
      <c r="F861" s="11" t="s">
        <v>510</v>
      </c>
      <c r="G861" s="11" t="s">
        <v>511</v>
      </c>
      <c r="H861" s="11">
        <v>50</v>
      </c>
      <c r="I861" s="15">
        <v>0</v>
      </c>
      <c r="J861" s="15">
        <f t="shared" si="28"/>
        <v>50</v>
      </c>
    </row>
    <row r="862" spans="1:11" x14ac:dyDescent="0.2">
      <c r="A862" s="11" t="s">
        <v>416</v>
      </c>
      <c r="B862" s="11" t="str">
        <f t="shared" si="27"/>
        <v>030011</v>
      </c>
      <c r="C862" s="11" t="str">
        <f>_xlfn.CONCAT(+VLOOKUP(VALUE(MID(A862,13,2)),'Tabla de codigos'!$A$2:$B$60,2,1)," ",VLOOKUP(VALUE(MID(A862,15,4)),'Tabla de codigos'!$E$2:$F$102,2,1))</f>
        <v>BAÑO 7</v>
      </c>
      <c r="D862" s="11" t="s">
        <v>509</v>
      </c>
      <c r="E862" s="11" t="s">
        <v>145</v>
      </c>
      <c r="F862" s="11" t="s">
        <v>510</v>
      </c>
      <c r="G862" s="11" t="s">
        <v>511</v>
      </c>
      <c r="H862" s="11">
        <v>50</v>
      </c>
      <c r="I862" s="15">
        <v>50</v>
      </c>
      <c r="J862" s="15">
        <f t="shared" si="28"/>
        <v>0</v>
      </c>
    </row>
    <row r="863" spans="1:11" x14ac:dyDescent="0.2">
      <c r="A863" s="11" t="s">
        <v>210</v>
      </c>
      <c r="B863" s="11" t="str">
        <f t="shared" si="27"/>
        <v>030012</v>
      </c>
      <c r="C863" s="11" t="str">
        <f>_xlfn.CONCAT(+VLOOKUP(VALUE(MID(A863,13,2)),'Tabla de codigos'!$A$2:$B$60,2,1)," ",VLOOKUP(VALUE(MID(A863,15,4)),'Tabla de codigos'!$E$2:$F$102,2,1))</f>
        <v>BAÑO 8</v>
      </c>
      <c r="D863" s="11" t="s">
        <v>509</v>
      </c>
      <c r="E863" s="11" t="s">
        <v>145</v>
      </c>
      <c r="F863" s="11" t="s">
        <v>510</v>
      </c>
      <c r="G863" s="11" t="s">
        <v>511</v>
      </c>
      <c r="H863" s="11">
        <v>50</v>
      </c>
      <c r="I863" s="15">
        <v>1</v>
      </c>
      <c r="J863" s="15">
        <f t="shared" si="28"/>
        <v>49</v>
      </c>
    </row>
    <row r="864" spans="1:11" x14ac:dyDescent="0.2">
      <c r="A864" s="11" t="s">
        <v>211</v>
      </c>
      <c r="B864" s="11" t="str">
        <f t="shared" si="27"/>
        <v>030013</v>
      </c>
      <c r="C864" s="11" t="str">
        <f>_xlfn.CONCAT(+VLOOKUP(VALUE(MID(A864,13,2)),'Tabla de codigos'!$A$2:$B$60,2,1)," ",VLOOKUP(VALUE(MID(A864,15,4)),'Tabla de codigos'!$E$2:$F$102,2,1))</f>
        <v>BAÑO 10</v>
      </c>
      <c r="D864" s="11" t="s">
        <v>509</v>
      </c>
      <c r="E864" s="11" t="s">
        <v>145</v>
      </c>
      <c r="F864" s="11" t="s">
        <v>510</v>
      </c>
      <c r="G864" s="11" t="s">
        <v>511</v>
      </c>
      <c r="H864" s="11">
        <v>30</v>
      </c>
      <c r="I864" s="15">
        <v>30</v>
      </c>
      <c r="J864" s="15">
        <f t="shared" si="28"/>
        <v>0</v>
      </c>
    </row>
    <row r="865" spans="1:11" x14ac:dyDescent="0.2">
      <c r="A865" s="11" t="s">
        <v>212</v>
      </c>
      <c r="B865" s="11" t="str">
        <f t="shared" si="27"/>
        <v>030014</v>
      </c>
      <c r="C865" s="11" t="str">
        <f>_xlfn.CONCAT(+VLOOKUP(VALUE(MID(A865,13,2)),'Tabla de codigos'!$A$2:$B$60,2,1)," ",VLOOKUP(VALUE(MID(A865,15,4)),'Tabla de codigos'!$E$2:$F$102,2,1))</f>
        <v>BAÑO 12</v>
      </c>
      <c r="D865" s="11" t="s">
        <v>509</v>
      </c>
      <c r="E865" s="11" t="s">
        <v>145</v>
      </c>
      <c r="F865" s="11" t="s">
        <v>510</v>
      </c>
      <c r="G865" s="11" t="s">
        <v>511</v>
      </c>
      <c r="H865" s="11">
        <v>30</v>
      </c>
      <c r="I865" s="15">
        <v>0</v>
      </c>
      <c r="J865" s="15">
        <f t="shared" si="28"/>
        <v>30</v>
      </c>
      <c r="K865" s="17">
        <f>(SUM(I856:I865))/(SUM(H856:H865))</f>
        <v>0.19767441860465115</v>
      </c>
    </row>
    <row r="866" spans="1:11" x14ac:dyDescent="0.2">
      <c r="A866" s="11" t="s">
        <v>512</v>
      </c>
      <c r="B866" s="11" t="str">
        <f t="shared" si="27"/>
        <v>060102</v>
      </c>
      <c r="C866" s="11" t="str">
        <f>_xlfn.CONCAT(+VLOOKUP(VALUE(MID(A866,13,2)),'Tabla de codigos'!$A$2:$B$60,2,1)," ",VLOOKUP(VALUE(MID(A866,15,4)),'Tabla de codigos'!$E$2:$F$102,2,1))</f>
        <v>BUDINERA   5.5</v>
      </c>
      <c r="D866" s="11" t="s">
        <v>513</v>
      </c>
      <c r="E866" s="11" t="s">
        <v>319</v>
      </c>
      <c r="F866" s="11" t="s">
        <v>514</v>
      </c>
      <c r="G866" s="11" t="s">
        <v>515</v>
      </c>
      <c r="H866" s="11">
        <v>25</v>
      </c>
      <c r="I866" s="15">
        <v>25</v>
      </c>
      <c r="J866" s="15">
        <f t="shared" si="28"/>
        <v>0</v>
      </c>
    </row>
    <row r="867" spans="1:11" x14ac:dyDescent="0.2">
      <c r="A867" s="11" t="s">
        <v>516</v>
      </c>
      <c r="B867" s="11" t="str">
        <f t="shared" si="27"/>
        <v>430001</v>
      </c>
      <c r="C867" s="11" t="str">
        <f>_xlfn.CONCAT(+VLOOKUP(VALUE(MID(A867,13,2)),'Tabla de codigos'!$A$2:$B$60,2,1)," ",VLOOKUP(VALUE(MID(A867,15,4)),'Tabla de codigos'!$E$2:$F$102,2,1))</f>
        <v>VAJILLA S/I</v>
      </c>
      <c r="D867" s="11" t="s">
        <v>513</v>
      </c>
      <c r="E867" s="11" t="s">
        <v>319</v>
      </c>
      <c r="F867" s="11" t="s">
        <v>514</v>
      </c>
      <c r="G867" s="11" t="s">
        <v>515</v>
      </c>
      <c r="H867" s="11">
        <v>50</v>
      </c>
      <c r="I867" s="15">
        <v>1</v>
      </c>
      <c r="J867" s="15">
        <f t="shared" si="28"/>
        <v>49</v>
      </c>
    </row>
    <row r="868" spans="1:11" x14ac:dyDescent="0.2">
      <c r="A868" s="11" t="s">
        <v>517</v>
      </c>
      <c r="B868" s="11" t="str">
        <f t="shared" si="27"/>
        <v>520030</v>
      </c>
      <c r="C868" s="11" t="str">
        <f>_xlfn.CONCAT(+VLOOKUP(VALUE(MID(A868,13,2)),'Tabla de codigos'!$A$2:$B$60,2,1)," ",VLOOKUP(VALUE(MID(A868,15,4)),'Tabla de codigos'!$E$2:$F$102,2,1))</f>
        <v>PLATO OVAL 32</v>
      </c>
      <c r="D868" s="11" t="s">
        <v>513</v>
      </c>
      <c r="E868" s="11" t="s">
        <v>319</v>
      </c>
      <c r="F868" s="11" t="s">
        <v>514</v>
      </c>
      <c r="G868" s="11" t="s">
        <v>515</v>
      </c>
      <c r="H868" s="11">
        <v>25</v>
      </c>
      <c r="I868" s="15">
        <v>25</v>
      </c>
      <c r="J868" s="15">
        <f t="shared" si="28"/>
        <v>0</v>
      </c>
    </row>
    <row r="869" spans="1:11" x14ac:dyDescent="0.2">
      <c r="A869" s="11" t="s">
        <v>518</v>
      </c>
      <c r="B869" s="11" t="str">
        <f t="shared" si="27"/>
        <v>540009</v>
      </c>
      <c r="C869" s="11" t="str">
        <f>_xlfn.CONCAT(+VLOOKUP(VALUE(MID(A869,13,2)),'Tabla de codigos'!$A$2:$B$60,2,1)," ",VLOOKUP(VALUE(MID(A869,15,4)),'Tabla de codigos'!$E$2:$F$102,2,1))</f>
        <v>JARRA ABOMBADA 5</v>
      </c>
      <c r="D869" s="11" t="s">
        <v>513</v>
      </c>
      <c r="E869" s="11" t="s">
        <v>319</v>
      </c>
      <c r="F869" s="11" t="s">
        <v>514</v>
      </c>
      <c r="G869" s="11" t="s">
        <v>515</v>
      </c>
      <c r="H869" s="11">
        <v>25</v>
      </c>
      <c r="I869" s="15">
        <v>2</v>
      </c>
      <c r="J869" s="15">
        <f t="shared" si="28"/>
        <v>23</v>
      </c>
    </row>
    <row r="870" spans="1:11" x14ac:dyDescent="0.2">
      <c r="A870" s="11" t="s">
        <v>519</v>
      </c>
      <c r="B870" s="11" t="str">
        <f t="shared" si="27"/>
        <v>210009</v>
      </c>
      <c r="C870" s="11" t="str">
        <f>_xlfn.CONCAT(+VLOOKUP(VALUE(MID(A870,13,2)),'Tabla de codigos'!$A$2:$B$60,2,1)," ",VLOOKUP(VALUE(MID(A870,15,4)),'Tabla de codigos'!$E$2:$F$102,2,1))</f>
        <v>JUEGO 5</v>
      </c>
      <c r="D870" s="11" t="s">
        <v>513</v>
      </c>
      <c r="E870" s="11" t="s">
        <v>319</v>
      </c>
      <c r="F870" s="11" t="s">
        <v>514</v>
      </c>
      <c r="G870" s="11" t="s">
        <v>515</v>
      </c>
      <c r="H870" s="11">
        <v>50</v>
      </c>
      <c r="I870" s="15">
        <v>13</v>
      </c>
      <c r="J870" s="15">
        <f t="shared" si="28"/>
        <v>37</v>
      </c>
      <c r="K870" s="17">
        <f>(SUM(I866:I870))/(SUM(H866:H870))</f>
        <v>0.37714285714285717</v>
      </c>
    </row>
    <row r="871" spans="1:11" x14ac:dyDescent="0.2">
      <c r="A871" s="11" t="s">
        <v>19</v>
      </c>
      <c r="B871" s="11" t="str">
        <f t="shared" si="27"/>
        <v>010025</v>
      </c>
      <c r="C871" s="11" t="str">
        <f>_xlfn.CONCAT(+VLOOKUP(VALUE(MID(A871,13,2)),'Tabla de codigos'!$A$2:$B$60,2,1)," ",VLOOKUP(VALUE(MID(A871,15,4)),'Tabla de codigos'!$E$2:$F$102,2,1))</f>
        <v>BACINICA 24</v>
      </c>
      <c r="D871" s="11" t="s">
        <v>520</v>
      </c>
      <c r="E871" s="11" t="s">
        <v>11</v>
      </c>
      <c r="F871" s="11" t="s">
        <v>521</v>
      </c>
      <c r="G871" s="11" t="s">
        <v>522</v>
      </c>
      <c r="H871" s="11">
        <v>24</v>
      </c>
      <c r="I871" s="15">
        <v>0</v>
      </c>
      <c r="J871" s="15">
        <f t="shared" si="28"/>
        <v>24</v>
      </c>
    </row>
    <row r="872" spans="1:11" x14ac:dyDescent="0.2">
      <c r="A872" s="11" t="s">
        <v>255</v>
      </c>
      <c r="B872" s="11" t="str">
        <f t="shared" si="27"/>
        <v>060014</v>
      </c>
      <c r="C872" s="11" t="str">
        <f>_xlfn.CONCAT(+VLOOKUP(VALUE(MID(A872,13,2)),'Tabla de codigos'!$A$2:$B$60,2,1)," ",VLOOKUP(VALUE(MID(A872,15,4)),'Tabla de codigos'!$E$2:$F$102,2,1))</f>
        <v>BUDINERA   12</v>
      </c>
      <c r="D872" s="11" t="s">
        <v>520</v>
      </c>
      <c r="E872" s="11" t="s">
        <v>11</v>
      </c>
      <c r="F872" s="11" t="s">
        <v>521</v>
      </c>
      <c r="G872" s="11" t="s">
        <v>522</v>
      </c>
      <c r="H872" s="11">
        <v>72</v>
      </c>
      <c r="I872" s="15">
        <v>0</v>
      </c>
      <c r="J872" s="15">
        <f t="shared" si="28"/>
        <v>72</v>
      </c>
    </row>
    <row r="873" spans="1:11" x14ac:dyDescent="0.2">
      <c r="A873" s="11" t="s">
        <v>256</v>
      </c>
      <c r="B873" s="11" t="str">
        <f t="shared" si="27"/>
        <v>060015</v>
      </c>
      <c r="C873" s="11" t="str">
        <f>_xlfn.CONCAT(+VLOOKUP(VALUE(MID(A873,13,2)),'Tabla de codigos'!$A$2:$B$60,2,1)," ",VLOOKUP(VALUE(MID(A873,15,4)),'Tabla de codigos'!$E$2:$F$102,2,1))</f>
        <v>BUDINERA   14</v>
      </c>
      <c r="D873" s="11" t="s">
        <v>520</v>
      </c>
      <c r="E873" s="11" t="s">
        <v>11</v>
      </c>
      <c r="F873" s="11" t="s">
        <v>521</v>
      </c>
      <c r="G873" s="11" t="s">
        <v>522</v>
      </c>
      <c r="H873" s="11">
        <v>72</v>
      </c>
      <c r="I873" s="15">
        <v>0</v>
      </c>
      <c r="J873" s="15">
        <f t="shared" si="28"/>
        <v>72</v>
      </c>
    </row>
    <row r="874" spans="1:11" x14ac:dyDescent="0.2">
      <c r="A874" s="11" t="s">
        <v>189</v>
      </c>
      <c r="B874" s="11" t="str">
        <f t="shared" si="27"/>
        <v>060017</v>
      </c>
      <c r="C874" s="11" t="str">
        <f>_xlfn.CONCAT(+VLOOKUP(VALUE(MID(A874,13,2)),'Tabla de codigos'!$A$2:$B$60,2,1)," ",VLOOKUP(VALUE(MID(A874,15,4)),'Tabla de codigos'!$E$2:$F$102,2,1))</f>
        <v>BUDINERA   16</v>
      </c>
      <c r="D874" s="11" t="s">
        <v>520</v>
      </c>
      <c r="E874" s="11" t="s">
        <v>11</v>
      </c>
      <c r="F874" s="11" t="s">
        <v>521</v>
      </c>
      <c r="G874" s="11" t="s">
        <v>522</v>
      </c>
      <c r="H874" s="11">
        <v>54</v>
      </c>
      <c r="I874" s="15">
        <v>0</v>
      </c>
      <c r="J874" s="15">
        <f t="shared" si="28"/>
        <v>54</v>
      </c>
    </row>
    <row r="875" spans="1:11" x14ac:dyDescent="0.2">
      <c r="A875" s="11" t="s">
        <v>214</v>
      </c>
      <c r="B875" s="11" t="str">
        <f t="shared" si="27"/>
        <v>060021</v>
      </c>
      <c r="C875" s="11" t="str">
        <f>_xlfn.CONCAT(+VLOOKUP(VALUE(MID(A875,13,2)),'Tabla de codigos'!$A$2:$B$60,2,1)," ",VLOOKUP(VALUE(MID(A875,15,4)),'Tabla de codigos'!$E$2:$F$102,2,1))</f>
        <v>BUDINERA   18</v>
      </c>
      <c r="D875" s="11" t="s">
        <v>520</v>
      </c>
      <c r="E875" s="11" t="s">
        <v>11</v>
      </c>
      <c r="F875" s="11" t="s">
        <v>521</v>
      </c>
      <c r="G875" s="11" t="s">
        <v>522</v>
      </c>
      <c r="H875" s="11">
        <v>36</v>
      </c>
      <c r="I875" s="15">
        <v>0</v>
      </c>
      <c r="J875" s="15">
        <f t="shared" si="28"/>
        <v>36</v>
      </c>
    </row>
    <row r="876" spans="1:11" x14ac:dyDescent="0.2">
      <c r="A876" s="11" t="s">
        <v>215</v>
      </c>
      <c r="B876" s="11" t="str">
        <f t="shared" si="27"/>
        <v>060022</v>
      </c>
      <c r="C876" s="11" t="str">
        <f>_xlfn.CONCAT(+VLOOKUP(VALUE(MID(A876,13,2)),'Tabla de codigos'!$A$2:$B$60,2,1)," ",VLOOKUP(VALUE(MID(A876,15,4)),'Tabla de codigos'!$E$2:$F$102,2,1))</f>
        <v>BUDINERA   20</v>
      </c>
      <c r="D876" s="11" t="s">
        <v>520</v>
      </c>
      <c r="E876" s="11" t="s">
        <v>11</v>
      </c>
      <c r="F876" s="11" t="s">
        <v>521</v>
      </c>
      <c r="G876" s="11" t="s">
        <v>522</v>
      </c>
      <c r="H876" s="11">
        <v>18</v>
      </c>
      <c r="I876" s="15">
        <f>8+5</f>
        <v>13</v>
      </c>
      <c r="J876" s="15">
        <f t="shared" si="28"/>
        <v>5</v>
      </c>
    </row>
    <row r="877" spans="1:11" x14ac:dyDescent="0.2">
      <c r="A877" s="11" t="s">
        <v>169</v>
      </c>
      <c r="B877" s="11" t="str">
        <f t="shared" si="27"/>
        <v>060029</v>
      </c>
      <c r="C877" s="11" t="str">
        <f>_xlfn.CONCAT(+VLOOKUP(VALUE(MID(A877,13,2)),'Tabla de codigos'!$A$2:$B$60,2,1)," ",VLOOKUP(VALUE(MID(A877,15,4)),'Tabla de codigos'!$E$2:$F$102,2,1))</f>
        <v>BUDINERA   30</v>
      </c>
      <c r="D877" s="11" t="s">
        <v>520</v>
      </c>
      <c r="E877" s="11" t="s">
        <v>11</v>
      </c>
      <c r="F877" s="11" t="s">
        <v>521</v>
      </c>
      <c r="G877" s="11" t="s">
        <v>522</v>
      </c>
      <c r="H877" s="11">
        <v>8</v>
      </c>
      <c r="I877" s="15">
        <v>8</v>
      </c>
      <c r="J877" s="15">
        <f t="shared" si="28"/>
        <v>0</v>
      </c>
    </row>
    <row r="878" spans="1:11" x14ac:dyDescent="0.2">
      <c r="A878" s="11" t="s">
        <v>173</v>
      </c>
      <c r="B878" s="11" t="str">
        <f t="shared" si="27"/>
        <v>060031</v>
      </c>
      <c r="C878" s="11" t="str">
        <f>_xlfn.CONCAT(+VLOOKUP(VALUE(MID(A878,13,2)),'Tabla de codigos'!$A$2:$B$60,2,1)," ",VLOOKUP(VALUE(MID(A878,15,4)),'Tabla de codigos'!$E$2:$F$102,2,1))</f>
        <v>BUDINERA   34</v>
      </c>
      <c r="D878" s="11" t="s">
        <v>520</v>
      </c>
      <c r="E878" s="11" t="s">
        <v>11</v>
      </c>
      <c r="F878" s="11" t="s">
        <v>521</v>
      </c>
      <c r="G878" s="11" t="s">
        <v>522</v>
      </c>
      <c r="H878" s="11">
        <v>4</v>
      </c>
      <c r="I878" s="15">
        <v>4</v>
      </c>
      <c r="J878" s="15">
        <f t="shared" si="28"/>
        <v>0</v>
      </c>
    </row>
    <row r="879" spans="1:11" x14ac:dyDescent="0.2">
      <c r="A879" s="11" t="s">
        <v>38</v>
      </c>
      <c r="B879" s="11" t="str">
        <f t="shared" si="27"/>
        <v>060033</v>
      </c>
      <c r="C879" s="11" t="str">
        <f>_xlfn.CONCAT(+VLOOKUP(VALUE(MID(A879,13,2)),'Tabla de codigos'!$A$2:$B$60,2,1)," ",VLOOKUP(VALUE(MID(A879,15,4)),'Tabla de codigos'!$E$2:$F$102,2,1))</f>
        <v>BUDINERA   42</v>
      </c>
      <c r="D879" s="11" t="s">
        <v>520</v>
      </c>
      <c r="E879" s="11" t="s">
        <v>11</v>
      </c>
      <c r="F879" s="11" t="s">
        <v>521</v>
      </c>
      <c r="G879" s="11" t="s">
        <v>522</v>
      </c>
      <c r="H879" s="11">
        <v>4</v>
      </c>
      <c r="I879" s="15">
        <v>0</v>
      </c>
      <c r="J879" s="15">
        <f t="shared" si="28"/>
        <v>4</v>
      </c>
    </row>
    <row r="880" spans="1:11" x14ac:dyDescent="0.2">
      <c r="A880" s="11" t="s">
        <v>149</v>
      </c>
      <c r="B880" s="11" t="str">
        <f t="shared" si="27"/>
        <v>100028</v>
      </c>
      <c r="C880" s="11" t="str">
        <f>_xlfn.CONCAT(+VLOOKUP(VALUE(MID(A880,13,2)),'Tabla de codigos'!$A$2:$B$60,2,1)," ",VLOOKUP(VALUE(MID(A880,15,4)),'Tabla de codigos'!$E$2:$F$102,2,1))</f>
        <v>COMAL 28</v>
      </c>
      <c r="D880" s="11" t="s">
        <v>520</v>
      </c>
      <c r="E880" s="11" t="s">
        <v>11</v>
      </c>
      <c r="F880" s="11" t="s">
        <v>521</v>
      </c>
      <c r="G880" s="11" t="s">
        <v>522</v>
      </c>
      <c r="H880" s="11">
        <v>60</v>
      </c>
      <c r="I880" s="15">
        <f>24+36</f>
        <v>60</v>
      </c>
      <c r="J880" s="15">
        <f t="shared" si="28"/>
        <v>0</v>
      </c>
    </row>
    <row r="881" spans="1:10" x14ac:dyDescent="0.2">
      <c r="A881" s="11" t="s">
        <v>40</v>
      </c>
      <c r="B881" s="11" t="str">
        <f t="shared" si="27"/>
        <v>110012</v>
      </c>
      <c r="C881" s="11" t="str">
        <f>_xlfn.CONCAT(+VLOOKUP(VALUE(MID(A881,13,2)),'Tabla de codigos'!$A$2:$B$60,2,1)," ",VLOOKUP(VALUE(MID(A881,15,4)),'Tabla de codigos'!$E$2:$F$102,2,1))</f>
        <v>CUBETA 8</v>
      </c>
      <c r="D881" s="11" t="s">
        <v>520</v>
      </c>
      <c r="E881" s="11" t="s">
        <v>11</v>
      </c>
      <c r="F881" s="11" t="s">
        <v>521</v>
      </c>
      <c r="G881" s="11" t="s">
        <v>522</v>
      </c>
      <c r="H881" s="11">
        <v>6</v>
      </c>
      <c r="I881" s="15">
        <v>0</v>
      </c>
      <c r="J881" s="15">
        <f t="shared" si="28"/>
        <v>6</v>
      </c>
    </row>
    <row r="882" spans="1:10" x14ac:dyDescent="0.2">
      <c r="A882" s="11" t="s">
        <v>14</v>
      </c>
      <c r="B882" s="11" t="str">
        <f t="shared" si="27"/>
        <v>110013</v>
      </c>
      <c r="C882" s="11" t="str">
        <f>_xlfn.CONCAT(+VLOOKUP(VALUE(MID(A882,13,2)),'Tabla de codigos'!$A$2:$B$60,2,1)," ",VLOOKUP(VALUE(MID(A882,15,4)),'Tabla de codigos'!$E$2:$F$102,2,1))</f>
        <v>CUBETA 10</v>
      </c>
      <c r="D882" s="11" t="s">
        <v>520</v>
      </c>
      <c r="E882" s="11" t="s">
        <v>11</v>
      </c>
      <c r="F882" s="11" t="s">
        <v>521</v>
      </c>
      <c r="G882" s="11" t="s">
        <v>522</v>
      </c>
      <c r="H882" s="11">
        <v>6</v>
      </c>
      <c r="I882" s="15">
        <v>0</v>
      </c>
      <c r="J882" s="15">
        <f t="shared" si="28"/>
        <v>6</v>
      </c>
    </row>
    <row r="883" spans="1:10" x14ac:dyDescent="0.2">
      <c r="A883" s="11" t="s">
        <v>41</v>
      </c>
      <c r="B883" s="11" t="str">
        <f t="shared" si="27"/>
        <v>110014</v>
      </c>
      <c r="C883" s="11" t="str">
        <f>_xlfn.CONCAT(+VLOOKUP(VALUE(MID(A883,13,2)),'Tabla de codigos'!$A$2:$B$60,2,1)," ",VLOOKUP(VALUE(MID(A883,15,4)),'Tabla de codigos'!$E$2:$F$102,2,1))</f>
        <v>CUBETA 12</v>
      </c>
      <c r="D883" s="11" t="s">
        <v>520</v>
      </c>
      <c r="E883" s="11" t="s">
        <v>11</v>
      </c>
      <c r="F883" s="11" t="s">
        <v>521</v>
      </c>
      <c r="G883" s="11" t="s">
        <v>522</v>
      </c>
      <c r="H883" s="11">
        <v>6</v>
      </c>
      <c r="I883" s="15">
        <v>0</v>
      </c>
      <c r="J883" s="15">
        <f t="shared" si="28"/>
        <v>6</v>
      </c>
    </row>
    <row r="884" spans="1:10" x14ac:dyDescent="0.2">
      <c r="A884" s="11" t="s">
        <v>151</v>
      </c>
      <c r="B884" s="11" t="str">
        <f t="shared" si="27"/>
        <v>240022</v>
      </c>
      <c r="C884" s="11" t="str">
        <f>_xlfn.CONCAT(+VLOOKUP(VALUE(MID(A884,13,2)),'Tabla de codigos'!$A$2:$B$60,2,1)," ",VLOOKUP(VALUE(MID(A884,15,4)),'Tabla de codigos'!$E$2:$F$102,2,1))</f>
        <v>OLLA CONVEXA 20</v>
      </c>
      <c r="D884" s="11" t="s">
        <v>520</v>
      </c>
      <c r="E884" s="11" t="s">
        <v>11</v>
      </c>
      <c r="F884" s="11" t="s">
        <v>521</v>
      </c>
      <c r="G884" s="11" t="s">
        <v>522</v>
      </c>
      <c r="H884" s="11">
        <v>12</v>
      </c>
      <c r="I884" s="15">
        <v>0</v>
      </c>
      <c r="J884" s="15">
        <f t="shared" si="28"/>
        <v>12</v>
      </c>
    </row>
    <row r="885" spans="1:10" x14ac:dyDescent="0.2">
      <c r="A885" s="11" t="s">
        <v>43</v>
      </c>
      <c r="B885" s="11" t="str">
        <f t="shared" si="27"/>
        <v>240024</v>
      </c>
      <c r="C885" s="11" t="str">
        <f>_xlfn.CONCAT(+VLOOKUP(VALUE(MID(A885,13,2)),'Tabla de codigos'!$A$2:$B$60,2,1)," ",VLOOKUP(VALUE(MID(A885,15,4)),'Tabla de codigos'!$E$2:$F$102,2,1))</f>
        <v>OLLA CONVEXA 22</v>
      </c>
      <c r="D885" s="11" t="s">
        <v>520</v>
      </c>
      <c r="E885" s="11" t="s">
        <v>11</v>
      </c>
      <c r="F885" s="11" t="s">
        <v>521</v>
      </c>
      <c r="G885" s="11" t="s">
        <v>522</v>
      </c>
      <c r="H885" s="11">
        <v>6</v>
      </c>
      <c r="I885" s="15">
        <v>6</v>
      </c>
      <c r="J885" s="15">
        <f t="shared" si="28"/>
        <v>0</v>
      </c>
    </row>
    <row r="886" spans="1:10" x14ac:dyDescent="0.2">
      <c r="A886" s="11" t="s">
        <v>152</v>
      </c>
      <c r="B886" s="11" t="str">
        <f t="shared" si="27"/>
        <v>240025</v>
      </c>
      <c r="C886" s="11" t="str">
        <f>_xlfn.CONCAT(+VLOOKUP(VALUE(MID(A886,13,2)),'Tabla de codigos'!$A$2:$B$60,2,1)," ",VLOOKUP(VALUE(MID(A886,15,4)),'Tabla de codigos'!$E$2:$F$102,2,1))</f>
        <v>OLLA CONVEXA 24</v>
      </c>
      <c r="D886" s="11" t="s">
        <v>520</v>
      </c>
      <c r="E886" s="11" t="s">
        <v>11</v>
      </c>
      <c r="F886" s="11" t="s">
        <v>521</v>
      </c>
      <c r="G886" s="11" t="s">
        <v>522</v>
      </c>
      <c r="H886" s="11">
        <v>6</v>
      </c>
      <c r="I886" s="15">
        <v>6</v>
      </c>
      <c r="J886" s="15">
        <f t="shared" si="28"/>
        <v>0</v>
      </c>
    </row>
    <row r="887" spans="1:10" x14ac:dyDescent="0.2">
      <c r="A887" s="11" t="s">
        <v>222</v>
      </c>
      <c r="B887" s="11" t="str">
        <f t="shared" si="27"/>
        <v>250014</v>
      </c>
      <c r="C887" s="11" t="str">
        <f>_xlfn.CONCAT(+VLOOKUP(VALUE(MID(A887,13,2)),'Tabla de codigos'!$A$2:$B$60,2,1)," ",VLOOKUP(VALUE(MID(A887,15,4)),'Tabla de codigos'!$E$2:$F$102,2,1))</f>
        <v>OLLA RECTA 12</v>
      </c>
      <c r="D887" s="11" t="s">
        <v>520</v>
      </c>
      <c r="E887" s="11" t="s">
        <v>11</v>
      </c>
      <c r="F887" s="11" t="s">
        <v>521</v>
      </c>
      <c r="G887" s="11" t="s">
        <v>522</v>
      </c>
      <c r="H887" s="11">
        <v>72</v>
      </c>
      <c r="I887" s="15">
        <v>0</v>
      </c>
      <c r="J887" s="15">
        <f t="shared" si="28"/>
        <v>72</v>
      </c>
    </row>
    <row r="888" spans="1:10" x14ac:dyDescent="0.2">
      <c r="A888" s="11" t="s">
        <v>257</v>
      </c>
      <c r="B888" s="11" t="str">
        <f t="shared" si="27"/>
        <v>250015</v>
      </c>
      <c r="C888" s="11" t="str">
        <f>_xlfn.CONCAT(+VLOOKUP(VALUE(MID(A888,13,2)),'Tabla de codigos'!$A$2:$B$60,2,1)," ",VLOOKUP(VALUE(MID(A888,15,4)),'Tabla de codigos'!$E$2:$F$102,2,1))</f>
        <v>OLLA RECTA 14</v>
      </c>
      <c r="D888" s="11" t="s">
        <v>520</v>
      </c>
      <c r="E888" s="11" t="s">
        <v>11</v>
      </c>
      <c r="F888" s="11" t="s">
        <v>521</v>
      </c>
      <c r="G888" s="11" t="s">
        <v>522</v>
      </c>
      <c r="H888" s="11">
        <v>72</v>
      </c>
      <c r="I888" s="15">
        <v>0</v>
      </c>
      <c r="J888" s="15">
        <f t="shared" si="28"/>
        <v>72</v>
      </c>
    </row>
    <row r="889" spans="1:10" x14ac:dyDescent="0.2">
      <c r="A889" s="11" t="s">
        <v>258</v>
      </c>
      <c r="B889" s="11" t="str">
        <f t="shared" si="27"/>
        <v>250017</v>
      </c>
      <c r="C889" s="11" t="str">
        <f>_xlfn.CONCAT(+VLOOKUP(VALUE(MID(A889,13,2)),'Tabla de codigos'!$A$2:$B$60,2,1)," ",VLOOKUP(VALUE(MID(A889,15,4)),'Tabla de codigos'!$E$2:$F$102,2,1))</f>
        <v>OLLA RECTA 16</v>
      </c>
      <c r="D889" s="11" t="s">
        <v>520</v>
      </c>
      <c r="E889" s="11" t="s">
        <v>11</v>
      </c>
      <c r="F889" s="11" t="s">
        <v>521</v>
      </c>
      <c r="G889" s="11" t="s">
        <v>522</v>
      </c>
      <c r="H889" s="11">
        <v>48</v>
      </c>
      <c r="I889" s="15">
        <v>0</v>
      </c>
      <c r="J889" s="15">
        <f t="shared" si="28"/>
        <v>48</v>
      </c>
    </row>
    <row r="890" spans="1:10" x14ac:dyDescent="0.2">
      <c r="A890" s="11" t="s">
        <v>259</v>
      </c>
      <c r="B890" s="11" t="str">
        <f t="shared" si="27"/>
        <v>250021</v>
      </c>
      <c r="C890" s="11" t="str">
        <f>_xlfn.CONCAT(+VLOOKUP(VALUE(MID(A890,13,2)),'Tabla de codigos'!$A$2:$B$60,2,1)," ",VLOOKUP(VALUE(MID(A890,15,4)),'Tabla de codigos'!$E$2:$F$102,2,1))</f>
        <v>OLLA RECTA 18</v>
      </c>
      <c r="D890" s="11" t="s">
        <v>520</v>
      </c>
      <c r="E890" s="11" t="s">
        <v>11</v>
      </c>
      <c r="F890" s="11" t="s">
        <v>521</v>
      </c>
      <c r="G890" s="11" t="s">
        <v>522</v>
      </c>
      <c r="H890" s="11">
        <v>36</v>
      </c>
      <c r="I890" s="15">
        <v>36</v>
      </c>
      <c r="J890" s="15">
        <f t="shared" si="28"/>
        <v>0</v>
      </c>
    </row>
    <row r="891" spans="1:10" x14ac:dyDescent="0.2">
      <c r="A891" s="11" t="s">
        <v>260</v>
      </c>
      <c r="B891" s="11" t="str">
        <f t="shared" si="27"/>
        <v>250022</v>
      </c>
      <c r="C891" s="11" t="str">
        <f>_xlfn.CONCAT(+VLOOKUP(VALUE(MID(A891,13,2)),'Tabla de codigos'!$A$2:$B$60,2,1)," ",VLOOKUP(VALUE(MID(A891,15,4)),'Tabla de codigos'!$E$2:$F$102,2,1))</f>
        <v>OLLA RECTA 20</v>
      </c>
      <c r="D891" s="11" t="s">
        <v>520</v>
      </c>
      <c r="E891" s="11" t="s">
        <v>11</v>
      </c>
      <c r="F891" s="11" t="s">
        <v>521</v>
      </c>
      <c r="G891" s="11" t="s">
        <v>522</v>
      </c>
      <c r="H891" s="11">
        <v>36</v>
      </c>
      <c r="I891" s="15">
        <v>35</v>
      </c>
      <c r="J891" s="15">
        <f t="shared" si="28"/>
        <v>1</v>
      </c>
    </row>
    <row r="892" spans="1:10" x14ac:dyDescent="0.2">
      <c r="A892" s="11" t="s">
        <v>236</v>
      </c>
      <c r="B892" s="11" t="str">
        <f t="shared" si="27"/>
        <v>250024</v>
      </c>
      <c r="C892" s="11" t="str">
        <f>_xlfn.CONCAT(+VLOOKUP(VALUE(MID(A892,13,2)),'Tabla de codigos'!$A$2:$B$60,2,1)," ",VLOOKUP(VALUE(MID(A892,15,4)),'Tabla de codigos'!$E$2:$F$102,2,1))</f>
        <v>OLLA RECTA 22</v>
      </c>
      <c r="D892" s="11" t="s">
        <v>520</v>
      </c>
      <c r="E892" s="11" t="s">
        <v>11</v>
      </c>
      <c r="F892" s="11" t="s">
        <v>521</v>
      </c>
      <c r="G892" s="11" t="s">
        <v>522</v>
      </c>
      <c r="H892" s="11">
        <v>18</v>
      </c>
      <c r="I892" s="15">
        <v>18</v>
      </c>
      <c r="J892" s="15">
        <f t="shared" si="28"/>
        <v>0</v>
      </c>
    </row>
    <row r="893" spans="1:10" x14ac:dyDescent="0.2">
      <c r="A893" s="11" t="s">
        <v>237</v>
      </c>
      <c r="B893" s="11" t="str">
        <f t="shared" si="27"/>
        <v>250025</v>
      </c>
      <c r="C893" s="11" t="str">
        <f>_xlfn.CONCAT(+VLOOKUP(VALUE(MID(A893,13,2)),'Tabla de codigos'!$A$2:$B$60,2,1)," ",VLOOKUP(VALUE(MID(A893,15,4)),'Tabla de codigos'!$E$2:$F$102,2,1))</f>
        <v>OLLA RECTA 24</v>
      </c>
      <c r="D893" s="11" t="s">
        <v>520</v>
      </c>
      <c r="E893" s="11" t="s">
        <v>11</v>
      </c>
      <c r="F893" s="11" t="s">
        <v>521</v>
      </c>
      <c r="G893" s="11" t="s">
        <v>522</v>
      </c>
      <c r="H893" s="11">
        <v>6</v>
      </c>
      <c r="I893" s="15">
        <v>0</v>
      </c>
      <c r="J893" s="15">
        <f t="shared" si="28"/>
        <v>6</v>
      </c>
    </row>
    <row r="894" spans="1:10" x14ac:dyDescent="0.2">
      <c r="A894" s="11" t="s">
        <v>224</v>
      </c>
      <c r="B894" s="11" t="str">
        <f t="shared" si="27"/>
        <v>250026</v>
      </c>
      <c r="C894" s="11" t="str">
        <f>_xlfn.CONCAT(+VLOOKUP(VALUE(MID(A894,13,2)),'Tabla de codigos'!$A$2:$B$60,2,1)," ",VLOOKUP(VALUE(MID(A894,15,4)),'Tabla de codigos'!$E$2:$F$102,2,1))</f>
        <v>OLLA RECTA 26</v>
      </c>
      <c r="D894" s="11" t="s">
        <v>520</v>
      </c>
      <c r="E894" s="11" t="s">
        <v>11</v>
      </c>
      <c r="F894" s="11" t="s">
        <v>521</v>
      </c>
      <c r="G894" s="11" t="s">
        <v>522</v>
      </c>
      <c r="H894" s="11">
        <v>18</v>
      </c>
      <c r="I894" s="15">
        <v>0</v>
      </c>
      <c r="J894" s="15">
        <f t="shared" si="28"/>
        <v>18</v>
      </c>
    </row>
    <row r="895" spans="1:10" x14ac:dyDescent="0.2">
      <c r="A895" s="11" t="s">
        <v>336</v>
      </c>
      <c r="B895" s="11" t="str">
        <f t="shared" si="27"/>
        <v>250028</v>
      </c>
      <c r="C895" s="11" t="str">
        <f>_xlfn.CONCAT(+VLOOKUP(VALUE(MID(A895,13,2)),'Tabla de codigos'!$A$2:$B$60,2,1)," ",VLOOKUP(VALUE(MID(A895,15,4)),'Tabla de codigos'!$E$2:$F$102,2,1))</f>
        <v>OLLA RECTA 28</v>
      </c>
      <c r="D895" s="11" t="s">
        <v>520</v>
      </c>
      <c r="E895" s="11" t="s">
        <v>11</v>
      </c>
      <c r="F895" s="11" t="s">
        <v>521</v>
      </c>
      <c r="G895" s="11" t="s">
        <v>522</v>
      </c>
      <c r="H895" s="11">
        <v>6</v>
      </c>
      <c r="I895" s="15">
        <v>0</v>
      </c>
      <c r="J895" s="15">
        <f t="shared" si="28"/>
        <v>6</v>
      </c>
    </row>
    <row r="896" spans="1:10" x14ac:dyDescent="0.2">
      <c r="A896" s="11" t="s">
        <v>155</v>
      </c>
      <c r="B896" s="11" t="str">
        <f t="shared" si="27"/>
        <v>250029</v>
      </c>
      <c r="C896" s="11" t="str">
        <f>_xlfn.CONCAT(+VLOOKUP(VALUE(MID(A896,13,2)),'Tabla de codigos'!$A$2:$B$60,2,1)," ",VLOOKUP(VALUE(MID(A896,15,4)),'Tabla de codigos'!$E$2:$F$102,2,1))</f>
        <v>OLLA RECTA 30</v>
      </c>
      <c r="D896" s="11" t="s">
        <v>520</v>
      </c>
      <c r="E896" s="11" t="s">
        <v>11</v>
      </c>
      <c r="F896" s="11" t="s">
        <v>521</v>
      </c>
      <c r="G896" s="11" t="s">
        <v>522</v>
      </c>
      <c r="H896" s="11">
        <v>6</v>
      </c>
      <c r="I896" s="15">
        <v>0</v>
      </c>
      <c r="J896" s="15">
        <f t="shared" si="28"/>
        <v>6</v>
      </c>
    </row>
    <row r="897" spans="1:11" x14ac:dyDescent="0.2">
      <c r="A897" s="11" t="s">
        <v>156</v>
      </c>
      <c r="B897" s="11" t="str">
        <f t="shared" si="27"/>
        <v>250031</v>
      </c>
      <c r="C897" s="11" t="str">
        <f>_xlfn.CONCAT(+VLOOKUP(VALUE(MID(A897,13,2)),'Tabla de codigos'!$A$2:$B$60,2,1)," ",VLOOKUP(VALUE(MID(A897,15,4)),'Tabla de codigos'!$E$2:$F$102,2,1))</f>
        <v>OLLA RECTA 34</v>
      </c>
      <c r="D897" s="11" t="s">
        <v>520</v>
      </c>
      <c r="E897" s="11" t="s">
        <v>11</v>
      </c>
      <c r="F897" s="11" t="s">
        <v>521</v>
      </c>
      <c r="G897" s="11" t="s">
        <v>522</v>
      </c>
      <c r="H897" s="11">
        <v>6</v>
      </c>
      <c r="I897" s="15">
        <v>0</v>
      </c>
      <c r="J897" s="15">
        <f t="shared" si="28"/>
        <v>6</v>
      </c>
    </row>
    <row r="898" spans="1:11" x14ac:dyDescent="0.2">
      <c r="A898" s="11" t="s">
        <v>225</v>
      </c>
      <c r="B898" s="11" t="str">
        <f t="shared" si="27"/>
        <v>330012</v>
      </c>
      <c r="C898" s="11" t="str">
        <f>_xlfn.CONCAT(+VLOOKUP(VALUE(MID(A898,13,2)),'Tabla de codigos'!$A$2:$B$60,2,1)," ",VLOOKUP(VALUE(MID(A898,15,4)),'Tabla de codigos'!$E$2:$F$102,2,1))</f>
        <v>POCILLO 8</v>
      </c>
      <c r="D898" s="11" t="s">
        <v>520</v>
      </c>
      <c r="E898" s="11" t="s">
        <v>11</v>
      </c>
      <c r="F898" s="11" t="s">
        <v>521</v>
      </c>
      <c r="G898" s="11" t="s">
        <v>522</v>
      </c>
      <c r="H898" s="11">
        <v>96</v>
      </c>
      <c r="I898" s="15">
        <v>96</v>
      </c>
      <c r="J898" s="15">
        <f t="shared" si="28"/>
        <v>0</v>
      </c>
    </row>
    <row r="899" spans="1:11" x14ac:dyDescent="0.2">
      <c r="A899" s="11" t="s">
        <v>226</v>
      </c>
      <c r="B899" s="11" t="str">
        <f t="shared" ref="B899:B962" si="29">+MID(A899,13,6)</f>
        <v>330013</v>
      </c>
      <c r="C899" s="11" t="str">
        <f>_xlfn.CONCAT(+VLOOKUP(VALUE(MID(A899,13,2)),'Tabla de codigos'!$A$2:$B$60,2,1)," ",VLOOKUP(VALUE(MID(A899,15,4)),'Tabla de codigos'!$E$2:$F$102,2,1))</f>
        <v>POCILLO 10</v>
      </c>
      <c r="D899" s="11" t="s">
        <v>520</v>
      </c>
      <c r="E899" s="11" t="s">
        <v>11</v>
      </c>
      <c r="F899" s="11" t="s">
        <v>521</v>
      </c>
      <c r="G899" s="11" t="s">
        <v>522</v>
      </c>
      <c r="H899" s="11">
        <v>96</v>
      </c>
      <c r="I899" s="15">
        <v>96</v>
      </c>
      <c r="J899" s="15">
        <f t="shared" si="28"/>
        <v>0</v>
      </c>
    </row>
    <row r="900" spans="1:11" x14ac:dyDescent="0.2">
      <c r="A900" s="11" t="s">
        <v>182</v>
      </c>
      <c r="B900" s="11" t="str">
        <f t="shared" si="29"/>
        <v>330015</v>
      </c>
      <c r="C900" s="11" t="str">
        <f>_xlfn.CONCAT(+VLOOKUP(VALUE(MID(A900,13,2)),'Tabla de codigos'!$A$2:$B$60,2,1)," ",VLOOKUP(VALUE(MID(A900,15,4)),'Tabla de codigos'!$E$2:$F$102,2,1))</f>
        <v>POCILLO 14</v>
      </c>
      <c r="D900" s="11" t="s">
        <v>520</v>
      </c>
      <c r="E900" s="11" t="s">
        <v>11</v>
      </c>
      <c r="F900" s="11" t="s">
        <v>521</v>
      </c>
      <c r="G900" s="11" t="s">
        <v>522</v>
      </c>
      <c r="H900" s="11">
        <v>24</v>
      </c>
      <c r="I900" s="15">
        <v>24</v>
      </c>
      <c r="J900" s="15">
        <f t="shared" si="28"/>
        <v>0</v>
      </c>
    </row>
    <row r="901" spans="1:11" x14ac:dyDescent="0.2">
      <c r="A901" s="11" t="s">
        <v>125</v>
      </c>
      <c r="B901" s="11" t="str">
        <f t="shared" si="29"/>
        <v>330015</v>
      </c>
      <c r="C901" s="11" t="str">
        <f>_xlfn.CONCAT(+VLOOKUP(VALUE(MID(A901,13,2)),'Tabla de codigos'!$A$2:$B$60,2,1)," ",VLOOKUP(VALUE(MID(A901,15,4)),'Tabla de codigos'!$E$2:$F$102,2,1))</f>
        <v>POCILLO 14</v>
      </c>
      <c r="D901" s="11" t="s">
        <v>520</v>
      </c>
      <c r="E901" s="11" t="s">
        <v>11</v>
      </c>
      <c r="F901" s="11" t="s">
        <v>521</v>
      </c>
      <c r="G901" s="11" t="s">
        <v>522</v>
      </c>
      <c r="H901" s="11">
        <v>18</v>
      </c>
      <c r="I901" s="15">
        <v>0</v>
      </c>
      <c r="J901" s="15">
        <f t="shared" si="28"/>
        <v>18</v>
      </c>
    </row>
    <row r="902" spans="1:11" x14ac:dyDescent="0.2">
      <c r="A902" s="11" t="s">
        <v>129</v>
      </c>
      <c r="B902" s="11" t="str">
        <f t="shared" si="29"/>
        <v>330015</v>
      </c>
      <c r="C902" s="11" t="str">
        <f>_xlfn.CONCAT(+VLOOKUP(VALUE(MID(A902,13,2)),'Tabla de codigos'!$A$2:$B$60,2,1)," ",VLOOKUP(VALUE(MID(A902,15,4)),'Tabla de codigos'!$E$2:$F$102,2,1))</f>
        <v>POCILLO 14</v>
      </c>
      <c r="D902" s="11" t="s">
        <v>520</v>
      </c>
      <c r="E902" s="11" t="s">
        <v>11</v>
      </c>
      <c r="F902" s="11" t="s">
        <v>521</v>
      </c>
      <c r="G902" s="11" t="s">
        <v>522</v>
      </c>
      <c r="H902" s="11">
        <v>18</v>
      </c>
      <c r="I902" s="15">
        <v>0</v>
      </c>
      <c r="J902" s="15">
        <f t="shared" si="28"/>
        <v>18</v>
      </c>
    </row>
    <row r="903" spans="1:11" x14ac:dyDescent="0.2">
      <c r="A903" s="11" t="s">
        <v>130</v>
      </c>
      <c r="B903" s="11" t="str">
        <f t="shared" si="29"/>
        <v>330015</v>
      </c>
      <c r="C903" s="11" t="str">
        <f>_xlfn.CONCAT(+VLOOKUP(VALUE(MID(A903,13,2)),'Tabla de codigos'!$A$2:$B$60,2,1)," ",VLOOKUP(VALUE(MID(A903,15,4)),'Tabla de codigos'!$E$2:$F$102,2,1))</f>
        <v>POCILLO 14</v>
      </c>
      <c r="D903" s="11" t="s">
        <v>520</v>
      </c>
      <c r="E903" s="11" t="s">
        <v>11</v>
      </c>
      <c r="F903" s="11" t="s">
        <v>521</v>
      </c>
      <c r="G903" s="11" t="s">
        <v>522</v>
      </c>
      <c r="H903" s="11">
        <v>18</v>
      </c>
      <c r="I903" s="15">
        <v>0</v>
      </c>
      <c r="J903" s="15">
        <f>+H903-I903</f>
        <v>18</v>
      </c>
      <c r="K903" s="17">
        <f>(SUM(I871:I903))/(SUM(H871:H903))</f>
        <v>0.40688259109311742</v>
      </c>
    </row>
    <row r="904" spans="1:11" x14ac:dyDescent="0.2">
      <c r="A904" s="11" t="s">
        <v>75</v>
      </c>
      <c r="B904" s="11" t="str">
        <f t="shared" si="29"/>
        <v>330009</v>
      </c>
      <c r="C904" s="11" t="str">
        <f>_xlfn.CONCAT(+VLOOKUP(VALUE(MID(A904,13,2)),'Tabla de codigos'!$A$2:$B$60,2,1)," ",VLOOKUP(VALUE(MID(A904,15,4)),'Tabla de codigos'!$E$2:$F$102,2,1))</f>
        <v>POCILLO 5</v>
      </c>
      <c r="D904" s="11" t="s">
        <v>520</v>
      </c>
      <c r="E904" s="11" t="s">
        <v>11</v>
      </c>
      <c r="F904" s="11" t="s">
        <v>523</v>
      </c>
      <c r="G904" s="11" t="s">
        <v>522</v>
      </c>
      <c r="H904" s="11">
        <v>72</v>
      </c>
      <c r="I904" s="15">
        <f>3+9+48+12</f>
        <v>72</v>
      </c>
      <c r="J904" s="15">
        <f t="shared" ref="J904:J967" si="30">+H904-I904</f>
        <v>0</v>
      </c>
    </row>
    <row r="905" spans="1:11" x14ac:dyDescent="0.2">
      <c r="A905" s="11" t="s">
        <v>77</v>
      </c>
      <c r="B905" s="11" t="str">
        <f t="shared" si="29"/>
        <v>330009</v>
      </c>
      <c r="C905" s="11" t="str">
        <f>_xlfn.CONCAT(+VLOOKUP(VALUE(MID(A905,13,2)),'Tabla de codigos'!$A$2:$B$60,2,1)," ",VLOOKUP(VALUE(MID(A905,15,4)),'Tabla de codigos'!$E$2:$F$102,2,1))</f>
        <v>POCILLO 5</v>
      </c>
      <c r="D905" s="11" t="s">
        <v>520</v>
      </c>
      <c r="E905" s="11" t="s">
        <v>11</v>
      </c>
      <c r="F905" s="11" t="s">
        <v>523</v>
      </c>
      <c r="G905" s="11" t="s">
        <v>522</v>
      </c>
      <c r="H905" s="11">
        <v>72</v>
      </c>
      <c r="I905" s="15">
        <v>0</v>
      </c>
      <c r="J905" s="15">
        <f t="shared" si="30"/>
        <v>72</v>
      </c>
    </row>
    <row r="906" spans="1:11" x14ac:dyDescent="0.2">
      <c r="A906" s="11" t="s">
        <v>299</v>
      </c>
      <c r="B906" s="11" t="str">
        <f t="shared" si="29"/>
        <v>330012</v>
      </c>
      <c r="C906" s="11" t="str">
        <f>_xlfn.CONCAT(+VLOOKUP(VALUE(MID(A906,13,2)),'Tabla de codigos'!$A$2:$B$60,2,1)," ",VLOOKUP(VALUE(MID(A906,15,4)),'Tabla de codigos'!$E$2:$F$102,2,1))</f>
        <v>POCILLO 8</v>
      </c>
      <c r="D906" s="11" t="s">
        <v>520</v>
      </c>
      <c r="E906" s="11" t="s">
        <v>11</v>
      </c>
      <c r="F906" s="11" t="s">
        <v>523</v>
      </c>
      <c r="G906" s="11" t="s">
        <v>522</v>
      </c>
      <c r="H906" s="11">
        <v>72</v>
      </c>
      <c r="I906" s="15">
        <f>15+8+15</f>
        <v>38</v>
      </c>
      <c r="J906" s="15">
        <f t="shared" si="30"/>
        <v>34</v>
      </c>
    </row>
    <row r="907" spans="1:11" x14ac:dyDescent="0.2">
      <c r="A907" s="11" t="s">
        <v>93</v>
      </c>
      <c r="B907" s="11" t="str">
        <f t="shared" si="29"/>
        <v>400012</v>
      </c>
      <c r="C907" s="11" t="str">
        <f>_xlfn.CONCAT(+VLOOKUP(VALUE(MID(A907,13,2)),'Tabla de codigos'!$A$2:$B$60,2,1)," ",VLOOKUP(VALUE(MID(A907,15,4)),'Tabla de codigos'!$E$2:$F$102,2,1))</f>
        <v>TAZON INCLINADO 8</v>
      </c>
      <c r="D907" s="11" t="s">
        <v>520</v>
      </c>
      <c r="E907" s="11" t="s">
        <v>11</v>
      </c>
      <c r="F907" s="11" t="s">
        <v>523</v>
      </c>
      <c r="G907" s="11" t="s">
        <v>522</v>
      </c>
      <c r="H907" s="11">
        <v>72</v>
      </c>
      <c r="I907" s="15">
        <v>0</v>
      </c>
      <c r="J907" s="15">
        <f t="shared" si="30"/>
        <v>72</v>
      </c>
    </row>
    <row r="908" spans="1:11" x14ac:dyDescent="0.2">
      <c r="A908" s="11" t="s">
        <v>306</v>
      </c>
      <c r="B908" s="11" t="str">
        <f t="shared" si="29"/>
        <v>420021</v>
      </c>
      <c r="C908" s="11" t="str">
        <f>_xlfn.CONCAT(+VLOOKUP(VALUE(MID(A908,13,2)),'Tabla de codigos'!$A$2:$B$60,2,1)," ",VLOOKUP(VALUE(MID(A908,15,4)),'Tabla de codigos'!$E$2:$F$102,2,1))</f>
        <v>TORTILLERO  18</v>
      </c>
      <c r="D908" s="11" t="s">
        <v>520</v>
      </c>
      <c r="E908" s="11" t="s">
        <v>11</v>
      </c>
      <c r="F908" s="11" t="s">
        <v>523</v>
      </c>
      <c r="G908" s="11" t="s">
        <v>522</v>
      </c>
      <c r="H908" s="11">
        <v>6</v>
      </c>
      <c r="I908" s="15">
        <v>0</v>
      </c>
      <c r="J908" s="15">
        <f t="shared" si="30"/>
        <v>6</v>
      </c>
    </row>
    <row r="909" spans="1:11" x14ac:dyDescent="0.2">
      <c r="A909" s="11" t="s">
        <v>23</v>
      </c>
      <c r="B909" s="11" t="str">
        <f t="shared" si="29"/>
        <v>420021</v>
      </c>
      <c r="C909" s="11" t="str">
        <f>_xlfn.CONCAT(+VLOOKUP(VALUE(MID(A909,13,2)),'Tabla de codigos'!$A$2:$B$60,2,1)," ",VLOOKUP(VALUE(MID(A909,15,4)),'Tabla de codigos'!$E$2:$F$102,2,1))</f>
        <v>TORTILLERO  18</v>
      </c>
      <c r="D909" s="11" t="s">
        <v>520</v>
      </c>
      <c r="E909" s="11" t="s">
        <v>11</v>
      </c>
      <c r="F909" s="11" t="s">
        <v>523</v>
      </c>
      <c r="G909" s="11" t="s">
        <v>522</v>
      </c>
      <c r="H909" s="11">
        <v>6</v>
      </c>
      <c r="I909" s="15">
        <v>0</v>
      </c>
      <c r="J909" s="15">
        <f t="shared" si="30"/>
        <v>6</v>
      </c>
    </row>
    <row r="910" spans="1:11" x14ac:dyDescent="0.2">
      <c r="A910" s="11" t="s">
        <v>101</v>
      </c>
      <c r="B910" s="11" t="str">
        <f t="shared" si="29"/>
        <v>330010</v>
      </c>
      <c r="C910" s="11" t="str">
        <f>_xlfn.CONCAT(+VLOOKUP(VALUE(MID(A910,13,2)),'Tabla de codigos'!$A$2:$B$60,2,1)," ",VLOOKUP(VALUE(MID(A910,15,4)),'Tabla de codigos'!$E$2:$F$102,2,1))</f>
        <v>POCILLO 6</v>
      </c>
      <c r="D910" s="11" t="s">
        <v>520</v>
      </c>
      <c r="E910" s="11" t="s">
        <v>11</v>
      </c>
      <c r="F910" s="11" t="s">
        <v>523</v>
      </c>
      <c r="G910" s="11" t="s">
        <v>522</v>
      </c>
      <c r="H910" s="11">
        <v>72</v>
      </c>
      <c r="I910" s="15">
        <v>0</v>
      </c>
      <c r="J910" s="15">
        <f t="shared" si="30"/>
        <v>72</v>
      </c>
      <c r="K910" s="17">
        <f>(SUM(I904:I910))/(SUM(H904:H910))</f>
        <v>0.29569892473118281</v>
      </c>
    </row>
    <row r="911" spans="1:11" x14ac:dyDescent="0.2">
      <c r="A911" s="27" t="s">
        <v>302</v>
      </c>
      <c r="B911" s="11" t="str">
        <f t="shared" si="29"/>
        <v>390012</v>
      </c>
      <c r="C911" s="11" t="str">
        <f>_xlfn.CONCAT(+VLOOKUP(VALUE(MID(A911,13,2)),'Tabla de codigos'!$A$2:$B$60,2,1)," ",VLOOKUP(VALUE(MID(A911,15,4)),'Tabla de codigos'!$E$2:$F$102,2,1))</f>
        <v>TAZON  8</v>
      </c>
      <c r="D911" s="27" t="s">
        <v>524</v>
      </c>
      <c r="E911" s="27" t="s">
        <v>11</v>
      </c>
      <c r="F911" s="27" t="s">
        <v>525</v>
      </c>
      <c r="G911" s="27" t="s">
        <v>526</v>
      </c>
      <c r="H911" s="27">
        <v>108</v>
      </c>
      <c r="I911" s="40">
        <f>18+90</f>
        <v>108</v>
      </c>
      <c r="J911" s="15">
        <f t="shared" si="30"/>
        <v>0</v>
      </c>
      <c r="K911" s="17">
        <f>(SUM(I911))/(SUM(H911))</f>
        <v>1</v>
      </c>
    </row>
    <row r="912" spans="1:11" x14ac:dyDescent="0.2">
      <c r="A912" s="11" t="s">
        <v>189</v>
      </c>
      <c r="B912" s="11" t="str">
        <f t="shared" si="29"/>
        <v>060017</v>
      </c>
      <c r="C912" s="11" t="str">
        <f>_xlfn.CONCAT(+VLOOKUP(VALUE(MID(A912,13,2)),'Tabla de codigos'!$A$2:$B$60,2,1)," ",VLOOKUP(VALUE(MID(A912,15,4)),'Tabla de codigos'!$E$2:$F$102,2,1))</f>
        <v>BUDINERA   16</v>
      </c>
      <c r="D912" s="11" t="s">
        <v>527</v>
      </c>
      <c r="E912" s="11" t="s">
        <v>11</v>
      </c>
      <c r="F912" s="11" t="s">
        <v>528</v>
      </c>
      <c r="G912" s="11" t="s">
        <v>529</v>
      </c>
      <c r="H912" s="11">
        <v>18</v>
      </c>
      <c r="I912" s="15">
        <v>0</v>
      </c>
      <c r="J912" s="15">
        <f t="shared" si="30"/>
        <v>18</v>
      </c>
    </row>
    <row r="913" spans="1:10" x14ac:dyDescent="0.2">
      <c r="A913" s="11" t="s">
        <v>214</v>
      </c>
      <c r="B913" s="11" t="str">
        <f t="shared" si="29"/>
        <v>060021</v>
      </c>
      <c r="C913" s="11" t="str">
        <f>_xlfn.CONCAT(+VLOOKUP(VALUE(MID(A913,13,2)),'Tabla de codigos'!$A$2:$B$60,2,1)," ",VLOOKUP(VALUE(MID(A913,15,4)),'Tabla de codigos'!$E$2:$F$102,2,1))</f>
        <v>BUDINERA   18</v>
      </c>
      <c r="D913" s="11" t="s">
        <v>527</v>
      </c>
      <c r="E913" s="11" t="s">
        <v>11</v>
      </c>
      <c r="F913" s="11" t="s">
        <v>528</v>
      </c>
      <c r="G913" s="11" t="s">
        <v>529</v>
      </c>
      <c r="H913" s="11">
        <v>18</v>
      </c>
      <c r="I913" s="15">
        <v>0</v>
      </c>
      <c r="J913" s="15">
        <f t="shared" si="30"/>
        <v>18</v>
      </c>
    </row>
    <row r="914" spans="1:10" x14ac:dyDescent="0.2">
      <c r="A914" s="11" t="s">
        <v>215</v>
      </c>
      <c r="B914" s="11" t="str">
        <f t="shared" si="29"/>
        <v>060022</v>
      </c>
      <c r="C914" s="11" t="str">
        <f>_xlfn.CONCAT(+VLOOKUP(VALUE(MID(A914,13,2)),'Tabla de codigos'!$A$2:$B$60,2,1)," ",VLOOKUP(VALUE(MID(A914,15,4)),'Tabla de codigos'!$E$2:$F$102,2,1))</f>
        <v>BUDINERA   20</v>
      </c>
      <c r="D914" s="11" t="s">
        <v>527</v>
      </c>
      <c r="E914" s="11" t="s">
        <v>11</v>
      </c>
      <c r="F914" s="11" t="s">
        <v>528</v>
      </c>
      <c r="G914" s="11" t="s">
        <v>529</v>
      </c>
      <c r="H914" s="11">
        <v>18</v>
      </c>
      <c r="I914" s="15">
        <v>0</v>
      </c>
      <c r="J914" s="15">
        <f t="shared" si="30"/>
        <v>18</v>
      </c>
    </row>
    <row r="915" spans="1:10" x14ac:dyDescent="0.2">
      <c r="A915" s="11" t="s">
        <v>241</v>
      </c>
      <c r="B915" s="11" t="str">
        <f t="shared" si="29"/>
        <v>060024</v>
      </c>
      <c r="C915" s="11" t="str">
        <f>_xlfn.CONCAT(+VLOOKUP(VALUE(MID(A915,13,2)),'Tabla de codigos'!$A$2:$B$60,2,1)," ",VLOOKUP(VALUE(MID(A915,15,4)),'Tabla de codigos'!$E$2:$F$102,2,1))</f>
        <v>BUDINERA   22</v>
      </c>
      <c r="D915" s="11" t="s">
        <v>527</v>
      </c>
      <c r="E915" s="11" t="s">
        <v>11</v>
      </c>
      <c r="F915" s="11" t="s">
        <v>528</v>
      </c>
      <c r="G915" s="11" t="s">
        <v>529</v>
      </c>
      <c r="H915" s="11">
        <v>12</v>
      </c>
      <c r="I915" s="15">
        <f>3+9</f>
        <v>12</v>
      </c>
      <c r="J915" s="15">
        <f t="shared" si="30"/>
        <v>0</v>
      </c>
    </row>
    <row r="916" spans="1:10" x14ac:dyDescent="0.2">
      <c r="A916" s="11" t="s">
        <v>143</v>
      </c>
      <c r="B916" s="11" t="str">
        <f t="shared" si="29"/>
        <v>060025</v>
      </c>
      <c r="C916" s="11" t="str">
        <f>_xlfn.CONCAT(+VLOOKUP(VALUE(MID(A916,13,2)),'Tabla de codigos'!$A$2:$B$60,2,1)," ",VLOOKUP(VALUE(MID(A916,15,4)),'Tabla de codigos'!$E$2:$F$102,2,1))</f>
        <v>BUDINERA   24</v>
      </c>
      <c r="D916" s="11" t="s">
        <v>527</v>
      </c>
      <c r="E916" s="11" t="s">
        <v>11</v>
      </c>
      <c r="F916" s="11" t="s">
        <v>528</v>
      </c>
      <c r="G916" s="11" t="s">
        <v>529</v>
      </c>
      <c r="H916" s="11">
        <v>12</v>
      </c>
      <c r="I916" s="15">
        <v>12</v>
      </c>
      <c r="J916" s="15">
        <f t="shared" si="30"/>
        <v>0</v>
      </c>
    </row>
    <row r="917" spans="1:10" x14ac:dyDescent="0.2">
      <c r="A917" s="11" t="s">
        <v>148</v>
      </c>
      <c r="B917" s="11" t="str">
        <f t="shared" si="29"/>
        <v>060026</v>
      </c>
      <c r="C917" s="11" t="str">
        <f>_xlfn.CONCAT(+VLOOKUP(VALUE(MID(A917,13,2)),'Tabla de codigos'!$A$2:$B$60,2,1)," ",VLOOKUP(VALUE(MID(A917,15,4)),'Tabla de codigos'!$E$2:$F$102,2,1))</f>
        <v>BUDINERA   26</v>
      </c>
      <c r="D917" s="11" t="s">
        <v>527</v>
      </c>
      <c r="E917" s="11" t="s">
        <v>11</v>
      </c>
      <c r="F917" s="11" t="s">
        <v>528</v>
      </c>
      <c r="G917" s="11" t="s">
        <v>529</v>
      </c>
      <c r="H917" s="11">
        <v>12</v>
      </c>
      <c r="I917" s="15">
        <v>0</v>
      </c>
      <c r="J917" s="15">
        <f t="shared" si="30"/>
        <v>12</v>
      </c>
    </row>
    <row r="918" spans="1:10" x14ac:dyDescent="0.2">
      <c r="A918" s="11" t="s">
        <v>173</v>
      </c>
      <c r="B918" s="11" t="str">
        <f t="shared" si="29"/>
        <v>060031</v>
      </c>
      <c r="C918" s="11" t="str">
        <f>_xlfn.CONCAT(+VLOOKUP(VALUE(MID(A918,13,2)),'Tabla de codigos'!$A$2:$B$60,2,1)," ",VLOOKUP(VALUE(MID(A918,15,4)),'Tabla de codigos'!$E$2:$F$102,2,1))</f>
        <v>BUDINERA   34</v>
      </c>
      <c r="D918" s="11" t="s">
        <v>527</v>
      </c>
      <c r="E918" s="11" t="s">
        <v>11</v>
      </c>
      <c r="F918" s="11" t="s">
        <v>528</v>
      </c>
      <c r="G918" s="11" t="s">
        <v>529</v>
      </c>
      <c r="H918" s="11">
        <v>4</v>
      </c>
      <c r="I918" s="15">
        <v>4</v>
      </c>
      <c r="J918" s="15">
        <f t="shared" si="30"/>
        <v>0</v>
      </c>
    </row>
    <row r="919" spans="1:10" x14ac:dyDescent="0.2">
      <c r="A919" s="11" t="s">
        <v>220</v>
      </c>
      <c r="B919" s="11" t="str">
        <f t="shared" si="29"/>
        <v>240017</v>
      </c>
      <c r="C919" s="11" t="str">
        <f>_xlfn.CONCAT(+VLOOKUP(VALUE(MID(A919,13,2)),'Tabla de codigos'!$A$2:$B$60,2,1)," ",VLOOKUP(VALUE(MID(A919,15,4)),'Tabla de codigos'!$E$2:$F$102,2,1))</f>
        <v>OLLA CONVEXA 16</v>
      </c>
      <c r="D919" s="11" t="s">
        <v>527</v>
      </c>
      <c r="E919" s="11" t="s">
        <v>11</v>
      </c>
      <c r="F919" s="11" t="s">
        <v>528</v>
      </c>
      <c r="G919" s="11" t="s">
        <v>529</v>
      </c>
      <c r="H919" s="11">
        <v>12</v>
      </c>
      <c r="I919" s="15">
        <v>0</v>
      </c>
      <c r="J919" s="15">
        <f t="shared" si="30"/>
        <v>12</v>
      </c>
    </row>
    <row r="920" spans="1:10" x14ac:dyDescent="0.2">
      <c r="A920" s="11" t="s">
        <v>150</v>
      </c>
      <c r="B920" s="11" t="str">
        <f t="shared" si="29"/>
        <v>240021</v>
      </c>
      <c r="C920" s="11" t="str">
        <f>_xlfn.CONCAT(+VLOOKUP(VALUE(MID(A920,13,2)),'Tabla de codigos'!$A$2:$B$60,2,1)," ",VLOOKUP(VALUE(MID(A920,15,4)),'Tabla de codigos'!$E$2:$F$102,2,1))</f>
        <v>OLLA CONVEXA 18</v>
      </c>
      <c r="D920" s="11" t="s">
        <v>527</v>
      </c>
      <c r="E920" s="11" t="s">
        <v>11</v>
      </c>
      <c r="F920" s="11" t="s">
        <v>528</v>
      </c>
      <c r="G920" s="11" t="s">
        <v>529</v>
      </c>
      <c r="H920" s="11">
        <v>12</v>
      </c>
      <c r="I920" s="15">
        <v>0</v>
      </c>
      <c r="J920" s="15">
        <f t="shared" si="30"/>
        <v>12</v>
      </c>
    </row>
    <row r="921" spans="1:10" x14ac:dyDescent="0.2">
      <c r="A921" s="11" t="s">
        <v>151</v>
      </c>
      <c r="B921" s="11" t="str">
        <f t="shared" si="29"/>
        <v>240022</v>
      </c>
      <c r="C921" s="11" t="str">
        <f>_xlfn.CONCAT(+VLOOKUP(VALUE(MID(A921,13,2)),'Tabla de codigos'!$A$2:$B$60,2,1)," ",VLOOKUP(VALUE(MID(A921,15,4)),'Tabla de codigos'!$E$2:$F$102,2,1))</f>
        <v>OLLA CONVEXA 20</v>
      </c>
      <c r="D921" s="11" t="s">
        <v>527</v>
      </c>
      <c r="E921" s="11" t="s">
        <v>11</v>
      </c>
      <c r="F921" s="11" t="s">
        <v>528</v>
      </c>
      <c r="G921" s="11" t="s">
        <v>529</v>
      </c>
      <c r="H921" s="11">
        <v>12</v>
      </c>
      <c r="I921" s="15">
        <v>0</v>
      </c>
      <c r="J921" s="15">
        <f t="shared" si="30"/>
        <v>12</v>
      </c>
    </row>
    <row r="922" spans="1:10" x14ac:dyDescent="0.2">
      <c r="A922" s="11" t="s">
        <v>43</v>
      </c>
      <c r="B922" s="11" t="str">
        <f t="shared" si="29"/>
        <v>240024</v>
      </c>
      <c r="C922" s="11" t="str">
        <f>_xlfn.CONCAT(+VLOOKUP(VALUE(MID(A922,13,2)),'Tabla de codigos'!$A$2:$B$60,2,1)," ",VLOOKUP(VALUE(MID(A922,15,4)),'Tabla de codigos'!$E$2:$F$102,2,1))</f>
        <v>OLLA CONVEXA 22</v>
      </c>
      <c r="D922" s="11" t="s">
        <v>527</v>
      </c>
      <c r="E922" s="11" t="s">
        <v>11</v>
      </c>
      <c r="F922" s="11" t="s">
        <v>528</v>
      </c>
      <c r="G922" s="11" t="s">
        <v>529</v>
      </c>
      <c r="H922" s="11">
        <v>12</v>
      </c>
      <c r="I922" s="15">
        <f>1+11</f>
        <v>12</v>
      </c>
      <c r="J922" s="15">
        <f t="shared" si="30"/>
        <v>0</v>
      </c>
    </row>
    <row r="923" spans="1:10" x14ac:dyDescent="0.2">
      <c r="A923" s="11" t="s">
        <v>152</v>
      </c>
      <c r="B923" s="11" t="str">
        <f t="shared" si="29"/>
        <v>240025</v>
      </c>
      <c r="C923" s="11" t="str">
        <f>_xlfn.CONCAT(+VLOOKUP(VALUE(MID(A923,13,2)),'Tabla de codigos'!$A$2:$B$60,2,1)," ",VLOOKUP(VALUE(MID(A923,15,4)),'Tabla de codigos'!$E$2:$F$102,2,1))</f>
        <v>OLLA CONVEXA 24</v>
      </c>
      <c r="D923" s="11" t="s">
        <v>527</v>
      </c>
      <c r="E923" s="11" t="s">
        <v>11</v>
      </c>
      <c r="F923" s="11" t="s">
        <v>528</v>
      </c>
      <c r="G923" s="11" t="s">
        <v>529</v>
      </c>
      <c r="H923" s="11">
        <v>12</v>
      </c>
      <c r="I923" s="15">
        <v>12</v>
      </c>
      <c r="J923" s="15">
        <f t="shared" si="30"/>
        <v>0</v>
      </c>
    </row>
    <row r="924" spans="1:10" x14ac:dyDescent="0.2">
      <c r="A924" s="11" t="s">
        <v>153</v>
      </c>
      <c r="B924" s="11" t="str">
        <f t="shared" si="29"/>
        <v>240026</v>
      </c>
      <c r="C924" s="11" t="str">
        <f>_xlfn.CONCAT(+VLOOKUP(VALUE(MID(A924,13,2)),'Tabla de codigos'!$A$2:$B$60,2,1)," ",VLOOKUP(VALUE(MID(A924,15,4)),'Tabla de codigos'!$E$2:$F$102,2,1))</f>
        <v>OLLA CONVEXA 26</v>
      </c>
      <c r="D924" s="11" t="s">
        <v>527</v>
      </c>
      <c r="E924" s="11" t="s">
        <v>11</v>
      </c>
      <c r="F924" s="11" t="s">
        <v>528</v>
      </c>
      <c r="G924" s="11" t="s">
        <v>529</v>
      </c>
      <c r="H924" s="11">
        <v>12</v>
      </c>
      <c r="I924" s="15">
        <v>12</v>
      </c>
      <c r="J924" s="15">
        <f t="shared" si="30"/>
        <v>0</v>
      </c>
    </row>
    <row r="925" spans="1:10" x14ac:dyDescent="0.2">
      <c r="A925" s="11" t="s">
        <v>154</v>
      </c>
      <c r="B925" s="11" t="str">
        <f t="shared" si="29"/>
        <v>240029</v>
      </c>
      <c r="C925" s="11" t="str">
        <f>_xlfn.CONCAT(+VLOOKUP(VALUE(MID(A925,13,2)),'Tabla de codigos'!$A$2:$B$60,2,1)," ",VLOOKUP(VALUE(MID(A925,15,4)),'Tabla de codigos'!$E$2:$F$102,2,1))</f>
        <v>OLLA CONVEXA 30</v>
      </c>
      <c r="D925" s="11" t="s">
        <v>527</v>
      </c>
      <c r="E925" s="11" t="s">
        <v>11</v>
      </c>
      <c r="F925" s="11" t="s">
        <v>528</v>
      </c>
      <c r="G925" s="11" t="s">
        <v>529</v>
      </c>
      <c r="H925" s="11">
        <v>4</v>
      </c>
      <c r="I925" s="15">
        <f>1+3</f>
        <v>4</v>
      </c>
      <c r="J925" s="15">
        <f t="shared" si="30"/>
        <v>0</v>
      </c>
    </row>
    <row r="926" spans="1:10" x14ac:dyDescent="0.2">
      <c r="A926" s="11" t="s">
        <v>221</v>
      </c>
      <c r="B926" s="11" t="str">
        <f t="shared" si="29"/>
        <v>240031</v>
      </c>
      <c r="C926" s="11" t="str">
        <f>_xlfn.CONCAT(+VLOOKUP(VALUE(MID(A926,13,2)),'Tabla de codigos'!$A$2:$B$60,2,1)," ",VLOOKUP(VALUE(MID(A926,15,4)),'Tabla de codigos'!$E$2:$F$102,2,1))</f>
        <v>OLLA CONVEXA 34</v>
      </c>
      <c r="D926" s="11" t="s">
        <v>527</v>
      </c>
      <c r="E926" s="11" t="s">
        <v>11</v>
      </c>
      <c r="F926" s="11" t="s">
        <v>528</v>
      </c>
      <c r="G926" s="11" t="s">
        <v>529</v>
      </c>
      <c r="H926" s="11">
        <v>2</v>
      </c>
      <c r="I926" s="15">
        <v>2</v>
      </c>
      <c r="J926" s="15">
        <f t="shared" si="30"/>
        <v>0</v>
      </c>
    </row>
    <row r="927" spans="1:10" x14ac:dyDescent="0.2">
      <c r="A927" s="11" t="s">
        <v>66</v>
      </c>
      <c r="B927" s="11" t="str">
        <f t="shared" si="29"/>
        <v>260022</v>
      </c>
      <c r="C927" s="11" t="str">
        <f>_xlfn.CONCAT(+VLOOKUP(VALUE(MID(A927,13,2)),'Tabla de codigos'!$A$2:$B$60,2,1)," ",VLOOKUP(VALUE(MID(A927,15,4)),'Tabla de codigos'!$E$2:$F$102,2,1))</f>
        <v>PLATO AVENERO 20</v>
      </c>
      <c r="D927" s="11" t="s">
        <v>527</v>
      </c>
      <c r="E927" s="11" t="s">
        <v>11</v>
      </c>
      <c r="F927" s="11" t="s">
        <v>528</v>
      </c>
      <c r="G927" s="11" t="s">
        <v>529</v>
      </c>
      <c r="H927" s="11">
        <v>48</v>
      </c>
      <c r="I927" s="15">
        <v>0</v>
      </c>
      <c r="J927" s="15">
        <f t="shared" si="30"/>
        <v>48</v>
      </c>
    </row>
    <row r="928" spans="1:10" x14ac:dyDescent="0.2">
      <c r="A928" s="11" t="s">
        <v>283</v>
      </c>
      <c r="B928" s="11" t="str">
        <f t="shared" si="29"/>
        <v>260022</v>
      </c>
      <c r="C928" s="11" t="str">
        <f>_xlfn.CONCAT(+VLOOKUP(VALUE(MID(A928,13,2)),'Tabla de codigos'!$A$2:$B$60,2,1)," ",VLOOKUP(VALUE(MID(A928,15,4)),'Tabla de codigos'!$E$2:$F$102,2,1))</f>
        <v>PLATO AVENERO 20</v>
      </c>
      <c r="D928" s="11" t="s">
        <v>527</v>
      </c>
      <c r="E928" s="11" t="s">
        <v>11</v>
      </c>
      <c r="F928" s="11" t="s">
        <v>528</v>
      </c>
      <c r="G928" s="11" t="s">
        <v>529</v>
      </c>
      <c r="H928" s="11">
        <v>48</v>
      </c>
      <c r="I928" s="15">
        <v>48</v>
      </c>
      <c r="J928" s="15">
        <f t="shared" si="30"/>
        <v>0</v>
      </c>
    </row>
    <row r="929" spans="1:11" x14ac:dyDescent="0.2">
      <c r="A929" s="11" t="s">
        <v>226</v>
      </c>
      <c r="B929" s="11" t="str">
        <f t="shared" si="29"/>
        <v>330013</v>
      </c>
      <c r="C929" s="11" t="str">
        <f>_xlfn.CONCAT(+VLOOKUP(VALUE(MID(A929,13,2)),'Tabla de codigos'!$A$2:$B$60,2,1)," ",VLOOKUP(VALUE(MID(A929,15,4)),'Tabla de codigos'!$E$2:$F$102,2,1))</f>
        <v>POCILLO 10</v>
      </c>
      <c r="D929" s="11" t="s">
        <v>527</v>
      </c>
      <c r="E929" s="11" t="s">
        <v>11</v>
      </c>
      <c r="F929" s="11" t="s">
        <v>528</v>
      </c>
      <c r="G929" s="11" t="s">
        <v>529</v>
      </c>
      <c r="H929" s="11">
        <v>24</v>
      </c>
      <c r="I929" s="15">
        <v>0</v>
      </c>
      <c r="J929" s="15">
        <f t="shared" si="30"/>
        <v>24</v>
      </c>
    </row>
    <row r="930" spans="1:11" x14ac:dyDescent="0.2">
      <c r="A930" s="11" t="s">
        <v>180</v>
      </c>
      <c r="B930" s="11" t="str">
        <f t="shared" si="29"/>
        <v>330014</v>
      </c>
      <c r="C930" s="11" t="str">
        <f>_xlfn.CONCAT(+VLOOKUP(VALUE(MID(A930,13,2)),'Tabla de codigos'!$A$2:$B$60,2,1)," ",VLOOKUP(VALUE(MID(A930,15,4)),'Tabla de codigos'!$E$2:$F$102,2,1))</f>
        <v>POCILLO 12</v>
      </c>
      <c r="D930" s="11" t="s">
        <v>527</v>
      </c>
      <c r="E930" s="11" t="s">
        <v>11</v>
      </c>
      <c r="F930" s="11" t="s">
        <v>528</v>
      </c>
      <c r="G930" s="11" t="s">
        <v>529</v>
      </c>
      <c r="H930" s="11">
        <v>48</v>
      </c>
      <c r="I930" s="15">
        <v>0</v>
      </c>
      <c r="J930" s="15">
        <f t="shared" si="30"/>
        <v>48</v>
      </c>
    </row>
    <row r="931" spans="1:11" x14ac:dyDescent="0.2">
      <c r="A931" s="11" t="s">
        <v>182</v>
      </c>
      <c r="B931" s="11" t="str">
        <f t="shared" si="29"/>
        <v>330015</v>
      </c>
      <c r="C931" s="11" t="str">
        <f>_xlfn.CONCAT(+VLOOKUP(VALUE(MID(A931,13,2)),'Tabla de codigos'!$A$2:$B$60,2,1)," ",VLOOKUP(VALUE(MID(A931,15,4)),'Tabla de codigos'!$E$2:$F$102,2,1))</f>
        <v>POCILLO 14</v>
      </c>
      <c r="D931" s="11" t="s">
        <v>527</v>
      </c>
      <c r="E931" s="11" t="s">
        <v>11</v>
      </c>
      <c r="F931" s="11" t="s">
        <v>528</v>
      </c>
      <c r="G931" s="11" t="s">
        <v>529</v>
      </c>
      <c r="H931" s="11">
        <v>24</v>
      </c>
      <c r="I931" s="15">
        <v>24</v>
      </c>
      <c r="J931" s="15">
        <f t="shared" si="30"/>
        <v>0</v>
      </c>
    </row>
    <row r="932" spans="1:11" x14ac:dyDescent="0.2">
      <c r="A932" s="11" t="s">
        <v>129</v>
      </c>
      <c r="B932" s="11" t="str">
        <f t="shared" si="29"/>
        <v>330015</v>
      </c>
      <c r="C932" s="11" t="str">
        <f>_xlfn.CONCAT(+VLOOKUP(VALUE(MID(A932,13,2)),'Tabla de codigos'!$A$2:$B$60,2,1)," ",VLOOKUP(VALUE(MID(A932,15,4)),'Tabla de codigos'!$E$2:$F$102,2,1))</f>
        <v>POCILLO 14</v>
      </c>
      <c r="D932" s="11" t="s">
        <v>527</v>
      </c>
      <c r="E932" s="11" t="s">
        <v>11</v>
      </c>
      <c r="F932" s="11" t="s">
        <v>528</v>
      </c>
      <c r="G932" s="11" t="s">
        <v>529</v>
      </c>
      <c r="H932" s="11">
        <v>12</v>
      </c>
      <c r="I932" s="15">
        <v>0</v>
      </c>
      <c r="J932" s="15">
        <f t="shared" si="30"/>
        <v>12</v>
      </c>
    </row>
    <row r="933" spans="1:11" x14ac:dyDescent="0.2">
      <c r="A933" s="11" t="s">
        <v>130</v>
      </c>
      <c r="B933" s="11" t="str">
        <f t="shared" si="29"/>
        <v>330015</v>
      </c>
      <c r="C933" s="11" t="str">
        <f>_xlfn.CONCAT(+VLOOKUP(VALUE(MID(A933,13,2)),'Tabla de codigos'!$A$2:$B$60,2,1)," ",VLOOKUP(VALUE(MID(A933,15,4)),'Tabla de codigos'!$E$2:$F$102,2,1))</f>
        <v>POCILLO 14</v>
      </c>
      <c r="D933" s="11" t="s">
        <v>527</v>
      </c>
      <c r="E933" s="11" t="s">
        <v>11</v>
      </c>
      <c r="F933" s="11" t="s">
        <v>528</v>
      </c>
      <c r="G933" s="11" t="s">
        <v>529</v>
      </c>
      <c r="H933" s="11">
        <v>12</v>
      </c>
      <c r="I933" s="15">
        <v>0</v>
      </c>
      <c r="J933" s="15">
        <f t="shared" si="30"/>
        <v>12</v>
      </c>
    </row>
    <row r="934" spans="1:11" x14ac:dyDescent="0.2">
      <c r="A934" s="11" t="s">
        <v>239</v>
      </c>
      <c r="B934" s="11" t="str">
        <f t="shared" si="29"/>
        <v>360026</v>
      </c>
      <c r="C934" s="11" t="str">
        <f>_xlfn.CONCAT(+VLOOKUP(VALUE(MID(A934,13,2)),'Tabla de codigos'!$A$2:$B$60,2,1)," ",VLOOKUP(VALUE(MID(A934,15,4)),'Tabla de codigos'!$E$2:$F$102,2,1))</f>
        <v>SARTEN 26</v>
      </c>
      <c r="D934" s="11" t="s">
        <v>527</v>
      </c>
      <c r="E934" s="11" t="s">
        <v>11</v>
      </c>
      <c r="F934" s="11" t="s">
        <v>528</v>
      </c>
      <c r="G934" s="11" t="s">
        <v>529</v>
      </c>
      <c r="H934" s="11">
        <v>12</v>
      </c>
      <c r="I934" s="15">
        <v>12</v>
      </c>
      <c r="J934" s="15">
        <f t="shared" si="30"/>
        <v>0</v>
      </c>
    </row>
    <row r="935" spans="1:11" x14ac:dyDescent="0.2">
      <c r="A935" s="11" t="s">
        <v>80</v>
      </c>
      <c r="B935" s="11" t="str">
        <f t="shared" si="29"/>
        <v>390016</v>
      </c>
      <c r="C935" s="11" t="str">
        <f>_xlfn.CONCAT(+VLOOKUP(VALUE(MID(A935,13,2)),'Tabla de codigos'!$A$2:$B$60,2,1)," ",VLOOKUP(VALUE(MID(A935,15,4)),'Tabla de codigos'!$E$2:$F$102,2,1))</f>
        <v>TAZON  15.5</v>
      </c>
      <c r="D935" s="11" t="s">
        <v>527</v>
      </c>
      <c r="E935" s="11" t="s">
        <v>11</v>
      </c>
      <c r="F935" s="11" t="s">
        <v>528</v>
      </c>
      <c r="G935" s="11" t="s">
        <v>529</v>
      </c>
      <c r="H935" s="11">
        <v>24</v>
      </c>
      <c r="I935" s="15">
        <v>0</v>
      </c>
      <c r="J935" s="15">
        <f t="shared" si="30"/>
        <v>24</v>
      </c>
    </row>
    <row r="936" spans="1:11" x14ac:dyDescent="0.2">
      <c r="A936" s="11" t="s">
        <v>83</v>
      </c>
      <c r="B936" s="11" t="str">
        <f t="shared" si="29"/>
        <v>390016</v>
      </c>
      <c r="C936" s="11" t="str">
        <f>_xlfn.CONCAT(+VLOOKUP(VALUE(MID(A936,13,2)),'Tabla de codigos'!$A$2:$B$60,2,1)," ",VLOOKUP(VALUE(MID(A936,15,4)),'Tabla de codigos'!$E$2:$F$102,2,1))</f>
        <v>TAZON  15.5</v>
      </c>
      <c r="D936" s="11" t="s">
        <v>527</v>
      </c>
      <c r="E936" s="11" t="s">
        <v>11</v>
      </c>
      <c r="F936" s="11" t="s">
        <v>528</v>
      </c>
      <c r="G936" s="11" t="s">
        <v>529</v>
      </c>
      <c r="H936" s="11">
        <v>24</v>
      </c>
      <c r="I936" s="15">
        <v>0</v>
      </c>
      <c r="J936" s="15">
        <f t="shared" si="30"/>
        <v>24</v>
      </c>
    </row>
    <row r="937" spans="1:11" x14ac:dyDescent="0.2">
      <c r="A937" s="11" t="s">
        <v>85</v>
      </c>
      <c r="B937" s="11" t="str">
        <f t="shared" si="29"/>
        <v>390022</v>
      </c>
      <c r="C937" s="11" t="str">
        <f>_xlfn.CONCAT(+VLOOKUP(VALUE(MID(A937,13,2)),'Tabla de codigos'!$A$2:$B$60,2,1)," ",VLOOKUP(VALUE(MID(A937,15,4)),'Tabla de codigos'!$E$2:$F$102,2,1))</f>
        <v>TAZON  20</v>
      </c>
      <c r="D937" s="11" t="s">
        <v>527</v>
      </c>
      <c r="E937" s="11" t="s">
        <v>11</v>
      </c>
      <c r="F937" s="11" t="s">
        <v>528</v>
      </c>
      <c r="G937" s="11" t="s">
        <v>529</v>
      </c>
      <c r="H937" s="11">
        <v>12</v>
      </c>
      <c r="I937" s="15">
        <v>0</v>
      </c>
      <c r="J937" s="15">
        <f t="shared" si="30"/>
        <v>12</v>
      </c>
    </row>
    <row r="938" spans="1:11" x14ac:dyDescent="0.2">
      <c r="A938" s="11" t="s">
        <v>390</v>
      </c>
      <c r="B938" s="11" t="str">
        <f t="shared" si="29"/>
        <v>390022</v>
      </c>
      <c r="C938" s="11" t="str">
        <f>_xlfn.CONCAT(+VLOOKUP(VALUE(MID(A938,13,2)),'Tabla de codigos'!$A$2:$B$60,2,1)," ",VLOOKUP(VALUE(MID(A938,15,4)),'Tabla de codigos'!$E$2:$F$102,2,1))</f>
        <v>TAZON  20</v>
      </c>
      <c r="D938" s="11" t="s">
        <v>527</v>
      </c>
      <c r="E938" s="11" t="s">
        <v>11</v>
      </c>
      <c r="F938" s="11" t="s">
        <v>528</v>
      </c>
      <c r="G938" s="11" t="s">
        <v>529</v>
      </c>
      <c r="H938" s="11">
        <v>12</v>
      </c>
      <c r="I938" s="15">
        <v>0</v>
      </c>
      <c r="J938" s="15">
        <f t="shared" si="30"/>
        <v>12</v>
      </c>
    </row>
    <row r="939" spans="1:11" x14ac:dyDescent="0.2">
      <c r="A939" s="11" t="s">
        <v>188</v>
      </c>
      <c r="B939" s="11" t="str">
        <f t="shared" si="29"/>
        <v>330015</v>
      </c>
      <c r="C939" s="11" t="str">
        <f>_xlfn.CONCAT(+VLOOKUP(VALUE(MID(A939,13,2)),'Tabla de codigos'!$A$2:$B$60,2,1)," ",VLOOKUP(VALUE(MID(A939,15,4)),'Tabla de codigos'!$E$2:$F$102,2,1))</f>
        <v>POCILLO 14</v>
      </c>
      <c r="D939" s="11" t="s">
        <v>527</v>
      </c>
      <c r="E939" s="11" t="s">
        <v>11</v>
      </c>
      <c r="F939" s="11" t="s">
        <v>528</v>
      </c>
      <c r="G939" s="11" t="s">
        <v>529</v>
      </c>
      <c r="H939" s="11">
        <v>24</v>
      </c>
      <c r="I939" s="15">
        <v>0</v>
      </c>
      <c r="J939" s="15">
        <f t="shared" si="30"/>
        <v>24</v>
      </c>
      <c r="K939" s="17">
        <f>(SUM(I912:I939))/(SUM(H912:H939))</f>
        <v>0.31048387096774194</v>
      </c>
    </row>
    <row r="940" spans="1:11" x14ac:dyDescent="0.2">
      <c r="A940" s="11" t="s">
        <v>202</v>
      </c>
      <c r="B940" s="11" t="str">
        <f t="shared" si="29"/>
        <v>110010</v>
      </c>
      <c r="C940" s="11" t="str">
        <f>_xlfn.CONCAT(+VLOOKUP(VALUE(MID(A940,13,2)),'Tabla de codigos'!$A$2:$B$60,2,1)," ",VLOOKUP(VALUE(MID(A940,15,4)),'Tabla de codigos'!$E$2:$F$102,2,1))</f>
        <v>CUBETA 6</v>
      </c>
      <c r="D940" s="11" t="s">
        <v>530</v>
      </c>
      <c r="E940" s="11" t="s">
        <v>16</v>
      </c>
      <c r="F940" s="11" t="s">
        <v>531</v>
      </c>
      <c r="G940" s="11" t="s">
        <v>532</v>
      </c>
      <c r="H940" s="11">
        <v>6</v>
      </c>
      <c r="I940" s="15">
        <v>0</v>
      </c>
      <c r="J940" s="15">
        <f t="shared" si="30"/>
        <v>6</v>
      </c>
    </row>
    <row r="941" spans="1:11" x14ac:dyDescent="0.2">
      <c r="A941" s="11" t="s">
        <v>203</v>
      </c>
      <c r="B941" s="11" t="str">
        <f t="shared" si="29"/>
        <v>110013</v>
      </c>
      <c r="C941" s="11" t="str">
        <f>_xlfn.CONCAT(+VLOOKUP(VALUE(MID(A941,13,2)),'Tabla de codigos'!$A$2:$B$60,2,1)," ",VLOOKUP(VALUE(MID(A941,15,4)),'Tabla de codigos'!$E$2:$F$102,2,1))</f>
        <v>CUBETA 10</v>
      </c>
      <c r="D941" s="11" t="s">
        <v>530</v>
      </c>
      <c r="E941" s="11" t="s">
        <v>16</v>
      </c>
      <c r="F941" s="11" t="s">
        <v>531</v>
      </c>
      <c r="G941" s="11" t="s">
        <v>532</v>
      </c>
      <c r="H941" s="11">
        <v>12</v>
      </c>
      <c r="I941" s="15">
        <v>0</v>
      </c>
      <c r="J941" s="15">
        <f t="shared" si="30"/>
        <v>12</v>
      </c>
    </row>
    <row r="942" spans="1:11" x14ac:dyDescent="0.2">
      <c r="A942" s="11" t="s">
        <v>63</v>
      </c>
      <c r="B942" s="11" t="str">
        <f t="shared" si="29"/>
        <v>080025</v>
      </c>
      <c r="C942" s="11" t="str">
        <f>_xlfn.CONCAT(+VLOOKUP(VALUE(MID(A942,13,2)),'Tabla de codigos'!$A$2:$B$60,2,1)," ",VLOOKUP(VALUE(MID(A942,15,4)),'Tabla de codigos'!$E$2:$F$102,2,1))</f>
        <v>CAZUELA 24</v>
      </c>
      <c r="D942" s="11" t="s">
        <v>530</v>
      </c>
      <c r="E942" s="11" t="s">
        <v>16</v>
      </c>
      <c r="F942" s="11" t="s">
        <v>531</v>
      </c>
      <c r="G942" s="11" t="s">
        <v>532</v>
      </c>
      <c r="H942" s="11">
        <v>12</v>
      </c>
      <c r="I942" s="15">
        <v>0</v>
      </c>
      <c r="J942" s="15">
        <f t="shared" si="30"/>
        <v>12</v>
      </c>
    </row>
    <row r="943" spans="1:11" x14ac:dyDescent="0.2">
      <c r="A943" s="11" t="s">
        <v>344</v>
      </c>
      <c r="B943" s="11" t="str">
        <f t="shared" si="29"/>
        <v>100032</v>
      </c>
      <c r="C943" s="11" t="str">
        <f>_xlfn.CONCAT(+VLOOKUP(VALUE(MID(A943,13,2)),'Tabla de codigos'!$A$2:$B$60,2,1)," ",VLOOKUP(VALUE(MID(A943,15,4)),'Tabla de codigos'!$E$2:$F$102,2,1))</f>
        <v>COMAL 36</v>
      </c>
      <c r="D943" s="11" t="s">
        <v>530</v>
      </c>
      <c r="E943" s="11" t="s">
        <v>16</v>
      </c>
      <c r="F943" s="11" t="s">
        <v>531</v>
      </c>
      <c r="G943" s="11" t="s">
        <v>532</v>
      </c>
      <c r="H943" s="11">
        <v>12</v>
      </c>
      <c r="I943" s="15">
        <v>0</v>
      </c>
      <c r="J943" s="15">
        <f t="shared" si="30"/>
        <v>12</v>
      </c>
    </row>
    <row r="944" spans="1:11" x14ac:dyDescent="0.2">
      <c r="A944" s="11" t="s">
        <v>110</v>
      </c>
      <c r="B944" s="11" t="str">
        <f t="shared" si="29"/>
        <v>110008</v>
      </c>
      <c r="C944" s="11" t="str">
        <f>_xlfn.CONCAT(+VLOOKUP(VALUE(MID(A944,13,2)),'Tabla de codigos'!$A$2:$B$60,2,1)," ",VLOOKUP(VALUE(MID(A944,15,4)),'Tabla de codigos'!$E$2:$F$102,2,1))</f>
        <v>CUBETA 4</v>
      </c>
      <c r="D944" s="11" t="s">
        <v>530</v>
      </c>
      <c r="E944" s="11" t="s">
        <v>16</v>
      </c>
      <c r="F944" s="11" t="s">
        <v>531</v>
      </c>
      <c r="G944" s="11" t="s">
        <v>532</v>
      </c>
      <c r="H944" s="11">
        <v>12</v>
      </c>
      <c r="I944" s="15">
        <v>0</v>
      </c>
      <c r="J944" s="15">
        <f t="shared" si="30"/>
        <v>12</v>
      </c>
    </row>
    <row r="945" spans="1:11" x14ac:dyDescent="0.2">
      <c r="A945" s="11" t="s">
        <v>51</v>
      </c>
      <c r="B945" s="11" t="str">
        <f t="shared" si="29"/>
        <v>110009</v>
      </c>
      <c r="C945" s="11" t="str">
        <f>_xlfn.CONCAT(+VLOOKUP(VALUE(MID(A945,13,2)),'Tabla de codigos'!$A$2:$B$60,2,1)," ",VLOOKUP(VALUE(MID(A945,15,4)),'Tabla de codigos'!$E$2:$F$102,2,1))</f>
        <v>CUBETA 5</v>
      </c>
      <c r="D945" s="11" t="s">
        <v>530</v>
      </c>
      <c r="E945" s="11" t="s">
        <v>16</v>
      </c>
      <c r="F945" s="11" t="s">
        <v>531</v>
      </c>
      <c r="G945" s="11" t="s">
        <v>532</v>
      </c>
      <c r="H945" s="11">
        <v>12</v>
      </c>
      <c r="I945" s="15">
        <v>0</v>
      </c>
      <c r="J945" s="15">
        <f t="shared" si="30"/>
        <v>12</v>
      </c>
    </row>
    <row r="946" spans="1:11" x14ac:dyDescent="0.2">
      <c r="A946" s="11" t="s">
        <v>533</v>
      </c>
      <c r="B946" s="11" t="str">
        <f t="shared" si="29"/>
        <v>180045</v>
      </c>
      <c r="C946" s="11" t="str">
        <f>_xlfn.CONCAT(+VLOOKUP(VALUE(MID(A946,13,2)),'Tabla de codigos'!$A$2:$B$60,2,1)," ",VLOOKUP(VALUE(MID(A946,15,4)),'Tabla de codigos'!$E$2:$F$102,2,1))</f>
        <v>FUENTE PARA HORNO 30X20</v>
      </c>
      <c r="D946" s="11" t="s">
        <v>530</v>
      </c>
      <c r="E946" s="11" t="s">
        <v>16</v>
      </c>
      <c r="F946" s="11" t="s">
        <v>531</v>
      </c>
      <c r="G946" s="11" t="s">
        <v>532</v>
      </c>
      <c r="H946" s="11">
        <v>10</v>
      </c>
      <c r="I946" s="15">
        <v>0</v>
      </c>
      <c r="J946" s="15">
        <f t="shared" si="30"/>
        <v>10</v>
      </c>
    </row>
    <row r="947" spans="1:11" x14ac:dyDescent="0.2">
      <c r="A947" s="11" t="s">
        <v>55</v>
      </c>
      <c r="B947" s="11" t="str">
        <f t="shared" si="29"/>
        <v>330009</v>
      </c>
      <c r="C947" s="11" t="str">
        <f>_xlfn.CONCAT(+VLOOKUP(VALUE(MID(A947,13,2)),'Tabla de codigos'!$A$2:$B$60,2,1)," ",VLOOKUP(VALUE(MID(A947,15,4)),'Tabla de codigos'!$E$2:$F$102,2,1))</f>
        <v>POCILLO 5</v>
      </c>
      <c r="D947" s="11" t="s">
        <v>530</v>
      </c>
      <c r="E947" s="11" t="s">
        <v>16</v>
      </c>
      <c r="F947" s="11" t="s">
        <v>531</v>
      </c>
      <c r="G947" s="11" t="s">
        <v>532</v>
      </c>
      <c r="H947" s="11">
        <v>72</v>
      </c>
      <c r="I947" s="15">
        <v>0</v>
      </c>
      <c r="J947" s="15">
        <f t="shared" si="30"/>
        <v>72</v>
      </c>
      <c r="K947" s="17">
        <f>(SUM(I940:I947))/(SUM(H940:H947))</f>
        <v>0</v>
      </c>
    </row>
    <row r="948" spans="1:11" x14ac:dyDescent="0.2">
      <c r="A948" s="11" t="s">
        <v>45</v>
      </c>
      <c r="B948" s="11" t="str">
        <f t="shared" si="29"/>
        <v>030008</v>
      </c>
      <c r="C948" s="11" t="str">
        <f>_xlfn.CONCAT(+VLOOKUP(VALUE(MID(A948,13,2)),'Tabla de codigos'!$A$2:$B$60,2,1)," ",VLOOKUP(VALUE(MID(A948,15,4)),'Tabla de codigos'!$E$2:$F$102,2,1))</f>
        <v>BAÑO 4</v>
      </c>
      <c r="D948" s="11" t="s">
        <v>534</v>
      </c>
      <c r="E948" s="11" t="s">
        <v>34</v>
      </c>
      <c r="F948" s="11" t="s">
        <v>535</v>
      </c>
      <c r="G948" s="11" t="s">
        <v>532</v>
      </c>
      <c r="H948" s="11">
        <v>50</v>
      </c>
      <c r="I948" s="15">
        <v>0</v>
      </c>
      <c r="J948" s="15">
        <f t="shared" si="30"/>
        <v>50</v>
      </c>
    </row>
    <row r="949" spans="1:11" x14ac:dyDescent="0.2">
      <c r="A949" s="11" t="s">
        <v>37</v>
      </c>
      <c r="B949" s="11" t="str">
        <f t="shared" si="29"/>
        <v>030010</v>
      </c>
      <c r="C949" s="11" t="str">
        <f>_xlfn.CONCAT(+VLOOKUP(VALUE(MID(A949,13,2)),'Tabla de codigos'!$A$2:$B$60,2,1)," ",VLOOKUP(VALUE(MID(A949,15,4)),'Tabla de codigos'!$E$2:$F$102,2,1))</f>
        <v>BAÑO 6</v>
      </c>
      <c r="D949" s="11" t="s">
        <v>534</v>
      </c>
      <c r="E949" s="11" t="s">
        <v>34</v>
      </c>
      <c r="F949" s="11" t="s">
        <v>535</v>
      </c>
      <c r="G949" s="11" t="s">
        <v>532</v>
      </c>
      <c r="H949" s="11">
        <v>50</v>
      </c>
      <c r="I949" s="15">
        <v>0</v>
      </c>
      <c r="J949" s="15">
        <f t="shared" si="30"/>
        <v>50</v>
      </c>
    </row>
    <row r="950" spans="1:11" x14ac:dyDescent="0.2">
      <c r="A950" s="11" t="s">
        <v>49</v>
      </c>
      <c r="B950" s="11" t="str">
        <f t="shared" si="29"/>
        <v>110012</v>
      </c>
      <c r="C950" s="11" t="str">
        <f>_xlfn.CONCAT(+VLOOKUP(VALUE(MID(A950,13,2)),'Tabla de codigos'!$A$2:$B$60,2,1)," ",VLOOKUP(VALUE(MID(A950,15,4)),'Tabla de codigos'!$E$2:$F$102,2,1))</f>
        <v>CUBETA 8</v>
      </c>
      <c r="D950" s="11" t="s">
        <v>534</v>
      </c>
      <c r="E950" s="11" t="s">
        <v>34</v>
      </c>
      <c r="F950" s="11" t="s">
        <v>535</v>
      </c>
      <c r="G950" s="11" t="s">
        <v>532</v>
      </c>
      <c r="H950" s="11">
        <v>150</v>
      </c>
      <c r="I950" s="15">
        <v>0</v>
      </c>
      <c r="J950" s="15">
        <f t="shared" si="30"/>
        <v>150</v>
      </c>
    </row>
    <row r="951" spans="1:11" x14ac:dyDescent="0.2">
      <c r="A951" s="11" t="s">
        <v>536</v>
      </c>
      <c r="B951" s="11" t="str">
        <f t="shared" si="29"/>
        <v>370007</v>
      </c>
      <c r="C951" s="11" t="str">
        <f>_xlfn.CONCAT(+VLOOKUP(VALUE(MID(A951,13,2)),'Tabla de codigos'!$A$2:$B$60,2,1)," ",VLOOKUP(VALUE(MID(A951,15,4)),'Tabla de codigos'!$E$2:$F$102,2,1))</f>
        <v>TAMALERA 3</v>
      </c>
      <c r="D951" s="11" t="s">
        <v>534</v>
      </c>
      <c r="E951" s="11" t="s">
        <v>34</v>
      </c>
      <c r="F951" s="11" t="s">
        <v>535</v>
      </c>
      <c r="G951" s="11" t="s">
        <v>532</v>
      </c>
      <c r="H951" s="11">
        <v>10</v>
      </c>
      <c r="I951" s="15">
        <v>0</v>
      </c>
      <c r="J951" s="15">
        <f t="shared" si="30"/>
        <v>10</v>
      </c>
    </row>
    <row r="952" spans="1:11" x14ac:dyDescent="0.2">
      <c r="A952" s="11" t="s">
        <v>537</v>
      </c>
      <c r="B952" s="11" t="str">
        <f t="shared" si="29"/>
        <v>370008</v>
      </c>
      <c r="C952" s="11" t="str">
        <f>_xlfn.CONCAT(+VLOOKUP(VALUE(MID(A952,13,2)),'Tabla de codigos'!$A$2:$B$60,2,1)," ",VLOOKUP(VALUE(MID(A952,15,4)),'Tabla de codigos'!$E$2:$F$102,2,1))</f>
        <v>TAMALERA 4</v>
      </c>
      <c r="D952" s="11" t="s">
        <v>534</v>
      </c>
      <c r="E952" s="11" t="s">
        <v>34</v>
      </c>
      <c r="F952" s="11" t="s">
        <v>535</v>
      </c>
      <c r="G952" s="11" t="s">
        <v>532</v>
      </c>
      <c r="H952" s="11">
        <v>10</v>
      </c>
      <c r="I952" s="15">
        <v>0</v>
      </c>
      <c r="J952" s="15">
        <f t="shared" si="30"/>
        <v>10</v>
      </c>
    </row>
    <row r="953" spans="1:11" x14ac:dyDescent="0.2">
      <c r="A953" s="11" t="s">
        <v>538</v>
      </c>
      <c r="B953" s="11" t="str">
        <f t="shared" si="29"/>
        <v>370009</v>
      </c>
      <c r="C953" s="11" t="str">
        <f>_xlfn.CONCAT(+VLOOKUP(VALUE(MID(A953,13,2)),'Tabla de codigos'!$A$2:$B$60,2,1)," ",VLOOKUP(VALUE(MID(A953,15,4)),'Tabla de codigos'!$E$2:$F$102,2,1))</f>
        <v>TAMALERA 5</v>
      </c>
      <c r="D953" s="11" t="s">
        <v>534</v>
      </c>
      <c r="E953" s="11" t="s">
        <v>34</v>
      </c>
      <c r="F953" s="11" t="s">
        <v>535</v>
      </c>
      <c r="G953" s="11" t="s">
        <v>532</v>
      </c>
      <c r="H953" s="11">
        <v>10</v>
      </c>
      <c r="I953" s="15">
        <v>0</v>
      </c>
      <c r="J953" s="15">
        <f t="shared" si="30"/>
        <v>10</v>
      </c>
    </row>
    <row r="954" spans="1:11" x14ac:dyDescent="0.2">
      <c r="A954" s="11" t="s">
        <v>209</v>
      </c>
      <c r="B954" s="11" t="str">
        <f t="shared" si="29"/>
        <v>030006</v>
      </c>
      <c r="C954" s="11" t="str">
        <f>_xlfn.CONCAT(+VLOOKUP(VALUE(MID(A954,13,2)),'Tabla de codigos'!$A$2:$B$60,2,1)," ",VLOOKUP(VALUE(MID(A954,15,4)),'Tabla de codigos'!$E$2:$F$102,2,1))</f>
        <v>BAÑO 2</v>
      </c>
      <c r="D954" s="11" t="s">
        <v>534</v>
      </c>
      <c r="E954" s="11" t="s">
        <v>34</v>
      </c>
      <c r="F954" s="11" t="s">
        <v>535</v>
      </c>
      <c r="G954" s="11" t="s">
        <v>532</v>
      </c>
      <c r="H954" s="11">
        <v>7</v>
      </c>
      <c r="I954" s="15">
        <v>0</v>
      </c>
      <c r="J954" s="15">
        <f t="shared" si="30"/>
        <v>7</v>
      </c>
    </row>
    <row r="955" spans="1:11" x14ac:dyDescent="0.2">
      <c r="A955" s="11" t="s">
        <v>204</v>
      </c>
      <c r="B955" s="11" t="str">
        <f t="shared" si="29"/>
        <v>110015</v>
      </c>
      <c r="C955" s="11" t="str">
        <f>_xlfn.CONCAT(+VLOOKUP(VALUE(MID(A955,13,2)),'Tabla de codigos'!$A$2:$B$60,2,1)," ",VLOOKUP(VALUE(MID(A955,15,4)),'Tabla de codigos'!$E$2:$F$102,2,1))</f>
        <v>CUBETA 14</v>
      </c>
      <c r="D955" s="11" t="s">
        <v>534</v>
      </c>
      <c r="E955" s="11" t="s">
        <v>34</v>
      </c>
      <c r="F955" s="11" t="s">
        <v>535</v>
      </c>
      <c r="G955" s="11" t="s">
        <v>532</v>
      </c>
      <c r="H955" s="11">
        <v>11</v>
      </c>
      <c r="I955" s="15">
        <v>0</v>
      </c>
      <c r="J955" s="15">
        <f t="shared" si="30"/>
        <v>11</v>
      </c>
      <c r="K955" s="17">
        <f>(SUM(I948:I955))/(SUM(H948:H955))</f>
        <v>0</v>
      </c>
    </row>
    <row r="956" spans="1:11" x14ac:dyDescent="0.2">
      <c r="A956" s="11" t="s">
        <v>256</v>
      </c>
      <c r="B956" s="11" t="str">
        <f t="shared" si="29"/>
        <v>060015</v>
      </c>
      <c r="C956" s="11" t="str">
        <f>_xlfn.CONCAT(+VLOOKUP(VALUE(MID(A956,13,2)),'Tabla de codigos'!$A$2:$B$60,2,1)," ",VLOOKUP(VALUE(MID(A956,15,4)),'Tabla de codigos'!$E$2:$F$102,2,1))</f>
        <v>BUDINERA   14</v>
      </c>
      <c r="D956" s="11" t="s">
        <v>539</v>
      </c>
      <c r="E956" s="11" t="s">
        <v>34</v>
      </c>
      <c r="F956" s="11" t="s">
        <v>540</v>
      </c>
      <c r="G956" s="11" t="s">
        <v>532</v>
      </c>
      <c r="H956" s="11">
        <v>90</v>
      </c>
      <c r="I956" s="15">
        <v>0</v>
      </c>
      <c r="J956" s="15">
        <f t="shared" si="30"/>
        <v>90</v>
      </c>
    </row>
    <row r="957" spans="1:11" x14ac:dyDescent="0.2">
      <c r="A957" s="11" t="s">
        <v>173</v>
      </c>
      <c r="B957" s="11" t="str">
        <f t="shared" si="29"/>
        <v>060031</v>
      </c>
      <c r="C957" s="11" t="str">
        <f>_xlfn.CONCAT(+VLOOKUP(VALUE(MID(A957,13,2)),'Tabla de codigos'!$A$2:$B$60,2,1)," ",VLOOKUP(VALUE(MID(A957,15,4)),'Tabla de codigos'!$E$2:$F$102,2,1))</f>
        <v>BUDINERA   34</v>
      </c>
      <c r="D957" s="11" t="s">
        <v>539</v>
      </c>
      <c r="E957" s="11" t="s">
        <v>34</v>
      </c>
      <c r="F957" s="11" t="s">
        <v>540</v>
      </c>
      <c r="G957" s="11" t="s">
        <v>532</v>
      </c>
      <c r="H957" s="11">
        <v>10</v>
      </c>
      <c r="I957" s="15">
        <v>10</v>
      </c>
      <c r="J957" s="15">
        <f t="shared" si="30"/>
        <v>0</v>
      </c>
    </row>
    <row r="958" spans="1:11" x14ac:dyDescent="0.2">
      <c r="A958" s="11" t="s">
        <v>38</v>
      </c>
      <c r="B958" s="11" t="str">
        <f t="shared" si="29"/>
        <v>060033</v>
      </c>
      <c r="C958" s="11" t="str">
        <f>_xlfn.CONCAT(+VLOOKUP(VALUE(MID(A958,13,2)),'Tabla de codigos'!$A$2:$B$60,2,1)," ",VLOOKUP(VALUE(MID(A958,15,4)),'Tabla de codigos'!$E$2:$F$102,2,1))</f>
        <v>BUDINERA   42</v>
      </c>
      <c r="D958" s="11" t="s">
        <v>539</v>
      </c>
      <c r="E958" s="11" t="s">
        <v>34</v>
      </c>
      <c r="F958" s="11" t="s">
        <v>540</v>
      </c>
      <c r="G958" s="11" t="s">
        <v>532</v>
      </c>
      <c r="H958" s="11">
        <v>8</v>
      </c>
      <c r="I958" s="15">
        <v>0</v>
      </c>
      <c r="J958" s="15">
        <f t="shared" si="30"/>
        <v>8</v>
      </c>
    </row>
    <row r="959" spans="1:11" x14ac:dyDescent="0.2">
      <c r="A959" s="11" t="s">
        <v>187</v>
      </c>
      <c r="B959" s="11" t="str">
        <f t="shared" si="29"/>
        <v>240014</v>
      </c>
      <c r="C959" s="11" t="str">
        <f>_xlfn.CONCAT(+VLOOKUP(VALUE(MID(A959,13,2)),'Tabla de codigos'!$A$2:$B$60,2,1)," ",VLOOKUP(VALUE(MID(A959,15,4)),'Tabla de codigos'!$E$2:$F$102,2,1))</f>
        <v>OLLA CONVEXA 12</v>
      </c>
      <c r="D959" s="11" t="s">
        <v>539</v>
      </c>
      <c r="E959" s="11" t="s">
        <v>34</v>
      </c>
      <c r="F959" s="11" t="s">
        <v>540</v>
      </c>
      <c r="G959" s="11" t="s">
        <v>532</v>
      </c>
      <c r="H959" s="11">
        <v>36</v>
      </c>
      <c r="I959" s="15">
        <v>0</v>
      </c>
      <c r="J959" s="15">
        <f t="shared" si="30"/>
        <v>36</v>
      </c>
    </row>
    <row r="960" spans="1:11" x14ac:dyDescent="0.2">
      <c r="A960" s="11" t="s">
        <v>154</v>
      </c>
      <c r="B960" s="11" t="str">
        <f t="shared" si="29"/>
        <v>240029</v>
      </c>
      <c r="C960" s="11" t="str">
        <f>_xlfn.CONCAT(+VLOOKUP(VALUE(MID(A960,13,2)),'Tabla de codigos'!$A$2:$B$60,2,1)," ",VLOOKUP(VALUE(MID(A960,15,4)),'Tabla de codigos'!$E$2:$F$102,2,1))</f>
        <v>OLLA CONVEXA 30</v>
      </c>
      <c r="D960" s="11" t="s">
        <v>539</v>
      </c>
      <c r="E960" s="11" t="s">
        <v>34</v>
      </c>
      <c r="F960" s="11" t="s">
        <v>540</v>
      </c>
      <c r="G960" s="11" t="s">
        <v>532</v>
      </c>
      <c r="H960" s="11">
        <v>10</v>
      </c>
      <c r="I960" s="15">
        <f>7</f>
        <v>7</v>
      </c>
      <c r="J960" s="15">
        <f t="shared" si="30"/>
        <v>3</v>
      </c>
    </row>
    <row r="961" spans="1:11" x14ac:dyDescent="0.2">
      <c r="A961" s="11" t="s">
        <v>257</v>
      </c>
      <c r="B961" s="11" t="str">
        <f t="shared" si="29"/>
        <v>250015</v>
      </c>
      <c r="C961" s="11" t="str">
        <f>_xlfn.CONCAT(+VLOOKUP(VALUE(MID(A961,13,2)),'Tabla de codigos'!$A$2:$B$60,2,1)," ",VLOOKUP(VALUE(MID(A961,15,4)),'Tabla de codigos'!$E$2:$F$102,2,1))</f>
        <v>OLLA RECTA 14</v>
      </c>
      <c r="D961" s="11" t="s">
        <v>539</v>
      </c>
      <c r="E961" s="11" t="s">
        <v>34</v>
      </c>
      <c r="F961" s="11" t="s">
        <v>540</v>
      </c>
      <c r="G961" s="11" t="s">
        <v>532</v>
      </c>
      <c r="H961" s="11">
        <v>90</v>
      </c>
      <c r="I961" s="15">
        <v>0</v>
      </c>
      <c r="J961" s="15">
        <f t="shared" si="30"/>
        <v>90</v>
      </c>
    </row>
    <row r="962" spans="1:11" x14ac:dyDescent="0.2">
      <c r="A962" s="11" t="s">
        <v>237</v>
      </c>
      <c r="B962" s="11" t="str">
        <f t="shared" si="29"/>
        <v>250025</v>
      </c>
      <c r="C962" s="11" t="str">
        <f>_xlfn.CONCAT(+VLOOKUP(VALUE(MID(A962,13,2)),'Tabla de codigos'!$A$2:$B$60,2,1)," ",VLOOKUP(VALUE(MID(A962,15,4)),'Tabla de codigos'!$E$2:$F$102,2,1))</f>
        <v>OLLA RECTA 24</v>
      </c>
      <c r="D962" s="11" t="s">
        <v>539</v>
      </c>
      <c r="E962" s="11" t="s">
        <v>34</v>
      </c>
      <c r="F962" s="11" t="s">
        <v>540</v>
      </c>
      <c r="G962" s="11" t="s">
        <v>532</v>
      </c>
      <c r="H962" s="11">
        <v>12</v>
      </c>
      <c r="I962" s="15">
        <v>0</v>
      </c>
      <c r="J962" s="15">
        <f t="shared" si="30"/>
        <v>12</v>
      </c>
    </row>
    <row r="963" spans="1:11" x14ac:dyDescent="0.2">
      <c r="A963" s="11" t="s">
        <v>336</v>
      </c>
      <c r="B963" s="11" t="str">
        <f t="shared" ref="B963:B1026" si="31">+MID(A963,13,6)</f>
        <v>250028</v>
      </c>
      <c r="C963" s="11" t="str">
        <f>_xlfn.CONCAT(+VLOOKUP(VALUE(MID(A963,13,2)),'Tabla de codigos'!$A$2:$B$60,2,1)," ",VLOOKUP(VALUE(MID(A963,15,4)),'Tabla de codigos'!$E$2:$F$102,2,1))</f>
        <v>OLLA RECTA 28</v>
      </c>
      <c r="D963" s="11" t="s">
        <v>539</v>
      </c>
      <c r="E963" s="11" t="s">
        <v>34</v>
      </c>
      <c r="F963" s="11" t="s">
        <v>540</v>
      </c>
      <c r="G963" s="11" t="s">
        <v>532</v>
      </c>
      <c r="H963" s="11">
        <v>4</v>
      </c>
      <c r="I963" s="15">
        <v>0</v>
      </c>
      <c r="J963" s="15">
        <f t="shared" si="30"/>
        <v>4</v>
      </c>
    </row>
    <row r="964" spans="1:11" x14ac:dyDescent="0.2">
      <c r="A964" s="11" t="s">
        <v>125</v>
      </c>
      <c r="B964" s="11" t="str">
        <f t="shared" si="31"/>
        <v>330015</v>
      </c>
      <c r="C964" s="11" t="str">
        <f>_xlfn.CONCAT(+VLOOKUP(VALUE(MID(A964,13,2)),'Tabla de codigos'!$A$2:$B$60,2,1)," ",VLOOKUP(VALUE(MID(A964,15,4)),'Tabla de codigos'!$E$2:$F$102,2,1))</f>
        <v>POCILLO 14</v>
      </c>
      <c r="D964" s="11" t="s">
        <v>539</v>
      </c>
      <c r="E964" s="11" t="s">
        <v>34</v>
      </c>
      <c r="F964" s="11" t="s">
        <v>540</v>
      </c>
      <c r="G964" s="11" t="s">
        <v>532</v>
      </c>
      <c r="H964" s="11">
        <v>42</v>
      </c>
      <c r="I964" s="15">
        <v>0</v>
      </c>
      <c r="J964" s="15">
        <f t="shared" si="30"/>
        <v>42</v>
      </c>
    </row>
    <row r="965" spans="1:11" x14ac:dyDescent="0.2">
      <c r="A965" s="11" t="s">
        <v>129</v>
      </c>
      <c r="B965" s="11" t="str">
        <f t="shared" si="31"/>
        <v>330015</v>
      </c>
      <c r="C965" s="11" t="str">
        <f>_xlfn.CONCAT(+VLOOKUP(VALUE(MID(A965,13,2)),'Tabla de codigos'!$A$2:$B$60,2,1)," ",VLOOKUP(VALUE(MID(A965,15,4)),'Tabla de codigos'!$E$2:$F$102,2,1))</f>
        <v>POCILLO 14</v>
      </c>
      <c r="D965" s="11" t="s">
        <v>539</v>
      </c>
      <c r="E965" s="11" t="s">
        <v>34</v>
      </c>
      <c r="F965" s="11" t="s">
        <v>540</v>
      </c>
      <c r="G965" s="11" t="s">
        <v>532</v>
      </c>
      <c r="H965" s="11">
        <v>60</v>
      </c>
      <c r="I965" s="15">
        <v>0</v>
      </c>
      <c r="J965" s="15">
        <f t="shared" si="30"/>
        <v>60</v>
      </c>
    </row>
    <row r="966" spans="1:11" x14ac:dyDescent="0.2">
      <c r="A966" s="11" t="s">
        <v>130</v>
      </c>
      <c r="B966" s="11" t="str">
        <f t="shared" si="31"/>
        <v>330015</v>
      </c>
      <c r="C966" s="11" t="str">
        <f>_xlfn.CONCAT(+VLOOKUP(VALUE(MID(A966,13,2)),'Tabla de codigos'!$A$2:$B$60,2,1)," ",VLOOKUP(VALUE(MID(A966,15,4)),'Tabla de codigos'!$E$2:$F$102,2,1))</f>
        <v>POCILLO 14</v>
      </c>
      <c r="D966" s="11" t="s">
        <v>539</v>
      </c>
      <c r="E966" s="11" t="s">
        <v>34</v>
      </c>
      <c r="F966" s="11" t="s">
        <v>540</v>
      </c>
      <c r="G966" s="11" t="s">
        <v>532</v>
      </c>
      <c r="H966" s="11">
        <v>60</v>
      </c>
      <c r="I966" s="15">
        <v>0</v>
      </c>
      <c r="J966" s="15">
        <f t="shared" si="30"/>
        <v>60</v>
      </c>
    </row>
    <row r="967" spans="1:11" x14ac:dyDescent="0.2">
      <c r="A967" s="11" t="s">
        <v>83</v>
      </c>
      <c r="B967" s="11" t="str">
        <f t="shared" si="31"/>
        <v>390016</v>
      </c>
      <c r="C967" s="11" t="str">
        <f>_xlfn.CONCAT(+VLOOKUP(VALUE(MID(A967,13,2)),'Tabla de codigos'!$A$2:$B$60,2,1)," ",VLOOKUP(VALUE(MID(A967,15,4)),'Tabla de codigos'!$E$2:$F$102,2,1))</f>
        <v>TAZON  15.5</v>
      </c>
      <c r="D967" s="11" t="s">
        <v>539</v>
      </c>
      <c r="E967" s="11" t="s">
        <v>34</v>
      </c>
      <c r="F967" s="11" t="s">
        <v>540</v>
      </c>
      <c r="G967" s="11" t="s">
        <v>532</v>
      </c>
      <c r="H967" s="11">
        <v>120</v>
      </c>
      <c r="I967" s="15">
        <v>0</v>
      </c>
      <c r="J967" s="15">
        <f t="shared" si="30"/>
        <v>120</v>
      </c>
      <c r="K967" s="17">
        <f>(SUM(I956:I967))/(SUM(H956:H967))</f>
        <v>3.136531365313653E-2</v>
      </c>
    </row>
    <row r="968" spans="1:11" x14ac:dyDescent="0.2">
      <c r="A968" s="11" t="s">
        <v>541</v>
      </c>
      <c r="B968" s="11" t="str">
        <f t="shared" si="31"/>
        <v>330012</v>
      </c>
      <c r="C968" s="11" t="str">
        <f>_xlfn.CONCAT(+VLOOKUP(VALUE(MID(A968,13,2)),'Tabla de codigos'!$A$2:$B$60,2,1)," ",VLOOKUP(VALUE(MID(A968,15,4)),'Tabla de codigos'!$E$2:$F$102,2,1))</f>
        <v>POCILLO 8</v>
      </c>
      <c r="D968" s="11" t="s">
        <v>542</v>
      </c>
      <c r="E968" s="11" t="s">
        <v>145</v>
      </c>
      <c r="F968" s="11" t="s">
        <v>543</v>
      </c>
      <c r="G968" s="11" t="s">
        <v>532</v>
      </c>
      <c r="H968" s="11">
        <v>18</v>
      </c>
      <c r="I968" s="15">
        <v>0</v>
      </c>
      <c r="J968" s="15">
        <f t="shared" ref="J968:J1031" si="32">+H968-I968</f>
        <v>18</v>
      </c>
    </row>
    <row r="969" spans="1:11" x14ac:dyDescent="0.2">
      <c r="A969" s="11" t="s">
        <v>544</v>
      </c>
      <c r="B969" s="11" t="str">
        <f t="shared" si="31"/>
        <v>300030</v>
      </c>
      <c r="C969" s="11" t="str">
        <f>_xlfn.CONCAT(+VLOOKUP(VALUE(MID(A969,13,2)),'Tabla de codigos'!$A$2:$B$60,2,1)," ",VLOOKUP(VALUE(MID(A969,15,4)),'Tabla de codigos'!$E$2:$F$102,2,1))</f>
        <v>PLATO LISO 32</v>
      </c>
      <c r="D969" s="11" t="s">
        <v>542</v>
      </c>
      <c r="E969" s="11" t="s">
        <v>145</v>
      </c>
      <c r="F969" s="11" t="s">
        <v>543</v>
      </c>
      <c r="G969" s="11" t="s">
        <v>532</v>
      </c>
      <c r="H969" s="11">
        <v>12</v>
      </c>
      <c r="I969" s="15">
        <v>0</v>
      </c>
      <c r="J969" s="15">
        <f t="shared" si="32"/>
        <v>12</v>
      </c>
    </row>
    <row r="970" spans="1:11" x14ac:dyDescent="0.2">
      <c r="A970" s="11" t="s">
        <v>545</v>
      </c>
      <c r="B970" s="11" t="str">
        <f t="shared" si="31"/>
        <v>300017</v>
      </c>
      <c r="C970" s="11" t="str">
        <f>_xlfn.CONCAT(+VLOOKUP(VALUE(MID(A970,13,2)),'Tabla de codigos'!$A$2:$B$60,2,1)," ",VLOOKUP(VALUE(MID(A970,15,4)),'Tabla de codigos'!$E$2:$F$102,2,1))</f>
        <v>PLATO LISO 16</v>
      </c>
      <c r="D970" s="11" t="s">
        <v>542</v>
      </c>
      <c r="E970" s="11" t="s">
        <v>145</v>
      </c>
      <c r="F970" s="11" t="s">
        <v>543</v>
      </c>
      <c r="G970" s="11" t="s">
        <v>532</v>
      </c>
      <c r="H970" s="11">
        <v>12</v>
      </c>
      <c r="I970" s="15">
        <v>0</v>
      </c>
      <c r="J970" s="15">
        <f t="shared" si="32"/>
        <v>12</v>
      </c>
    </row>
    <row r="971" spans="1:11" x14ac:dyDescent="0.2">
      <c r="A971" s="11" t="s">
        <v>546</v>
      </c>
      <c r="B971" s="11" t="str">
        <f t="shared" si="31"/>
        <v>390016</v>
      </c>
      <c r="C971" s="11" t="str">
        <f>_xlfn.CONCAT(+VLOOKUP(VALUE(MID(A971,13,2)),'Tabla de codigos'!$A$2:$B$60,2,1)," ",VLOOKUP(VALUE(MID(A971,15,4)),'Tabla de codigos'!$E$2:$F$102,2,1))</f>
        <v>TAZON  15.5</v>
      </c>
      <c r="D971" s="11" t="s">
        <v>542</v>
      </c>
      <c r="E971" s="11" t="s">
        <v>145</v>
      </c>
      <c r="F971" s="11" t="s">
        <v>543</v>
      </c>
      <c r="G971" s="11" t="s">
        <v>532</v>
      </c>
      <c r="H971" s="11">
        <v>12</v>
      </c>
      <c r="I971" s="15">
        <v>0</v>
      </c>
      <c r="J971" s="15">
        <f t="shared" si="32"/>
        <v>12</v>
      </c>
    </row>
    <row r="972" spans="1:11" x14ac:dyDescent="0.2">
      <c r="A972" s="11" t="s">
        <v>547</v>
      </c>
      <c r="B972" s="11" t="str">
        <f t="shared" si="31"/>
        <v>330009</v>
      </c>
      <c r="C972" s="11" t="str">
        <f>_xlfn.CONCAT(+VLOOKUP(VALUE(MID(A972,13,2)),'Tabla de codigos'!$A$2:$B$60,2,1)," ",VLOOKUP(VALUE(MID(A972,15,4)),'Tabla de codigos'!$E$2:$F$102,2,1))</f>
        <v>POCILLO 5</v>
      </c>
      <c r="D972" s="11" t="s">
        <v>542</v>
      </c>
      <c r="E972" s="11" t="s">
        <v>145</v>
      </c>
      <c r="F972" s="11" t="s">
        <v>543</v>
      </c>
      <c r="G972" s="11" t="s">
        <v>532</v>
      </c>
      <c r="H972" s="11">
        <v>18</v>
      </c>
      <c r="I972" s="15">
        <v>0</v>
      </c>
      <c r="J972" s="15">
        <f t="shared" si="32"/>
        <v>18</v>
      </c>
    </row>
    <row r="973" spans="1:11" x14ac:dyDescent="0.2">
      <c r="A973" s="11" t="s">
        <v>548</v>
      </c>
      <c r="B973" s="11" t="str">
        <f t="shared" si="31"/>
        <v>300027</v>
      </c>
      <c r="C973" s="11" t="str">
        <f>_xlfn.CONCAT(+VLOOKUP(VALUE(MID(A973,13,2)),'Tabla de codigos'!$A$2:$B$60,2,1)," ",VLOOKUP(VALUE(MID(A973,15,4)),'Tabla de codigos'!$E$2:$F$102,2,1))</f>
        <v>PLATO LISO 27</v>
      </c>
      <c r="D973" s="11" t="s">
        <v>542</v>
      </c>
      <c r="E973" s="11" t="s">
        <v>145</v>
      </c>
      <c r="F973" s="11" t="s">
        <v>543</v>
      </c>
      <c r="G973" s="11" t="s">
        <v>532</v>
      </c>
      <c r="H973" s="11">
        <v>12</v>
      </c>
      <c r="J973" s="15">
        <f t="shared" si="32"/>
        <v>12</v>
      </c>
    </row>
    <row r="974" spans="1:11" x14ac:dyDescent="0.2">
      <c r="A974" s="11" t="s">
        <v>549</v>
      </c>
      <c r="B974" s="11" t="str">
        <f t="shared" si="31"/>
        <v>300022</v>
      </c>
      <c r="C974" s="11" t="str">
        <f>_xlfn.CONCAT(+VLOOKUP(VALUE(MID(A974,13,2)),'Tabla de codigos'!$A$2:$B$60,2,1)," ",VLOOKUP(VALUE(MID(A974,15,4)),'Tabla de codigos'!$E$2:$F$102,2,1))</f>
        <v>PLATO LISO 20</v>
      </c>
      <c r="D974" s="11" t="s">
        <v>542</v>
      </c>
      <c r="E974" s="11" t="s">
        <v>145</v>
      </c>
      <c r="F974" s="11" t="s">
        <v>543</v>
      </c>
      <c r="G974" s="11" t="s">
        <v>532</v>
      </c>
      <c r="H974" s="11">
        <v>12</v>
      </c>
      <c r="I974" s="15">
        <v>0</v>
      </c>
      <c r="J974" s="15">
        <f t="shared" si="32"/>
        <v>12</v>
      </c>
    </row>
    <row r="975" spans="1:11" x14ac:dyDescent="0.2">
      <c r="A975" s="11" t="s">
        <v>550</v>
      </c>
      <c r="B975" s="11" t="str">
        <f t="shared" si="31"/>
        <v>390012</v>
      </c>
      <c r="C975" s="11" t="str">
        <f>_xlfn.CONCAT(+VLOOKUP(VALUE(MID(A975,13,2)),'Tabla de codigos'!$A$2:$B$60,2,1)," ",VLOOKUP(VALUE(MID(A975,15,4)),'Tabla de codigos'!$E$2:$F$102,2,1))</f>
        <v>TAZON  8</v>
      </c>
      <c r="D975" s="11" t="s">
        <v>542</v>
      </c>
      <c r="E975" s="11" t="s">
        <v>145</v>
      </c>
      <c r="F975" s="11" t="s">
        <v>543</v>
      </c>
      <c r="G975" s="11" t="s">
        <v>532</v>
      </c>
      <c r="H975" s="11">
        <v>12</v>
      </c>
      <c r="I975" s="15">
        <v>0</v>
      </c>
      <c r="J975" s="15">
        <f t="shared" si="32"/>
        <v>12</v>
      </c>
    </row>
    <row r="976" spans="1:11" x14ac:dyDescent="0.2">
      <c r="A976" s="11" t="s">
        <v>551</v>
      </c>
      <c r="B976" s="11" t="str">
        <f t="shared" si="31"/>
        <v>400024</v>
      </c>
      <c r="C976" s="11" t="str">
        <f>_xlfn.CONCAT(+VLOOKUP(VALUE(MID(A976,13,2)),'Tabla de codigos'!$A$2:$B$60,2,1)," ",VLOOKUP(VALUE(MID(A976,15,4)),'Tabla de codigos'!$E$2:$F$102,2,1))</f>
        <v>TAZON INCLINADO 22</v>
      </c>
      <c r="D976" s="11" t="s">
        <v>542</v>
      </c>
      <c r="E976" s="11" t="s">
        <v>145</v>
      </c>
      <c r="F976" s="11" t="s">
        <v>543</v>
      </c>
      <c r="G976" s="11" t="s">
        <v>532</v>
      </c>
      <c r="H976" s="11">
        <v>6</v>
      </c>
      <c r="I976" s="15">
        <v>0</v>
      </c>
      <c r="J976" s="15">
        <f t="shared" si="32"/>
        <v>6</v>
      </c>
      <c r="K976" s="17">
        <f>(SUM(I968:I976))/(SUM(H968:H976))</f>
        <v>0</v>
      </c>
    </row>
    <row r="977" spans="1:12" x14ac:dyDescent="0.2">
      <c r="A977" s="11" t="s">
        <v>552</v>
      </c>
      <c r="B977" s="11" t="str">
        <f t="shared" si="31"/>
        <v>390012</v>
      </c>
      <c r="C977" s="11" t="str">
        <f>_xlfn.CONCAT(+VLOOKUP(VALUE(MID(A977,13,2)),'Tabla de codigos'!$A$2:$B$60,2,1)," ",VLOOKUP(VALUE(MID(A977,15,4)),'Tabla de codigos'!$E$2:$F$102,2,1))</f>
        <v>TAZON  8</v>
      </c>
      <c r="D977" s="11" t="s">
        <v>553</v>
      </c>
      <c r="E977" s="11" t="s">
        <v>16</v>
      </c>
      <c r="F977" s="11" t="s">
        <v>554</v>
      </c>
      <c r="G977" s="11" t="s">
        <v>532</v>
      </c>
      <c r="H977" s="11">
        <v>1</v>
      </c>
      <c r="I977" s="15">
        <v>1</v>
      </c>
      <c r="J977" s="15">
        <f t="shared" si="32"/>
        <v>0</v>
      </c>
      <c r="L977" s="18">
        <v>45845</v>
      </c>
    </row>
    <row r="978" spans="1:12" x14ac:dyDescent="0.2">
      <c r="A978" s="11" t="s">
        <v>555</v>
      </c>
      <c r="B978" s="11" t="str">
        <f t="shared" si="31"/>
        <v>100028</v>
      </c>
      <c r="C978" s="11" t="str">
        <f>_xlfn.CONCAT(+VLOOKUP(VALUE(MID(A978,13,2)),'Tabla de codigos'!$A$2:$B$60,2,1)," ",VLOOKUP(VALUE(MID(A978,15,4)),'Tabla de codigos'!$E$2:$F$102,2,1))</f>
        <v>COMAL 28</v>
      </c>
      <c r="D978" s="11" t="s">
        <v>553</v>
      </c>
      <c r="E978" s="11" t="s">
        <v>16</v>
      </c>
      <c r="F978" s="11" t="s">
        <v>554</v>
      </c>
      <c r="G978" s="11" t="s">
        <v>532</v>
      </c>
      <c r="H978" s="11">
        <v>5</v>
      </c>
      <c r="I978" s="15">
        <v>5</v>
      </c>
      <c r="J978" s="15">
        <f t="shared" si="32"/>
        <v>0</v>
      </c>
      <c r="K978" s="17">
        <f>(SUM(I977:I978))/(SUM(H977:H978))</f>
        <v>1</v>
      </c>
      <c r="L978" s="18">
        <v>45845</v>
      </c>
    </row>
    <row r="979" spans="1:12" x14ac:dyDescent="0.2">
      <c r="A979" s="11" t="s">
        <v>552</v>
      </c>
      <c r="B979" s="11" t="str">
        <f t="shared" si="31"/>
        <v>390012</v>
      </c>
      <c r="C979" s="11" t="str">
        <f>_xlfn.CONCAT(+VLOOKUP(VALUE(MID(A979,13,2)),'Tabla de codigos'!$A$2:$B$60,2,1)," ",VLOOKUP(VALUE(MID(A979,15,4)),'Tabla de codigos'!$E$2:$F$102,2,1))</f>
        <v>TAZON  8</v>
      </c>
      <c r="D979" s="11" t="s">
        <v>553</v>
      </c>
      <c r="E979" s="11" t="s">
        <v>16</v>
      </c>
      <c r="F979" s="11" t="s">
        <v>556</v>
      </c>
      <c r="G979" s="11" t="s">
        <v>532</v>
      </c>
      <c r="H979" s="11">
        <v>1</v>
      </c>
      <c r="I979" s="15">
        <v>1</v>
      </c>
      <c r="J979" s="15">
        <f t="shared" si="32"/>
        <v>0</v>
      </c>
      <c r="L979" s="18">
        <v>45845</v>
      </c>
    </row>
    <row r="980" spans="1:12" x14ac:dyDescent="0.2">
      <c r="A980" s="11" t="s">
        <v>557</v>
      </c>
      <c r="B980" s="11" t="str">
        <f t="shared" si="31"/>
        <v>420021</v>
      </c>
      <c r="C980" s="11" t="str">
        <f>_xlfn.CONCAT(+VLOOKUP(VALUE(MID(A980,13,2)),'Tabla de codigos'!$A$2:$B$60,2,1)," ",VLOOKUP(VALUE(MID(A980,15,4)),'Tabla de codigos'!$E$2:$F$102,2,1))</f>
        <v>TORTILLERO  18</v>
      </c>
      <c r="D980" s="11" t="s">
        <v>553</v>
      </c>
      <c r="E980" s="11" t="s">
        <v>16</v>
      </c>
      <c r="F980" s="11" t="s">
        <v>556</v>
      </c>
      <c r="G980" s="11" t="s">
        <v>532</v>
      </c>
      <c r="H980" s="11">
        <v>1</v>
      </c>
      <c r="I980" s="15">
        <v>0</v>
      </c>
      <c r="J980" s="15">
        <f t="shared" si="32"/>
        <v>1</v>
      </c>
      <c r="L980" s="18">
        <v>45845</v>
      </c>
    </row>
    <row r="981" spans="1:12" x14ac:dyDescent="0.2">
      <c r="A981" s="11" t="s">
        <v>555</v>
      </c>
      <c r="B981" s="11" t="str">
        <f t="shared" si="31"/>
        <v>100028</v>
      </c>
      <c r="C981" s="11" t="str">
        <f>_xlfn.CONCAT(+VLOOKUP(VALUE(MID(A981,13,2)),'Tabla de codigos'!$A$2:$B$60,2,1)," ",VLOOKUP(VALUE(MID(A981,15,4)),'Tabla de codigos'!$E$2:$F$102,2,1))</f>
        <v>COMAL 28</v>
      </c>
      <c r="D981" s="11" t="s">
        <v>553</v>
      </c>
      <c r="E981" s="11" t="s">
        <v>16</v>
      </c>
      <c r="F981" s="11" t="s">
        <v>556</v>
      </c>
      <c r="G981" s="11" t="s">
        <v>532</v>
      </c>
      <c r="H981" s="11">
        <v>5</v>
      </c>
      <c r="I981" s="15">
        <v>5</v>
      </c>
      <c r="J981" s="15">
        <f t="shared" si="32"/>
        <v>0</v>
      </c>
      <c r="K981" s="17">
        <f>(SUM(I979:I981))/(SUM(H979:H981))</f>
        <v>0.8571428571428571</v>
      </c>
      <c r="L981" s="18">
        <v>45845</v>
      </c>
    </row>
    <row r="982" spans="1:12" x14ac:dyDescent="0.2">
      <c r="A982" s="11" t="s">
        <v>558</v>
      </c>
      <c r="B982" s="11" t="str">
        <f t="shared" si="31"/>
        <v>300014</v>
      </c>
      <c r="C982" s="11" t="str">
        <f>_xlfn.CONCAT(+VLOOKUP(VALUE(MID(A982,13,2)),'Tabla de codigos'!$A$2:$B$60,2,1)," ",VLOOKUP(VALUE(MID(A982,15,4)),'Tabla de codigos'!$E$2:$F$102,2,1))</f>
        <v>PLATO LISO 12</v>
      </c>
      <c r="D982" s="11" t="s">
        <v>553</v>
      </c>
      <c r="E982" s="11" t="s">
        <v>16</v>
      </c>
      <c r="F982" s="11" t="s">
        <v>559</v>
      </c>
      <c r="G982" s="11" t="s">
        <v>532</v>
      </c>
      <c r="H982" s="11">
        <v>2</v>
      </c>
      <c r="I982" s="15">
        <f>1+1</f>
        <v>2</v>
      </c>
      <c r="J982" s="15">
        <f t="shared" si="32"/>
        <v>0</v>
      </c>
      <c r="K982" s="18"/>
      <c r="L982" s="18">
        <v>45845</v>
      </c>
    </row>
    <row r="983" spans="1:12" x14ac:dyDescent="0.2">
      <c r="A983" s="11" t="s">
        <v>560</v>
      </c>
      <c r="B983" s="11" t="str">
        <f t="shared" si="31"/>
        <v>120050</v>
      </c>
      <c r="C983" s="11" t="str">
        <f>_xlfn.CONCAT(+VLOOKUP(VALUE(MID(A983,13,2)),'Tabla de codigos'!$A$2:$B$60,2,1)," ",VLOOKUP(VALUE(MID(A983,15,4)),'Tabla de codigos'!$E$2:$F$102,2,1))</f>
        <v>CUCHARA MOKA</v>
      </c>
      <c r="D983" s="11" t="s">
        <v>553</v>
      </c>
      <c r="E983" s="11" t="s">
        <v>16</v>
      </c>
      <c r="F983" s="11" t="s">
        <v>559</v>
      </c>
      <c r="G983" s="11" t="s">
        <v>532</v>
      </c>
      <c r="H983" s="11">
        <v>1</v>
      </c>
      <c r="I983" s="15">
        <v>0</v>
      </c>
      <c r="J983" s="15">
        <f t="shared" si="32"/>
        <v>1</v>
      </c>
      <c r="K983" s="18"/>
      <c r="L983" s="18">
        <v>45845</v>
      </c>
    </row>
    <row r="984" spans="1:12" x14ac:dyDescent="0.2">
      <c r="A984" s="11" t="s">
        <v>561</v>
      </c>
      <c r="B984" s="11" t="str">
        <f t="shared" si="31"/>
        <v>120050</v>
      </c>
      <c r="C984" s="11" t="str">
        <f>_xlfn.CONCAT(+VLOOKUP(VALUE(MID(A984,13,2)),'Tabla de codigos'!$A$2:$B$60,2,1)," ",VLOOKUP(VALUE(MID(A984,15,4)),'Tabla de codigos'!$E$2:$F$102,2,1))</f>
        <v>CUCHARA MOKA</v>
      </c>
      <c r="D984" s="11" t="s">
        <v>553</v>
      </c>
      <c r="E984" s="11" t="s">
        <v>16</v>
      </c>
      <c r="F984" s="11" t="s">
        <v>559</v>
      </c>
      <c r="G984" s="11" t="s">
        <v>532</v>
      </c>
      <c r="H984" s="11">
        <v>2</v>
      </c>
      <c r="I984" s="15">
        <v>2</v>
      </c>
      <c r="J984" s="15">
        <f t="shared" si="32"/>
        <v>0</v>
      </c>
      <c r="K984" s="18"/>
      <c r="L984" s="18">
        <v>45845</v>
      </c>
    </row>
    <row r="985" spans="1:12" x14ac:dyDescent="0.2">
      <c r="A985" s="11" t="s">
        <v>562</v>
      </c>
      <c r="B985" s="11" t="str">
        <f t="shared" si="31"/>
        <v>220001</v>
      </c>
      <c r="C985" s="11" t="str">
        <f>_xlfn.CONCAT(+VLOOKUP(VALUE(MID(A985,13,2)),'Tabla de codigos'!$A$2:$B$60,2,1)," ",VLOOKUP(VALUE(MID(A985,15,4)),'Tabla de codigos'!$E$2:$F$102,2,1))</f>
        <v>MULTIUSOS S/I</v>
      </c>
      <c r="D985" s="11" t="s">
        <v>553</v>
      </c>
      <c r="E985" s="11" t="s">
        <v>16</v>
      </c>
      <c r="F985" s="11" t="s">
        <v>559</v>
      </c>
      <c r="G985" s="11" t="s">
        <v>532</v>
      </c>
      <c r="H985" s="11">
        <v>2</v>
      </c>
      <c r="I985" s="15">
        <v>2</v>
      </c>
      <c r="J985" s="15">
        <f t="shared" si="32"/>
        <v>0</v>
      </c>
      <c r="K985" s="18"/>
      <c r="L985" s="18">
        <v>45845</v>
      </c>
    </row>
    <row r="986" spans="1:12" x14ac:dyDescent="0.2">
      <c r="A986" s="11" t="s">
        <v>552</v>
      </c>
      <c r="B986" s="11" t="str">
        <f t="shared" si="31"/>
        <v>390012</v>
      </c>
      <c r="C986" s="11" t="str">
        <f>_xlfn.CONCAT(+VLOOKUP(VALUE(MID(A986,13,2)),'Tabla de codigos'!$A$2:$B$60,2,1)," ",VLOOKUP(VALUE(MID(A986,15,4)),'Tabla de codigos'!$E$2:$F$102,2,1))</f>
        <v>TAZON  8</v>
      </c>
      <c r="D986" s="11" t="s">
        <v>553</v>
      </c>
      <c r="E986" s="11" t="s">
        <v>16</v>
      </c>
      <c r="F986" s="11" t="s">
        <v>559</v>
      </c>
      <c r="G986" s="11" t="s">
        <v>532</v>
      </c>
      <c r="H986" s="11">
        <v>1</v>
      </c>
      <c r="I986" s="15">
        <v>1</v>
      </c>
      <c r="J986" s="15">
        <f t="shared" si="32"/>
        <v>0</v>
      </c>
      <c r="K986" s="18"/>
      <c r="L986" s="18">
        <v>45845</v>
      </c>
    </row>
    <row r="987" spans="1:12" x14ac:dyDescent="0.2">
      <c r="A987" s="11" t="s">
        <v>563</v>
      </c>
      <c r="B987" s="11" t="str">
        <f t="shared" si="31"/>
        <v>330009</v>
      </c>
      <c r="C987" s="11" t="str">
        <f>_xlfn.CONCAT(+VLOOKUP(VALUE(MID(A987,13,2)),'Tabla de codigos'!$A$2:$B$60,2,1)," ",VLOOKUP(VALUE(MID(A987,15,4)),'Tabla de codigos'!$E$2:$F$102,2,1))</f>
        <v>POCILLO 5</v>
      </c>
      <c r="D987" s="11" t="s">
        <v>553</v>
      </c>
      <c r="E987" s="11" t="s">
        <v>16</v>
      </c>
      <c r="F987" s="11" t="s">
        <v>559</v>
      </c>
      <c r="G987" s="11" t="s">
        <v>532</v>
      </c>
      <c r="H987" s="11">
        <v>2</v>
      </c>
      <c r="I987" s="15">
        <v>2</v>
      </c>
      <c r="J987" s="15">
        <f t="shared" si="32"/>
        <v>0</v>
      </c>
      <c r="K987" s="18"/>
      <c r="L987" s="18">
        <v>45845</v>
      </c>
    </row>
    <row r="988" spans="1:12" x14ac:dyDescent="0.2">
      <c r="A988" s="11" t="s">
        <v>564</v>
      </c>
      <c r="B988" s="11" t="str">
        <f t="shared" si="31"/>
        <v>330009</v>
      </c>
      <c r="C988" s="11" t="str">
        <f>_xlfn.CONCAT(+VLOOKUP(VALUE(MID(A988,13,2)),'Tabla de codigos'!$A$2:$B$60,2,1)," ",VLOOKUP(VALUE(MID(A988,15,4)),'Tabla de codigos'!$E$2:$F$102,2,1))</f>
        <v>POCILLO 5</v>
      </c>
      <c r="D988" s="11" t="s">
        <v>553</v>
      </c>
      <c r="E988" s="11" t="s">
        <v>16</v>
      </c>
      <c r="F988" s="11" t="s">
        <v>559</v>
      </c>
      <c r="G988" s="11" t="s">
        <v>532</v>
      </c>
      <c r="H988" s="11">
        <v>1</v>
      </c>
      <c r="I988" s="15">
        <v>1</v>
      </c>
      <c r="J988" s="15">
        <f t="shared" si="32"/>
        <v>0</v>
      </c>
      <c r="K988" s="18"/>
      <c r="L988" s="18">
        <v>45845</v>
      </c>
    </row>
    <row r="989" spans="1:12" x14ac:dyDescent="0.2">
      <c r="A989" s="11" t="s">
        <v>565</v>
      </c>
      <c r="B989" s="11" t="str">
        <f t="shared" si="31"/>
        <v>330012</v>
      </c>
      <c r="C989" s="11" t="str">
        <f>_xlfn.CONCAT(+VLOOKUP(VALUE(MID(A989,13,2)),'Tabla de codigos'!$A$2:$B$60,2,1)," ",VLOOKUP(VALUE(MID(A989,15,4)),'Tabla de codigos'!$E$2:$F$102,2,1))</f>
        <v>POCILLO 8</v>
      </c>
      <c r="D989" s="11" t="s">
        <v>553</v>
      </c>
      <c r="E989" s="11" t="s">
        <v>16</v>
      </c>
      <c r="F989" s="11" t="s">
        <v>559</v>
      </c>
      <c r="G989" s="11" t="s">
        <v>532</v>
      </c>
      <c r="H989" s="11">
        <v>2</v>
      </c>
      <c r="I989" s="15">
        <v>2</v>
      </c>
      <c r="J989" s="15">
        <f t="shared" si="32"/>
        <v>0</v>
      </c>
      <c r="K989" s="18"/>
      <c r="L989" s="18">
        <v>45845</v>
      </c>
    </row>
    <row r="990" spans="1:12" x14ac:dyDescent="0.2">
      <c r="A990" s="11" t="s">
        <v>555</v>
      </c>
      <c r="B990" s="11" t="str">
        <f t="shared" si="31"/>
        <v>100028</v>
      </c>
      <c r="C990" s="11" t="str">
        <f>_xlfn.CONCAT(+VLOOKUP(VALUE(MID(A990,13,2)),'Tabla de codigos'!$A$2:$B$60,2,1)," ",VLOOKUP(VALUE(MID(A990,15,4)),'Tabla de codigos'!$E$2:$F$102,2,1))</f>
        <v>COMAL 28</v>
      </c>
      <c r="D990" s="11" t="s">
        <v>553</v>
      </c>
      <c r="E990" s="11" t="s">
        <v>16</v>
      </c>
      <c r="F990" s="11" t="s">
        <v>559</v>
      </c>
      <c r="G990" s="11" t="s">
        <v>532</v>
      </c>
      <c r="H990" s="11">
        <v>4</v>
      </c>
      <c r="I990" s="15">
        <v>4</v>
      </c>
      <c r="J990" s="15">
        <f t="shared" si="32"/>
        <v>0</v>
      </c>
      <c r="K990" s="18"/>
      <c r="L990" s="18">
        <v>45845</v>
      </c>
    </row>
    <row r="991" spans="1:12" x14ac:dyDescent="0.2">
      <c r="A991" s="11" t="s">
        <v>566</v>
      </c>
      <c r="B991" s="11" t="str">
        <f t="shared" si="31"/>
        <v>300017</v>
      </c>
      <c r="C991" s="11" t="str">
        <f>_xlfn.CONCAT(+VLOOKUP(VALUE(MID(A991,13,2)),'Tabla de codigos'!$A$2:$B$60,2,1)," ",VLOOKUP(VALUE(MID(A991,15,4)),'Tabla de codigos'!$E$2:$F$102,2,1))</f>
        <v>PLATO LISO 16</v>
      </c>
      <c r="D991" s="11" t="s">
        <v>553</v>
      </c>
      <c r="E991" s="11" t="s">
        <v>16</v>
      </c>
      <c r="F991" s="11" t="s">
        <v>559</v>
      </c>
      <c r="G991" s="11" t="s">
        <v>532</v>
      </c>
      <c r="H991" s="11">
        <v>1</v>
      </c>
      <c r="I991" s="15">
        <v>1</v>
      </c>
      <c r="J991" s="15">
        <f t="shared" si="32"/>
        <v>0</v>
      </c>
      <c r="K991" s="18"/>
      <c r="L991" s="18">
        <v>45845</v>
      </c>
    </row>
    <row r="992" spans="1:12" x14ac:dyDescent="0.2">
      <c r="A992" s="11" t="s">
        <v>567</v>
      </c>
      <c r="B992" s="11" t="str">
        <f t="shared" si="31"/>
        <v>230020</v>
      </c>
      <c r="C992" s="11" t="str">
        <f>_xlfn.CONCAT(+VLOOKUP(VALUE(MID(A992,13,2)),'Tabla de codigos'!$A$2:$B$60,2,1)," ",VLOOKUP(VALUE(MID(A992,15,4)),'Tabla de codigos'!$E$2:$F$102,2,1))</f>
        <v>MULTIUSOS RAYADO 17.5</v>
      </c>
      <c r="D992" s="11" t="s">
        <v>553</v>
      </c>
      <c r="E992" s="11" t="s">
        <v>16</v>
      </c>
      <c r="F992" s="11" t="s">
        <v>559</v>
      </c>
      <c r="G992" s="11" t="s">
        <v>532</v>
      </c>
      <c r="H992" s="11">
        <v>1</v>
      </c>
      <c r="I992" s="15">
        <v>1</v>
      </c>
      <c r="J992" s="15">
        <f t="shared" si="32"/>
        <v>0</v>
      </c>
      <c r="K992" s="17">
        <f>(SUM(I982:I992))/(SUM(H982:H992))</f>
        <v>0.94736842105263153</v>
      </c>
      <c r="L992" s="18">
        <v>45845</v>
      </c>
    </row>
    <row r="993" spans="1:12" x14ac:dyDescent="0.2">
      <c r="A993" s="11" t="s">
        <v>206</v>
      </c>
      <c r="B993" s="11" t="str">
        <f t="shared" si="31"/>
        <v>030005</v>
      </c>
      <c r="C993" s="11" t="str">
        <f>_xlfn.CONCAT(+VLOOKUP(VALUE(MID(A993,13,2)),'Tabla de codigos'!$A$2:$B$60,2,1)," ",VLOOKUP(VALUE(MID(A993,15,4)),'Tabla de codigos'!$E$2:$F$102,2,1))</f>
        <v>BAÑO 1</v>
      </c>
      <c r="D993" s="11" t="s">
        <v>568</v>
      </c>
      <c r="E993" s="11" t="s">
        <v>11</v>
      </c>
      <c r="F993" s="11" t="s">
        <v>569</v>
      </c>
      <c r="G993" s="11" t="s">
        <v>532</v>
      </c>
      <c r="H993" s="11">
        <v>15</v>
      </c>
      <c r="I993" s="15">
        <v>0</v>
      </c>
      <c r="J993" s="15">
        <f t="shared" si="32"/>
        <v>15</v>
      </c>
    </row>
    <row r="994" spans="1:12" x14ac:dyDescent="0.2">
      <c r="A994" s="11" t="s">
        <v>209</v>
      </c>
      <c r="B994" s="11" t="str">
        <f t="shared" si="31"/>
        <v>030006</v>
      </c>
      <c r="C994" s="11" t="str">
        <f>_xlfn.CONCAT(+VLOOKUP(VALUE(MID(A994,13,2)),'Tabla de codigos'!$A$2:$B$60,2,1)," ",VLOOKUP(VALUE(MID(A994,15,4)),'Tabla de codigos'!$E$2:$F$102,2,1))</f>
        <v>BAÑO 2</v>
      </c>
      <c r="D994" s="11" t="s">
        <v>568</v>
      </c>
      <c r="E994" s="11" t="s">
        <v>11</v>
      </c>
      <c r="F994" s="11" t="s">
        <v>569</v>
      </c>
      <c r="G994" s="11" t="s">
        <v>532</v>
      </c>
      <c r="H994" s="11">
        <v>15</v>
      </c>
      <c r="I994" s="15">
        <v>0</v>
      </c>
      <c r="J994" s="15">
        <f t="shared" si="32"/>
        <v>15</v>
      </c>
    </row>
    <row r="995" spans="1:12" x14ac:dyDescent="0.2">
      <c r="A995" s="11" t="s">
        <v>158</v>
      </c>
      <c r="B995" s="11" t="str">
        <f t="shared" si="31"/>
        <v>030007</v>
      </c>
      <c r="C995" s="11" t="str">
        <f>_xlfn.CONCAT(+VLOOKUP(VALUE(MID(A995,13,2)),'Tabla de codigos'!$A$2:$B$60,2,1)," ",VLOOKUP(VALUE(MID(A995,15,4)),'Tabla de codigos'!$E$2:$F$102,2,1))</f>
        <v>BAÑO 3</v>
      </c>
      <c r="D995" s="11" t="s">
        <v>568</v>
      </c>
      <c r="E995" s="11" t="s">
        <v>11</v>
      </c>
      <c r="F995" s="11" t="s">
        <v>569</v>
      </c>
      <c r="G995" s="11" t="s">
        <v>532</v>
      </c>
      <c r="H995" s="11">
        <v>15</v>
      </c>
      <c r="I995" s="15">
        <v>0</v>
      </c>
      <c r="J995" s="15">
        <f t="shared" si="32"/>
        <v>15</v>
      </c>
    </row>
    <row r="996" spans="1:12" x14ac:dyDescent="0.2">
      <c r="A996" s="11" t="s">
        <v>210</v>
      </c>
      <c r="B996" s="11" t="str">
        <f t="shared" si="31"/>
        <v>030012</v>
      </c>
      <c r="C996" s="11" t="str">
        <f>_xlfn.CONCAT(+VLOOKUP(VALUE(MID(A996,13,2)),'Tabla de codigos'!$A$2:$B$60,2,1)," ",VLOOKUP(VALUE(MID(A996,15,4)),'Tabla de codigos'!$E$2:$F$102,2,1))</f>
        <v>BAÑO 8</v>
      </c>
      <c r="D996" s="11" t="s">
        <v>568</v>
      </c>
      <c r="E996" s="11" t="s">
        <v>11</v>
      </c>
      <c r="F996" s="11" t="s">
        <v>569</v>
      </c>
      <c r="G996" s="11" t="s">
        <v>532</v>
      </c>
      <c r="H996" s="11">
        <v>12</v>
      </c>
      <c r="I996" s="15">
        <v>0</v>
      </c>
      <c r="J996" s="15">
        <f t="shared" si="32"/>
        <v>12</v>
      </c>
    </row>
    <row r="997" spans="1:12" x14ac:dyDescent="0.2">
      <c r="A997" s="11" t="s">
        <v>211</v>
      </c>
      <c r="B997" s="11" t="str">
        <f t="shared" si="31"/>
        <v>030013</v>
      </c>
      <c r="C997" s="11" t="str">
        <f>_xlfn.CONCAT(+VLOOKUP(VALUE(MID(A997,13,2)),'Tabla de codigos'!$A$2:$B$60,2,1)," ",VLOOKUP(VALUE(MID(A997,15,4)),'Tabla de codigos'!$E$2:$F$102,2,1))</f>
        <v>BAÑO 10</v>
      </c>
      <c r="D997" s="11" t="s">
        <v>568</v>
      </c>
      <c r="E997" s="11" t="s">
        <v>11</v>
      </c>
      <c r="F997" s="11" t="s">
        <v>569</v>
      </c>
      <c r="G997" s="11" t="s">
        <v>532</v>
      </c>
      <c r="H997" s="11">
        <v>12</v>
      </c>
      <c r="I997" s="15">
        <v>12</v>
      </c>
      <c r="J997" s="15">
        <f t="shared" si="32"/>
        <v>0</v>
      </c>
    </row>
    <row r="998" spans="1:12" x14ac:dyDescent="0.2">
      <c r="A998" s="11" t="s">
        <v>212</v>
      </c>
      <c r="B998" s="11" t="str">
        <f t="shared" si="31"/>
        <v>030014</v>
      </c>
      <c r="C998" s="11" t="str">
        <f>_xlfn.CONCAT(+VLOOKUP(VALUE(MID(A998,13,2)),'Tabla de codigos'!$A$2:$B$60,2,1)," ",VLOOKUP(VALUE(MID(A998,15,4)),'Tabla de codigos'!$E$2:$F$102,2,1))</f>
        <v>BAÑO 12</v>
      </c>
      <c r="D998" s="11" t="s">
        <v>568</v>
      </c>
      <c r="E998" s="11" t="s">
        <v>11</v>
      </c>
      <c r="F998" s="11" t="s">
        <v>569</v>
      </c>
      <c r="G998" s="11" t="s">
        <v>532</v>
      </c>
      <c r="H998" s="11">
        <v>12</v>
      </c>
      <c r="I998" s="15">
        <v>0</v>
      </c>
      <c r="J998" s="15">
        <f t="shared" si="32"/>
        <v>12</v>
      </c>
      <c r="K998" s="17">
        <f>(SUM(I993:I998))/(SUM(H993:H998))</f>
        <v>0.14814814814814814</v>
      </c>
    </row>
    <row r="999" spans="1:12" x14ac:dyDescent="0.2">
      <c r="A999" s="11" t="s">
        <v>206</v>
      </c>
      <c r="B999" s="11" t="str">
        <f t="shared" si="31"/>
        <v>030005</v>
      </c>
      <c r="C999" s="11" t="str">
        <f>_xlfn.CONCAT(+VLOOKUP(VALUE(MID(A999,13,2)),'Tabla de codigos'!$A$2:$B$60,2,1)," ",VLOOKUP(VALUE(MID(A999,15,4)),'Tabla de codigos'!$E$2:$F$102,2,1))</f>
        <v>BAÑO 1</v>
      </c>
      <c r="D999" s="11" t="s">
        <v>570</v>
      </c>
      <c r="E999" s="11" t="s">
        <v>11</v>
      </c>
      <c r="F999" s="11" t="s">
        <v>571</v>
      </c>
      <c r="G999" s="11" t="s">
        <v>532</v>
      </c>
      <c r="H999" s="11">
        <v>15</v>
      </c>
      <c r="I999" s="15">
        <v>0</v>
      </c>
      <c r="J999" s="15">
        <f t="shared" si="32"/>
        <v>15</v>
      </c>
    </row>
    <row r="1000" spans="1:12" x14ac:dyDescent="0.2">
      <c r="A1000" s="11" t="s">
        <v>209</v>
      </c>
      <c r="B1000" s="11" t="str">
        <f t="shared" si="31"/>
        <v>030006</v>
      </c>
      <c r="C1000" s="11" t="str">
        <f>_xlfn.CONCAT(+VLOOKUP(VALUE(MID(A1000,13,2)),'Tabla de codigos'!$A$2:$B$60,2,1)," ",VLOOKUP(VALUE(MID(A1000,15,4)),'Tabla de codigos'!$E$2:$F$102,2,1))</f>
        <v>BAÑO 2</v>
      </c>
      <c r="D1000" s="11" t="s">
        <v>570</v>
      </c>
      <c r="E1000" s="11" t="s">
        <v>11</v>
      </c>
      <c r="F1000" s="11" t="s">
        <v>571</v>
      </c>
      <c r="G1000" s="11" t="s">
        <v>532</v>
      </c>
      <c r="H1000" s="11">
        <v>15</v>
      </c>
      <c r="I1000" s="15">
        <v>0</v>
      </c>
      <c r="J1000" s="15">
        <f t="shared" si="32"/>
        <v>15</v>
      </c>
    </row>
    <row r="1001" spans="1:12" x14ac:dyDescent="0.2">
      <c r="A1001" s="11" t="s">
        <v>158</v>
      </c>
      <c r="B1001" s="11" t="str">
        <f t="shared" si="31"/>
        <v>030007</v>
      </c>
      <c r="C1001" s="11" t="str">
        <f>_xlfn.CONCAT(+VLOOKUP(VALUE(MID(A1001,13,2)),'Tabla de codigos'!$A$2:$B$60,2,1)," ",VLOOKUP(VALUE(MID(A1001,15,4)),'Tabla de codigos'!$E$2:$F$102,2,1))</f>
        <v>BAÑO 3</v>
      </c>
      <c r="D1001" s="11" t="s">
        <v>570</v>
      </c>
      <c r="E1001" s="11" t="s">
        <v>11</v>
      </c>
      <c r="F1001" s="11" t="s">
        <v>571</v>
      </c>
      <c r="G1001" s="11" t="s">
        <v>532</v>
      </c>
      <c r="H1001" s="11">
        <v>15</v>
      </c>
      <c r="I1001" s="15">
        <v>0</v>
      </c>
      <c r="J1001" s="15">
        <f t="shared" si="32"/>
        <v>15</v>
      </c>
    </row>
    <row r="1002" spans="1:12" x14ac:dyDescent="0.2">
      <c r="A1002" s="11" t="s">
        <v>210</v>
      </c>
      <c r="B1002" s="11" t="str">
        <f t="shared" si="31"/>
        <v>030012</v>
      </c>
      <c r="C1002" s="11" t="str">
        <f>_xlfn.CONCAT(+VLOOKUP(VALUE(MID(A1002,13,2)),'Tabla de codigos'!$A$2:$B$60,2,1)," ",VLOOKUP(VALUE(MID(A1002,15,4)),'Tabla de codigos'!$E$2:$F$102,2,1))</f>
        <v>BAÑO 8</v>
      </c>
      <c r="D1002" s="11" t="s">
        <v>570</v>
      </c>
      <c r="E1002" s="11" t="s">
        <v>11</v>
      </c>
      <c r="F1002" s="11" t="s">
        <v>571</v>
      </c>
      <c r="G1002" s="11" t="s">
        <v>532</v>
      </c>
      <c r="H1002" s="11">
        <v>13</v>
      </c>
      <c r="I1002" s="15">
        <v>0</v>
      </c>
      <c r="J1002" s="15">
        <f t="shared" si="32"/>
        <v>13</v>
      </c>
    </row>
    <row r="1003" spans="1:12" x14ac:dyDescent="0.2">
      <c r="A1003" s="11" t="s">
        <v>211</v>
      </c>
      <c r="B1003" s="11" t="str">
        <f t="shared" si="31"/>
        <v>030013</v>
      </c>
      <c r="C1003" s="11" t="str">
        <f>_xlfn.CONCAT(+VLOOKUP(VALUE(MID(A1003,13,2)),'Tabla de codigos'!$A$2:$B$60,2,1)," ",VLOOKUP(VALUE(MID(A1003,15,4)),'Tabla de codigos'!$E$2:$F$102,2,1))</f>
        <v>BAÑO 10</v>
      </c>
      <c r="D1003" s="11" t="s">
        <v>570</v>
      </c>
      <c r="E1003" s="11" t="s">
        <v>11</v>
      </c>
      <c r="F1003" s="11" t="s">
        <v>571</v>
      </c>
      <c r="G1003" s="11" t="s">
        <v>532</v>
      </c>
      <c r="H1003" s="11">
        <v>13</v>
      </c>
      <c r="I1003" s="15">
        <v>13</v>
      </c>
      <c r="J1003" s="15">
        <f t="shared" si="32"/>
        <v>0</v>
      </c>
    </row>
    <row r="1004" spans="1:12" x14ac:dyDescent="0.2">
      <c r="A1004" s="11" t="s">
        <v>212</v>
      </c>
      <c r="B1004" s="11" t="str">
        <f t="shared" si="31"/>
        <v>030014</v>
      </c>
      <c r="C1004" s="11" t="str">
        <f>_xlfn.CONCAT(+VLOOKUP(VALUE(MID(A1004,13,2)),'Tabla de codigos'!$A$2:$B$60,2,1)," ",VLOOKUP(VALUE(MID(A1004,15,4)),'Tabla de codigos'!$E$2:$F$102,2,1))</f>
        <v>BAÑO 12</v>
      </c>
      <c r="D1004" s="11" t="s">
        <v>570</v>
      </c>
      <c r="E1004" s="11" t="s">
        <v>11</v>
      </c>
      <c r="F1004" s="11" t="s">
        <v>571</v>
      </c>
      <c r="G1004" s="11" t="s">
        <v>532</v>
      </c>
      <c r="H1004" s="11">
        <v>13</v>
      </c>
      <c r="I1004" s="15">
        <v>0</v>
      </c>
      <c r="J1004" s="15">
        <f t="shared" si="32"/>
        <v>13</v>
      </c>
      <c r="K1004" s="17">
        <f>(SUM(I999:I1004))/(SUM(H999:H1004))</f>
        <v>0.15476190476190477</v>
      </c>
    </row>
    <row r="1005" spans="1:12" x14ac:dyDescent="0.2">
      <c r="A1005" s="11" t="s">
        <v>572</v>
      </c>
      <c r="B1005" s="11" t="str">
        <f t="shared" si="31"/>
        <v>060021</v>
      </c>
      <c r="C1005" s="11" t="str">
        <f>_xlfn.CONCAT(+VLOOKUP(VALUE(MID(A1005,13,2)),'Tabla de codigos'!$A$2:$B$60,2,1)," ",VLOOKUP(VALUE(MID(A1005,15,4)),'Tabla de codigos'!$E$2:$F$102,2,1))</f>
        <v>BUDINERA   18</v>
      </c>
      <c r="D1005" s="11" t="s">
        <v>573</v>
      </c>
      <c r="E1005" s="11" t="s">
        <v>11</v>
      </c>
      <c r="F1005" s="11" t="s">
        <v>574</v>
      </c>
      <c r="G1005" s="11" t="s">
        <v>575</v>
      </c>
      <c r="H1005" s="11">
        <v>6</v>
      </c>
      <c r="I1005" s="15">
        <v>5</v>
      </c>
      <c r="J1005" s="15">
        <f t="shared" si="32"/>
        <v>1</v>
      </c>
      <c r="L1005" s="18">
        <v>45839</v>
      </c>
    </row>
    <row r="1006" spans="1:12" x14ac:dyDescent="0.2">
      <c r="A1006" s="11" t="s">
        <v>576</v>
      </c>
      <c r="B1006" s="11" t="str">
        <f t="shared" si="31"/>
        <v>060025</v>
      </c>
      <c r="C1006" s="11" t="str">
        <f>_xlfn.CONCAT(+VLOOKUP(VALUE(MID(A1006,13,2)),'Tabla de codigos'!$A$2:$B$60,2,1)," ",VLOOKUP(VALUE(MID(A1006,15,4)),'Tabla de codigos'!$E$2:$F$102,2,1))</f>
        <v>BUDINERA   24</v>
      </c>
      <c r="D1006" s="11" t="s">
        <v>573</v>
      </c>
      <c r="E1006" s="11" t="s">
        <v>11</v>
      </c>
      <c r="F1006" s="11" t="s">
        <v>574</v>
      </c>
      <c r="G1006" s="11" t="s">
        <v>575</v>
      </c>
      <c r="H1006" s="11">
        <v>4</v>
      </c>
      <c r="I1006" s="15">
        <v>4</v>
      </c>
      <c r="J1006" s="15">
        <f t="shared" si="32"/>
        <v>0</v>
      </c>
      <c r="L1006" s="18">
        <v>45839</v>
      </c>
    </row>
    <row r="1007" spans="1:12" x14ac:dyDescent="0.2">
      <c r="A1007" s="11" t="s">
        <v>577</v>
      </c>
      <c r="B1007" s="11" t="str">
        <f t="shared" si="31"/>
        <v>060025</v>
      </c>
      <c r="C1007" s="11" t="str">
        <f>_xlfn.CONCAT(+VLOOKUP(VALUE(MID(A1007,13,2)),'Tabla de codigos'!$A$2:$B$60,2,1)," ",VLOOKUP(VALUE(MID(A1007,15,4)),'Tabla de codigos'!$E$2:$F$102,2,1))</f>
        <v>BUDINERA   24</v>
      </c>
      <c r="D1007" s="11" t="s">
        <v>573</v>
      </c>
      <c r="E1007" s="11" t="s">
        <v>11</v>
      </c>
      <c r="F1007" s="11" t="s">
        <v>574</v>
      </c>
      <c r="G1007" s="11" t="s">
        <v>575</v>
      </c>
      <c r="H1007" s="11">
        <v>4</v>
      </c>
      <c r="I1007" s="15">
        <v>2</v>
      </c>
      <c r="J1007" s="15">
        <f t="shared" si="32"/>
        <v>2</v>
      </c>
      <c r="L1007" s="18">
        <v>45839</v>
      </c>
    </row>
    <row r="1008" spans="1:12" x14ac:dyDescent="0.2">
      <c r="A1008" s="11" t="s">
        <v>578</v>
      </c>
      <c r="B1008" s="11" t="str">
        <f t="shared" si="31"/>
        <v>100028</v>
      </c>
      <c r="C1008" s="11" t="str">
        <f>_xlfn.CONCAT(+VLOOKUP(VALUE(MID(A1008,13,2)),'Tabla de codigos'!$A$2:$B$60,2,1)," ",VLOOKUP(VALUE(MID(A1008,15,4)),'Tabla de codigos'!$E$2:$F$102,2,1))</f>
        <v>COMAL 28</v>
      </c>
      <c r="D1008" s="11" t="s">
        <v>573</v>
      </c>
      <c r="E1008" s="11" t="s">
        <v>11</v>
      </c>
      <c r="F1008" s="11" t="s">
        <v>574</v>
      </c>
      <c r="G1008" s="11" t="s">
        <v>575</v>
      </c>
      <c r="H1008" s="11">
        <v>7</v>
      </c>
      <c r="I1008" s="15">
        <v>0</v>
      </c>
      <c r="J1008" s="15">
        <f t="shared" si="32"/>
        <v>7</v>
      </c>
      <c r="L1008" s="18">
        <v>45839</v>
      </c>
    </row>
    <row r="1009" spans="1:12" x14ac:dyDescent="0.2">
      <c r="A1009" s="11" t="s">
        <v>579</v>
      </c>
      <c r="B1009" s="11" t="str">
        <f t="shared" si="31"/>
        <v>240021</v>
      </c>
      <c r="C1009" s="11" t="str">
        <f>_xlfn.CONCAT(+VLOOKUP(VALUE(MID(A1009,13,2)),'Tabla de codigos'!$A$2:$B$60,2,1)," ",VLOOKUP(VALUE(MID(A1009,15,4)),'Tabla de codigos'!$E$2:$F$102,2,1))</f>
        <v>OLLA CONVEXA 18</v>
      </c>
      <c r="D1009" s="11" t="s">
        <v>573</v>
      </c>
      <c r="E1009" s="11" t="s">
        <v>11</v>
      </c>
      <c r="F1009" s="11" t="s">
        <v>574</v>
      </c>
      <c r="G1009" s="11" t="s">
        <v>575</v>
      </c>
      <c r="H1009" s="11">
        <v>3</v>
      </c>
      <c r="I1009" s="15">
        <f>2+1</f>
        <v>3</v>
      </c>
      <c r="J1009" s="15">
        <f t="shared" si="32"/>
        <v>0</v>
      </c>
      <c r="L1009" s="18">
        <v>45839</v>
      </c>
    </row>
    <row r="1010" spans="1:12" x14ac:dyDescent="0.2">
      <c r="A1010" s="11" t="s">
        <v>580</v>
      </c>
      <c r="B1010" s="11" t="str">
        <f t="shared" si="31"/>
        <v>240024</v>
      </c>
      <c r="C1010" s="11" t="str">
        <f>_xlfn.CONCAT(+VLOOKUP(VALUE(MID(A1010,13,2)),'Tabla de codigos'!$A$2:$B$60,2,1)," ",VLOOKUP(VALUE(MID(A1010,15,4)),'Tabla de codigos'!$E$2:$F$102,2,1))</f>
        <v>OLLA CONVEXA 22</v>
      </c>
      <c r="D1010" s="11" t="s">
        <v>573</v>
      </c>
      <c r="E1010" s="11" t="s">
        <v>11</v>
      </c>
      <c r="F1010" s="11" t="s">
        <v>574</v>
      </c>
      <c r="G1010" s="11" t="s">
        <v>575</v>
      </c>
      <c r="H1010" s="11">
        <v>7</v>
      </c>
      <c r="I1010" s="15">
        <f>2+5</f>
        <v>7</v>
      </c>
      <c r="J1010" s="15">
        <f t="shared" si="32"/>
        <v>0</v>
      </c>
      <c r="L1010" s="18">
        <v>45839</v>
      </c>
    </row>
    <row r="1011" spans="1:12" x14ac:dyDescent="0.2">
      <c r="A1011" s="11" t="s">
        <v>581</v>
      </c>
      <c r="B1011" s="11" t="str">
        <f t="shared" si="31"/>
        <v>250022</v>
      </c>
      <c r="C1011" s="11" t="str">
        <f>_xlfn.CONCAT(+VLOOKUP(VALUE(MID(A1011,13,2)),'Tabla de codigos'!$A$2:$B$60,2,1)," ",VLOOKUP(VALUE(MID(A1011,15,4)),'Tabla de codigos'!$E$2:$F$102,2,1))</f>
        <v>OLLA RECTA 20</v>
      </c>
      <c r="D1011" s="11" t="s">
        <v>573</v>
      </c>
      <c r="E1011" s="11" t="s">
        <v>11</v>
      </c>
      <c r="F1011" s="11" t="s">
        <v>574</v>
      </c>
      <c r="G1011" s="11" t="s">
        <v>575</v>
      </c>
      <c r="H1011" s="11">
        <v>5</v>
      </c>
      <c r="I1011" s="15">
        <v>0</v>
      </c>
      <c r="J1011" s="15">
        <f t="shared" si="32"/>
        <v>5</v>
      </c>
      <c r="L1011" s="18">
        <v>45839</v>
      </c>
    </row>
    <row r="1012" spans="1:12" x14ac:dyDescent="0.2">
      <c r="A1012" s="11" t="s">
        <v>582</v>
      </c>
      <c r="B1012" s="11" t="str">
        <f t="shared" si="31"/>
        <v>250022</v>
      </c>
      <c r="C1012" s="11" t="str">
        <f>_xlfn.CONCAT(+VLOOKUP(VALUE(MID(A1012,13,2)),'Tabla de codigos'!$A$2:$B$60,2,1)," ",VLOOKUP(VALUE(MID(A1012,15,4)),'Tabla de codigos'!$E$2:$F$102,2,1))</f>
        <v>OLLA RECTA 20</v>
      </c>
      <c r="D1012" s="11" t="s">
        <v>573</v>
      </c>
      <c r="E1012" s="11" t="s">
        <v>11</v>
      </c>
      <c r="F1012" s="11" t="s">
        <v>574</v>
      </c>
      <c r="G1012" s="11" t="s">
        <v>575</v>
      </c>
      <c r="H1012" s="11">
        <v>3</v>
      </c>
      <c r="I1012" s="15">
        <v>3</v>
      </c>
      <c r="J1012" s="15">
        <f t="shared" si="32"/>
        <v>0</v>
      </c>
      <c r="L1012" s="18">
        <v>45839</v>
      </c>
    </row>
    <row r="1013" spans="1:12" x14ac:dyDescent="0.2">
      <c r="A1013" s="11" t="s">
        <v>583</v>
      </c>
      <c r="B1013" s="11" t="str">
        <f t="shared" si="31"/>
        <v>250022</v>
      </c>
      <c r="C1013" s="11" t="str">
        <f>_xlfn.CONCAT(+VLOOKUP(VALUE(MID(A1013,13,2)),'Tabla de codigos'!$A$2:$B$60,2,1)," ",VLOOKUP(VALUE(MID(A1013,15,4)),'Tabla de codigos'!$E$2:$F$102,2,1))</f>
        <v>OLLA RECTA 20</v>
      </c>
      <c r="D1013" s="11" t="s">
        <v>573</v>
      </c>
      <c r="E1013" s="11" t="s">
        <v>11</v>
      </c>
      <c r="F1013" s="11" t="s">
        <v>574</v>
      </c>
      <c r="G1013" s="11" t="s">
        <v>575</v>
      </c>
      <c r="H1013" s="11">
        <v>2</v>
      </c>
      <c r="I1013" s="15">
        <v>0</v>
      </c>
      <c r="J1013" s="15">
        <f t="shared" si="32"/>
        <v>2</v>
      </c>
      <c r="L1013" s="18">
        <v>45839</v>
      </c>
    </row>
    <row r="1014" spans="1:12" x14ac:dyDescent="0.2">
      <c r="A1014" s="11" t="s">
        <v>584</v>
      </c>
      <c r="B1014" s="11" t="str">
        <f t="shared" si="31"/>
        <v>250022</v>
      </c>
      <c r="C1014" s="11" t="str">
        <f>_xlfn.CONCAT(+VLOOKUP(VALUE(MID(A1014,13,2)),'Tabla de codigos'!$A$2:$B$60,2,1)," ",VLOOKUP(VALUE(MID(A1014,15,4)),'Tabla de codigos'!$E$2:$F$102,2,1))</f>
        <v>OLLA RECTA 20</v>
      </c>
      <c r="D1014" s="11" t="s">
        <v>573</v>
      </c>
      <c r="E1014" s="11" t="s">
        <v>11</v>
      </c>
      <c r="F1014" s="11" t="s">
        <v>574</v>
      </c>
      <c r="G1014" s="11" t="s">
        <v>575</v>
      </c>
      <c r="H1014" s="11">
        <v>2</v>
      </c>
      <c r="I1014" s="15">
        <v>0</v>
      </c>
      <c r="J1014" s="15">
        <f t="shared" si="32"/>
        <v>2</v>
      </c>
      <c r="L1014" s="18">
        <v>45839</v>
      </c>
    </row>
    <row r="1015" spans="1:12" x14ac:dyDescent="0.2">
      <c r="A1015" s="11" t="s">
        <v>585</v>
      </c>
      <c r="B1015" s="11" t="str">
        <f t="shared" si="31"/>
        <v>250025</v>
      </c>
      <c r="C1015" s="11" t="str">
        <f>_xlfn.CONCAT(+VLOOKUP(VALUE(MID(A1015,13,2)),'Tabla de codigos'!$A$2:$B$60,2,1)," ",VLOOKUP(VALUE(MID(A1015,15,4)),'Tabla de codigos'!$E$2:$F$102,2,1))</f>
        <v>OLLA RECTA 24</v>
      </c>
      <c r="D1015" s="11" t="s">
        <v>573</v>
      </c>
      <c r="E1015" s="11" t="s">
        <v>11</v>
      </c>
      <c r="F1015" s="11" t="s">
        <v>574</v>
      </c>
      <c r="G1015" s="11" t="s">
        <v>575</v>
      </c>
      <c r="H1015" s="11">
        <v>4</v>
      </c>
      <c r="I1015" s="15">
        <v>3</v>
      </c>
      <c r="J1015" s="15">
        <f t="shared" si="32"/>
        <v>1</v>
      </c>
      <c r="L1015" s="18">
        <v>45839</v>
      </c>
    </row>
    <row r="1016" spans="1:12" x14ac:dyDescent="0.2">
      <c r="A1016" s="11" t="s">
        <v>586</v>
      </c>
      <c r="B1016" s="11" t="str">
        <f t="shared" si="31"/>
        <v>250025</v>
      </c>
      <c r="C1016" s="11" t="str">
        <f>_xlfn.CONCAT(+VLOOKUP(VALUE(MID(A1016,13,2)),'Tabla de codigos'!$A$2:$B$60,2,1)," ",VLOOKUP(VALUE(MID(A1016,15,4)),'Tabla de codigos'!$E$2:$F$102,2,1))</f>
        <v>OLLA RECTA 24</v>
      </c>
      <c r="D1016" s="11" t="s">
        <v>573</v>
      </c>
      <c r="E1016" s="11" t="s">
        <v>11</v>
      </c>
      <c r="F1016" s="11" t="s">
        <v>574</v>
      </c>
      <c r="G1016" s="11" t="s">
        <v>575</v>
      </c>
      <c r="H1016" s="11">
        <v>1</v>
      </c>
      <c r="I1016" s="15">
        <v>1</v>
      </c>
      <c r="J1016" s="15">
        <f t="shared" si="32"/>
        <v>0</v>
      </c>
      <c r="L1016" s="18">
        <v>45839</v>
      </c>
    </row>
    <row r="1017" spans="1:12" x14ac:dyDescent="0.2">
      <c r="A1017" s="11" t="s">
        <v>587</v>
      </c>
      <c r="B1017" s="11" t="str">
        <f t="shared" si="31"/>
        <v>250025</v>
      </c>
      <c r="C1017" s="11" t="str">
        <f>_xlfn.CONCAT(+VLOOKUP(VALUE(MID(A1017,13,2)),'Tabla de codigos'!$A$2:$B$60,2,1)," ",VLOOKUP(VALUE(MID(A1017,15,4)),'Tabla de codigos'!$E$2:$F$102,2,1))</f>
        <v>OLLA RECTA 24</v>
      </c>
      <c r="D1017" s="11" t="s">
        <v>573</v>
      </c>
      <c r="E1017" s="11" t="s">
        <v>11</v>
      </c>
      <c r="F1017" s="11" t="s">
        <v>574</v>
      </c>
      <c r="G1017" s="11" t="s">
        <v>575</v>
      </c>
      <c r="H1017" s="11">
        <v>3</v>
      </c>
      <c r="I1017" s="15">
        <v>3</v>
      </c>
      <c r="J1017" s="15">
        <f t="shared" si="32"/>
        <v>0</v>
      </c>
      <c r="L1017" s="18">
        <v>45839</v>
      </c>
    </row>
    <row r="1018" spans="1:12" x14ac:dyDescent="0.2">
      <c r="A1018" s="11" t="s">
        <v>588</v>
      </c>
      <c r="B1018" s="11" t="str">
        <f t="shared" si="31"/>
        <v>250028</v>
      </c>
      <c r="C1018" s="11" t="str">
        <f>_xlfn.CONCAT(+VLOOKUP(VALUE(MID(A1018,13,2)),'Tabla de codigos'!$A$2:$B$60,2,1)," ",VLOOKUP(VALUE(MID(A1018,15,4)),'Tabla de codigos'!$E$2:$F$102,2,1))</f>
        <v>OLLA RECTA 28</v>
      </c>
      <c r="D1018" s="11" t="s">
        <v>573</v>
      </c>
      <c r="E1018" s="11" t="s">
        <v>11</v>
      </c>
      <c r="F1018" s="11" t="s">
        <v>574</v>
      </c>
      <c r="G1018" s="11" t="s">
        <v>575</v>
      </c>
      <c r="H1018" s="11">
        <v>13</v>
      </c>
      <c r="I1018" s="15">
        <v>9</v>
      </c>
      <c r="J1018" s="15">
        <f t="shared" si="32"/>
        <v>4</v>
      </c>
      <c r="L1018" s="18">
        <v>45839</v>
      </c>
    </row>
    <row r="1019" spans="1:12" x14ac:dyDescent="0.2">
      <c r="A1019" s="11" t="s">
        <v>589</v>
      </c>
      <c r="B1019" s="11" t="str">
        <f t="shared" si="31"/>
        <v>330015</v>
      </c>
      <c r="C1019" s="11" t="str">
        <f>_xlfn.CONCAT(+VLOOKUP(VALUE(MID(A1019,13,2)),'Tabla de codigos'!$A$2:$B$60,2,1)," ",VLOOKUP(VALUE(MID(A1019,15,4)),'Tabla de codigos'!$E$2:$F$102,2,1))</f>
        <v>POCILLO 14</v>
      </c>
      <c r="D1019" s="11" t="s">
        <v>573</v>
      </c>
      <c r="E1019" s="11" t="s">
        <v>11</v>
      </c>
      <c r="F1019" s="11" t="s">
        <v>574</v>
      </c>
      <c r="G1019" s="11" t="s">
        <v>575</v>
      </c>
      <c r="H1019" s="11">
        <v>5</v>
      </c>
      <c r="I1019" s="15">
        <v>5</v>
      </c>
      <c r="J1019" s="15">
        <f t="shared" si="32"/>
        <v>0</v>
      </c>
      <c r="L1019" s="18">
        <v>45839</v>
      </c>
    </row>
    <row r="1020" spans="1:12" x14ac:dyDescent="0.2">
      <c r="A1020" s="11" t="s">
        <v>590</v>
      </c>
      <c r="B1020" s="11" t="str">
        <f t="shared" si="31"/>
        <v>330015</v>
      </c>
      <c r="C1020" s="11" t="str">
        <f>_xlfn.CONCAT(+VLOOKUP(VALUE(MID(A1020,13,2)),'Tabla de codigos'!$A$2:$B$60,2,1)," ",VLOOKUP(VALUE(MID(A1020,15,4)),'Tabla de codigos'!$E$2:$F$102,2,1))</f>
        <v>POCILLO 14</v>
      </c>
      <c r="D1020" s="11" t="s">
        <v>573</v>
      </c>
      <c r="E1020" s="11" t="s">
        <v>11</v>
      </c>
      <c r="F1020" s="11" t="s">
        <v>574</v>
      </c>
      <c r="G1020" s="11" t="s">
        <v>575</v>
      </c>
      <c r="H1020" s="11">
        <v>10</v>
      </c>
      <c r="I1020" s="15">
        <v>10</v>
      </c>
      <c r="J1020" s="15">
        <f t="shared" si="32"/>
        <v>0</v>
      </c>
      <c r="L1020" s="18">
        <v>45839</v>
      </c>
    </row>
    <row r="1021" spans="1:12" x14ac:dyDescent="0.2">
      <c r="A1021" s="11" t="s">
        <v>591</v>
      </c>
      <c r="B1021" s="11" t="str">
        <f t="shared" si="31"/>
        <v>330015</v>
      </c>
      <c r="C1021" s="11" t="str">
        <f>_xlfn.CONCAT(+VLOOKUP(VALUE(MID(A1021,13,2)),'Tabla de codigos'!$A$2:$B$60,2,1)," ",VLOOKUP(VALUE(MID(A1021,15,4)),'Tabla de codigos'!$E$2:$F$102,2,1))</f>
        <v>POCILLO 14</v>
      </c>
      <c r="D1021" s="11" t="s">
        <v>573</v>
      </c>
      <c r="E1021" s="11" t="s">
        <v>11</v>
      </c>
      <c r="F1021" s="11" t="s">
        <v>574</v>
      </c>
      <c r="G1021" s="11" t="s">
        <v>575</v>
      </c>
      <c r="H1021" s="11">
        <v>9</v>
      </c>
      <c r="I1021" s="15">
        <f>3+6</f>
        <v>9</v>
      </c>
      <c r="J1021" s="15">
        <f t="shared" si="32"/>
        <v>0</v>
      </c>
      <c r="L1021" s="18">
        <v>45839</v>
      </c>
    </row>
    <row r="1022" spans="1:12" x14ac:dyDescent="0.2">
      <c r="A1022" s="11" t="s">
        <v>592</v>
      </c>
      <c r="B1022" s="11" t="str">
        <f t="shared" si="31"/>
        <v>330015</v>
      </c>
      <c r="C1022" s="11" t="str">
        <f>_xlfn.CONCAT(+VLOOKUP(VALUE(MID(A1022,13,2)),'Tabla de codigos'!$A$2:$B$60,2,1)," ",VLOOKUP(VALUE(MID(A1022,15,4)),'Tabla de codigos'!$E$2:$F$102,2,1))</f>
        <v>POCILLO 14</v>
      </c>
      <c r="D1022" s="11" t="s">
        <v>573</v>
      </c>
      <c r="E1022" s="11" t="s">
        <v>11</v>
      </c>
      <c r="F1022" s="11" t="s">
        <v>574</v>
      </c>
      <c r="G1022" s="11" t="s">
        <v>575</v>
      </c>
      <c r="H1022" s="11">
        <v>7</v>
      </c>
      <c r="I1022" s="15">
        <v>1</v>
      </c>
      <c r="J1022" s="15">
        <f t="shared" si="32"/>
        <v>6</v>
      </c>
      <c r="L1022" s="18">
        <v>45839</v>
      </c>
    </row>
    <row r="1023" spans="1:12" x14ac:dyDescent="0.2">
      <c r="A1023" s="11" t="s">
        <v>593</v>
      </c>
      <c r="B1023" s="11" t="str">
        <f t="shared" si="31"/>
        <v>330015</v>
      </c>
      <c r="C1023" s="11" t="str">
        <f>_xlfn.CONCAT(+VLOOKUP(VALUE(MID(A1023,13,2)),'Tabla de codigos'!$A$2:$B$60,2,1)," ",VLOOKUP(VALUE(MID(A1023,15,4)),'Tabla de codigos'!$E$2:$F$102,2,1))</f>
        <v>POCILLO 14</v>
      </c>
      <c r="D1023" s="11" t="s">
        <v>573</v>
      </c>
      <c r="E1023" s="11" t="s">
        <v>11</v>
      </c>
      <c r="F1023" s="11" t="s">
        <v>574</v>
      </c>
      <c r="G1023" s="11" t="s">
        <v>575</v>
      </c>
      <c r="H1023" s="11">
        <v>9</v>
      </c>
      <c r="I1023" s="15">
        <f>4+1+4</f>
        <v>9</v>
      </c>
      <c r="J1023" s="15">
        <f t="shared" si="32"/>
        <v>0</v>
      </c>
      <c r="K1023" s="17">
        <f>(SUM(I1005:I1023))/(SUM(H1005:H1023))</f>
        <v>0.71153846153846156</v>
      </c>
      <c r="L1023" s="18">
        <v>45839</v>
      </c>
    </row>
    <row r="1024" spans="1:12" x14ac:dyDescent="0.2">
      <c r="A1024" s="11" t="s">
        <v>594</v>
      </c>
      <c r="B1024" s="11" t="str">
        <f t="shared" si="31"/>
        <v>330009</v>
      </c>
      <c r="C1024" s="11" t="str">
        <f>_xlfn.CONCAT(+VLOOKUP(VALUE(MID(A1024,13,2)),'Tabla de codigos'!$A$2:$B$60,2,1)," ",VLOOKUP(VALUE(MID(A1024,15,4)),'Tabla de codigos'!$E$2:$F$102,2,1))</f>
        <v>POCILLO 5</v>
      </c>
      <c r="D1024" s="11" t="s">
        <v>595</v>
      </c>
      <c r="E1024" s="11" t="s">
        <v>327</v>
      </c>
      <c r="F1024" s="11" t="s">
        <v>328</v>
      </c>
      <c r="G1024" s="11" t="s">
        <v>596</v>
      </c>
      <c r="H1024" s="11">
        <v>300</v>
      </c>
      <c r="I1024" s="11">
        <v>0</v>
      </c>
      <c r="J1024" s="15">
        <f t="shared" si="32"/>
        <v>300</v>
      </c>
      <c r="K1024" s="17">
        <f>(SUM(I1024))/(SUM(H1024))</f>
        <v>0</v>
      </c>
      <c r="L1024" s="18">
        <v>45841</v>
      </c>
    </row>
    <row r="1025" spans="1:12" x14ac:dyDescent="0.2">
      <c r="A1025" s="11" t="s">
        <v>211</v>
      </c>
      <c r="B1025" s="11" t="str">
        <f t="shared" si="31"/>
        <v>030013</v>
      </c>
      <c r="C1025" s="11" t="str">
        <f>_xlfn.CONCAT(+VLOOKUP(VALUE(MID(A1025,13,2)),'Tabla de codigos'!$A$2:$B$60,2,1)," ",VLOOKUP(VALUE(MID(A1025,15,4)),'Tabla de codigos'!$E$2:$F$102,2,1))</f>
        <v>BAÑO 10</v>
      </c>
      <c r="D1025" s="11" t="s">
        <v>597</v>
      </c>
      <c r="E1025" s="11" t="s">
        <v>11</v>
      </c>
      <c r="F1025" s="11" t="s">
        <v>598</v>
      </c>
      <c r="G1025" s="11" t="s">
        <v>599</v>
      </c>
      <c r="H1025" s="11">
        <v>20</v>
      </c>
      <c r="I1025" s="11">
        <v>20</v>
      </c>
      <c r="J1025" s="15">
        <f t="shared" si="32"/>
        <v>0</v>
      </c>
      <c r="L1025" s="18">
        <v>45839</v>
      </c>
    </row>
    <row r="1026" spans="1:12" x14ac:dyDescent="0.2">
      <c r="A1026" s="11" t="s">
        <v>212</v>
      </c>
      <c r="B1026" s="11" t="str">
        <f t="shared" si="31"/>
        <v>030014</v>
      </c>
      <c r="C1026" s="11" t="str">
        <f>_xlfn.CONCAT(+VLOOKUP(VALUE(MID(A1026,13,2)),'Tabla de codigos'!$A$2:$B$60,2,1)," ",VLOOKUP(VALUE(MID(A1026,15,4)),'Tabla de codigos'!$E$2:$F$102,2,1))</f>
        <v>BAÑO 12</v>
      </c>
      <c r="D1026" s="11" t="s">
        <v>597</v>
      </c>
      <c r="E1026" s="11" t="s">
        <v>11</v>
      </c>
      <c r="F1026" s="11" t="s">
        <v>598</v>
      </c>
      <c r="G1026" s="11" t="s">
        <v>599</v>
      </c>
      <c r="H1026" s="11">
        <v>20</v>
      </c>
      <c r="I1026" s="11">
        <v>0</v>
      </c>
      <c r="J1026" s="15">
        <f t="shared" si="32"/>
        <v>20</v>
      </c>
      <c r="K1026" s="17">
        <f>(SUM(I1025:I1026))/(SUM(H1025:H1026))</f>
        <v>0.5</v>
      </c>
      <c r="L1026" s="18">
        <v>45839</v>
      </c>
    </row>
    <row r="1027" spans="1:12" x14ac:dyDescent="0.2">
      <c r="A1027" s="11" t="s">
        <v>211</v>
      </c>
      <c r="B1027" s="11" t="str">
        <f t="shared" ref="B1027:B1090" si="33">+MID(A1027,13,6)</f>
        <v>030013</v>
      </c>
      <c r="C1027" s="11" t="str">
        <f>_xlfn.CONCAT(+VLOOKUP(VALUE(MID(A1027,13,2)),'Tabla de codigos'!$A$2:$B$60,2,1)," ",VLOOKUP(VALUE(MID(A1027,15,4)),'Tabla de codigos'!$E$2:$F$102,2,1))</f>
        <v>BAÑO 10</v>
      </c>
      <c r="D1027" s="11" t="s">
        <v>600</v>
      </c>
      <c r="E1027" s="11" t="s">
        <v>11</v>
      </c>
      <c r="F1027" s="11" t="s">
        <v>601</v>
      </c>
      <c r="G1027" s="11" t="s">
        <v>599</v>
      </c>
      <c r="H1027" s="11">
        <v>10</v>
      </c>
      <c r="I1027" s="11">
        <v>10</v>
      </c>
      <c r="J1027" s="15">
        <f t="shared" si="32"/>
        <v>0</v>
      </c>
    </row>
    <row r="1028" spans="1:12" x14ac:dyDescent="0.2">
      <c r="A1028" s="11" t="s">
        <v>212</v>
      </c>
      <c r="B1028" s="11" t="str">
        <f t="shared" si="33"/>
        <v>030014</v>
      </c>
      <c r="C1028" s="11" t="str">
        <f>_xlfn.CONCAT(+VLOOKUP(VALUE(MID(A1028,13,2)),'Tabla de codigos'!$A$2:$B$60,2,1)," ",VLOOKUP(VALUE(MID(A1028,15,4)),'Tabla de codigos'!$E$2:$F$102,2,1))</f>
        <v>BAÑO 12</v>
      </c>
      <c r="D1028" s="11" t="s">
        <v>600</v>
      </c>
      <c r="E1028" s="11" t="s">
        <v>11</v>
      </c>
      <c r="F1028" s="11" t="s">
        <v>601</v>
      </c>
      <c r="G1028" s="11" t="s">
        <v>599</v>
      </c>
      <c r="H1028" s="11">
        <v>25</v>
      </c>
      <c r="I1028" s="11">
        <v>0</v>
      </c>
      <c r="J1028" s="15">
        <f t="shared" si="32"/>
        <v>25</v>
      </c>
      <c r="K1028" s="17">
        <f>(SUM(I1027:I1028))/(SUM(H1027:H1028))</f>
        <v>0.2857142857142857</v>
      </c>
    </row>
    <row r="1029" spans="1:12" x14ac:dyDescent="0.2">
      <c r="A1029" s="11" t="s">
        <v>214</v>
      </c>
      <c r="B1029" s="11" t="str">
        <f t="shared" si="33"/>
        <v>060021</v>
      </c>
      <c r="C1029" s="11" t="str">
        <f>_xlfn.CONCAT(+VLOOKUP(VALUE(MID(A1029,13,2)),'Tabla de codigos'!$A$2:$B$60,2,1)," ",VLOOKUP(VALUE(MID(A1029,15,4)),'Tabla de codigos'!$E$2:$F$102,2,1))</f>
        <v>BUDINERA   18</v>
      </c>
      <c r="D1029" s="11" t="s">
        <v>505</v>
      </c>
      <c r="E1029" s="11" t="s">
        <v>11</v>
      </c>
      <c r="F1029" s="11" t="s">
        <v>602</v>
      </c>
      <c r="G1029" s="11" t="s">
        <v>599</v>
      </c>
      <c r="H1029" s="11">
        <v>18</v>
      </c>
      <c r="I1029" s="11">
        <v>0</v>
      </c>
      <c r="J1029" s="15">
        <f t="shared" si="32"/>
        <v>18</v>
      </c>
    </row>
    <row r="1030" spans="1:12" x14ac:dyDescent="0.2">
      <c r="A1030" s="11" t="s">
        <v>241</v>
      </c>
      <c r="B1030" s="11" t="str">
        <f t="shared" si="33"/>
        <v>060024</v>
      </c>
      <c r="C1030" s="11" t="str">
        <f>_xlfn.CONCAT(+VLOOKUP(VALUE(MID(A1030,13,2)),'Tabla de codigos'!$A$2:$B$60,2,1)," ",VLOOKUP(VALUE(MID(A1030,15,4)),'Tabla de codigos'!$E$2:$F$102,2,1))</f>
        <v>BUDINERA   22</v>
      </c>
      <c r="D1030" s="11" t="s">
        <v>505</v>
      </c>
      <c r="E1030" s="11" t="s">
        <v>11</v>
      </c>
      <c r="F1030" s="11" t="s">
        <v>602</v>
      </c>
      <c r="G1030" s="11" t="s">
        <v>599</v>
      </c>
      <c r="H1030" s="11">
        <v>12</v>
      </c>
      <c r="I1030" s="11">
        <v>12</v>
      </c>
      <c r="J1030" s="15">
        <f t="shared" si="32"/>
        <v>0</v>
      </c>
    </row>
    <row r="1031" spans="1:12" x14ac:dyDescent="0.2">
      <c r="A1031" s="11" t="s">
        <v>143</v>
      </c>
      <c r="B1031" s="11" t="str">
        <f t="shared" si="33"/>
        <v>060025</v>
      </c>
      <c r="C1031" s="11" t="str">
        <f>_xlfn.CONCAT(+VLOOKUP(VALUE(MID(A1031,13,2)),'Tabla de codigos'!$A$2:$B$60,2,1)," ",VLOOKUP(VALUE(MID(A1031,15,4)),'Tabla de codigos'!$E$2:$F$102,2,1))</f>
        <v>BUDINERA   24</v>
      </c>
      <c r="D1031" s="11" t="s">
        <v>505</v>
      </c>
      <c r="E1031" s="11" t="s">
        <v>11</v>
      </c>
      <c r="F1031" s="11" t="s">
        <v>602</v>
      </c>
      <c r="G1031" s="11" t="s">
        <v>599</v>
      </c>
      <c r="H1031" s="11">
        <v>24</v>
      </c>
      <c r="I1031" s="11">
        <v>0</v>
      </c>
      <c r="J1031" s="15">
        <f t="shared" si="32"/>
        <v>24</v>
      </c>
    </row>
    <row r="1032" spans="1:12" x14ac:dyDescent="0.2">
      <c r="A1032" s="11" t="s">
        <v>148</v>
      </c>
      <c r="B1032" s="11" t="str">
        <f t="shared" si="33"/>
        <v>060026</v>
      </c>
      <c r="C1032" s="11" t="str">
        <f>_xlfn.CONCAT(+VLOOKUP(VALUE(MID(A1032,13,2)),'Tabla de codigos'!$A$2:$B$60,2,1)," ",VLOOKUP(VALUE(MID(A1032,15,4)),'Tabla de codigos'!$E$2:$F$102,2,1))</f>
        <v>BUDINERA   26</v>
      </c>
      <c r="D1032" s="11" t="s">
        <v>505</v>
      </c>
      <c r="E1032" s="11" t="s">
        <v>11</v>
      </c>
      <c r="F1032" s="11" t="s">
        <v>602</v>
      </c>
      <c r="G1032" s="11" t="s">
        <v>599</v>
      </c>
      <c r="H1032" s="11">
        <v>24</v>
      </c>
      <c r="I1032" s="11">
        <v>0</v>
      </c>
      <c r="J1032" s="15">
        <f t="shared" ref="J1032:J1095" si="34">+H1032-I1032</f>
        <v>24</v>
      </c>
    </row>
    <row r="1033" spans="1:12" x14ac:dyDescent="0.2">
      <c r="A1033" s="11" t="s">
        <v>169</v>
      </c>
      <c r="B1033" s="11" t="str">
        <f t="shared" si="33"/>
        <v>060029</v>
      </c>
      <c r="C1033" s="11" t="str">
        <f>_xlfn.CONCAT(+VLOOKUP(VALUE(MID(A1033,13,2)),'Tabla de codigos'!$A$2:$B$60,2,1)," ",VLOOKUP(VALUE(MID(A1033,15,4)),'Tabla de codigos'!$E$2:$F$102,2,1))</f>
        <v>BUDINERA   30</v>
      </c>
      <c r="D1033" s="11" t="s">
        <v>505</v>
      </c>
      <c r="E1033" s="11" t="s">
        <v>11</v>
      </c>
      <c r="F1033" s="11" t="s">
        <v>602</v>
      </c>
      <c r="G1033" s="11" t="s">
        <v>599</v>
      </c>
      <c r="H1033" s="11">
        <v>8</v>
      </c>
      <c r="I1033" s="11">
        <v>0</v>
      </c>
      <c r="J1033" s="15">
        <f t="shared" si="34"/>
        <v>8</v>
      </c>
    </row>
    <row r="1034" spans="1:12" x14ac:dyDescent="0.2">
      <c r="A1034" s="11" t="s">
        <v>242</v>
      </c>
      <c r="B1034" s="11" t="str">
        <f t="shared" si="33"/>
        <v>100024</v>
      </c>
      <c r="C1034" s="11" t="str">
        <f>_xlfn.CONCAT(+VLOOKUP(VALUE(MID(A1034,13,2)),'Tabla de codigos'!$A$2:$B$60,2,1)," ",VLOOKUP(VALUE(MID(A1034,15,4)),'Tabla de codigos'!$E$2:$F$102,2,1))</f>
        <v>COMAL 22</v>
      </c>
      <c r="D1034" s="11" t="s">
        <v>505</v>
      </c>
      <c r="E1034" s="11" t="s">
        <v>11</v>
      </c>
      <c r="F1034" s="11" t="s">
        <v>602</v>
      </c>
      <c r="G1034" s="11" t="s">
        <v>599</v>
      </c>
      <c r="H1034" s="11">
        <v>24</v>
      </c>
      <c r="I1034" s="11">
        <v>12</v>
      </c>
      <c r="J1034" s="15">
        <f t="shared" si="34"/>
        <v>12</v>
      </c>
    </row>
    <row r="1035" spans="1:12" x14ac:dyDescent="0.2">
      <c r="A1035" s="11" t="s">
        <v>149</v>
      </c>
      <c r="B1035" s="11" t="str">
        <f t="shared" si="33"/>
        <v>100028</v>
      </c>
      <c r="C1035" s="11" t="str">
        <f>_xlfn.CONCAT(+VLOOKUP(VALUE(MID(A1035,13,2)),'Tabla de codigos'!$A$2:$B$60,2,1)," ",VLOOKUP(VALUE(MID(A1035,15,4)),'Tabla de codigos'!$E$2:$F$102,2,1))</f>
        <v>COMAL 28</v>
      </c>
      <c r="D1035" s="11" t="s">
        <v>505</v>
      </c>
      <c r="E1035" s="11" t="s">
        <v>11</v>
      </c>
      <c r="F1035" s="11" t="s">
        <v>602</v>
      </c>
      <c r="G1035" s="11" t="s">
        <v>599</v>
      </c>
      <c r="H1035" s="11">
        <v>12</v>
      </c>
      <c r="I1035" s="11">
        <v>0</v>
      </c>
      <c r="J1035" s="15">
        <f t="shared" si="34"/>
        <v>12</v>
      </c>
    </row>
    <row r="1036" spans="1:12" x14ac:dyDescent="0.2">
      <c r="A1036" s="11" t="s">
        <v>43</v>
      </c>
      <c r="B1036" s="11" t="str">
        <f t="shared" si="33"/>
        <v>240024</v>
      </c>
      <c r="C1036" s="11" t="str">
        <f>_xlfn.CONCAT(+VLOOKUP(VALUE(MID(A1036,13,2)),'Tabla de codigos'!$A$2:$B$60,2,1)," ",VLOOKUP(VALUE(MID(A1036,15,4)),'Tabla de codigos'!$E$2:$F$102,2,1))</f>
        <v>OLLA CONVEXA 22</v>
      </c>
      <c r="D1036" s="11" t="s">
        <v>505</v>
      </c>
      <c r="E1036" s="11" t="s">
        <v>11</v>
      </c>
      <c r="F1036" s="11" t="s">
        <v>602</v>
      </c>
      <c r="G1036" s="11" t="s">
        <v>599</v>
      </c>
      <c r="H1036" s="11">
        <v>24</v>
      </c>
      <c r="I1036" s="11">
        <f>24</f>
        <v>24</v>
      </c>
      <c r="J1036" s="15">
        <f t="shared" si="34"/>
        <v>0</v>
      </c>
    </row>
    <row r="1037" spans="1:12" x14ac:dyDescent="0.2">
      <c r="A1037" s="11" t="s">
        <v>152</v>
      </c>
      <c r="B1037" s="11" t="str">
        <f t="shared" si="33"/>
        <v>240025</v>
      </c>
      <c r="C1037" s="11" t="str">
        <f>_xlfn.CONCAT(+VLOOKUP(VALUE(MID(A1037,13,2)),'Tabla de codigos'!$A$2:$B$60,2,1)," ",VLOOKUP(VALUE(MID(A1037,15,4)),'Tabla de codigos'!$E$2:$F$102,2,1))</f>
        <v>OLLA CONVEXA 24</v>
      </c>
      <c r="D1037" s="11" t="s">
        <v>505</v>
      </c>
      <c r="E1037" s="11" t="s">
        <v>11</v>
      </c>
      <c r="F1037" s="11" t="s">
        <v>602</v>
      </c>
      <c r="G1037" s="11" t="s">
        <v>599</v>
      </c>
      <c r="H1037" s="11">
        <v>24</v>
      </c>
      <c r="I1037" s="11">
        <v>24</v>
      </c>
      <c r="J1037" s="15">
        <f t="shared" si="34"/>
        <v>0</v>
      </c>
    </row>
    <row r="1038" spans="1:12" x14ac:dyDescent="0.2">
      <c r="A1038" s="11" t="s">
        <v>153</v>
      </c>
      <c r="B1038" s="11" t="str">
        <f t="shared" si="33"/>
        <v>240026</v>
      </c>
      <c r="C1038" s="11" t="str">
        <f>_xlfn.CONCAT(+VLOOKUP(VALUE(MID(A1038,13,2)),'Tabla de codigos'!$A$2:$B$60,2,1)," ",VLOOKUP(VALUE(MID(A1038,15,4)),'Tabla de codigos'!$E$2:$F$102,2,1))</f>
        <v>OLLA CONVEXA 26</v>
      </c>
      <c r="D1038" s="11" t="s">
        <v>505</v>
      </c>
      <c r="E1038" s="11" t="s">
        <v>11</v>
      </c>
      <c r="F1038" s="11" t="s">
        <v>602</v>
      </c>
      <c r="G1038" s="11" t="s">
        <v>599</v>
      </c>
      <c r="H1038" s="11">
        <v>24</v>
      </c>
      <c r="I1038" s="11">
        <f>12</f>
        <v>12</v>
      </c>
      <c r="J1038" s="15">
        <f t="shared" si="34"/>
        <v>12</v>
      </c>
    </row>
    <row r="1039" spans="1:12" x14ac:dyDescent="0.2">
      <c r="A1039" s="11" t="s">
        <v>260</v>
      </c>
      <c r="B1039" s="11" t="str">
        <f t="shared" si="33"/>
        <v>250022</v>
      </c>
      <c r="C1039" s="11" t="str">
        <f>_xlfn.CONCAT(+VLOOKUP(VALUE(MID(A1039,13,2)),'Tabla de codigos'!$A$2:$B$60,2,1)," ",VLOOKUP(VALUE(MID(A1039,15,4)),'Tabla de codigos'!$E$2:$F$102,2,1))</f>
        <v>OLLA RECTA 20</v>
      </c>
      <c r="D1039" s="11" t="s">
        <v>505</v>
      </c>
      <c r="E1039" s="11" t="s">
        <v>11</v>
      </c>
      <c r="F1039" s="11" t="s">
        <v>602</v>
      </c>
      <c r="G1039" s="11" t="s">
        <v>599</v>
      </c>
      <c r="H1039" s="11">
        <v>24</v>
      </c>
      <c r="I1039" s="11">
        <v>0</v>
      </c>
      <c r="J1039" s="15">
        <f t="shared" si="34"/>
        <v>24</v>
      </c>
    </row>
    <row r="1040" spans="1:12" x14ac:dyDescent="0.2">
      <c r="A1040" s="11" t="s">
        <v>236</v>
      </c>
      <c r="B1040" s="11" t="str">
        <f t="shared" si="33"/>
        <v>250024</v>
      </c>
      <c r="C1040" s="11" t="str">
        <f>_xlfn.CONCAT(+VLOOKUP(VALUE(MID(A1040,13,2)),'Tabla de codigos'!$A$2:$B$60,2,1)," ",VLOOKUP(VALUE(MID(A1040,15,4)),'Tabla de codigos'!$E$2:$F$102,2,1))</f>
        <v>OLLA RECTA 22</v>
      </c>
      <c r="D1040" s="11" t="s">
        <v>505</v>
      </c>
      <c r="E1040" s="11" t="s">
        <v>11</v>
      </c>
      <c r="F1040" s="11" t="s">
        <v>602</v>
      </c>
      <c r="G1040" s="11" t="s">
        <v>599</v>
      </c>
      <c r="H1040" s="11">
        <v>12</v>
      </c>
      <c r="I1040" s="11">
        <v>0</v>
      </c>
      <c r="J1040" s="15">
        <f t="shared" si="34"/>
        <v>12</v>
      </c>
    </row>
    <row r="1041" spans="1:12" x14ac:dyDescent="0.2">
      <c r="A1041" s="11" t="s">
        <v>237</v>
      </c>
      <c r="B1041" s="11" t="str">
        <f t="shared" si="33"/>
        <v>250025</v>
      </c>
      <c r="C1041" s="11" t="str">
        <f>_xlfn.CONCAT(+VLOOKUP(VALUE(MID(A1041,13,2)),'Tabla de codigos'!$A$2:$B$60,2,1)," ",VLOOKUP(VALUE(MID(A1041,15,4)),'Tabla de codigos'!$E$2:$F$102,2,1))</f>
        <v>OLLA RECTA 24</v>
      </c>
      <c r="D1041" s="11" t="s">
        <v>505</v>
      </c>
      <c r="E1041" s="11" t="s">
        <v>11</v>
      </c>
      <c r="F1041" s="11" t="s">
        <v>602</v>
      </c>
      <c r="G1041" s="11" t="s">
        <v>599</v>
      </c>
      <c r="H1041" s="11">
        <v>12</v>
      </c>
      <c r="I1041" s="11">
        <v>0</v>
      </c>
      <c r="J1041" s="15">
        <f t="shared" si="34"/>
        <v>12</v>
      </c>
    </row>
    <row r="1042" spans="1:12" x14ac:dyDescent="0.2">
      <c r="A1042" s="11" t="s">
        <v>224</v>
      </c>
      <c r="B1042" s="11" t="str">
        <f t="shared" si="33"/>
        <v>250026</v>
      </c>
      <c r="C1042" s="11" t="str">
        <f>_xlfn.CONCAT(+VLOOKUP(VALUE(MID(A1042,13,2)),'Tabla de codigos'!$A$2:$B$60,2,1)," ",VLOOKUP(VALUE(MID(A1042,15,4)),'Tabla de codigos'!$E$2:$F$102,2,1))</f>
        <v>OLLA RECTA 26</v>
      </c>
      <c r="D1042" s="11" t="s">
        <v>505</v>
      </c>
      <c r="E1042" s="11" t="s">
        <v>11</v>
      </c>
      <c r="F1042" s="11" t="s">
        <v>602</v>
      </c>
      <c r="G1042" s="11" t="s">
        <v>599</v>
      </c>
      <c r="H1042" s="11">
        <v>12</v>
      </c>
      <c r="I1042" s="11">
        <v>0</v>
      </c>
      <c r="J1042" s="15">
        <f t="shared" si="34"/>
        <v>12</v>
      </c>
    </row>
    <row r="1043" spans="1:12" x14ac:dyDescent="0.2">
      <c r="A1043" s="11" t="s">
        <v>336</v>
      </c>
      <c r="B1043" s="11" t="str">
        <f t="shared" si="33"/>
        <v>250028</v>
      </c>
      <c r="C1043" s="11" t="str">
        <f>_xlfn.CONCAT(+VLOOKUP(VALUE(MID(A1043,13,2)),'Tabla de codigos'!$A$2:$B$60,2,1)," ",VLOOKUP(VALUE(MID(A1043,15,4)),'Tabla de codigos'!$E$2:$F$102,2,1))</f>
        <v>OLLA RECTA 28</v>
      </c>
      <c r="D1043" s="11" t="s">
        <v>505</v>
      </c>
      <c r="E1043" s="11" t="s">
        <v>11</v>
      </c>
      <c r="F1043" s="11" t="s">
        <v>602</v>
      </c>
      <c r="G1043" s="11" t="s">
        <v>599</v>
      </c>
      <c r="H1043" s="11">
        <v>4</v>
      </c>
      <c r="I1043" s="11">
        <v>0</v>
      </c>
      <c r="J1043" s="15">
        <f t="shared" si="34"/>
        <v>4</v>
      </c>
    </row>
    <row r="1044" spans="1:12" x14ac:dyDescent="0.2">
      <c r="A1044" s="11" t="s">
        <v>180</v>
      </c>
      <c r="B1044" s="11" t="str">
        <f t="shared" si="33"/>
        <v>330014</v>
      </c>
      <c r="C1044" s="11" t="str">
        <f>_xlfn.CONCAT(+VLOOKUP(VALUE(MID(A1044,13,2)),'Tabla de codigos'!$A$2:$B$60,2,1)," ",VLOOKUP(VALUE(MID(A1044,15,4)),'Tabla de codigos'!$E$2:$F$102,2,1))</f>
        <v>POCILLO 12</v>
      </c>
      <c r="D1044" s="11" t="s">
        <v>505</v>
      </c>
      <c r="E1044" s="11" t="s">
        <v>11</v>
      </c>
      <c r="F1044" s="11" t="s">
        <v>602</v>
      </c>
      <c r="G1044" s="11" t="s">
        <v>599</v>
      </c>
      <c r="H1044" s="11">
        <v>24</v>
      </c>
      <c r="I1044" s="11">
        <v>0</v>
      </c>
      <c r="J1044" s="15">
        <f t="shared" si="34"/>
        <v>24</v>
      </c>
    </row>
    <row r="1045" spans="1:12" x14ac:dyDescent="0.2">
      <c r="A1045" s="11" t="s">
        <v>182</v>
      </c>
      <c r="B1045" s="11" t="str">
        <f t="shared" si="33"/>
        <v>330015</v>
      </c>
      <c r="C1045" s="11" t="str">
        <f>_xlfn.CONCAT(+VLOOKUP(VALUE(MID(A1045,13,2)),'Tabla de codigos'!$A$2:$B$60,2,1)," ",VLOOKUP(VALUE(MID(A1045,15,4)),'Tabla de codigos'!$E$2:$F$102,2,1))</f>
        <v>POCILLO 14</v>
      </c>
      <c r="D1045" s="11" t="s">
        <v>505</v>
      </c>
      <c r="E1045" s="11" t="s">
        <v>11</v>
      </c>
      <c r="F1045" s="11" t="s">
        <v>602</v>
      </c>
      <c r="G1045" s="11" t="s">
        <v>599</v>
      </c>
      <c r="H1045" s="11">
        <v>24</v>
      </c>
      <c r="I1045" s="11">
        <v>0</v>
      </c>
      <c r="J1045" s="15">
        <f t="shared" si="34"/>
        <v>24</v>
      </c>
    </row>
    <row r="1046" spans="1:12" x14ac:dyDescent="0.2">
      <c r="A1046" s="11" t="s">
        <v>262</v>
      </c>
      <c r="B1046" s="11" t="str">
        <f t="shared" si="33"/>
        <v>360022</v>
      </c>
      <c r="C1046" s="11" t="str">
        <f>_xlfn.CONCAT(+VLOOKUP(VALUE(MID(A1046,13,2)),'Tabla de codigos'!$A$2:$B$60,2,1)," ",VLOOKUP(VALUE(MID(A1046,15,4)),'Tabla de codigos'!$E$2:$F$102,2,1))</f>
        <v>SARTEN 20</v>
      </c>
      <c r="D1046" s="11" t="s">
        <v>505</v>
      </c>
      <c r="E1046" s="11" t="s">
        <v>11</v>
      </c>
      <c r="F1046" s="11" t="s">
        <v>602</v>
      </c>
      <c r="G1046" s="11" t="s">
        <v>599</v>
      </c>
      <c r="H1046" s="11">
        <v>24</v>
      </c>
      <c r="I1046" s="11">
        <v>0</v>
      </c>
      <c r="J1046" s="15">
        <f t="shared" si="34"/>
        <v>24</v>
      </c>
    </row>
    <row r="1047" spans="1:12" x14ac:dyDescent="0.2">
      <c r="A1047" s="11" t="s">
        <v>227</v>
      </c>
      <c r="B1047" s="11" t="str">
        <f t="shared" si="33"/>
        <v>360024</v>
      </c>
      <c r="C1047" s="11" t="str">
        <f>_xlfn.CONCAT(+VLOOKUP(VALUE(MID(A1047,13,2)),'Tabla de codigos'!$A$2:$B$60,2,1)," ",VLOOKUP(VALUE(MID(A1047,15,4)),'Tabla de codigos'!$E$2:$F$102,2,1))</f>
        <v>SARTEN 22</v>
      </c>
      <c r="D1047" s="11" t="s">
        <v>505</v>
      </c>
      <c r="E1047" s="11" t="s">
        <v>11</v>
      </c>
      <c r="F1047" s="11" t="s">
        <v>602</v>
      </c>
      <c r="G1047" s="11" t="s">
        <v>599</v>
      </c>
      <c r="H1047" s="11">
        <v>48</v>
      </c>
      <c r="I1047" s="11">
        <v>0</v>
      </c>
      <c r="J1047" s="15">
        <f t="shared" si="34"/>
        <v>48</v>
      </c>
    </row>
    <row r="1048" spans="1:12" x14ac:dyDescent="0.2">
      <c r="A1048" s="11" t="s">
        <v>44</v>
      </c>
      <c r="B1048" s="11" t="str">
        <f t="shared" si="33"/>
        <v>360025</v>
      </c>
      <c r="C1048" s="11" t="str">
        <f>_xlfn.CONCAT(+VLOOKUP(VALUE(MID(A1048,13,2)),'Tabla de codigos'!$A$2:$B$60,2,1)," ",VLOOKUP(VALUE(MID(A1048,15,4)),'Tabla de codigos'!$E$2:$F$102,2,1))</f>
        <v>SARTEN 24</v>
      </c>
      <c r="D1048" s="11" t="s">
        <v>505</v>
      </c>
      <c r="E1048" s="11" t="s">
        <v>11</v>
      </c>
      <c r="F1048" s="11" t="s">
        <v>602</v>
      </c>
      <c r="G1048" s="11" t="s">
        <v>599</v>
      </c>
      <c r="H1048" s="11">
        <v>48</v>
      </c>
      <c r="I1048" s="11">
        <v>0</v>
      </c>
      <c r="J1048" s="15">
        <f t="shared" si="34"/>
        <v>48</v>
      </c>
    </row>
    <row r="1049" spans="1:12" x14ac:dyDescent="0.2">
      <c r="A1049" s="11" t="s">
        <v>239</v>
      </c>
      <c r="B1049" s="11" t="str">
        <f t="shared" si="33"/>
        <v>360026</v>
      </c>
      <c r="C1049" s="11" t="str">
        <f>_xlfn.CONCAT(+VLOOKUP(VALUE(MID(A1049,13,2)),'Tabla de codigos'!$A$2:$B$60,2,1)," ",VLOOKUP(VALUE(MID(A1049,15,4)),'Tabla de codigos'!$E$2:$F$102,2,1))</f>
        <v>SARTEN 26</v>
      </c>
      <c r="D1049" s="11" t="s">
        <v>505</v>
      </c>
      <c r="E1049" s="11" t="s">
        <v>11</v>
      </c>
      <c r="F1049" s="11" t="s">
        <v>602</v>
      </c>
      <c r="G1049" s="11" t="s">
        <v>599</v>
      </c>
      <c r="H1049" s="11">
        <v>24</v>
      </c>
      <c r="I1049" s="11">
        <v>24</v>
      </c>
      <c r="J1049" s="15">
        <f t="shared" si="34"/>
        <v>0</v>
      </c>
    </row>
    <row r="1050" spans="1:12" x14ac:dyDescent="0.2">
      <c r="A1050" s="11" t="s">
        <v>188</v>
      </c>
      <c r="B1050" s="11" t="str">
        <f t="shared" si="33"/>
        <v>330015</v>
      </c>
      <c r="C1050" s="11" t="str">
        <f>_xlfn.CONCAT(+VLOOKUP(VALUE(MID(A1050,13,2)),'Tabla de codigos'!$A$2:$B$60,2,1)," ",VLOOKUP(VALUE(MID(A1050,15,4)),'Tabla de codigos'!$E$2:$F$102,2,1))</f>
        <v>POCILLO 14</v>
      </c>
      <c r="D1050" s="11" t="s">
        <v>505</v>
      </c>
      <c r="E1050" s="11" t="s">
        <v>11</v>
      </c>
      <c r="F1050" s="11" t="s">
        <v>602</v>
      </c>
      <c r="G1050" s="11" t="s">
        <v>599</v>
      </c>
      <c r="H1050" s="11">
        <v>24</v>
      </c>
      <c r="I1050" s="11">
        <v>0</v>
      </c>
      <c r="J1050" s="15">
        <f t="shared" si="34"/>
        <v>24</v>
      </c>
      <c r="K1050" s="17">
        <f>(SUM(I1029:I1050))/(SUM(H1029:H1050))</f>
        <v>0.22784810126582278</v>
      </c>
    </row>
    <row r="1051" spans="1:12" x14ac:dyDescent="0.2">
      <c r="A1051" s="11" t="s">
        <v>255</v>
      </c>
      <c r="B1051" s="11" t="str">
        <f t="shared" si="33"/>
        <v>060014</v>
      </c>
      <c r="C1051" s="11" t="str">
        <f>_xlfn.CONCAT(+VLOOKUP(VALUE(MID(A1051,13,2)),'Tabla de codigos'!$A$2:$B$60,2,1)," ",VLOOKUP(VALUE(MID(A1051,15,4)),'Tabla de codigos'!$E$2:$F$102,2,1))</f>
        <v>BUDINERA   12</v>
      </c>
      <c r="D1051" s="11" t="s">
        <v>603</v>
      </c>
      <c r="E1051" s="11" t="s">
        <v>11</v>
      </c>
      <c r="F1051" s="11" t="s">
        <v>604</v>
      </c>
      <c r="G1051" s="11" t="s">
        <v>599</v>
      </c>
      <c r="H1051" s="11">
        <v>126</v>
      </c>
      <c r="I1051" s="11">
        <v>0</v>
      </c>
      <c r="J1051" s="15">
        <f t="shared" si="34"/>
        <v>126</v>
      </c>
      <c r="L1051" s="18">
        <v>45859</v>
      </c>
    </row>
    <row r="1052" spans="1:12" x14ac:dyDescent="0.2">
      <c r="A1052" s="11" t="s">
        <v>256</v>
      </c>
      <c r="B1052" s="11" t="str">
        <f t="shared" si="33"/>
        <v>060015</v>
      </c>
      <c r="C1052" s="11" t="str">
        <f>_xlfn.CONCAT(+VLOOKUP(VALUE(MID(A1052,13,2)),'Tabla de codigos'!$A$2:$B$60,2,1)," ",VLOOKUP(VALUE(MID(A1052,15,4)),'Tabla de codigos'!$E$2:$F$102,2,1))</f>
        <v>BUDINERA   14</v>
      </c>
      <c r="D1052" s="11" t="s">
        <v>603</v>
      </c>
      <c r="E1052" s="11" t="s">
        <v>11</v>
      </c>
      <c r="F1052" s="11" t="s">
        <v>604</v>
      </c>
      <c r="G1052" s="11" t="s">
        <v>599</v>
      </c>
      <c r="H1052" s="11">
        <v>198</v>
      </c>
      <c r="I1052" s="11">
        <v>0</v>
      </c>
      <c r="J1052" s="15">
        <f t="shared" si="34"/>
        <v>198</v>
      </c>
      <c r="L1052" s="18">
        <v>45859</v>
      </c>
    </row>
    <row r="1053" spans="1:12" x14ac:dyDescent="0.2">
      <c r="A1053" s="11" t="s">
        <v>214</v>
      </c>
      <c r="B1053" s="11" t="str">
        <f t="shared" si="33"/>
        <v>060021</v>
      </c>
      <c r="C1053" s="11" t="str">
        <f>_xlfn.CONCAT(+VLOOKUP(VALUE(MID(A1053,13,2)),'Tabla de codigos'!$A$2:$B$60,2,1)," ",VLOOKUP(VALUE(MID(A1053,15,4)),'Tabla de codigos'!$E$2:$F$102,2,1))</f>
        <v>BUDINERA   18</v>
      </c>
      <c r="D1053" s="11" t="s">
        <v>603</v>
      </c>
      <c r="E1053" s="11" t="s">
        <v>11</v>
      </c>
      <c r="F1053" s="11" t="s">
        <v>604</v>
      </c>
      <c r="G1053" s="11" t="s">
        <v>599</v>
      </c>
      <c r="H1053" s="11">
        <v>252</v>
      </c>
      <c r="I1053" s="11">
        <v>0</v>
      </c>
      <c r="J1053" s="15">
        <f t="shared" si="34"/>
        <v>252</v>
      </c>
      <c r="L1053" s="18">
        <v>45859</v>
      </c>
    </row>
    <row r="1054" spans="1:12" x14ac:dyDescent="0.2">
      <c r="A1054" s="11" t="s">
        <v>215</v>
      </c>
      <c r="B1054" s="11" t="str">
        <f t="shared" si="33"/>
        <v>060022</v>
      </c>
      <c r="C1054" s="11" t="str">
        <f>_xlfn.CONCAT(+VLOOKUP(VALUE(MID(A1054,13,2)),'Tabla de codigos'!$A$2:$B$60,2,1)," ",VLOOKUP(VALUE(MID(A1054,15,4)),'Tabla de codigos'!$E$2:$F$102,2,1))</f>
        <v>BUDINERA   20</v>
      </c>
      <c r="D1054" s="11" t="s">
        <v>603</v>
      </c>
      <c r="E1054" s="11" t="s">
        <v>11</v>
      </c>
      <c r="F1054" s="11" t="s">
        <v>604</v>
      </c>
      <c r="G1054" s="11" t="s">
        <v>599</v>
      </c>
      <c r="H1054" s="11">
        <v>144</v>
      </c>
      <c r="I1054" s="11">
        <v>0</v>
      </c>
      <c r="J1054" s="15">
        <f t="shared" si="34"/>
        <v>144</v>
      </c>
      <c r="L1054" s="18">
        <v>45859</v>
      </c>
    </row>
    <row r="1055" spans="1:12" x14ac:dyDescent="0.2">
      <c r="A1055" s="11" t="s">
        <v>241</v>
      </c>
      <c r="B1055" s="11" t="str">
        <f t="shared" si="33"/>
        <v>060024</v>
      </c>
      <c r="C1055" s="11" t="str">
        <f>_xlfn.CONCAT(+VLOOKUP(VALUE(MID(A1055,13,2)),'Tabla de codigos'!$A$2:$B$60,2,1)," ",VLOOKUP(VALUE(MID(A1055,15,4)),'Tabla de codigos'!$E$2:$F$102,2,1))</f>
        <v>BUDINERA   22</v>
      </c>
      <c r="D1055" s="11" t="s">
        <v>603</v>
      </c>
      <c r="E1055" s="11" t="s">
        <v>11</v>
      </c>
      <c r="F1055" s="11" t="s">
        <v>604</v>
      </c>
      <c r="G1055" s="11" t="s">
        <v>599</v>
      </c>
      <c r="H1055" s="11">
        <v>84</v>
      </c>
      <c r="I1055" s="11">
        <f>84</f>
        <v>84</v>
      </c>
      <c r="J1055" s="15">
        <f t="shared" si="34"/>
        <v>0</v>
      </c>
      <c r="L1055" s="18">
        <v>45859</v>
      </c>
    </row>
    <row r="1056" spans="1:12" x14ac:dyDescent="0.2">
      <c r="A1056" s="11" t="s">
        <v>148</v>
      </c>
      <c r="B1056" s="11" t="str">
        <f t="shared" si="33"/>
        <v>060026</v>
      </c>
      <c r="C1056" s="11" t="str">
        <f>_xlfn.CONCAT(+VLOOKUP(VALUE(MID(A1056,13,2)),'Tabla de codigos'!$A$2:$B$60,2,1)," ",VLOOKUP(VALUE(MID(A1056,15,4)),'Tabla de codigos'!$E$2:$F$102,2,1))</f>
        <v>BUDINERA   26</v>
      </c>
      <c r="D1056" s="11" t="s">
        <v>603</v>
      </c>
      <c r="E1056" s="11" t="s">
        <v>11</v>
      </c>
      <c r="F1056" s="11" t="s">
        <v>604</v>
      </c>
      <c r="G1056" s="11" t="s">
        <v>599</v>
      </c>
      <c r="H1056" s="11">
        <v>132</v>
      </c>
      <c r="I1056" s="11">
        <v>0</v>
      </c>
      <c r="J1056" s="15">
        <f t="shared" si="34"/>
        <v>132</v>
      </c>
      <c r="L1056" s="18">
        <v>45859</v>
      </c>
    </row>
    <row r="1057" spans="1:12" x14ac:dyDescent="0.2">
      <c r="A1057" s="11" t="s">
        <v>173</v>
      </c>
      <c r="B1057" s="11" t="str">
        <f t="shared" si="33"/>
        <v>060031</v>
      </c>
      <c r="C1057" s="11" t="str">
        <f>_xlfn.CONCAT(+VLOOKUP(VALUE(MID(A1057,13,2)),'Tabla de codigos'!$A$2:$B$60,2,1)," ",VLOOKUP(VALUE(MID(A1057,15,4)),'Tabla de codigos'!$E$2:$F$102,2,1))</f>
        <v>BUDINERA   34</v>
      </c>
      <c r="D1057" s="11" t="s">
        <v>603</v>
      </c>
      <c r="E1057" s="11" t="s">
        <v>11</v>
      </c>
      <c r="F1057" s="11" t="s">
        <v>604</v>
      </c>
      <c r="G1057" s="11" t="s">
        <v>599</v>
      </c>
      <c r="H1057" s="11">
        <v>140</v>
      </c>
      <c r="I1057" s="11">
        <v>0</v>
      </c>
      <c r="J1057" s="15">
        <f t="shared" si="34"/>
        <v>140</v>
      </c>
      <c r="L1057" s="18">
        <v>45859</v>
      </c>
    </row>
    <row r="1058" spans="1:12" x14ac:dyDescent="0.2">
      <c r="A1058" s="11" t="s">
        <v>242</v>
      </c>
      <c r="B1058" s="11" t="str">
        <f t="shared" si="33"/>
        <v>100024</v>
      </c>
      <c r="C1058" s="11" t="str">
        <f>_xlfn.CONCAT(+VLOOKUP(VALUE(MID(A1058,13,2)),'Tabla de codigos'!$A$2:$B$60,2,1)," ",VLOOKUP(VALUE(MID(A1058,15,4)),'Tabla de codigos'!$E$2:$F$102,2,1))</f>
        <v>COMAL 22</v>
      </c>
      <c r="D1058" s="11" t="s">
        <v>603</v>
      </c>
      <c r="E1058" s="11" t="s">
        <v>11</v>
      </c>
      <c r="F1058" s="11" t="s">
        <v>604</v>
      </c>
      <c r="G1058" s="11" t="s">
        <v>599</v>
      </c>
      <c r="H1058" s="11">
        <v>264</v>
      </c>
      <c r="I1058" s="11">
        <v>0</v>
      </c>
      <c r="J1058" s="15">
        <f t="shared" si="34"/>
        <v>264</v>
      </c>
      <c r="L1058" s="18">
        <v>45859</v>
      </c>
    </row>
    <row r="1059" spans="1:12" x14ac:dyDescent="0.2">
      <c r="A1059" s="11" t="s">
        <v>149</v>
      </c>
      <c r="B1059" s="11" t="str">
        <f t="shared" si="33"/>
        <v>100028</v>
      </c>
      <c r="C1059" s="11" t="str">
        <f>_xlfn.CONCAT(+VLOOKUP(VALUE(MID(A1059,13,2)),'Tabla de codigos'!$A$2:$B$60,2,1)," ",VLOOKUP(VALUE(MID(A1059,15,4)),'Tabla de codigos'!$E$2:$F$102,2,1))</f>
        <v>COMAL 28</v>
      </c>
      <c r="D1059" s="11" t="s">
        <v>603</v>
      </c>
      <c r="E1059" s="11" t="s">
        <v>11</v>
      </c>
      <c r="F1059" s="11" t="s">
        <v>604</v>
      </c>
      <c r="G1059" s="11" t="s">
        <v>599</v>
      </c>
      <c r="H1059" s="11">
        <v>648</v>
      </c>
      <c r="I1059" s="11">
        <v>0</v>
      </c>
      <c r="J1059" s="15">
        <f t="shared" si="34"/>
        <v>648</v>
      </c>
      <c r="L1059" s="18">
        <v>45859</v>
      </c>
    </row>
    <row r="1060" spans="1:12" x14ac:dyDescent="0.2">
      <c r="A1060" s="11" t="s">
        <v>187</v>
      </c>
      <c r="B1060" s="11" t="str">
        <f t="shared" si="33"/>
        <v>240014</v>
      </c>
      <c r="C1060" s="11" t="str">
        <f>_xlfn.CONCAT(+VLOOKUP(VALUE(MID(A1060,13,2)),'Tabla de codigos'!$A$2:$B$60,2,1)," ",VLOOKUP(VALUE(MID(A1060,15,4)),'Tabla de codigos'!$E$2:$F$102,2,1))</f>
        <v>OLLA CONVEXA 12</v>
      </c>
      <c r="D1060" s="11" t="s">
        <v>603</v>
      </c>
      <c r="E1060" s="11" t="s">
        <v>11</v>
      </c>
      <c r="F1060" s="11" t="s">
        <v>604</v>
      </c>
      <c r="G1060" s="11" t="s">
        <v>599</v>
      </c>
      <c r="H1060" s="11">
        <v>414</v>
      </c>
      <c r="I1060" s="11">
        <v>0</v>
      </c>
      <c r="J1060" s="15">
        <f t="shared" si="34"/>
        <v>414</v>
      </c>
      <c r="L1060" s="18">
        <v>45859</v>
      </c>
    </row>
    <row r="1061" spans="1:12" x14ac:dyDescent="0.2">
      <c r="A1061" s="11" t="s">
        <v>333</v>
      </c>
      <c r="B1061" s="11" t="str">
        <f t="shared" si="33"/>
        <v>240015</v>
      </c>
      <c r="C1061" s="11" t="str">
        <f>_xlfn.CONCAT(+VLOOKUP(VALUE(MID(A1061,13,2)),'Tabla de codigos'!$A$2:$B$60,2,1)," ",VLOOKUP(VALUE(MID(A1061,15,4)),'Tabla de codigos'!$E$2:$F$102,2,1))</f>
        <v>OLLA CONVEXA 14</v>
      </c>
      <c r="D1061" s="11" t="s">
        <v>603</v>
      </c>
      <c r="E1061" s="11" t="s">
        <v>11</v>
      </c>
      <c r="F1061" s="11" t="s">
        <v>604</v>
      </c>
      <c r="G1061" s="11" t="s">
        <v>599</v>
      </c>
      <c r="H1061" s="11">
        <v>198</v>
      </c>
      <c r="I1061" s="11">
        <v>0</v>
      </c>
      <c r="J1061" s="15">
        <f t="shared" si="34"/>
        <v>198</v>
      </c>
      <c r="L1061" s="18">
        <v>45859</v>
      </c>
    </row>
    <row r="1062" spans="1:12" x14ac:dyDescent="0.2">
      <c r="A1062" s="11" t="s">
        <v>150</v>
      </c>
      <c r="B1062" s="11" t="str">
        <f t="shared" si="33"/>
        <v>240021</v>
      </c>
      <c r="C1062" s="11" t="str">
        <f>_xlfn.CONCAT(+VLOOKUP(VALUE(MID(A1062,13,2)),'Tabla de codigos'!$A$2:$B$60,2,1)," ",VLOOKUP(VALUE(MID(A1062,15,4)),'Tabla de codigos'!$E$2:$F$102,2,1))</f>
        <v>OLLA CONVEXA 18</v>
      </c>
      <c r="D1062" s="11" t="s">
        <v>603</v>
      </c>
      <c r="E1062" s="11" t="s">
        <v>11</v>
      </c>
      <c r="F1062" s="11" t="s">
        <v>604</v>
      </c>
      <c r="G1062" s="11" t="s">
        <v>599</v>
      </c>
      <c r="H1062" s="11">
        <v>192</v>
      </c>
      <c r="I1062" s="11">
        <v>0</v>
      </c>
      <c r="J1062" s="15">
        <f t="shared" si="34"/>
        <v>192</v>
      </c>
      <c r="L1062" s="18">
        <v>45859</v>
      </c>
    </row>
    <row r="1063" spans="1:12" x14ac:dyDescent="0.2">
      <c r="A1063" s="11" t="s">
        <v>151</v>
      </c>
      <c r="B1063" s="11" t="str">
        <f t="shared" si="33"/>
        <v>240022</v>
      </c>
      <c r="C1063" s="11" t="str">
        <f>_xlfn.CONCAT(+VLOOKUP(VALUE(MID(A1063,13,2)),'Tabla de codigos'!$A$2:$B$60,2,1)," ",VLOOKUP(VALUE(MID(A1063,15,4)),'Tabla de codigos'!$E$2:$F$102,2,1))</f>
        <v>OLLA CONVEXA 20</v>
      </c>
      <c r="D1063" s="11" t="s">
        <v>603</v>
      </c>
      <c r="E1063" s="11" t="s">
        <v>11</v>
      </c>
      <c r="F1063" s="11" t="s">
        <v>604</v>
      </c>
      <c r="G1063" s="11" t="s">
        <v>599</v>
      </c>
      <c r="H1063" s="11">
        <v>84</v>
      </c>
      <c r="I1063" s="11">
        <v>0</v>
      </c>
      <c r="J1063" s="15">
        <f t="shared" si="34"/>
        <v>84</v>
      </c>
      <c r="L1063" s="18">
        <v>45859</v>
      </c>
    </row>
    <row r="1064" spans="1:12" x14ac:dyDescent="0.2">
      <c r="A1064" s="11" t="s">
        <v>152</v>
      </c>
      <c r="B1064" s="11" t="str">
        <f t="shared" si="33"/>
        <v>240025</v>
      </c>
      <c r="C1064" s="11" t="str">
        <f>_xlfn.CONCAT(+VLOOKUP(VALUE(MID(A1064,13,2)),'Tabla de codigos'!$A$2:$B$60,2,1)," ",VLOOKUP(VALUE(MID(A1064,15,4)),'Tabla de codigos'!$E$2:$F$102,2,1))</f>
        <v>OLLA CONVEXA 24</v>
      </c>
      <c r="D1064" s="11" t="s">
        <v>603</v>
      </c>
      <c r="E1064" s="11" t="s">
        <v>11</v>
      </c>
      <c r="F1064" s="11" t="s">
        <v>604</v>
      </c>
      <c r="G1064" s="11" t="s">
        <v>599</v>
      </c>
      <c r="H1064" s="11">
        <v>54</v>
      </c>
      <c r="I1064" s="11">
        <v>54</v>
      </c>
      <c r="J1064" s="15">
        <f t="shared" si="34"/>
        <v>0</v>
      </c>
      <c r="L1064" s="18">
        <v>45859</v>
      </c>
    </row>
    <row r="1065" spans="1:12" x14ac:dyDescent="0.2">
      <c r="A1065" s="11" t="s">
        <v>153</v>
      </c>
      <c r="B1065" s="11" t="str">
        <f t="shared" si="33"/>
        <v>240026</v>
      </c>
      <c r="C1065" s="11" t="str">
        <f>_xlfn.CONCAT(+VLOOKUP(VALUE(MID(A1065,13,2)),'Tabla de codigos'!$A$2:$B$60,2,1)," ",VLOOKUP(VALUE(MID(A1065,15,4)),'Tabla de codigos'!$E$2:$F$102,2,1))</f>
        <v>OLLA CONVEXA 26</v>
      </c>
      <c r="D1065" s="11" t="s">
        <v>603</v>
      </c>
      <c r="E1065" s="11" t="s">
        <v>11</v>
      </c>
      <c r="F1065" s="11" t="s">
        <v>604</v>
      </c>
      <c r="G1065" s="11" t="s">
        <v>599</v>
      </c>
      <c r="H1065" s="11">
        <v>126</v>
      </c>
      <c r="I1065" s="11">
        <v>0</v>
      </c>
      <c r="J1065" s="15">
        <f t="shared" si="34"/>
        <v>126</v>
      </c>
      <c r="L1065" s="18">
        <v>45859</v>
      </c>
    </row>
    <row r="1066" spans="1:12" x14ac:dyDescent="0.2">
      <c r="A1066" s="11" t="s">
        <v>154</v>
      </c>
      <c r="B1066" s="11" t="str">
        <f t="shared" si="33"/>
        <v>240029</v>
      </c>
      <c r="C1066" s="11" t="str">
        <f>_xlfn.CONCAT(+VLOOKUP(VALUE(MID(A1066,13,2)),'Tabla de codigos'!$A$2:$B$60,2,1)," ",VLOOKUP(VALUE(MID(A1066,15,4)),'Tabla de codigos'!$E$2:$F$102,2,1))</f>
        <v>OLLA CONVEXA 30</v>
      </c>
      <c r="D1066" s="11" t="s">
        <v>603</v>
      </c>
      <c r="E1066" s="11" t="s">
        <v>11</v>
      </c>
      <c r="F1066" s="11" t="s">
        <v>604</v>
      </c>
      <c r="G1066" s="11" t="s">
        <v>599</v>
      </c>
      <c r="H1066" s="11">
        <v>24</v>
      </c>
      <c r="I1066" s="11">
        <v>0</v>
      </c>
      <c r="J1066" s="15">
        <f t="shared" si="34"/>
        <v>24</v>
      </c>
      <c r="L1066" s="18">
        <v>45859</v>
      </c>
    </row>
    <row r="1067" spans="1:12" x14ac:dyDescent="0.2">
      <c r="A1067" s="11" t="s">
        <v>257</v>
      </c>
      <c r="B1067" s="11" t="str">
        <f t="shared" si="33"/>
        <v>250015</v>
      </c>
      <c r="C1067" s="11" t="str">
        <f>_xlfn.CONCAT(+VLOOKUP(VALUE(MID(A1067,13,2)),'Tabla de codigos'!$A$2:$B$60,2,1)," ",VLOOKUP(VALUE(MID(A1067,15,4)),'Tabla de codigos'!$E$2:$F$102,2,1))</f>
        <v>OLLA RECTA 14</v>
      </c>
      <c r="D1067" s="11" t="s">
        <v>603</v>
      </c>
      <c r="E1067" s="11" t="s">
        <v>11</v>
      </c>
      <c r="F1067" s="11" t="s">
        <v>604</v>
      </c>
      <c r="G1067" s="11" t="s">
        <v>599</v>
      </c>
      <c r="H1067" s="11">
        <v>648</v>
      </c>
      <c r="I1067" s="11">
        <v>0</v>
      </c>
      <c r="J1067" s="15">
        <f t="shared" si="34"/>
        <v>648</v>
      </c>
      <c r="L1067" s="18">
        <v>45859</v>
      </c>
    </row>
    <row r="1068" spans="1:12" x14ac:dyDescent="0.2">
      <c r="A1068" s="11" t="s">
        <v>225</v>
      </c>
      <c r="B1068" s="11" t="str">
        <f t="shared" si="33"/>
        <v>330012</v>
      </c>
      <c r="C1068" s="11" t="str">
        <f>_xlfn.CONCAT(+VLOOKUP(VALUE(MID(A1068,13,2)),'Tabla de codigos'!$A$2:$B$60,2,1)," ",VLOOKUP(VALUE(MID(A1068,15,4)),'Tabla de codigos'!$E$2:$F$102,2,1))</f>
        <v>POCILLO 8</v>
      </c>
      <c r="D1068" s="11" t="s">
        <v>603</v>
      </c>
      <c r="E1068" s="11" t="s">
        <v>11</v>
      </c>
      <c r="F1068" s="11" t="s">
        <v>604</v>
      </c>
      <c r="G1068" s="11" t="s">
        <v>599</v>
      </c>
      <c r="H1068" s="11">
        <v>192</v>
      </c>
      <c r="I1068" s="11">
        <v>192</v>
      </c>
      <c r="J1068" s="15">
        <f t="shared" si="34"/>
        <v>0</v>
      </c>
      <c r="L1068" s="18">
        <v>45859</v>
      </c>
    </row>
    <row r="1069" spans="1:12" x14ac:dyDescent="0.2">
      <c r="A1069" s="11" t="s">
        <v>180</v>
      </c>
      <c r="B1069" s="11" t="str">
        <f t="shared" si="33"/>
        <v>330014</v>
      </c>
      <c r="C1069" s="11" t="str">
        <f>_xlfn.CONCAT(+VLOOKUP(VALUE(MID(A1069,13,2)),'Tabla de codigos'!$A$2:$B$60,2,1)," ",VLOOKUP(VALUE(MID(A1069,15,4)),'Tabla de codigos'!$E$2:$F$102,2,1))</f>
        <v>POCILLO 12</v>
      </c>
      <c r="D1069" s="11" t="s">
        <v>603</v>
      </c>
      <c r="E1069" s="11" t="s">
        <v>11</v>
      </c>
      <c r="F1069" s="11" t="s">
        <v>604</v>
      </c>
      <c r="G1069" s="11" t="s">
        <v>599</v>
      </c>
      <c r="H1069" s="11">
        <v>456</v>
      </c>
      <c r="I1069" s="11">
        <v>0</v>
      </c>
      <c r="J1069" s="15">
        <f t="shared" si="34"/>
        <v>456</v>
      </c>
      <c r="L1069" s="18">
        <v>45859</v>
      </c>
    </row>
    <row r="1070" spans="1:12" x14ac:dyDescent="0.2">
      <c r="A1070" s="11" t="s">
        <v>182</v>
      </c>
      <c r="B1070" s="11" t="str">
        <f t="shared" si="33"/>
        <v>330015</v>
      </c>
      <c r="C1070" s="11" t="str">
        <f>_xlfn.CONCAT(+VLOOKUP(VALUE(MID(A1070,13,2)),'Tabla de codigos'!$A$2:$B$60,2,1)," ",VLOOKUP(VALUE(MID(A1070,15,4)),'Tabla de codigos'!$E$2:$F$102,2,1))</f>
        <v>POCILLO 14</v>
      </c>
      <c r="D1070" s="11" t="s">
        <v>603</v>
      </c>
      <c r="E1070" s="11" t="s">
        <v>11</v>
      </c>
      <c r="F1070" s="11" t="s">
        <v>604</v>
      </c>
      <c r="G1070" s="11" t="s">
        <v>599</v>
      </c>
      <c r="H1070" s="11">
        <v>204</v>
      </c>
      <c r="I1070" s="11">
        <v>0</v>
      </c>
      <c r="J1070" s="15">
        <f t="shared" si="34"/>
        <v>204</v>
      </c>
      <c r="L1070" s="18">
        <v>45859</v>
      </c>
    </row>
    <row r="1071" spans="1:12" x14ac:dyDescent="0.2">
      <c r="A1071" s="11" t="s">
        <v>188</v>
      </c>
      <c r="B1071" s="11" t="str">
        <f t="shared" si="33"/>
        <v>330015</v>
      </c>
      <c r="C1071" s="11" t="str">
        <f>_xlfn.CONCAT(+VLOOKUP(VALUE(MID(A1071,13,2)),'Tabla de codigos'!$A$2:$B$60,2,1)," ",VLOOKUP(VALUE(MID(A1071,15,4)),'Tabla de codigos'!$E$2:$F$102,2,1))</f>
        <v>POCILLO 14</v>
      </c>
      <c r="D1071" s="11" t="s">
        <v>603</v>
      </c>
      <c r="E1071" s="11" t="s">
        <v>11</v>
      </c>
      <c r="F1071" s="11" t="s">
        <v>604</v>
      </c>
      <c r="G1071" s="11" t="s">
        <v>599</v>
      </c>
      <c r="H1071" s="11">
        <v>144</v>
      </c>
      <c r="I1071" s="11">
        <v>0</v>
      </c>
      <c r="J1071" s="15">
        <f t="shared" si="34"/>
        <v>144</v>
      </c>
      <c r="K1071" s="17">
        <f>(SUM(I1051:I1071))/(SUM(H1051:H1071))</f>
        <v>6.9856054191363245E-2</v>
      </c>
      <c r="L1071" s="18">
        <v>45859</v>
      </c>
    </row>
    <row r="1072" spans="1:12" x14ac:dyDescent="0.2">
      <c r="A1072" s="11" t="s">
        <v>214</v>
      </c>
      <c r="B1072" s="11" t="str">
        <f t="shared" si="33"/>
        <v>060021</v>
      </c>
      <c r="C1072" s="11" t="str">
        <f>_xlfn.CONCAT(+VLOOKUP(VALUE(MID(A1072,13,2)),'Tabla de codigos'!$A$2:$B$60,2,1)," ",VLOOKUP(VALUE(MID(A1072,15,4)),'Tabla de codigos'!$E$2:$F$102,2,1))</f>
        <v>BUDINERA   18</v>
      </c>
      <c r="D1072" s="11" t="s">
        <v>489</v>
      </c>
      <c r="E1072" s="11" t="s">
        <v>16</v>
      </c>
      <c r="F1072" s="11" t="s">
        <v>605</v>
      </c>
      <c r="G1072" s="11" t="s">
        <v>606</v>
      </c>
      <c r="H1072" s="11">
        <v>72</v>
      </c>
      <c r="I1072" s="11">
        <v>0</v>
      </c>
      <c r="J1072" s="15">
        <f t="shared" si="34"/>
        <v>72</v>
      </c>
    </row>
    <row r="1073" spans="1:11" x14ac:dyDescent="0.2">
      <c r="A1073" s="11" t="s">
        <v>215</v>
      </c>
      <c r="B1073" s="11" t="str">
        <f t="shared" si="33"/>
        <v>060022</v>
      </c>
      <c r="C1073" s="11" t="str">
        <f>_xlfn.CONCAT(+VLOOKUP(VALUE(MID(A1073,13,2)),'Tabla de codigos'!$A$2:$B$60,2,1)," ",VLOOKUP(VALUE(MID(A1073,15,4)),'Tabla de codigos'!$E$2:$F$102,2,1))</f>
        <v>BUDINERA   20</v>
      </c>
      <c r="D1073" s="11" t="s">
        <v>489</v>
      </c>
      <c r="E1073" s="11" t="s">
        <v>16</v>
      </c>
      <c r="F1073" s="11" t="s">
        <v>605</v>
      </c>
      <c r="G1073" s="11" t="s">
        <v>606</v>
      </c>
      <c r="H1073" s="11">
        <v>72</v>
      </c>
      <c r="I1073" s="11">
        <v>0</v>
      </c>
      <c r="J1073" s="15">
        <f t="shared" si="34"/>
        <v>72</v>
      </c>
    </row>
    <row r="1074" spans="1:11" x14ac:dyDescent="0.2">
      <c r="A1074" s="11" t="s">
        <v>143</v>
      </c>
      <c r="B1074" s="11" t="str">
        <f t="shared" si="33"/>
        <v>060025</v>
      </c>
      <c r="C1074" s="11" t="str">
        <f>_xlfn.CONCAT(+VLOOKUP(VALUE(MID(A1074,13,2)),'Tabla de codigos'!$A$2:$B$60,2,1)," ",VLOOKUP(VALUE(MID(A1074,15,4)),'Tabla de codigos'!$E$2:$F$102,2,1))</f>
        <v>BUDINERA   24</v>
      </c>
      <c r="D1074" s="11" t="s">
        <v>489</v>
      </c>
      <c r="E1074" s="11" t="s">
        <v>16</v>
      </c>
      <c r="F1074" s="11" t="s">
        <v>605</v>
      </c>
      <c r="G1074" s="11" t="s">
        <v>606</v>
      </c>
      <c r="H1074" s="11">
        <v>36</v>
      </c>
      <c r="I1074" s="11">
        <v>0</v>
      </c>
      <c r="J1074" s="15">
        <f t="shared" si="34"/>
        <v>36</v>
      </c>
    </row>
    <row r="1075" spans="1:11" x14ac:dyDescent="0.2">
      <c r="A1075" s="11" t="s">
        <v>218</v>
      </c>
      <c r="B1075" s="11" t="str">
        <f t="shared" si="33"/>
        <v>070015</v>
      </c>
      <c r="C1075" s="11" t="str">
        <f>_xlfn.CONCAT(+VLOOKUP(VALUE(MID(A1075,13,2)),'Tabla de codigos'!$A$2:$B$60,2,1)," ",VLOOKUP(VALUE(MID(A1075,15,4)),'Tabla de codigos'!$E$2:$F$102,2,1))</f>
        <v>CAZO 14</v>
      </c>
      <c r="D1075" s="11" t="s">
        <v>489</v>
      </c>
      <c r="E1075" s="11" t="s">
        <v>16</v>
      </c>
      <c r="F1075" s="11" t="s">
        <v>605</v>
      </c>
      <c r="G1075" s="11" t="s">
        <v>606</v>
      </c>
      <c r="H1075" s="11">
        <v>72</v>
      </c>
      <c r="I1075" s="11">
        <v>72</v>
      </c>
      <c r="J1075" s="15">
        <f t="shared" si="34"/>
        <v>0</v>
      </c>
    </row>
    <row r="1076" spans="1:11" x14ac:dyDescent="0.2">
      <c r="A1076" s="11" t="s">
        <v>219</v>
      </c>
      <c r="B1076" s="11" t="str">
        <f t="shared" si="33"/>
        <v>070017</v>
      </c>
      <c r="C1076" s="11" t="str">
        <f>_xlfn.CONCAT(+VLOOKUP(VALUE(MID(A1076,13,2)),'Tabla de codigos'!$A$2:$B$60,2,1)," ",VLOOKUP(VALUE(MID(A1076,15,4)),'Tabla de codigos'!$E$2:$F$102,2,1))</f>
        <v>CAZO 16</v>
      </c>
      <c r="D1076" s="11" t="s">
        <v>489</v>
      </c>
      <c r="E1076" s="11" t="s">
        <v>16</v>
      </c>
      <c r="F1076" s="11" t="s">
        <v>605</v>
      </c>
      <c r="G1076" s="11" t="s">
        <v>606</v>
      </c>
      <c r="H1076" s="11">
        <v>48</v>
      </c>
      <c r="I1076" s="11">
        <v>0</v>
      </c>
      <c r="J1076" s="15">
        <f t="shared" si="34"/>
        <v>48</v>
      </c>
    </row>
    <row r="1077" spans="1:11" x14ac:dyDescent="0.2">
      <c r="A1077" s="11" t="s">
        <v>333</v>
      </c>
      <c r="B1077" s="11" t="str">
        <f t="shared" si="33"/>
        <v>240015</v>
      </c>
      <c r="C1077" s="11" t="str">
        <f>_xlfn.CONCAT(+VLOOKUP(VALUE(MID(A1077,13,2)),'Tabla de codigos'!$A$2:$B$60,2,1)," ",VLOOKUP(VALUE(MID(A1077,15,4)),'Tabla de codigos'!$E$2:$F$102,2,1))</f>
        <v>OLLA CONVEXA 14</v>
      </c>
      <c r="D1077" s="11" t="s">
        <v>489</v>
      </c>
      <c r="E1077" s="11" t="s">
        <v>16</v>
      </c>
      <c r="F1077" s="11" t="s">
        <v>605</v>
      </c>
      <c r="G1077" s="11" t="s">
        <v>606</v>
      </c>
      <c r="H1077" s="11">
        <v>18</v>
      </c>
      <c r="I1077" s="11">
        <v>0</v>
      </c>
      <c r="J1077" s="15">
        <f t="shared" si="34"/>
        <v>18</v>
      </c>
    </row>
    <row r="1078" spans="1:11" x14ac:dyDescent="0.2">
      <c r="A1078" s="11" t="s">
        <v>220</v>
      </c>
      <c r="B1078" s="11" t="str">
        <f t="shared" si="33"/>
        <v>240017</v>
      </c>
      <c r="C1078" s="11" t="str">
        <f>_xlfn.CONCAT(+VLOOKUP(VALUE(MID(A1078,13,2)),'Tabla de codigos'!$A$2:$B$60,2,1)," ",VLOOKUP(VALUE(MID(A1078,15,4)),'Tabla de codigos'!$E$2:$F$102,2,1))</f>
        <v>OLLA CONVEXA 16</v>
      </c>
      <c r="D1078" s="11" t="s">
        <v>489</v>
      </c>
      <c r="E1078" s="11" t="s">
        <v>16</v>
      </c>
      <c r="F1078" s="11" t="s">
        <v>605</v>
      </c>
      <c r="G1078" s="11" t="s">
        <v>606</v>
      </c>
      <c r="H1078" s="11">
        <v>60</v>
      </c>
      <c r="I1078" s="11">
        <v>0</v>
      </c>
      <c r="J1078" s="15">
        <f t="shared" si="34"/>
        <v>60</v>
      </c>
    </row>
    <row r="1079" spans="1:11" x14ac:dyDescent="0.2">
      <c r="A1079" s="11" t="s">
        <v>150</v>
      </c>
      <c r="B1079" s="11" t="str">
        <f t="shared" si="33"/>
        <v>240021</v>
      </c>
      <c r="C1079" s="11" t="str">
        <f>_xlfn.CONCAT(+VLOOKUP(VALUE(MID(A1079,13,2)),'Tabla de codigos'!$A$2:$B$60,2,1)," ",VLOOKUP(VALUE(MID(A1079,15,4)),'Tabla de codigos'!$E$2:$F$102,2,1))</f>
        <v>OLLA CONVEXA 18</v>
      </c>
      <c r="D1079" s="11" t="s">
        <v>489</v>
      </c>
      <c r="E1079" s="11" t="s">
        <v>16</v>
      </c>
      <c r="F1079" s="11" t="s">
        <v>605</v>
      </c>
      <c r="G1079" s="11" t="s">
        <v>606</v>
      </c>
      <c r="H1079" s="11">
        <v>60</v>
      </c>
      <c r="I1079" s="11">
        <v>0</v>
      </c>
      <c r="J1079" s="15">
        <f t="shared" si="34"/>
        <v>60</v>
      </c>
    </row>
    <row r="1080" spans="1:11" x14ac:dyDescent="0.2">
      <c r="A1080" s="11" t="s">
        <v>151</v>
      </c>
      <c r="B1080" s="11" t="str">
        <f t="shared" si="33"/>
        <v>240022</v>
      </c>
      <c r="C1080" s="11" t="str">
        <f>_xlfn.CONCAT(+VLOOKUP(VALUE(MID(A1080,13,2)),'Tabla de codigos'!$A$2:$B$60,2,1)," ",VLOOKUP(VALUE(MID(A1080,15,4)),'Tabla de codigos'!$E$2:$F$102,2,1))</f>
        <v>OLLA CONVEXA 20</v>
      </c>
      <c r="D1080" s="11" t="s">
        <v>489</v>
      </c>
      <c r="E1080" s="11" t="s">
        <v>16</v>
      </c>
      <c r="F1080" s="11" t="s">
        <v>605</v>
      </c>
      <c r="G1080" s="11" t="s">
        <v>606</v>
      </c>
      <c r="H1080" s="11">
        <v>36</v>
      </c>
      <c r="I1080" s="11">
        <v>0</v>
      </c>
      <c r="J1080" s="15">
        <f t="shared" si="34"/>
        <v>36</v>
      </c>
    </row>
    <row r="1081" spans="1:11" x14ac:dyDescent="0.2">
      <c r="A1081" s="11" t="s">
        <v>43</v>
      </c>
      <c r="B1081" s="11" t="str">
        <f t="shared" si="33"/>
        <v>240024</v>
      </c>
      <c r="C1081" s="11" t="str">
        <f>_xlfn.CONCAT(+VLOOKUP(VALUE(MID(A1081,13,2)),'Tabla de codigos'!$A$2:$B$60,2,1)," ",VLOOKUP(VALUE(MID(A1081,15,4)),'Tabla de codigos'!$E$2:$F$102,2,1))</f>
        <v>OLLA CONVEXA 22</v>
      </c>
      <c r="D1081" s="11" t="s">
        <v>489</v>
      </c>
      <c r="E1081" s="11" t="s">
        <v>16</v>
      </c>
      <c r="F1081" s="11" t="s">
        <v>605</v>
      </c>
      <c r="G1081" s="11" t="s">
        <v>606</v>
      </c>
      <c r="H1081" s="11">
        <v>30</v>
      </c>
      <c r="I1081" s="11">
        <v>30</v>
      </c>
      <c r="J1081" s="15">
        <f t="shared" si="34"/>
        <v>0</v>
      </c>
    </row>
    <row r="1082" spans="1:11" x14ac:dyDescent="0.2">
      <c r="A1082" s="11" t="s">
        <v>153</v>
      </c>
      <c r="B1082" s="11" t="str">
        <f t="shared" si="33"/>
        <v>240026</v>
      </c>
      <c r="C1082" s="11" t="str">
        <f>_xlfn.CONCAT(+VLOOKUP(VALUE(MID(A1082,13,2)),'Tabla de codigos'!$A$2:$B$60,2,1)," ",VLOOKUP(VALUE(MID(A1082,15,4)),'Tabla de codigos'!$E$2:$F$102,2,1))</f>
        <v>OLLA CONVEXA 26</v>
      </c>
      <c r="D1082" s="11" t="s">
        <v>489</v>
      </c>
      <c r="E1082" s="11" t="s">
        <v>16</v>
      </c>
      <c r="F1082" s="11" t="s">
        <v>605</v>
      </c>
      <c r="G1082" s="11" t="s">
        <v>606</v>
      </c>
      <c r="H1082" s="11">
        <v>12</v>
      </c>
      <c r="I1082" s="11">
        <v>0</v>
      </c>
      <c r="J1082" s="15">
        <f t="shared" si="34"/>
        <v>12</v>
      </c>
    </row>
    <row r="1083" spans="1:11" x14ac:dyDescent="0.2">
      <c r="A1083" s="11" t="s">
        <v>154</v>
      </c>
      <c r="B1083" s="11" t="str">
        <f t="shared" si="33"/>
        <v>240029</v>
      </c>
      <c r="C1083" s="11" t="str">
        <f>_xlfn.CONCAT(+VLOOKUP(VALUE(MID(A1083,13,2)),'Tabla de codigos'!$A$2:$B$60,2,1)," ",VLOOKUP(VALUE(MID(A1083,15,4)),'Tabla de codigos'!$E$2:$F$102,2,1))</f>
        <v>OLLA CONVEXA 30</v>
      </c>
      <c r="D1083" s="11" t="s">
        <v>489</v>
      </c>
      <c r="E1083" s="11" t="s">
        <v>16</v>
      </c>
      <c r="F1083" s="11" t="s">
        <v>605</v>
      </c>
      <c r="G1083" s="11" t="s">
        <v>606</v>
      </c>
      <c r="H1083" s="11">
        <v>8</v>
      </c>
      <c r="I1083" s="11">
        <v>0</v>
      </c>
      <c r="J1083" s="15">
        <f t="shared" si="34"/>
        <v>8</v>
      </c>
    </row>
    <row r="1084" spans="1:11" x14ac:dyDescent="0.2">
      <c r="A1084" s="11" t="s">
        <v>260</v>
      </c>
      <c r="B1084" s="11" t="str">
        <f t="shared" si="33"/>
        <v>250022</v>
      </c>
      <c r="C1084" s="11" t="str">
        <f>_xlfn.CONCAT(+VLOOKUP(VALUE(MID(A1084,13,2)),'Tabla de codigos'!$A$2:$B$60,2,1)," ",VLOOKUP(VALUE(MID(A1084,15,4)),'Tabla de codigos'!$E$2:$F$102,2,1))</f>
        <v>OLLA RECTA 20</v>
      </c>
      <c r="D1084" s="11" t="s">
        <v>489</v>
      </c>
      <c r="E1084" s="11" t="s">
        <v>16</v>
      </c>
      <c r="F1084" s="11" t="s">
        <v>605</v>
      </c>
      <c r="G1084" s="11" t="s">
        <v>606</v>
      </c>
      <c r="H1084" s="11">
        <v>12</v>
      </c>
      <c r="I1084" s="11">
        <v>0</v>
      </c>
      <c r="J1084" s="15">
        <f t="shared" si="34"/>
        <v>12</v>
      </c>
    </row>
    <row r="1085" spans="1:11" x14ac:dyDescent="0.2">
      <c r="A1085" s="11" t="s">
        <v>225</v>
      </c>
      <c r="B1085" s="11" t="str">
        <f t="shared" si="33"/>
        <v>330012</v>
      </c>
      <c r="C1085" s="11" t="str">
        <f>_xlfn.CONCAT(+VLOOKUP(VALUE(MID(A1085,13,2)),'Tabla de codigos'!$A$2:$B$60,2,1)," ",VLOOKUP(VALUE(MID(A1085,15,4)),'Tabla de codigos'!$E$2:$F$102,2,1))</f>
        <v>POCILLO 8</v>
      </c>
      <c r="D1085" s="11" t="s">
        <v>489</v>
      </c>
      <c r="E1085" s="11" t="s">
        <v>16</v>
      </c>
      <c r="F1085" s="11" t="s">
        <v>605</v>
      </c>
      <c r="G1085" s="11" t="s">
        <v>606</v>
      </c>
      <c r="H1085" s="11">
        <v>120</v>
      </c>
      <c r="I1085" s="11">
        <v>120</v>
      </c>
      <c r="J1085" s="15">
        <f t="shared" si="34"/>
        <v>0</v>
      </c>
    </row>
    <row r="1086" spans="1:11" x14ac:dyDescent="0.2">
      <c r="A1086" s="11" t="s">
        <v>226</v>
      </c>
      <c r="B1086" s="11" t="str">
        <f t="shared" si="33"/>
        <v>330013</v>
      </c>
      <c r="C1086" s="11" t="str">
        <f>_xlfn.CONCAT(+VLOOKUP(VALUE(MID(A1086,13,2)),'Tabla de codigos'!$A$2:$B$60,2,1)," ",VLOOKUP(VALUE(MID(A1086,15,4)),'Tabla de codigos'!$E$2:$F$102,2,1))</f>
        <v>POCILLO 10</v>
      </c>
      <c r="D1086" s="11" t="s">
        <v>489</v>
      </c>
      <c r="E1086" s="11" t="s">
        <v>16</v>
      </c>
      <c r="F1086" s="11" t="s">
        <v>605</v>
      </c>
      <c r="G1086" s="11" t="s">
        <v>606</v>
      </c>
      <c r="H1086" s="11">
        <v>144</v>
      </c>
      <c r="I1086" s="11">
        <v>0</v>
      </c>
      <c r="J1086" s="15">
        <f t="shared" si="34"/>
        <v>144</v>
      </c>
    </row>
    <row r="1087" spans="1:11" x14ac:dyDescent="0.2">
      <c r="A1087" s="11" t="s">
        <v>182</v>
      </c>
      <c r="B1087" s="11" t="str">
        <f t="shared" si="33"/>
        <v>330015</v>
      </c>
      <c r="C1087" s="11" t="str">
        <f>_xlfn.CONCAT(+VLOOKUP(VALUE(MID(A1087,13,2)),'Tabla de codigos'!$A$2:$B$60,2,1)," ",VLOOKUP(VALUE(MID(A1087,15,4)),'Tabla de codigos'!$E$2:$F$102,2,1))</f>
        <v>POCILLO 14</v>
      </c>
      <c r="D1087" s="11" t="s">
        <v>489</v>
      </c>
      <c r="E1087" s="11" t="s">
        <v>16</v>
      </c>
      <c r="F1087" s="11" t="s">
        <v>605</v>
      </c>
      <c r="G1087" s="11" t="s">
        <v>606</v>
      </c>
      <c r="H1087" s="11">
        <v>300</v>
      </c>
      <c r="I1087" s="11">
        <v>0</v>
      </c>
      <c r="J1087" s="15">
        <f t="shared" si="34"/>
        <v>300</v>
      </c>
    </row>
    <row r="1088" spans="1:11" x14ac:dyDescent="0.2">
      <c r="A1088" s="11" t="s">
        <v>44</v>
      </c>
      <c r="B1088" s="11" t="str">
        <f t="shared" si="33"/>
        <v>360025</v>
      </c>
      <c r="C1088" s="11" t="str">
        <f>_xlfn.CONCAT(+VLOOKUP(VALUE(MID(A1088,13,2)),'Tabla de codigos'!$A$2:$B$60,2,1)," ",VLOOKUP(VALUE(MID(A1088,15,4)),'Tabla de codigos'!$E$2:$F$102,2,1))</f>
        <v>SARTEN 24</v>
      </c>
      <c r="D1088" s="11" t="s">
        <v>489</v>
      </c>
      <c r="E1088" s="11" t="s">
        <v>16</v>
      </c>
      <c r="F1088" s="11" t="s">
        <v>605</v>
      </c>
      <c r="G1088" s="11" t="s">
        <v>606</v>
      </c>
      <c r="H1088" s="11">
        <v>72</v>
      </c>
      <c r="I1088" s="11">
        <v>0</v>
      </c>
      <c r="J1088" s="15">
        <f t="shared" si="34"/>
        <v>72</v>
      </c>
      <c r="K1088" s="17">
        <f>(SUM(I1072:I1088))/(SUM(H1072:H1088))</f>
        <v>0.18941979522184299</v>
      </c>
    </row>
    <row r="1089" spans="1:12" x14ac:dyDescent="0.2">
      <c r="A1089" s="11" t="s">
        <v>211</v>
      </c>
      <c r="B1089" s="11" t="str">
        <f t="shared" si="33"/>
        <v>030013</v>
      </c>
      <c r="C1089" s="11" t="str">
        <f>_xlfn.CONCAT(+VLOOKUP(VALUE(MID(A1089,13,2)),'Tabla de codigos'!$A$2:$B$60,2,1)," ",VLOOKUP(VALUE(MID(A1089,15,4)),'Tabla de codigos'!$E$2:$F$102,2,1))</f>
        <v>BAÑO 10</v>
      </c>
      <c r="D1089" s="11" t="s">
        <v>607</v>
      </c>
      <c r="E1089" s="11" t="s">
        <v>11</v>
      </c>
      <c r="F1089" s="11" t="s">
        <v>608</v>
      </c>
      <c r="G1089" s="11" t="s">
        <v>606</v>
      </c>
      <c r="H1089" s="11">
        <v>10</v>
      </c>
      <c r="I1089" s="11">
        <v>0</v>
      </c>
      <c r="J1089" s="15">
        <f t="shared" si="34"/>
        <v>10</v>
      </c>
    </row>
    <row r="1090" spans="1:12" x14ac:dyDescent="0.2">
      <c r="A1090" s="11" t="s">
        <v>212</v>
      </c>
      <c r="B1090" s="11" t="str">
        <f t="shared" si="33"/>
        <v>030014</v>
      </c>
      <c r="C1090" s="11" t="str">
        <f>_xlfn.CONCAT(+VLOOKUP(VALUE(MID(A1090,13,2)),'Tabla de codigos'!$A$2:$B$60,2,1)," ",VLOOKUP(VALUE(MID(A1090,15,4)),'Tabla de codigos'!$E$2:$F$102,2,1))</f>
        <v>BAÑO 12</v>
      </c>
      <c r="D1090" s="11" t="s">
        <v>607</v>
      </c>
      <c r="E1090" s="11" t="s">
        <v>11</v>
      </c>
      <c r="F1090" s="11" t="s">
        <v>608</v>
      </c>
      <c r="G1090" s="11" t="s">
        <v>606</v>
      </c>
      <c r="H1090" s="11">
        <v>10</v>
      </c>
      <c r="I1090" s="11">
        <v>0</v>
      </c>
      <c r="J1090" s="15">
        <f t="shared" si="34"/>
        <v>10</v>
      </c>
      <c r="K1090" s="17">
        <f>(SUM(I1089:I1090))/(SUM(H1089:H1090))</f>
        <v>0</v>
      </c>
    </row>
    <row r="1091" spans="1:12" x14ac:dyDescent="0.2">
      <c r="A1091" s="11" t="s">
        <v>189</v>
      </c>
      <c r="B1091" s="11" t="str">
        <f t="shared" ref="B1091:B1146" si="35">+MID(A1091,13,6)</f>
        <v>060017</v>
      </c>
      <c r="C1091" s="11" t="str">
        <f>_xlfn.CONCAT(+VLOOKUP(VALUE(MID(A1091,13,2)),'Tabla de codigos'!$A$2:$B$60,2,1)," ",VLOOKUP(VALUE(MID(A1091,15,4)),'Tabla de codigos'!$E$2:$F$102,2,1))</f>
        <v>BUDINERA   16</v>
      </c>
      <c r="D1091" s="11" t="s">
        <v>607</v>
      </c>
      <c r="E1091" s="11" t="s">
        <v>11</v>
      </c>
      <c r="F1091" s="11" t="s">
        <v>609</v>
      </c>
      <c r="G1091" s="11" t="s">
        <v>606</v>
      </c>
      <c r="H1091" s="11">
        <v>18</v>
      </c>
      <c r="I1091" s="11">
        <v>0</v>
      </c>
      <c r="J1091" s="15">
        <f t="shared" si="34"/>
        <v>18</v>
      </c>
    </row>
    <row r="1092" spans="1:12" x14ac:dyDescent="0.2">
      <c r="A1092" s="11" t="s">
        <v>219</v>
      </c>
      <c r="B1092" s="11" t="str">
        <f t="shared" si="35"/>
        <v>070017</v>
      </c>
      <c r="C1092" s="11" t="str">
        <f>_xlfn.CONCAT(+VLOOKUP(VALUE(MID(A1092,13,2)),'Tabla de codigos'!$A$2:$B$60,2,1)," ",VLOOKUP(VALUE(MID(A1092,15,4)),'Tabla de codigos'!$E$2:$F$102,2,1))</f>
        <v>CAZO 16</v>
      </c>
      <c r="D1092" s="11" t="s">
        <v>607</v>
      </c>
      <c r="E1092" s="11" t="s">
        <v>11</v>
      </c>
      <c r="F1092" s="11" t="s">
        <v>609</v>
      </c>
      <c r="G1092" s="11" t="s">
        <v>606</v>
      </c>
      <c r="H1092" s="11">
        <v>36</v>
      </c>
      <c r="I1092" s="11">
        <v>0</v>
      </c>
      <c r="J1092" s="15">
        <f t="shared" si="34"/>
        <v>36</v>
      </c>
    </row>
    <row r="1093" spans="1:12" x14ac:dyDescent="0.2">
      <c r="A1093" s="11" t="s">
        <v>220</v>
      </c>
      <c r="B1093" s="11" t="str">
        <f t="shared" si="35"/>
        <v>240017</v>
      </c>
      <c r="C1093" s="11" t="str">
        <f>_xlfn.CONCAT(+VLOOKUP(VALUE(MID(A1093,13,2)),'Tabla de codigos'!$A$2:$B$60,2,1)," ",VLOOKUP(VALUE(MID(A1093,15,4)),'Tabla de codigos'!$E$2:$F$102,2,1))</f>
        <v>OLLA CONVEXA 16</v>
      </c>
      <c r="D1093" s="11" t="s">
        <v>607</v>
      </c>
      <c r="E1093" s="11" t="s">
        <v>11</v>
      </c>
      <c r="F1093" s="11" t="s">
        <v>609</v>
      </c>
      <c r="G1093" s="11" t="s">
        <v>606</v>
      </c>
      <c r="H1093" s="11">
        <v>24</v>
      </c>
      <c r="I1093" s="11">
        <v>0</v>
      </c>
      <c r="J1093" s="15">
        <f t="shared" si="34"/>
        <v>24</v>
      </c>
    </row>
    <row r="1094" spans="1:12" x14ac:dyDescent="0.2">
      <c r="A1094" s="11" t="s">
        <v>151</v>
      </c>
      <c r="B1094" s="11" t="str">
        <f t="shared" si="35"/>
        <v>240022</v>
      </c>
      <c r="C1094" s="11" t="str">
        <f>_xlfn.CONCAT(+VLOOKUP(VALUE(MID(A1094,13,2)),'Tabla de codigos'!$A$2:$B$60,2,1)," ",VLOOKUP(VALUE(MID(A1094,15,4)),'Tabla de codigos'!$E$2:$F$102,2,1))</f>
        <v>OLLA CONVEXA 20</v>
      </c>
      <c r="D1094" s="11" t="s">
        <v>607</v>
      </c>
      <c r="E1094" s="11" t="s">
        <v>11</v>
      </c>
      <c r="F1094" s="11" t="s">
        <v>609</v>
      </c>
      <c r="G1094" s="11" t="s">
        <v>606</v>
      </c>
      <c r="H1094" s="11">
        <v>36</v>
      </c>
      <c r="I1094" s="11">
        <v>0</v>
      </c>
      <c r="J1094" s="15">
        <f t="shared" si="34"/>
        <v>36</v>
      </c>
    </row>
    <row r="1095" spans="1:12" x14ac:dyDescent="0.2">
      <c r="A1095" s="11" t="s">
        <v>43</v>
      </c>
      <c r="B1095" s="11" t="str">
        <f t="shared" si="35"/>
        <v>240024</v>
      </c>
      <c r="C1095" s="11" t="str">
        <f>_xlfn.CONCAT(+VLOOKUP(VALUE(MID(A1095,13,2)),'Tabla de codigos'!$A$2:$B$60,2,1)," ",VLOOKUP(VALUE(MID(A1095,15,4)),'Tabla de codigos'!$E$2:$F$102,2,1))</f>
        <v>OLLA CONVEXA 22</v>
      </c>
      <c r="D1095" s="11" t="s">
        <v>607</v>
      </c>
      <c r="E1095" s="11" t="s">
        <v>11</v>
      </c>
      <c r="F1095" s="11" t="s">
        <v>609</v>
      </c>
      <c r="G1095" s="11" t="s">
        <v>606</v>
      </c>
      <c r="H1095" s="11">
        <v>30</v>
      </c>
      <c r="I1095" s="11">
        <v>30</v>
      </c>
      <c r="J1095" s="15">
        <f t="shared" si="34"/>
        <v>0</v>
      </c>
    </row>
    <row r="1096" spans="1:12" x14ac:dyDescent="0.2">
      <c r="A1096" s="11" t="s">
        <v>153</v>
      </c>
      <c r="B1096" s="11" t="str">
        <f t="shared" si="35"/>
        <v>240026</v>
      </c>
      <c r="C1096" s="11" t="str">
        <f>_xlfn.CONCAT(+VLOOKUP(VALUE(MID(A1096,13,2)),'Tabla de codigos'!$A$2:$B$60,2,1)," ",VLOOKUP(VALUE(MID(A1096,15,4)),'Tabla de codigos'!$E$2:$F$102,2,1))</f>
        <v>OLLA CONVEXA 26</v>
      </c>
      <c r="D1096" s="11" t="s">
        <v>607</v>
      </c>
      <c r="E1096" s="11" t="s">
        <v>11</v>
      </c>
      <c r="F1096" s="11" t="s">
        <v>609</v>
      </c>
      <c r="G1096" s="11" t="s">
        <v>606</v>
      </c>
      <c r="H1096" s="11">
        <v>18</v>
      </c>
      <c r="I1096" s="11">
        <v>0</v>
      </c>
      <c r="J1096" s="15">
        <f t="shared" ref="J1096:J1146" si="36">+H1096-I1096</f>
        <v>18</v>
      </c>
    </row>
    <row r="1097" spans="1:12" x14ac:dyDescent="0.2">
      <c r="A1097" s="11" t="s">
        <v>154</v>
      </c>
      <c r="B1097" s="11" t="str">
        <f t="shared" si="35"/>
        <v>240029</v>
      </c>
      <c r="C1097" s="11" t="str">
        <f>_xlfn.CONCAT(+VLOOKUP(VALUE(MID(A1097,13,2)),'Tabla de codigos'!$A$2:$B$60,2,1)," ",VLOOKUP(VALUE(MID(A1097,15,4)),'Tabla de codigos'!$E$2:$F$102,2,1))</f>
        <v>OLLA CONVEXA 30</v>
      </c>
      <c r="D1097" s="11" t="s">
        <v>607</v>
      </c>
      <c r="E1097" s="11" t="s">
        <v>11</v>
      </c>
      <c r="F1097" s="11" t="s">
        <v>609</v>
      </c>
      <c r="G1097" s="11" t="s">
        <v>606</v>
      </c>
      <c r="H1097" s="11">
        <v>8</v>
      </c>
      <c r="I1097" s="11">
        <v>0</v>
      </c>
      <c r="J1097" s="15">
        <f t="shared" si="36"/>
        <v>8</v>
      </c>
    </row>
    <row r="1098" spans="1:12" x14ac:dyDescent="0.2">
      <c r="A1098" s="11" t="s">
        <v>157</v>
      </c>
      <c r="B1098" s="11" t="str">
        <f t="shared" si="35"/>
        <v>250033</v>
      </c>
      <c r="C1098" s="11" t="str">
        <f>_xlfn.CONCAT(+VLOOKUP(VALUE(MID(A1098,13,2)),'Tabla de codigos'!$A$2:$B$60,2,1)," ",VLOOKUP(VALUE(MID(A1098,15,4)),'Tabla de codigos'!$E$2:$F$102,2,1))</f>
        <v>OLLA RECTA 42</v>
      </c>
      <c r="D1098" s="11" t="s">
        <v>607</v>
      </c>
      <c r="E1098" s="11" t="s">
        <v>11</v>
      </c>
      <c r="F1098" s="11" t="s">
        <v>609</v>
      </c>
      <c r="G1098" s="11" t="s">
        <v>606</v>
      </c>
      <c r="H1098" s="11">
        <v>3</v>
      </c>
      <c r="I1098" s="11">
        <v>0</v>
      </c>
      <c r="J1098" s="15">
        <f t="shared" si="36"/>
        <v>3</v>
      </c>
    </row>
    <row r="1099" spans="1:12" x14ac:dyDescent="0.2">
      <c r="A1099" s="11" t="s">
        <v>180</v>
      </c>
      <c r="B1099" s="11" t="str">
        <f t="shared" si="35"/>
        <v>330014</v>
      </c>
      <c r="C1099" s="11" t="str">
        <f>_xlfn.CONCAT(+VLOOKUP(VALUE(MID(A1099,13,2)),'Tabla de codigos'!$A$2:$B$60,2,1)," ",VLOOKUP(VALUE(MID(A1099,15,4)),'Tabla de codigos'!$E$2:$F$102,2,1))</f>
        <v>POCILLO 12</v>
      </c>
      <c r="D1099" s="11" t="s">
        <v>607</v>
      </c>
      <c r="E1099" s="11" t="s">
        <v>11</v>
      </c>
      <c r="F1099" s="11" t="s">
        <v>609</v>
      </c>
      <c r="G1099" s="11" t="s">
        <v>606</v>
      </c>
      <c r="H1099" s="11">
        <v>120</v>
      </c>
      <c r="I1099" s="11">
        <v>0</v>
      </c>
      <c r="J1099" s="15">
        <f t="shared" si="36"/>
        <v>120</v>
      </c>
    </row>
    <row r="1100" spans="1:12" x14ac:dyDescent="0.2">
      <c r="A1100" s="11" t="s">
        <v>182</v>
      </c>
      <c r="B1100" s="11" t="str">
        <f t="shared" si="35"/>
        <v>330015</v>
      </c>
      <c r="C1100" s="11" t="str">
        <f>_xlfn.CONCAT(+VLOOKUP(VALUE(MID(A1100,13,2)),'Tabla de codigos'!$A$2:$B$60,2,1)," ",VLOOKUP(VALUE(MID(A1100,15,4)),'Tabla de codigos'!$E$2:$F$102,2,1))</f>
        <v>POCILLO 14</v>
      </c>
      <c r="D1100" s="11" t="s">
        <v>607</v>
      </c>
      <c r="E1100" s="11" t="s">
        <v>11</v>
      </c>
      <c r="F1100" s="11" t="s">
        <v>609</v>
      </c>
      <c r="G1100" s="11" t="s">
        <v>606</v>
      </c>
      <c r="H1100" s="11">
        <v>120</v>
      </c>
      <c r="I1100" s="11">
        <v>0</v>
      </c>
      <c r="J1100" s="15">
        <f t="shared" si="36"/>
        <v>120</v>
      </c>
    </row>
    <row r="1101" spans="1:12" x14ac:dyDescent="0.2">
      <c r="A1101" s="11" t="s">
        <v>44</v>
      </c>
      <c r="B1101" s="11" t="str">
        <f t="shared" si="35"/>
        <v>360025</v>
      </c>
      <c r="C1101" s="11" t="str">
        <f>_xlfn.CONCAT(+VLOOKUP(VALUE(MID(A1101,13,2)),'Tabla de codigos'!$A$2:$B$60,2,1)," ",VLOOKUP(VALUE(MID(A1101,15,4)),'Tabla de codigos'!$E$2:$F$102,2,1))</f>
        <v>SARTEN 24</v>
      </c>
      <c r="D1101" s="11" t="s">
        <v>607</v>
      </c>
      <c r="E1101" s="11" t="s">
        <v>11</v>
      </c>
      <c r="F1101" s="11" t="s">
        <v>609</v>
      </c>
      <c r="G1101" s="11" t="s">
        <v>606</v>
      </c>
      <c r="H1101" s="11">
        <v>36</v>
      </c>
      <c r="I1101" s="11">
        <v>0</v>
      </c>
      <c r="J1101" s="15">
        <f t="shared" si="36"/>
        <v>36</v>
      </c>
      <c r="K1101" s="17">
        <f>(SUM(I1091:I1101))/(SUM(H1091:H1101))</f>
        <v>6.6815144766147E-2</v>
      </c>
    </row>
    <row r="1102" spans="1:12" x14ac:dyDescent="0.2">
      <c r="A1102" s="11" t="s">
        <v>610</v>
      </c>
      <c r="B1102" s="11" t="str">
        <f t="shared" si="35"/>
        <v>330014</v>
      </c>
      <c r="C1102" s="11" t="str">
        <f>_xlfn.CONCAT(+VLOOKUP(VALUE(MID(A1102,13,2)),'Tabla de codigos'!$A$2:$B$60,2,1)," ",VLOOKUP(VALUE(MID(A1102,15,4)),'Tabla de codigos'!$E$2:$F$102,2,1))</f>
        <v>POCILLO 12</v>
      </c>
      <c r="D1102" s="11" t="s">
        <v>611</v>
      </c>
      <c r="E1102" s="11" t="s">
        <v>11</v>
      </c>
      <c r="F1102" s="11" t="s">
        <v>612</v>
      </c>
      <c r="G1102" s="11" t="s">
        <v>606</v>
      </c>
      <c r="H1102" s="11">
        <v>1800</v>
      </c>
      <c r="I1102" s="11">
        <f>121</f>
        <v>121</v>
      </c>
      <c r="J1102" s="15">
        <f t="shared" si="36"/>
        <v>1679</v>
      </c>
      <c r="L1102" s="18">
        <v>45847</v>
      </c>
    </row>
    <row r="1103" spans="1:12" x14ac:dyDescent="0.2">
      <c r="A1103" s="11" t="s">
        <v>613</v>
      </c>
      <c r="B1103" s="11" t="str">
        <f t="shared" si="35"/>
        <v>330015</v>
      </c>
      <c r="C1103" s="11" t="str">
        <f>_xlfn.CONCAT(+VLOOKUP(VALUE(MID(A1103,13,2)),'Tabla de codigos'!$A$2:$B$60,2,1)," ",VLOOKUP(VALUE(MID(A1103,15,4)),'Tabla de codigos'!$E$2:$F$102,2,1))</f>
        <v>POCILLO 14</v>
      </c>
      <c r="D1103" s="11" t="s">
        <v>611</v>
      </c>
      <c r="E1103" s="11" t="s">
        <v>11</v>
      </c>
      <c r="F1103" s="11" t="s">
        <v>612</v>
      </c>
      <c r="G1103" s="11" t="s">
        <v>606</v>
      </c>
      <c r="H1103" s="11">
        <v>1800</v>
      </c>
      <c r="I1103" s="11">
        <f>639</f>
        <v>639</v>
      </c>
      <c r="J1103" s="15">
        <f t="shared" si="36"/>
        <v>1161</v>
      </c>
      <c r="K1103" s="17">
        <f>(SUM(I1102:I1103))/(SUM(H1102:H1103))</f>
        <v>0.21111111111111111</v>
      </c>
      <c r="L1103" s="18">
        <v>45847</v>
      </c>
    </row>
    <row r="1104" spans="1:12" x14ac:dyDescent="0.2">
      <c r="A1104" s="11" t="s">
        <v>610</v>
      </c>
      <c r="B1104" s="11" t="str">
        <f t="shared" si="35"/>
        <v>330014</v>
      </c>
      <c r="C1104" s="11" t="str">
        <f>_xlfn.CONCAT(+VLOOKUP(VALUE(MID(A1104,13,2)),'Tabla de codigos'!$A$2:$B$60,2,1)," ",VLOOKUP(VALUE(MID(A1104,15,4)),'Tabla de codigos'!$E$2:$F$102,2,1))</f>
        <v>POCILLO 12</v>
      </c>
      <c r="D1104" s="11" t="s">
        <v>611</v>
      </c>
      <c r="E1104" s="11" t="s">
        <v>11</v>
      </c>
      <c r="F1104" s="11" t="s">
        <v>614</v>
      </c>
      <c r="G1104" s="11" t="s">
        <v>606</v>
      </c>
      <c r="H1104" s="11">
        <v>1596</v>
      </c>
      <c r="I1104" s="11">
        <v>0</v>
      </c>
      <c r="J1104" s="15">
        <f t="shared" si="36"/>
        <v>1596</v>
      </c>
      <c r="L1104" s="18">
        <v>45847</v>
      </c>
    </row>
    <row r="1105" spans="1:12" x14ac:dyDescent="0.2">
      <c r="A1105" s="11" t="s">
        <v>613</v>
      </c>
      <c r="B1105" s="11" t="str">
        <f t="shared" si="35"/>
        <v>330015</v>
      </c>
      <c r="C1105" s="11" t="str">
        <f>_xlfn.CONCAT(+VLOOKUP(VALUE(MID(A1105,13,2)),'Tabla de codigos'!$A$2:$B$60,2,1)," ",VLOOKUP(VALUE(MID(A1105,15,4)),'Tabla de codigos'!$E$2:$F$102,2,1))</f>
        <v>POCILLO 14</v>
      </c>
      <c r="D1105" s="11" t="s">
        <v>611</v>
      </c>
      <c r="E1105" s="11" t="s">
        <v>11</v>
      </c>
      <c r="F1105" s="11" t="s">
        <v>614</v>
      </c>
      <c r="G1105" s="11" t="s">
        <v>606</v>
      </c>
      <c r="H1105" s="11">
        <v>1602</v>
      </c>
      <c r="I1105" s="11">
        <v>0</v>
      </c>
      <c r="J1105" s="15">
        <f t="shared" si="36"/>
        <v>1602</v>
      </c>
      <c r="K1105" s="17">
        <f>(SUM(I1104:I1105))/(SUM(H1104:H1105))</f>
        <v>0</v>
      </c>
      <c r="L1105" s="18">
        <v>45847</v>
      </c>
    </row>
    <row r="1106" spans="1:12" x14ac:dyDescent="0.2">
      <c r="A1106" s="11" t="s">
        <v>610</v>
      </c>
      <c r="B1106" s="11" t="str">
        <f t="shared" si="35"/>
        <v>330014</v>
      </c>
      <c r="C1106" s="11" t="str">
        <f>_xlfn.CONCAT(+VLOOKUP(VALUE(MID(A1106,13,2)),'Tabla de codigos'!$A$2:$B$60,2,1)," ",VLOOKUP(VALUE(MID(A1106,15,4)),'Tabla de codigos'!$E$2:$F$102,2,1))</f>
        <v>POCILLO 12</v>
      </c>
      <c r="D1106" s="11" t="s">
        <v>611</v>
      </c>
      <c r="E1106" s="11" t="s">
        <v>11</v>
      </c>
      <c r="F1106" s="11" t="s">
        <v>615</v>
      </c>
      <c r="G1106" s="11" t="s">
        <v>606</v>
      </c>
      <c r="H1106" s="11">
        <v>996</v>
      </c>
      <c r="I1106" s="11">
        <v>0</v>
      </c>
      <c r="J1106" s="15">
        <f t="shared" si="36"/>
        <v>996</v>
      </c>
      <c r="L1106" s="18">
        <v>45874</v>
      </c>
    </row>
    <row r="1107" spans="1:12" x14ac:dyDescent="0.2">
      <c r="A1107" s="11" t="s">
        <v>613</v>
      </c>
      <c r="B1107" s="11" t="str">
        <f t="shared" si="35"/>
        <v>330015</v>
      </c>
      <c r="C1107" s="11" t="str">
        <f>_xlfn.CONCAT(+VLOOKUP(VALUE(MID(A1107,13,2)),'Tabla de codigos'!$A$2:$B$60,2,1)," ",VLOOKUP(VALUE(MID(A1107,15,4)),'Tabla de codigos'!$E$2:$F$102,2,1))</f>
        <v>POCILLO 14</v>
      </c>
      <c r="D1107" s="11" t="s">
        <v>611</v>
      </c>
      <c r="E1107" s="11" t="s">
        <v>11</v>
      </c>
      <c r="F1107" s="11" t="s">
        <v>615</v>
      </c>
      <c r="G1107" s="11" t="s">
        <v>606</v>
      </c>
      <c r="H1107" s="11">
        <v>1302</v>
      </c>
      <c r="I1107" s="11">
        <v>0</v>
      </c>
      <c r="J1107" s="15">
        <f t="shared" si="36"/>
        <v>1302</v>
      </c>
      <c r="K1107" s="17">
        <f>(SUM(I1106:I1107))/(SUM(H1106:H1107))</f>
        <v>0</v>
      </c>
      <c r="L1107" s="18">
        <v>45874</v>
      </c>
    </row>
    <row r="1108" spans="1:12" x14ac:dyDescent="0.2">
      <c r="A1108" s="11" t="s">
        <v>610</v>
      </c>
      <c r="B1108" s="11" t="str">
        <f t="shared" si="35"/>
        <v>330014</v>
      </c>
      <c r="C1108" s="11" t="str">
        <f>_xlfn.CONCAT(+VLOOKUP(VALUE(MID(A1108,13,2)),'Tabla de codigos'!$A$2:$B$60,2,1)," ",VLOOKUP(VALUE(MID(A1108,15,4)),'Tabla de codigos'!$E$2:$F$102,2,1))</f>
        <v>POCILLO 12</v>
      </c>
      <c r="D1108" s="11" t="s">
        <v>611</v>
      </c>
      <c r="E1108" s="11" t="s">
        <v>11</v>
      </c>
      <c r="F1108" s="11" t="s">
        <v>616</v>
      </c>
      <c r="G1108" s="11" t="s">
        <v>606</v>
      </c>
      <c r="H1108" s="11">
        <v>1116</v>
      </c>
      <c r="I1108" s="11">
        <v>0</v>
      </c>
      <c r="J1108" s="15">
        <f t="shared" si="36"/>
        <v>1116</v>
      </c>
      <c r="L1108" s="18">
        <v>45860</v>
      </c>
    </row>
    <row r="1109" spans="1:12" x14ac:dyDescent="0.2">
      <c r="A1109" s="11" t="s">
        <v>613</v>
      </c>
      <c r="B1109" s="11" t="str">
        <f t="shared" si="35"/>
        <v>330015</v>
      </c>
      <c r="C1109" s="11" t="str">
        <f>_xlfn.CONCAT(+VLOOKUP(VALUE(MID(A1109,13,2)),'Tabla de codigos'!$A$2:$B$60,2,1)," ",VLOOKUP(VALUE(MID(A1109,15,4)),'Tabla de codigos'!$E$2:$F$102,2,1))</f>
        <v>POCILLO 14</v>
      </c>
      <c r="D1109" s="11" t="s">
        <v>611</v>
      </c>
      <c r="E1109" s="11" t="s">
        <v>11</v>
      </c>
      <c r="F1109" s="11" t="s">
        <v>616</v>
      </c>
      <c r="G1109" s="11" t="s">
        <v>606</v>
      </c>
      <c r="H1109" s="11">
        <v>1110</v>
      </c>
      <c r="I1109" s="11">
        <v>0</v>
      </c>
      <c r="J1109" s="15">
        <f t="shared" si="36"/>
        <v>1110</v>
      </c>
      <c r="K1109" s="17">
        <f>(SUM(I1108:I1109))/(SUM(H1108:H1109))</f>
        <v>0</v>
      </c>
      <c r="L1109" s="18">
        <v>45860</v>
      </c>
    </row>
    <row r="1110" spans="1:12" x14ac:dyDescent="0.2">
      <c r="A1110" s="11" t="s">
        <v>610</v>
      </c>
      <c r="B1110" s="11" t="str">
        <f t="shared" si="35"/>
        <v>330014</v>
      </c>
      <c r="C1110" s="11" t="str">
        <f>_xlfn.CONCAT(+VLOOKUP(VALUE(MID(A1110,13,2)),'Tabla de codigos'!$A$2:$B$60,2,1)," ",VLOOKUP(VALUE(MID(A1110,15,4)),'Tabla de codigos'!$E$2:$F$102,2,1))</f>
        <v>POCILLO 12</v>
      </c>
      <c r="D1110" s="11" t="s">
        <v>611</v>
      </c>
      <c r="E1110" s="11" t="s">
        <v>11</v>
      </c>
      <c r="F1110" s="11" t="s">
        <v>617</v>
      </c>
      <c r="G1110" s="11" t="s">
        <v>606</v>
      </c>
      <c r="H1110" s="11">
        <v>600</v>
      </c>
      <c r="I1110" s="11">
        <v>0</v>
      </c>
      <c r="J1110" s="15">
        <f t="shared" si="36"/>
        <v>600</v>
      </c>
      <c r="L1110" s="18">
        <v>45881</v>
      </c>
    </row>
    <row r="1111" spans="1:12" x14ac:dyDescent="0.2">
      <c r="A1111" s="11" t="s">
        <v>613</v>
      </c>
      <c r="B1111" s="11" t="str">
        <f t="shared" si="35"/>
        <v>330015</v>
      </c>
      <c r="C1111" s="11" t="str">
        <f>_xlfn.CONCAT(+VLOOKUP(VALUE(MID(A1111,13,2)),'Tabla de codigos'!$A$2:$B$60,2,1)," ",VLOOKUP(VALUE(MID(A1111,15,4)),'Tabla de codigos'!$E$2:$F$102,2,1))</f>
        <v>POCILLO 14</v>
      </c>
      <c r="D1111" s="11" t="s">
        <v>611</v>
      </c>
      <c r="E1111" s="11" t="s">
        <v>11</v>
      </c>
      <c r="F1111" s="11" t="s">
        <v>617</v>
      </c>
      <c r="G1111" s="11" t="s">
        <v>606</v>
      </c>
      <c r="H1111" s="11">
        <v>600</v>
      </c>
      <c r="I1111" s="11">
        <v>0</v>
      </c>
      <c r="J1111" s="15">
        <f t="shared" si="36"/>
        <v>600</v>
      </c>
      <c r="K1111" s="17">
        <f>(SUM(I1110:I1111))/(SUM(H1110:H1111))</f>
        <v>0</v>
      </c>
      <c r="L1111" s="18">
        <v>45881</v>
      </c>
    </row>
    <row r="1112" spans="1:12" x14ac:dyDescent="0.2">
      <c r="A1112" s="11" t="s">
        <v>610</v>
      </c>
      <c r="B1112" s="11" t="str">
        <f t="shared" si="35"/>
        <v>330014</v>
      </c>
      <c r="C1112" s="11" t="str">
        <f>_xlfn.CONCAT(+VLOOKUP(VALUE(MID(A1112,13,2)),'Tabla de codigos'!$A$2:$B$60,2,1)," ",VLOOKUP(VALUE(MID(A1112,15,4)),'Tabla de codigos'!$E$2:$F$102,2,1))</f>
        <v>POCILLO 12</v>
      </c>
      <c r="D1112" s="11" t="s">
        <v>611</v>
      </c>
      <c r="E1112" s="11" t="s">
        <v>11</v>
      </c>
      <c r="F1112" s="11" t="s">
        <v>618</v>
      </c>
      <c r="G1112" s="11" t="s">
        <v>606</v>
      </c>
      <c r="H1112" s="11">
        <v>696</v>
      </c>
      <c r="I1112" s="11">
        <v>0</v>
      </c>
      <c r="J1112" s="15">
        <f t="shared" si="36"/>
        <v>696</v>
      </c>
      <c r="L1112" s="18">
        <v>45874</v>
      </c>
    </row>
    <row r="1113" spans="1:12" x14ac:dyDescent="0.2">
      <c r="A1113" s="11" t="s">
        <v>613</v>
      </c>
      <c r="B1113" s="11" t="str">
        <f t="shared" si="35"/>
        <v>330015</v>
      </c>
      <c r="C1113" s="11" t="str">
        <f>_xlfn.CONCAT(+VLOOKUP(VALUE(MID(A1113,13,2)),'Tabla de codigos'!$A$2:$B$60,2,1)," ",VLOOKUP(VALUE(MID(A1113,15,4)),'Tabla de codigos'!$E$2:$F$102,2,1))</f>
        <v>POCILLO 14</v>
      </c>
      <c r="D1113" s="11" t="s">
        <v>611</v>
      </c>
      <c r="E1113" s="11" t="s">
        <v>11</v>
      </c>
      <c r="F1113" s="11" t="s">
        <v>618</v>
      </c>
      <c r="G1113" s="11" t="s">
        <v>606</v>
      </c>
      <c r="H1113" s="11">
        <v>702</v>
      </c>
      <c r="I1113" s="11">
        <v>0</v>
      </c>
      <c r="J1113" s="15">
        <f t="shared" si="36"/>
        <v>702</v>
      </c>
      <c r="K1113" s="17">
        <f>(SUM(I1112:I1113))/(SUM(H1112:H1113))</f>
        <v>0</v>
      </c>
      <c r="L1113" s="18">
        <v>45874</v>
      </c>
    </row>
    <row r="1114" spans="1:12" x14ac:dyDescent="0.2">
      <c r="A1114" s="11" t="s">
        <v>610</v>
      </c>
      <c r="B1114" s="11" t="str">
        <f t="shared" si="35"/>
        <v>330014</v>
      </c>
      <c r="C1114" s="11" t="str">
        <f>_xlfn.CONCAT(+VLOOKUP(VALUE(MID(A1114,13,2)),'Tabla de codigos'!$A$2:$B$60,2,1)," ",VLOOKUP(VALUE(MID(A1114,15,4)),'Tabla de codigos'!$E$2:$F$102,2,1))</f>
        <v>POCILLO 12</v>
      </c>
      <c r="D1114" s="11" t="s">
        <v>611</v>
      </c>
      <c r="E1114" s="11" t="s">
        <v>11</v>
      </c>
      <c r="F1114" s="11" t="s">
        <v>619</v>
      </c>
      <c r="G1114" s="11" t="s">
        <v>606</v>
      </c>
      <c r="H1114" s="11">
        <v>1068</v>
      </c>
      <c r="I1114" s="11">
        <v>0</v>
      </c>
      <c r="J1114" s="15">
        <f t="shared" si="36"/>
        <v>1068</v>
      </c>
      <c r="L1114" s="18">
        <v>45881</v>
      </c>
    </row>
    <row r="1115" spans="1:12" x14ac:dyDescent="0.2">
      <c r="A1115" s="11" t="s">
        <v>613</v>
      </c>
      <c r="B1115" s="11" t="str">
        <f t="shared" si="35"/>
        <v>330015</v>
      </c>
      <c r="C1115" s="11" t="str">
        <f>_xlfn.CONCAT(+VLOOKUP(VALUE(MID(A1115,13,2)),'Tabla de codigos'!$A$2:$B$60,2,1)," ",VLOOKUP(VALUE(MID(A1115,15,4)),'Tabla de codigos'!$E$2:$F$102,2,1))</f>
        <v>POCILLO 14</v>
      </c>
      <c r="D1115" s="11" t="s">
        <v>611</v>
      </c>
      <c r="E1115" s="11" t="s">
        <v>11</v>
      </c>
      <c r="F1115" s="11" t="s">
        <v>619</v>
      </c>
      <c r="G1115" s="11" t="s">
        <v>606</v>
      </c>
      <c r="H1115" s="11">
        <v>1068</v>
      </c>
      <c r="I1115" s="11">
        <v>0</v>
      </c>
      <c r="J1115" s="15">
        <f t="shared" si="36"/>
        <v>1068</v>
      </c>
      <c r="K1115" s="17">
        <f>(SUM(I1114:I1115))/(SUM(H1114:H1115))</f>
        <v>0</v>
      </c>
      <c r="L1115" s="18">
        <v>45881</v>
      </c>
    </row>
    <row r="1116" spans="1:12" x14ac:dyDescent="0.2">
      <c r="A1116" s="11" t="s">
        <v>610</v>
      </c>
      <c r="B1116" s="11" t="str">
        <f t="shared" si="35"/>
        <v>330014</v>
      </c>
      <c r="C1116" s="11" t="str">
        <f>_xlfn.CONCAT(+VLOOKUP(VALUE(MID(A1116,13,2)),'Tabla de codigos'!$A$2:$B$60,2,1)," ",VLOOKUP(VALUE(MID(A1116,15,4)),'Tabla de codigos'!$E$2:$F$102,2,1))</f>
        <v>POCILLO 12</v>
      </c>
      <c r="D1116" s="11" t="s">
        <v>611</v>
      </c>
      <c r="E1116" s="11" t="s">
        <v>11</v>
      </c>
      <c r="F1116" s="11" t="s">
        <v>620</v>
      </c>
      <c r="G1116" s="11" t="s">
        <v>606</v>
      </c>
      <c r="H1116" s="11">
        <v>504</v>
      </c>
      <c r="I1116" s="11">
        <v>0</v>
      </c>
      <c r="J1116" s="15">
        <f t="shared" si="36"/>
        <v>504</v>
      </c>
      <c r="L1116" s="18">
        <v>45902</v>
      </c>
    </row>
    <row r="1117" spans="1:12" x14ac:dyDescent="0.2">
      <c r="A1117" s="11" t="s">
        <v>613</v>
      </c>
      <c r="B1117" s="11" t="str">
        <f t="shared" si="35"/>
        <v>330015</v>
      </c>
      <c r="C1117" s="11" t="str">
        <f>_xlfn.CONCAT(+VLOOKUP(VALUE(MID(A1117,13,2)),'Tabla de codigos'!$A$2:$B$60,2,1)," ",VLOOKUP(VALUE(MID(A1117,15,4)),'Tabla de codigos'!$E$2:$F$102,2,1))</f>
        <v>POCILLO 14</v>
      </c>
      <c r="D1117" s="11" t="s">
        <v>611</v>
      </c>
      <c r="E1117" s="11" t="s">
        <v>11</v>
      </c>
      <c r="F1117" s="11" t="s">
        <v>620</v>
      </c>
      <c r="G1117" s="11" t="s">
        <v>606</v>
      </c>
      <c r="H1117" s="11">
        <v>498</v>
      </c>
      <c r="I1117" s="11">
        <v>0</v>
      </c>
      <c r="J1117" s="15">
        <f t="shared" si="36"/>
        <v>498</v>
      </c>
      <c r="K1117" s="17">
        <f>(SUM(I1116:I1117))/(SUM(H1116:H1117))</f>
        <v>0</v>
      </c>
      <c r="L1117" s="18">
        <v>45902</v>
      </c>
    </row>
    <row r="1118" spans="1:12" x14ac:dyDescent="0.2">
      <c r="A1118" s="11" t="s">
        <v>610</v>
      </c>
      <c r="B1118" s="11" t="str">
        <f t="shared" si="35"/>
        <v>330014</v>
      </c>
      <c r="C1118" s="11" t="str">
        <f>_xlfn.CONCAT(+VLOOKUP(VALUE(MID(A1118,13,2)),'Tabla de codigos'!$A$2:$B$60,2,1)," ",VLOOKUP(VALUE(MID(A1118,15,4)),'Tabla de codigos'!$E$2:$F$102,2,1))</f>
        <v>POCILLO 12</v>
      </c>
      <c r="D1118" s="11" t="s">
        <v>611</v>
      </c>
      <c r="E1118" s="11" t="s">
        <v>11</v>
      </c>
      <c r="F1118" s="11" t="s">
        <v>621</v>
      </c>
      <c r="G1118" s="11" t="s">
        <v>606</v>
      </c>
      <c r="H1118" s="11">
        <v>600</v>
      </c>
      <c r="I1118" s="11">
        <v>0</v>
      </c>
      <c r="J1118" s="15">
        <f t="shared" si="36"/>
        <v>600</v>
      </c>
      <c r="L1118" s="18">
        <v>45874</v>
      </c>
    </row>
    <row r="1119" spans="1:12" x14ac:dyDescent="0.2">
      <c r="A1119" s="11" t="s">
        <v>613</v>
      </c>
      <c r="B1119" s="11" t="str">
        <f t="shared" si="35"/>
        <v>330015</v>
      </c>
      <c r="C1119" s="11" t="str">
        <f>_xlfn.CONCAT(+VLOOKUP(VALUE(MID(A1119,13,2)),'Tabla de codigos'!$A$2:$B$60,2,1)," ",VLOOKUP(VALUE(MID(A1119,15,4)),'Tabla de codigos'!$E$2:$F$102,2,1))</f>
        <v>POCILLO 14</v>
      </c>
      <c r="D1119" s="11" t="s">
        <v>611</v>
      </c>
      <c r="E1119" s="11" t="s">
        <v>11</v>
      </c>
      <c r="F1119" s="11" t="s">
        <v>621</v>
      </c>
      <c r="G1119" s="11" t="s">
        <v>606</v>
      </c>
      <c r="H1119" s="11">
        <v>600</v>
      </c>
      <c r="I1119" s="11">
        <v>0</v>
      </c>
      <c r="J1119" s="15">
        <f t="shared" si="36"/>
        <v>600</v>
      </c>
      <c r="K1119" s="17">
        <f>(SUM(I1118:I1119))/(SUM(H1118:H1119))</f>
        <v>0</v>
      </c>
      <c r="L1119" s="18">
        <v>45874</v>
      </c>
    </row>
    <row r="1120" spans="1:12" x14ac:dyDescent="0.2">
      <c r="A1120" s="11" t="s">
        <v>610</v>
      </c>
      <c r="B1120" s="11" t="str">
        <f t="shared" si="35"/>
        <v>330014</v>
      </c>
      <c r="C1120" s="11" t="str">
        <f>_xlfn.CONCAT(+VLOOKUP(VALUE(MID(A1120,13,2)),'Tabla de codigos'!$A$2:$B$60,2,1)," ",VLOOKUP(VALUE(MID(A1120,15,4)),'Tabla de codigos'!$E$2:$F$102,2,1))</f>
        <v>POCILLO 12</v>
      </c>
      <c r="D1120" s="11" t="s">
        <v>611</v>
      </c>
      <c r="E1120" s="11" t="s">
        <v>11</v>
      </c>
      <c r="F1120" s="11" t="s">
        <v>622</v>
      </c>
      <c r="G1120" s="11" t="s">
        <v>606</v>
      </c>
      <c r="H1120" s="11">
        <v>936</v>
      </c>
      <c r="I1120" s="11">
        <v>0</v>
      </c>
      <c r="J1120" s="15">
        <f t="shared" si="36"/>
        <v>936</v>
      </c>
      <c r="L1120" s="18">
        <v>45902</v>
      </c>
    </row>
    <row r="1121" spans="1:12" x14ac:dyDescent="0.2">
      <c r="A1121" s="11" t="s">
        <v>613</v>
      </c>
      <c r="B1121" s="11" t="str">
        <f t="shared" si="35"/>
        <v>330015</v>
      </c>
      <c r="C1121" s="11" t="str">
        <f>_xlfn.CONCAT(+VLOOKUP(VALUE(MID(A1121,13,2)),'Tabla de codigos'!$A$2:$B$60,2,1)," ",VLOOKUP(VALUE(MID(A1121,15,4)),'Tabla de codigos'!$E$2:$F$102,2,1))</f>
        <v>POCILLO 14</v>
      </c>
      <c r="D1121" s="11" t="s">
        <v>611</v>
      </c>
      <c r="E1121" s="11" t="s">
        <v>11</v>
      </c>
      <c r="F1121" s="11" t="s">
        <v>622</v>
      </c>
      <c r="G1121" s="11" t="s">
        <v>606</v>
      </c>
      <c r="H1121" s="11">
        <v>1044</v>
      </c>
      <c r="I1121" s="11">
        <v>0</v>
      </c>
      <c r="J1121" s="15">
        <f t="shared" si="36"/>
        <v>1044</v>
      </c>
      <c r="K1121" s="17">
        <f>(SUM(I1120:I1121))/(SUM(H1120:H1121))</f>
        <v>0</v>
      </c>
      <c r="L1121" s="18">
        <v>45902</v>
      </c>
    </row>
    <row r="1122" spans="1:12" x14ac:dyDescent="0.2">
      <c r="A1122" s="11" t="s">
        <v>610</v>
      </c>
      <c r="B1122" s="11" t="str">
        <f t="shared" si="35"/>
        <v>330014</v>
      </c>
      <c r="C1122" s="11" t="str">
        <f>_xlfn.CONCAT(+VLOOKUP(VALUE(MID(A1122,13,2)),'Tabla de codigos'!$A$2:$B$60,2,1)," ",VLOOKUP(VALUE(MID(A1122,15,4)),'Tabla de codigos'!$E$2:$F$102,2,1))</f>
        <v>POCILLO 12</v>
      </c>
      <c r="D1122" s="11" t="s">
        <v>611</v>
      </c>
      <c r="E1122" s="11" t="s">
        <v>11</v>
      </c>
      <c r="F1122" s="11" t="s">
        <v>623</v>
      </c>
      <c r="G1122" s="11" t="s">
        <v>606</v>
      </c>
      <c r="H1122" s="11">
        <v>804</v>
      </c>
      <c r="I1122" s="11">
        <v>0</v>
      </c>
      <c r="J1122" s="15">
        <f t="shared" si="36"/>
        <v>804</v>
      </c>
      <c r="L1122" s="18">
        <v>45892</v>
      </c>
    </row>
    <row r="1123" spans="1:12" x14ac:dyDescent="0.2">
      <c r="A1123" s="11" t="s">
        <v>613</v>
      </c>
      <c r="B1123" s="11" t="str">
        <f t="shared" si="35"/>
        <v>330015</v>
      </c>
      <c r="C1123" s="11" t="str">
        <f>_xlfn.CONCAT(+VLOOKUP(VALUE(MID(A1123,13,2)),'Tabla de codigos'!$A$2:$B$60,2,1)," ",VLOOKUP(VALUE(MID(A1123,15,4)),'Tabla de codigos'!$E$2:$F$102,2,1))</f>
        <v>POCILLO 14</v>
      </c>
      <c r="D1123" s="11" t="s">
        <v>611</v>
      </c>
      <c r="E1123" s="11" t="s">
        <v>11</v>
      </c>
      <c r="F1123" s="11" t="s">
        <v>623</v>
      </c>
      <c r="G1123" s="11" t="s">
        <v>606</v>
      </c>
      <c r="H1123" s="11">
        <v>798</v>
      </c>
      <c r="I1123" s="11">
        <v>0</v>
      </c>
      <c r="J1123" s="15">
        <f t="shared" si="36"/>
        <v>798</v>
      </c>
      <c r="K1123" s="17">
        <f>(SUM(I1122:I1123))/(SUM(H1122:H1123))</f>
        <v>0</v>
      </c>
      <c r="L1123" s="18">
        <v>45892</v>
      </c>
    </row>
    <row r="1124" spans="1:12" x14ac:dyDescent="0.2">
      <c r="A1124" s="11" t="s">
        <v>279</v>
      </c>
      <c r="B1124" s="11" t="str">
        <f t="shared" si="35"/>
        <v>060014</v>
      </c>
      <c r="C1124" s="11" t="str">
        <f>_xlfn.CONCAT(+VLOOKUP(VALUE(MID(A1124,13,2)),'Tabla de codigos'!$A$2:$B$60,2,1)," ",VLOOKUP(VALUE(MID(A1124,15,4)),'Tabla de codigos'!$E$2:$F$102,2,1))</f>
        <v>BUDINERA   12</v>
      </c>
      <c r="D1124" s="11" t="s">
        <v>365</v>
      </c>
      <c r="E1124" s="11" t="s">
        <v>34</v>
      </c>
      <c r="F1124" s="13" t="s">
        <v>624</v>
      </c>
      <c r="G1124" s="14">
        <v>45835</v>
      </c>
      <c r="H1124" s="11">
        <v>72</v>
      </c>
      <c r="I1124" s="15">
        <v>72</v>
      </c>
      <c r="J1124" s="16">
        <f t="shared" si="36"/>
        <v>0</v>
      </c>
    </row>
    <row r="1125" spans="1:12" x14ac:dyDescent="0.2">
      <c r="A1125" s="11" t="s">
        <v>280</v>
      </c>
      <c r="B1125" s="11" t="str">
        <f t="shared" si="35"/>
        <v>220001</v>
      </c>
      <c r="C1125" s="11" t="str">
        <f>_xlfn.CONCAT(+VLOOKUP(VALUE(MID(A1125,13,2)),'Tabla de codigos'!$A$2:$B$60,2,1)," ",VLOOKUP(VALUE(MID(A1125,15,4)),'Tabla de codigos'!$E$2:$F$102,2,1))</f>
        <v>MULTIUSOS S/I</v>
      </c>
      <c r="D1125" s="11" t="s">
        <v>365</v>
      </c>
      <c r="E1125" s="11" t="s">
        <v>34</v>
      </c>
      <c r="F1125" s="13" t="s">
        <v>624</v>
      </c>
      <c r="G1125" s="14">
        <v>45835</v>
      </c>
      <c r="H1125" s="11">
        <v>36</v>
      </c>
      <c r="I1125" s="15">
        <v>36</v>
      </c>
      <c r="J1125" s="16">
        <f t="shared" si="36"/>
        <v>0</v>
      </c>
    </row>
    <row r="1126" spans="1:12" x14ac:dyDescent="0.2">
      <c r="A1126" s="11" t="s">
        <v>281</v>
      </c>
      <c r="B1126" s="11" t="str">
        <f t="shared" si="35"/>
        <v>220001</v>
      </c>
      <c r="C1126" s="11" t="str">
        <f>_xlfn.CONCAT(+VLOOKUP(VALUE(MID(A1126,13,2)),'Tabla de codigos'!$A$2:$B$60,2,1)," ",VLOOKUP(VALUE(MID(A1126,15,4)),'Tabla de codigos'!$E$2:$F$102,2,1))</f>
        <v>MULTIUSOS S/I</v>
      </c>
      <c r="D1126" s="11" t="s">
        <v>365</v>
      </c>
      <c r="E1126" s="11" t="s">
        <v>34</v>
      </c>
      <c r="F1126" s="13" t="s">
        <v>624</v>
      </c>
      <c r="G1126" s="14">
        <v>45835</v>
      </c>
      <c r="H1126" s="11">
        <v>36</v>
      </c>
      <c r="I1126" s="15">
        <f>1+35</f>
        <v>36</v>
      </c>
      <c r="J1126" s="16">
        <f t="shared" si="36"/>
        <v>0</v>
      </c>
    </row>
    <row r="1127" spans="1:12" x14ac:dyDescent="0.2">
      <c r="A1127" s="11" t="s">
        <v>282</v>
      </c>
      <c r="B1127" s="11" t="str">
        <f t="shared" si="35"/>
        <v>220001</v>
      </c>
      <c r="C1127" s="11" t="str">
        <f>_xlfn.CONCAT(+VLOOKUP(VALUE(MID(A1127,13,2)),'Tabla de codigos'!$A$2:$B$60,2,1)," ",VLOOKUP(VALUE(MID(A1127,15,4)),'Tabla de codigos'!$E$2:$F$102,2,1))</f>
        <v>MULTIUSOS S/I</v>
      </c>
      <c r="D1127" s="11" t="s">
        <v>365</v>
      </c>
      <c r="E1127" s="11" t="s">
        <v>34</v>
      </c>
      <c r="F1127" s="13" t="s">
        <v>624</v>
      </c>
      <c r="G1127" s="14">
        <v>45835</v>
      </c>
      <c r="H1127" s="11">
        <v>36</v>
      </c>
      <c r="I1127" s="15">
        <v>36</v>
      </c>
      <c r="J1127" s="16">
        <f t="shared" si="36"/>
        <v>0</v>
      </c>
    </row>
    <row r="1128" spans="1:12" x14ac:dyDescent="0.2">
      <c r="A1128" s="11" t="s">
        <v>283</v>
      </c>
      <c r="B1128" s="11" t="str">
        <f t="shared" si="35"/>
        <v>260022</v>
      </c>
      <c r="C1128" s="11" t="str">
        <f>_xlfn.CONCAT(+VLOOKUP(VALUE(MID(A1128,13,2)),'Tabla de codigos'!$A$2:$B$60,2,1)," ",VLOOKUP(VALUE(MID(A1128,15,4)),'Tabla de codigos'!$E$2:$F$102,2,1))</f>
        <v>PLATO AVENERO 20</v>
      </c>
      <c r="D1128" s="11" t="s">
        <v>365</v>
      </c>
      <c r="E1128" s="11" t="s">
        <v>34</v>
      </c>
      <c r="F1128" s="13" t="s">
        <v>624</v>
      </c>
      <c r="G1128" s="14">
        <v>45835</v>
      </c>
      <c r="H1128" s="11">
        <v>24</v>
      </c>
      <c r="I1128" s="15">
        <v>24</v>
      </c>
      <c r="J1128" s="16">
        <f t="shared" si="36"/>
        <v>0</v>
      </c>
    </row>
    <row r="1129" spans="1:12" x14ac:dyDescent="0.2">
      <c r="A1129" s="11" t="s">
        <v>625</v>
      </c>
      <c r="B1129" s="11" t="str">
        <f t="shared" si="35"/>
        <v>300022</v>
      </c>
      <c r="C1129" s="11" t="str">
        <f>_xlfn.CONCAT(+VLOOKUP(VALUE(MID(A1129,13,2)),'Tabla de codigos'!$A$2:$B$60,2,1)," ",VLOOKUP(VALUE(MID(A1129,15,4)),'Tabla de codigos'!$E$2:$F$102,2,1))</f>
        <v>PLATO LISO 20</v>
      </c>
      <c r="D1129" s="11" t="s">
        <v>365</v>
      </c>
      <c r="E1129" s="11" t="s">
        <v>34</v>
      </c>
      <c r="F1129" s="13" t="s">
        <v>624</v>
      </c>
      <c r="G1129" s="14">
        <v>45835</v>
      </c>
      <c r="H1129" s="11">
        <v>24</v>
      </c>
      <c r="I1129" s="15">
        <v>24</v>
      </c>
      <c r="J1129" s="16">
        <f t="shared" si="36"/>
        <v>0</v>
      </c>
    </row>
    <row r="1130" spans="1:12" x14ac:dyDescent="0.2">
      <c r="A1130" s="11" t="s">
        <v>288</v>
      </c>
      <c r="B1130" s="11" t="str">
        <f t="shared" si="35"/>
        <v>300022</v>
      </c>
      <c r="C1130" s="11" t="str">
        <f>_xlfn.CONCAT(+VLOOKUP(VALUE(MID(A1130,13,2)),'Tabla de codigos'!$A$2:$B$60,2,1)," ",VLOOKUP(VALUE(MID(A1130,15,4)),'Tabla de codigos'!$E$2:$F$102,2,1))</f>
        <v>PLATO LISO 20</v>
      </c>
      <c r="D1130" s="11" t="s">
        <v>365</v>
      </c>
      <c r="E1130" s="11" t="s">
        <v>34</v>
      </c>
      <c r="F1130" s="13" t="s">
        <v>624</v>
      </c>
      <c r="G1130" s="14">
        <v>45835</v>
      </c>
      <c r="H1130" s="11">
        <v>24</v>
      </c>
      <c r="I1130" s="15">
        <f>3+21</f>
        <v>24</v>
      </c>
      <c r="J1130" s="16">
        <f t="shared" si="36"/>
        <v>0</v>
      </c>
    </row>
    <row r="1131" spans="1:12" x14ac:dyDescent="0.2">
      <c r="A1131" s="11" t="s">
        <v>70</v>
      </c>
      <c r="B1131" s="11" t="str">
        <f t="shared" si="35"/>
        <v>300025</v>
      </c>
      <c r="C1131" s="11" t="str">
        <f>_xlfn.CONCAT(+VLOOKUP(VALUE(MID(A1131,13,2)),'Tabla de codigos'!$A$2:$B$60,2,1)," ",VLOOKUP(VALUE(MID(A1131,15,4)),'Tabla de codigos'!$E$2:$F$102,2,1))</f>
        <v>PLATO LISO 24</v>
      </c>
      <c r="D1131" s="11" t="s">
        <v>365</v>
      </c>
      <c r="E1131" s="11" t="s">
        <v>34</v>
      </c>
      <c r="F1131" s="13" t="s">
        <v>624</v>
      </c>
      <c r="G1131" s="14">
        <v>45835</v>
      </c>
      <c r="H1131" s="11">
        <v>24</v>
      </c>
      <c r="I1131" s="15">
        <f>16+4</f>
        <v>20</v>
      </c>
      <c r="J1131" s="16">
        <f t="shared" si="36"/>
        <v>4</v>
      </c>
    </row>
    <row r="1132" spans="1:12" x14ac:dyDescent="0.2">
      <c r="A1132" s="11" t="s">
        <v>296</v>
      </c>
      <c r="B1132" s="11" t="str">
        <f t="shared" si="35"/>
        <v>300030</v>
      </c>
      <c r="C1132" s="11" t="str">
        <f>_xlfn.CONCAT(+VLOOKUP(VALUE(MID(A1132,13,2)),'Tabla de codigos'!$A$2:$B$60,2,1)," ",VLOOKUP(VALUE(MID(A1132,15,4)),'Tabla de codigos'!$E$2:$F$102,2,1))</f>
        <v>PLATO LISO 32</v>
      </c>
      <c r="D1132" s="11" t="s">
        <v>365</v>
      </c>
      <c r="E1132" s="11" t="s">
        <v>34</v>
      </c>
      <c r="F1132" s="13" t="s">
        <v>624</v>
      </c>
      <c r="G1132" s="14">
        <v>45835</v>
      </c>
      <c r="H1132" s="11">
        <v>18</v>
      </c>
      <c r="I1132" s="15">
        <f>11+7</f>
        <v>18</v>
      </c>
      <c r="J1132" s="16">
        <f t="shared" si="36"/>
        <v>0</v>
      </c>
    </row>
    <row r="1133" spans="1:12" x14ac:dyDescent="0.2">
      <c r="A1133" s="11" t="s">
        <v>626</v>
      </c>
      <c r="B1133" s="11" t="str">
        <f t="shared" si="35"/>
        <v>320017</v>
      </c>
      <c r="C1133" s="11" t="str">
        <f>_xlfn.CONCAT(+VLOOKUP(VALUE(MID(A1133,13,2)),'Tabla de codigos'!$A$2:$B$60,2,1)," ",VLOOKUP(VALUE(MID(A1133,15,4)),'Tabla de codigos'!$E$2:$F$102,2,1))</f>
        <v>PLATO TROQUELADO 16</v>
      </c>
      <c r="D1133" s="11" t="s">
        <v>365</v>
      </c>
      <c r="E1133" s="11" t="s">
        <v>34</v>
      </c>
      <c r="F1133" s="13" t="s">
        <v>624</v>
      </c>
      <c r="G1133" s="14">
        <v>45835</v>
      </c>
      <c r="H1133" s="11">
        <v>24</v>
      </c>
      <c r="I1133" s="15">
        <v>24</v>
      </c>
      <c r="J1133" s="16">
        <f t="shared" si="36"/>
        <v>0</v>
      </c>
    </row>
    <row r="1134" spans="1:12" x14ac:dyDescent="0.2">
      <c r="A1134" s="11" t="s">
        <v>627</v>
      </c>
      <c r="B1134" s="11" t="str">
        <f t="shared" si="35"/>
        <v>320030</v>
      </c>
      <c r="C1134" s="11" t="str">
        <f>_xlfn.CONCAT(+VLOOKUP(VALUE(MID(A1134,13,2)),'Tabla de codigos'!$A$2:$B$60,2,1)," ",VLOOKUP(VALUE(MID(A1134,15,4)),'Tabla de codigos'!$E$2:$F$102,2,1))</f>
        <v>PLATO TROQUELADO 32</v>
      </c>
      <c r="D1134" s="11" t="s">
        <v>365</v>
      </c>
      <c r="E1134" s="11" t="s">
        <v>34</v>
      </c>
      <c r="F1134" s="13" t="s">
        <v>624</v>
      </c>
      <c r="G1134" s="14">
        <v>45835</v>
      </c>
      <c r="H1134" s="11">
        <v>24</v>
      </c>
      <c r="I1134" s="15">
        <f>1</f>
        <v>1</v>
      </c>
      <c r="J1134" s="16">
        <f t="shared" si="36"/>
        <v>23</v>
      </c>
    </row>
    <row r="1135" spans="1:12" x14ac:dyDescent="0.2">
      <c r="A1135" s="11" t="s">
        <v>326</v>
      </c>
      <c r="B1135" s="11" t="str">
        <f t="shared" si="35"/>
        <v>320030</v>
      </c>
      <c r="C1135" s="11" t="str">
        <f>_xlfn.CONCAT(+VLOOKUP(VALUE(MID(A1135,13,2)),'Tabla de codigos'!$A$2:$B$60,2,1)," ",VLOOKUP(VALUE(MID(A1135,15,4)),'Tabla de codigos'!$E$2:$F$102,2,1))</f>
        <v>PLATO TROQUELADO 32</v>
      </c>
      <c r="D1135" s="11" t="s">
        <v>365</v>
      </c>
      <c r="E1135" s="11" t="s">
        <v>34</v>
      </c>
      <c r="F1135" s="13" t="s">
        <v>624</v>
      </c>
      <c r="G1135" s="14">
        <v>45835</v>
      </c>
      <c r="H1135" s="11">
        <v>12</v>
      </c>
      <c r="I1135" s="15">
        <v>6</v>
      </c>
      <c r="J1135" s="16">
        <f t="shared" si="36"/>
        <v>6</v>
      </c>
    </row>
    <row r="1136" spans="1:12" x14ac:dyDescent="0.2">
      <c r="A1136" s="11" t="s">
        <v>55</v>
      </c>
      <c r="B1136" s="11" t="str">
        <f t="shared" si="35"/>
        <v>330009</v>
      </c>
      <c r="C1136" s="11" t="str">
        <f>_xlfn.CONCAT(+VLOOKUP(VALUE(MID(A1136,13,2)),'Tabla de codigos'!$A$2:$B$60,2,1)," ",VLOOKUP(VALUE(MID(A1136,15,4)),'Tabla de codigos'!$E$2:$F$102,2,1))</f>
        <v>POCILLO 5</v>
      </c>
      <c r="D1136" s="11" t="s">
        <v>365</v>
      </c>
      <c r="E1136" s="11" t="s">
        <v>34</v>
      </c>
      <c r="F1136" s="13" t="s">
        <v>624</v>
      </c>
      <c r="G1136" s="14">
        <v>45835</v>
      </c>
      <c r="H1136" s="11">
        <v>24</v>
      </c>
      <c r="I1136" s="15">
        <v>24</v>
      </c>
      <c r="J1136" s="16">
        <f t="shared" si="36"/>
        <v>0</v>
      </c>
    </row>
    <row r="1137" spans="1:11" x14ac:dyDescent="0.2">
      <c r="A1137" s="11" t="s">
        <v>303</v>
      </c>
      <c r="B1137" s="11" t="str">
        <f t="shared" si="35"/>
        <v>390012</v>
      </c>
      <c r="C1137" s="11" t="str">
        <f>_xlfn.CONCAT(+VLOOKUP(VALUE(MID(A1137,13,2)),'Tabla de codigos'!$A$2:$B$60,2,1)," ",VLOOKUP(VALUE(MID(A1137,15,4)),'Tabla de codigos'!$E$2:$F$102,2,1))</f>
        <v>TAZON  8</v>
      </c>
      <c r="D1137" s="11" t="s">
        <v>365</v>
      </c>
      <c r="E1137" s="11" t="s">
        <v>34</v>
      </c>
      <c r="F1137" s="13" t="s">
        <v>624</v>
      </c>
      <c r="G1137" s="14">
        <v>45835</v>
      </c>
      <c r="H1137" s="11">
        <v>36</v>
      </c>
      <c r="I1137" s="15">
        <f>21+15</f>
        <v>36</v>
      </c>
      <c r="J1137" s="16">
        <f t="shared" si="36"/>
        <v>0</v>
      </c>
    </row>
    <row r="1138" spans="1:11" x14ac:dyDescent="0.2">
      <c r="A1138" s="11" t="s">
        <v>304</v>
      </c>
      <c r="B1138" s="11" t="str">
        <f t="shared" si="35"/>
        <v>390012</v>
      </c>
      <c r="C1138" s="11" t="str">
        <f>_xlfn.CONCAT(+VLOOKUP(VALUE(MID(A1138,13,2)),'Tabla de codigos'!$A$2:$B$60,2,1)," ",VLOOKUP(VALUE(MID(A1138,15,4)),'Tabla de codigos'!$E$2:$F$102,2,1))</f>
        <v>TAZON  8</v>
      </c>
      <c r="D1138" s="11" t="s">
        <v>365</v>
      </c>
      <c r="E1138" s="11" t="s">
        <v>34</v>
      </c>
      <c r="F1138" s="13" t="s">
        <v>624</v>
      </c>
      <c r="G1138" s="14">
        <v>45835</v>
      </c>
      <c r="H1138" s="11">
        <v>36</v>
      </c>
      <c r="I1138" s="15">
        <v>36</v>
      </c>
      <c r="J1138" s="16">
        <f t="shared" si="36"/>
        <v>0</v>
      </c>
    </row>
    <row r="1139" spans="1:11" x14ac:dyDescent="0.2">
      <c r="A1139" s="11" t="s">
        <v>82</v>
      </c>
      <c r="B1139" s="11" t="str">
        <f t="shared" si="35"/>
        <v>390016</v>
      </c>
      <c r="C1139" s="11" t="str">
        <f>_xlfn.CONCAT(+VLOOKUP(VALUE(MID(A1139,13,2)),'Tabla de codigos'!$A$2:$B$60,2,1)," ",VLOOKUP(VALUE(MID(A1139,15,4)),'Tabla de codigos'!$E$2:$F$102,2,1))</f>
        <v>TAZON  15.5</v>
      </c>
      <c r="D1139" s="11" t="s">
        <v>365</v>
      </c>
      <c r="E1139" s="11" t="s">
        <v>34</v>
      </c>
      <c r="F1139" s="13" t="s">
        <v>624</v>
      </c>
      <c r="G1139" s="14">
        <v>45835</v>
      </c>
      <c r="H1139" s="11">
        <v>24</v>
      </c>
      <c r="I1139" s="15">
        <v>24</v>
      </c>
      <c r="J1139" s="16">
        <f t="shared" si="36"/>
        <v>0</v>
      </c>
    </row>
    <row r="1140" spans="1:11" x14ac:dyDescent="0.2">
      <c r="A1140" s="11" t="s">
        <v>83</v>
      </c>
      <c r="B1140" s="11" t="str">
        <f t="shared" si="35"/>
        <v>390016</v>
      </c>
      <c r="C1140" s="11" t="str">
        <f>_xlfn.CONCAT(+VLOOKUP(VALUE(MID(A1140,13,2)),'Tabla de codigos'!$A$2:$B$60,2,1)," ",VLOOKUP(VALUE(MID(A1140,15,4)),'Tabla de codigos'!$E$2:$F$102,2,1))</f>
        <v>TAZON  15.5</v>
      </c>
      <c r="D1140" s="11" t="s">
        <v>365</v>
      </c>
      <c r="E1140" s="11" t="s">
        <v>34</v>
      </c>
      <c r="F1140" s="13" t="s">
        <v>624</v>
      </c>
      <c r="G1140" s="14">
        <v>45835</v>
      </c>
      <c r="H1140" s="11">
        <v>24</v>
      </c>
      <c r="I1140" s="15">
        <f>3</f>
        <v>3</v>
      </c>
      <c r="J1140" s="16">
        <f t="shared" si="36"/>
        <v>21</v>
      </c>
    </row>
    <row r="1141" spans="1:11" x14ac:dyDescent="0.2">
      <c r="A1141" s="11" t="s">
        <v>87</v>
      </c>
      <c r="B1141" s="11" t="str">
        <f t="shared" si="35"/>
        <v>390022</v>
      </c>
      <c r="C1141" s="11" t="str">
        <f>_xlfn.CONCAT(+VLOOKUP(VALUE(MID(A1141,13,2)),'Tabla de codigos'!$A$2:$B$60,2,1)," ",VLOOKUP(VALUE(MID(A1141,15,4)),'Tabla de codigos'!$E$2:$F$102,2,1))</f>
        <v>TAZON  20</v>
      </c>
      <c r="D1141" s="11" t="s">
        <v>365</v>
      </c>
      <c r="E1141" s="11" t="s">
        <v>34</v>
      </c>
      <c r="F1141" s="13" t="s">
        <v>624</v>
      </c>
      <c r="G1141" s="14">
        <v>45835</v>
      </c>
      <c r="H1141" s="11">
        <v>6</v>
      </c>
      <c r="I1141" s="15">
        <v>6</v>
      </c>
      <c r="J1141" s="16">
        <f t="shared" si="36"/>
        <v>0</v>
      </c>
    </row>
    <row r="1142" spans="1:11" x14ac:dyDescent="0.2">
      <c r="A1142" s="11" t="s">
        <v>306</v>
      </c>
      <c r="B1142" s="11" t="str">
        <f t="shared" si="35"/>
        <v>420021</v>
      </c>
      <c r="C1142" s="11" t="str">
        <f>_xlfn.CONCAT(+VLOOKUP(VALUE(MID(A1142,13,2)),'Tabla de codigos'!$A$2:$B$60,2,1)," ",VLOOKUP(VALUE(MID(A1142,15,4)),'Tabla de codigos'!$E$2:$F$102,2,1))</f>
        <v>TORTILLERO  18</v>
      </c>
      <c r="D1142" s="11" t="s">
        <v>365</v>
      </c>
      <c r="E1142" s="11" t="s">
        <v>34</v>
      </c>
      <c r="F1142" s="13" t="s">
        <v>624</v>
      </c>
      <c r="G1142" s="14">
        <v>45835</v>
      </c>
      <c r="H1142" s="11">
        <v>36</v>
      </c>
      <c r="I1142" s="15">
        <v>6</v>
      </c>
      <c r="J1142" s="16">
        <f t="shared" si="36"/>
        <v>30</v>
      </c>
    </row>
    <row r="1143" spans="1:11" x14ac:dyDescent="0.2">
      <c r="A1143" s="11" t="s">
        <v>307</v>
      </c>
      <c r="B1143" s="11" t="str">
        <f t="shared" si="35"/>
        <v>420021</v>
      </c>
      <c r="C1143" s="11" t="str">
        <f>_xlfn.CONCAT(+VLOOKUP(VALUE(MID(A1143,13,2)),'Tabla de codigos'!$A$2:$B$60,2,1)," ",VLOOKUP(VALUE(MID(A1143,15,4)),'Tabla de codigos'!$E$2:$F$102,2,1))</f>
        <v>TORTILLERO  18</v>
      </c>
      <c r="D1143" s="11" t="s">
        <v>365</v>
      </c>
      <c r="E1143" s="11" t="s">
        <v>34</v>
      </c>
      <c r="F1143" s="13" t="s">
        <v>624</v>
      </c>
      <c r="G1143" s="14">
        <v>45835</v>
      </c>
      <c r="H1143" s="11">
        <v>48</v>
      </c>
      <c r="I1143" s="15">
        <f>6+6+1</f>
        <v>13</v>
      </c>
      <c r="J1143" s="16">
        <f t="shared" si="36"/>
        <v>35</v>
      </c>
    </row>
    <row r="1144" spans="1:11" x14ac:dyDescent="0.2">
      <c r="A1144" s="11" t="s">
        <v>23</v>
      </c>
      <c r="B1144" s="11" t="str">
        <f t="shared" si="35"/>
        <v>420021</v>
      </c>
      <c r="C1144" s="11" t="str">
        <f>_xlfn.CONCAT(+VLOOKUP(VALUE(MID(A1144,13,2)),'Tabla de codigos'!$A$2:$B$60,2,1)," ",VLOOKUP(VALUE(MID(A1144,15,4)),'Tabla de codigos'!$E$2:$F$102,2,1))</f>
        <v>TORTILLERO  18</v>
      </c>
      <c r="D1144" s="11" t="s">
        <v>365</v>
      </c>
      <c r="E1144" s="11" t="s">
        <v>34</v>
      </c>
      <c r="F1144" s="13" t="s">
        <v>624</v>
      </c>
      <c r="G1144" s="14">
        <v>45835</v>
      </c>
      <c r="H1144" s="11">
        <v>6</v>
      </c>
      <c r="I1144" s="15">
        <v>0</v>
      </c>
      <c r="J1144" s="16">
        <f t="shared" si="36"/>
        <v>6</v>
      </c>
    </row>
    <row r="1145" spans="1:11" x14ac:dyDescent="0.2">
      <c r="A1145" s="11" t="s">
        <v>134</v>
      </c>
      <c r="B1145" s="11" t="str">
        <f t="shared" si="35"/>
        <v>520032</v>
      </c>
      <c r="C1145" s="11" t="str">
        <f>_xlfn.CONCAT(+VLOOKUP(VALUE(MID(A1145,13,2)),'Tabla de codigos'!$A$2:$B$60,2,1)," ",VLOOKUP(VALUE(MID(A1145,15,4)),'Tabla de codigos'!$E$2:$F$102,2,1))</f>
        <v>PLATO OVAL 36</v>
      </c>
      <c r="D1145" s="11" t="s">
        <v>365</v>
      </c>
      <c r="E1145" s="11" t="s">
        <v>34</v>
      </c>
      <c r="F1145" s="13" t="s">
        <v>624</v>
      </c>
      <c r="G1145" s="14">
        <v>45835</v>
      </c>
      <c r="H1145" s="11">
        <v>6</v>
      </c>
      <c r="I1145" s="15">
        <v>1</v>
      </c>
      <c r="J1145" s="16">
        <f t="shared" si="36"/>
        <v>5</v>
      </c>
    </row>
    <row r="1146" spans="1:11" x14ac:dyDescent="0.2">
      <c r="A1146" s="11" t="s">
        <v>628</v>
      </c>
      <c r="B1146" s="11" t="str">
        <f t="shared" si="35"/>
        <v>520032</v>
      </c>
      <c r="C1146" s="11" t="str">
        <f>_xlfn.CONCAT(+VLOOKUP(VALUE(MID(A1146,13,2)),'Tabla de codigos'!$A$2:$B$60,2,1)," ",VLOOKUP(VALUE(MID(A1146,15,4)),'Tabla de codigos'!$E$2:$F$102,2,1))</f>
        <v>PLATO OVAL 36</v>
      </c>
      <c r="D1146" s="11" t="s">
        <v>365</v>
      </c>
      <c r="E1146" s="11" t="s">
        <v>34</v>
      </c>
      <c r="F1146" s="13" t="s">
        <v>624</v>
      </c>
      <c r="G1146" s="14">
        <v>45835</v>
      </c>
      <c r="H1146" s="11">
        <v>12</v>
      </c>
      <c r="I1146" s="15">
        <v>4</v>
      </c>
      <c r="J1146" s="16">
        <f t="shared" si="36"/>
        <v>8</v>
      </c>
      <c r="K1146" s="17">
        <f>(SUM(I1124:I1146))/(SUM(H1124:H1146))</f>
        <v>0.77450980392156865</v>
      </c>
    </row>
  </sheetData>
  <sheetProtection formatRows="0" autoFilter="0"/>
  <autoFilter ref="A1:O1146" xr:uid="{00000000-0009-0000-0000-000000000000}"/>
  <conditionalFormatting sqref="J1:J1048576">
    <cfRule type="cellIs" dxfId="1793" priority="1" operator="lessThanOrEqual">
      <formula>0</formula>
    </cfRule>
  </conditionalFormatting>
  <pageMargins left="0.70866141732283472" right="0.70866141732283472" top="0.43307086614173229" bottom="0.74803149606299213" header="0.31496062992125984" footer="0.31496062992125984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theme="8" tint="-0.249977111117893"/>
  </sheetPr>
  <dimension ref="A1:M115"/>
  <sheetViews>
    <sheetView topLeftCell="B1" workbookViewId="0">
      <selection activeCell="M13" sqref="M13"/>
    </sheetView>
  </sheetViews>
  <sheetFormatPr baseColWidth="10" defaultColWidth="11.42578125" defaultRowHeight="15" x14ac:dyDescent="0.25"/>
  <cols>
    <col min="1" max="1" width="5.42578125" style="42" bestFit="1" customWidth="1"/>
    <col min="2" max="2" width="23.42578125" bestFit="1" customWidth="1"/>
    <col min="4" max="4" width="4.7109375" style="42" customWidth="1"/>
    <col min="5" max="5" width="8.42578125" style="43" bestFit="1" customWidth="1"/>
    <col min="6" max="6" width="19.42578125" bestFit="1" customWidth="1"/>
    <col min="8" max="8" width="11" style="42"/>
  </cols>
  <sheetData>
    <row r="1" spans="1:13" x14ac:dyDescent="0.25">
      <c r="A1" s="136" t="s">
        <v>629</v>
      </c>
      <c r="B1" s="137"/>
      <c r="D1" s="46"/>
      <c r="E1" s="136" t="s">
        <v>630</v>
      </c>
      <c r="F1" s="137"/>
      <c r="H1" s="138" t="s">
        <v>631</v>
      </c>
      <c r="I1" s="139"/>
      <c r="J1" s="49"/>
      <c r="K1" s="138" t="s">
        <v>632</v>
      </c>
      <c r="L1" s="139"/>
    </row>
    <row r="2" spans="1:13" x14ac:dyDescent="0.25">
      <c r="A2" s="45">
        <v>1</v>
      </c>
      <c r="B2" s="44" t="s">
        <v>633</v>
      </c>
      <c r="E2" s="47">
        <v>1</v>
      </c>
      <c r="F2" s="44" t="s">
        <v>634</v>
      </c>
      <c r="H2" s="62">
        <v>1</v>
      </c>
      <c r="I2" s="57" t="s">
        <v>634</v>
      </c>
      <c r="K2" s="62">
        <v>1</v>
      </c>
      <c r="L2" s="61" t="s">
        <v>634</v>
      </c>
    </row>
    <row r="3" spans="1:13" x14ac:dyDescent="0.25">
      <c r="A3" s="45">
        <v>2</v>
      </c>
      <c r="B3" s="44" t="s">
        <v>635</v>
      </c>
      <c r="E3" s="47">
        <v>2</v>
      </c>
      <c r="F3" s="44">
        <v>0</v>
      </c>
      <c r="H3" s="62">
        <v>2</v>
      </c>
      <c r="I3" s="58" t="s">
        <v>636</v>
      </c>
      <c r="K3" s="62">
        <v>2</v>
      </c>
      <c r="L3" s="56" t="s">
        <v>637</v>
      </c>
    </row>
    <row r="4" spans="1:13" x14ac:dyDescent="0.25">
      <c r="A4" s="45">
        <v>3</v>
      </c>
      <c r="B4" s="44" t="s">
        <v>638</v>
      </c>
      <c r="E4" s="47">
        <v>3</v>
      </c>
      <c r="F4" s="45">
        <v>0</v>
      </c>
      <c r="H4" s="62">
        <v>3</v>
      </c>
      <c r="I4" s="58" t="s">
        <v>639</v>
      </c>
      <c r="K4" s="62">
        <v>3</v>
      </c>
      <c r="L4" s="56" t="s">
        <v>640</v>
      </c>
    </row>
    <row r="5" spans="1:13" x14ac:dyDescent="0.25">
      <c r="A5" s="45">
        <v>4</v>
      </c>
      <c r="B5" s="44" t="s">
        <v>641</v>
      </c>
      <c r="E5" s="47">
        <v>4</v>
      </c>
      <c r="F5" s="48">
        <v>0</v>
      </c>
      <c r="H5" s="62">
        <v>4</v>
      </c>
      <c r="I5" s="58" t="s">
        <v>642</v>
      </c>
      <c r="K5" s="62">
        <v>4</v>
      </c>
      <c r="L5" s="56" t="s">
        <v>643</v>
      </c>
    </row>
    <row r="6" spans="1:13" x14ac:dyDescent="0.25">
      <c r="A6" s="45">
        <v>5</v>
      </c>
      <c r="B6" s="44" t="s">
        <v>644</v>
      </c>
      <c r="E6" s="47">
        <v>5</v>
      </c>
      <c r="F6" s="44">
        <v>1</v>
      </c>
      <c r="H6" s="62">
        <v>5</v>
      </c>
      <c r="I6" s="56" t="s">
        <v>637</v>
      </c>
      <c r="K6" s="62">
        <v>5</v>
      </c>
      <c r="L6" s="56" t="s">
        <v>645</v>
      </c>
    </row>
    <row r="7" spans="1:13" x14ac:dyDescent="0.25">
      <c r="A7" s="45">
        <v>6</v>
      </c>
      <c r="B7" s="44" t="s">
        <v>646</v>
      </c>
      <c r="E7" s="47">
        <v>6</v>
      </c>
      <c r="F7" s="44">
        <v>2</v>
      </c>
      <c r="H7" s="62">
        <v>6</v>
      </c>
      <c r="I7" s="58" t="s">
        <v>647</v>
      </c>
      <c r="K7" s="62">
        <v>6</v>
      </c>
      <c r="L7" s="56" t="s">
        <v>648</v>
      </c>
    </row>
    <row r="8" spans="1:13" x14ac:dyDescent="0.25">
      <c r="A8" s="45">
        <v>7</v>
      </c>
      <c r="B8" s="44" t="s">
        <v>649</v>
      </c>
      <c r="E8" s="47">
        <v>7</v>
      </c>
      <c r="F8" s="44">
        <v>3</v>
      </c>
      <c r="H8" s="62">
        <v>7</v>
      </c>
      <c r="I8" s="58" t="s">
        <v>650</v>
      </c>
      <c r="K8" s="62">
        <v>7</v>
      </c>
      <c r="L8" s="56" t="s">
        <v>651</v>
      </c>
    </row>
    <row r="9" spans="1:13" x14ac:dyDescent="0.25">
      <c r="A9" s="45">
        <v>8</v>
      </c>
      <c r="B9" s="44" t="s">
        <v>652</v>
      </c>
      <c r="E9" s="47">
        <v>8</v>
      </c>
      <c r="F9" s="44">
        <v>4</v>
      </c>
      <c r="H9" s="62">
        <v>8</v>
      </c>
      <c r="I9" s="58" t="s">
        <v>653</v>
      </c>
      <c r="K9" s="62">
        <v>8</v>
      </c>
      <c r="L9" s="56" t="s">
        <v>654</v>
      </c>
    </row>
    <row r="10" spans="1:13" x14ac:dyDescent="0.25">
      <c r="A10" s="45">
        <v>9</v>
      </c>
      <c r="B10" s="44" t="s">
        <v>655</v>
      </c>
      <c r="E10" s="47">
        <v>9</v>
      </c>
      <c r="F10" s="44">
        <v>5</v>
      </c>
      <c r="H10" s="62">
        <v>9</v>
      </c>
      <c r="I10" s="56" t="s">
        <v>656</v>
      </c>
      <c r="K10" s="62">
        <v>9</v>
      </c>
      <c r="L10" s="56" t="s">
        <v>657</v>
      </c>
    </row>
    <row r="11" spans="1:13" x14ac:dyDescent="0.25">
      <c r="A11" s="45">
        <v>10</v>
      </c>
      <c r="B11" s="44" t="s">
        <v>658</v>
      </c>
      <c r="E11" s="47">
        <v>10</v>
      </c>
      <c r="F11" s="44">
        <v>6</v>
      </c>
      <c r="H11" s="62">
        <v>10</v>
      </c>
      <c r="I11" s="56" t="s">
        <v>659</v>
      </c>
      <c r="K11" s="62">
        <v>10</v>
      </c>
      <c r="L11" s="55" t="s">
        <v>647</v>
      </c>
    </row>
    <row r="12" spans="1:13" x14ac:dyDescent="0.25">
      <c r="A12" s="45">
        <v>11</v>
      </c>
      <c r="B12" s="44" t="s">
        <v>660</v>
      </c>
      <c r="E12" s="47">
        <v>11</v>
      </c>
      <c r="F12" s="44">
        <v>7</v>
      </c>
      <c r="H12" s="62">
        <v>11</v>
      </c>
      <c r="I12" s="58" t="s">
        <v>661</v>
      </c>
      <c r="K12" s="62">
        <v>11</v>
      </c>
      <c r="L12" s="55" t="s">
        <v>662</v>
      </c>
    </row>
    <row r="13" spans="1:13" x14ac:dyDescent="0.25">
      <c r="A13" s="45">
        <v>12</v>
      </c>
      <c r="B13" s="44" t="s">
        <v>663</v>
      </c>
      <c r="E13" s="47">
        <v>12</v>
      </c>
      <c r="F13" s="44">
        <v>8</v>
      </c>
      <c r="H13" s="62">
        <v>12</v>
      </c>
      <c r="I13" s="58" t="s">
        <v>664</v>
      </c>
      <c r="K13" s="19"/>
      <c r="L13" s="20"/>
      <c r="M13" s="19"/>
    </row>
    <row r="14" spans="1:13" x14ac:dyDescent="0.25">
      <c r="A14" s="45">
        <v>13</v>
      </c>
      <c r="B14" s="44" t="s">
        <v>665</v>
      </c>
      <c r="E14" s="47">
        <v>13</v>
      </c>
      <c r="F14" s="44">
        <v>10</v>
      </c>
      <c r="H14" s="62">
        <v>13</v>
      </c>
      <c r="I14" s="56" t="s">
        <v>666</v>
      </c>
      <c r="K14" s="19"/>
      <c r="L14" s="20"/>
      <c r="M14" s="50"/>
    </row>
    <row r="15" spans="1:13" x14ac:dyDescent="0.25">
      <c r="A15" s="45">
        <v>14</v>
      </c>
      <c r="B15" s="44" t="s">
        <v>667</v>
      </c>
      <c r="E15" s="47">
        <v>14</v>
      </c>
      <c r="F15" s="44">
        <v>12</v>
      </c>
      <c r="H15" s="62">
        <v>14</v>
      </c>
      <c r="I15" s="56" t="s">
        <v>668</v>
      </c>
      <c r="K15" s="19"/>
      <c r="L15" s="51"/>
      <c r="M15" s="50"/>
    </row>
    <row r="16" spans="1:13" x14ac:dyDescent="0.25">
      <c r="A16" s="45">
        <v>15</v>
      </c>
      <c r="B16" s="44" t="s">
        <v>669</v>
      </c>
      <c r="E16" s="47">
        <v>15</v>
      </c>
      <c r="F16" s="44">
        <v>14</v>
      </c>
      <c r="H16" s="62">
        <v>15</v>
      </c>
      <c r="I16" s="56" t="s">
        <v>670</v>
      </c>
      <c r="K16" s="19"/>
      <c r="L16" s="51"/>
      <c r="M16" s="19"/>
    </row>
    <row r="17" spans="1:13" x14ac:dyDescent="0.25">
      <c r="A17" s="45">
        <v>16</v>
      </c>
      <c r="B17" s="44" t="s">
        <v>671</v>
      </c>
      <c r="E17" s="47">
        <v>16</v>
      </c>
      <c r="F17" s="44">
        <v>15.5</v>
      </c>
      <c r="H17" s="62">
        <v>16</v>
      </c>
      <c r="I17" s="56" t="s">
        <v>672</v>
      </c>
      <c r="K17" s="19"/>
      <c r="L17" s="20"/>
      <c r="M17" s="19"/>
    </row>
    <row r="18" spans="1:13" x14ac:dyDescent="0.25">
      <c r="A18" s="45">
        <v>17</v>
      </c>
      <c r="B18" s="44" t="s">
        <v>673</v>
      </c>
      <c r="E18" s="47">
        <v>17</v>
      </c>
      <c r="F18" s="44">
        <v>16</v>
      </c>
      <c r="H18" s="62">
        <v>17</v>
      </c>
      <c r="I18" s="56" t="s">
        <v>640</v>
      </c>
      <c r="K18" s="19"/>
      <c r="L18" s="20"/>
      <c r="M18" s="19"/>
    </row>
    <row r="19" spans="1:13" x14ac:dyDescent="0.25">
      <c r="A19" s="45">
        <v>18</v>
      </c>
      <c r="B19" s="44" t="s">
        <v>674</v>
      </c>
      <c r="E19" s="47">
        <v>18</v>
      </c>
      <c r="F19" s="44">
        <v>16.5</v>
      </c>
      <c r="H19" s="62">
        <v>18</v>
      </c>
      <c r="I19" s="58" t="s">
        <v>675</v>
      </c>
      <c r="K19" s="19"/>
      <c r="L19" s="20"/>
      <c r="M19" s="52"/>
    </row>
    <row r="20" spans="1:13" x14ac:dyDescent="0.25">
      <c r="A20" s="45">
        <v>19</v>
      </c>
      <c r="B20" s="44" t="s">
        <v>676</v>
      </c>
      <c r="E20" s="47">
        <v>19</v>
      </c>
      <c r="F20" s="44">
        <v>17</v>
      </c>
      <c r="H20" s="62">
        <v>19</v>
      </c>
      <c r="I20" s="58" t="s">
        <v>677</v>
      </c>
      <c r="K20" s="19"/>
      <c r="L20" s="20"/>
      <c r="M20" s="51"/>
    </row>
    <row r="21" spans="1:13" x14ac:dyDescent="0.25">
      <c r="A21" s="45">
        <v>20</v>
      </c>
      <c r="B21" s="44" t="s">
        <v>678</v>
      </c>
      <c r="E21" s="47">
        <v>20</v>
      </c>
      <c r="F21" s="44">
        <v>17.5</v>
      </c>
      <c r="H21" s="62">
        <v>20</v>
      </c>
      <c r="I21" s="58" t="s">
        <v>679</v>
      </c>
      <c r="K21" s="19"/>
      <c r="L21" s="20"/>
      <c r="M21" s="19"/>
    </row>
    <row r="22" spans="1:13" x14ac:dyDescent="0.25">
      <c r="A22" s="45">
        <v>21</v>
      </c>
      <c r="B22" s="44" t="s">
        <v>680</v>
      </c>
      <c r="E22" s="47">
        <v>21</v>
      </c>
      <c r="F22" s="44">
        <v>18</v>
      </c>
      <c r="H22" s="62">
        <v>21</v>
      </c>
      <c r="I22" s="56" t="s">
        <v>643</v>
      </c>
      <c r="K22" s="19"/>
      <c r="L22" s="20"/>
      <c r="M22" s="52"/>
    </row>
    <row r="23" spans="1:13" x14ac:dyDescent="0.25">
      <c r="A23" s="45">
        <v>22</v>
      </c>
      <c r="B23" s="44" t="s">
        <v>681</v>
      </c>
      <c r="E23" s="47">
        <v>22</v>
      </c>
      <c r="F23" s="44">
        <v>20</v>
      </c>
      <c r="H23" s="62">
        <v>22</v>
      </c>
      <c r="I23" s="58" t="s">
        <v>682</v>
      </c>
      <c r="K23" s="19"/>
      <c r="L23" s="20"/>
      <c r="M23" s="52"/>
    </row>
    <row r="24" spans="1:13" x14ac:dyDescent="0.25">
      <c r="A24" s="45">
        <v>23</v>
      </c>
      <c r="B24" s="44" t="s">
        <v>683</v>
      </c>
      <c r="E24" s="47">
        <v>23</v>
      </c>
      <c r="F24" s="44">
        <v>20.5</v>
      </c>
      <c r="H24" s="62">
        <v>23</v>
      </c>
      <c r="I24" s="56" t="s">
        <v>684</v>
      </c>
      <c r="K24" s="19"/>
      <c r="L24" s="20"/>
      <c r="M24" s="52"/>
    </row>
    <row r="25" spans="1:13" x14ac:dyDescent="0.25">
      <c r="A25" s="45">
        <v>24</v>
      </c>
      <c r="B25" s="44" t="s">
        <v>685</v>
      </c>
      <c r="E25" s="47">
        <v>24</v>
      </c>
      <c r="F25" s="44">
        <v>22</v>
      </c>
      <c r="H25" s="62">
        <v>24</v>
      </c>
      <c r="I25" s="58" t="s">
        <v>686</v>
      </c>
      <c r="K25" s="19"/>
      <c r="L25" s="20"/>
      <c r="M25" s="52"/>
    </row>
    <row r="26" spans="1:13" x14ac:dyDescent="0.25">
      <c r="A26" s="45">
        <v>25</v>
      </c>
      <c r="B26" s="44" t="s">
        <v>687</v>
      </c>
      <c r="E26" s="47">
        <v>25</v>
      </c>
      <c r="F26" s="44">
        <v>24</v>
      </c>
      <c r="H26" s="62">
        <v>25</v>
      </c>
      <c r="I26" s="56" t="s">
        <v>688</v>
      </c>
      <c r="K26" s="19"/>
      <c r="L26" s="20"/>
      <c r="M26" s="52"/>
    </row>
    <row r="27" spans="1:13" x14ac:dyDescent="0.25">
      <c r="A27" s="45">
        <v>26</v>
      </c>
      <c r="B27" s="44" t="s">
        <v>689</v>
      </c>
      <c r="E27" s="47">
        <v>26</v>
      </c>
      <c r="F27" s="44">
        <v>26</v>
      </c>
      <c r="H27" s="62">
        <v>26</v>
      </c>
      <c r="I27" s="56" t="s">
        <v>645</v>
      </c>
      <c r="K27" s="19"/>
      <c r="L27" s="20"/>
      <c r="M27" s="52"/>
    </row>
    <row r="28" spans="1:13" x14ac:dyDescent="0.25">
      <c r="A28" s="45">
        <v>27</v>
      </c>
      <c r="B28" s="44" t="s">
        <v>690</v>
      </c>
      <c r="E28" s="47">
        <v>27</v>
      </c>
      <c r="F28" s="44">
        <v>27</v>
      </c>
      <c r="H28" s="62">
        <v>27</v>
      </c>
      <c r="I28" s="58" t="s">
        <v>691</v>
      </c>
      <c r="K28" s="19"/>
      <c r="L28" s="20"/>
      <c r="M28" s="19"/>
    </row>
    <row r="29" spans="1:13" x14ac:dyDescent="0.25">
      <c r="A29" s="45">
        <v>28</v>
      </c>
      <c r="B29" s="44" t="s">
        <v>692</v>
      </c>
      <c r="E29" s="47">
        <v>28</v>
      </c>
      <c r="F29" s="44">
        <v>28</v>
      </c>
      <c r="H29" s="62">
        <v>28</v>
      </c>
      <c r="I29" s="56" t="s">
        <v>648</v>
      </c>
      <c r="K29" s="19"/>
      <c r="L29" s="20"/>
      <c r="M29" s="19"/>
    </row>
    <row r="30" spans="1:13" x14ac:dyDescent="0.25">
      <c r="A30" s="45">
        <v>29</v>
      </c>
      <c r="B30" s="44" t="s">
        <v>693</v>
      </c>
      <c r="E30" s="47">
        <v>29</v>
      </c>
      <c r="F30" s="44">
        <v>30</v>
      </c>
      <c r="H30" s="62">
        <v>29</v>
      </c>
      <c r="I30" s="56" t="s">
        <v>651</v>
      </c>
      <c r="K30" s="19"/>
      <c r="L30" s="20"/>
      <c r="M30" s="19"/>
    </row>
    <row r="31" spans="1:13" x14ac:dyDescent="0.25">
      <c r="A31" s="45">
        <v>30</v>
      </c>
      <c r="B31" s="44" t="s">
        <v>694</v>
      </c>
      <c r="E31" s="47">
        <v>30</v>
      </c>
      <c r="F31" s="44">
        <v>32</v>
      </c>
      <c r="H31" s="62">
        <v>30</v>
      </c>
      <c r="I31" s="58" t="s">
        <v>695</v>
      </c>
      <c r="K31" s="19"/>
      <c r="L31" s="20"/>
      <c r="M31" s="52"/>
    </row>
    <row r="32" spans="1:13" x14ac:dyDescent="0.25">
      <c r="A32" s="45">
        <v>31</v>
      </c>
      <c r="B32" s="44" t="s">
        <v>696</v>
      </c>
      <c r="E32" s="47">
        <v>31</v>
      </c>
      <c r="F32" s="44">
        <v>34</v>
      </c>
      <c r="H32" s="62">
        <v>31</v>
      </c>
      <c r="I32" s="58" t="s">
        <v>654</v>
      </c>
      <c r="K32" s="19"/>
      <c r="L32" s="20"/>
      <c r="M32" s="52"/>
    </row>
    <row r="33" spans="1:13" x14ac:dyDescent="0.25">
      <c r="A33" s="45">
        <v>32</v>
      </c>
      <c r="B33" s="44" t="s">
        <v>697</v>
      </c>
      <c r="E33" s="47">
        <v>32</v>
      </c>
      <c r="F33" s="44">
        <v>36</v>
      </c>
      <c r="H33" s="62">
        <v>32</v>
      </c>
      <c r="I33" s="59" t="s">
        <v>698</v>
      </c>
      <c r="K33" s="54"/>
      <c r="L33" s="20"/>
      <c r="M33" s="19"/>
    </row>
    <row r="34" spans="1:13" x14ac:dyDescent="0.25">
      <c r="A34" s="45">
        <v>33</v>
      </c>
      <c r="B34" s="44" t="s">
        <v>699</v>
      </c>
      <c r="E34" s="47">
        <v>33</v>
      </c>
      <c r="F34" s="44">
        <v>42</v>
      </c>
      <c r="H34" s="62">
        <v>33</v>
      </c>
      <c r="I34" s="58" t="s">
        <v>700</v>
      </c>
      <c r="K34" s="19"/>
      <c r="L34" s="53"/>
      <c r="M34" s="19"/>
    </row>
    <row r="35" spans="1:13" x14ac:dyDescent="0.25">
      <c r="A35" s="45">
        <v>34</v>
      </c>
      <c r="B35" s="44" t="s">
        <v>701</v>
      </c>
      <c r="E35" s="47">
        <v>34</v>
      </c>
      <c r="F35" s="44">
        <v>45</v>
      </c>
      <c r="H35" s="62">
        <v>34</v>
      </c>
      <c r="I35" s="58" t="s">
        <v>702</v>
      </c>
      <c r="K35" s="19"/>
      <c r="L35" s="20"/>
      <c r="M35" s="52"/>
    </row>
    <row r="36" spans="1:13" x14ac:dyDescent="0.25">
      <c r="A36" s="45">
        <v>35</v>
      </c>
      <c r="B36" s="44" t="s">
        <v>703</v>
      </c>
      <c r="E36" s="47">
        <v>35</v>
      </c>
      <c r="F36" s="44">
        <v>2550</v>
      </c>
      <c r="H36" s="62">
        <v>35</v>
      </c>
      <c r="I36" s="58" t="s">
        <v>704</v>
      </c>
      <c r="K36" s="19"/>
      <c r="L36" s="20"/>
      <c r="M36" s="52"/>
    </row>
    <row r="37" spans="1:13" x14ac:dyDescent="0.25">
      <c r="A37" s="45">
        <v>36</v>
      </c>
      <c r="B37" s="44" t="s">
        <v>705</v>
      </c>
      <c r="E37" s="47">
        <v>36</v>
      </c>
      <c r="F37" s="44">
        <v>5250</v>
      </c>
      <c r="H37" s="62">
        <v>36</v>
      </c>
      <c r="I37" s="58" t="s">
        <v>706</v>
      </c>
      <c r="K37" s="19"/>
      <c r="L37" s="20"/>
      <c r="M37" s="52"/>
    </row>
    <row r="38" spans="1:13" x14ac:dyDescent="0.25">
      <c r="A38" s="45">
        <v>37</v>
      </c>
      <c r="B38" s="44" t="s">
        <v>707</v>
      </c>
      <c r="E38" s="47">
        <v>37</v>
      </c>
      <c r="F38" s="44" t="s">
        <v>708</v>
      </c>
      <c r="H38" s="62">
        <v>37</v>
      </c>
      <c r="I38" s="58" t="s">
        <v>709</v>
      </c>
      <c r="K38" s="19"/>
      <c r="L38" s="20"/>
      <c r="M38" s="52"/>
    </row>
    <row r="39" spans="1:13" x14ac:dyDescent="0.25">
      <c r="A39" s="45">
        <v>38</v>
      </c>
      <c r="B39" s="44" t="s">
        <v>710</v>
      </c>
      <c r="E39" s="47">
        <v>38</v>
      </c>
      <c r="F39" s="44" t="s">
        <v>711</v>
      </c>
      <c r="H39" s="62">
        <v>38</v>
      </c>
      <c r="I39" s="58" t="s">
        <v>712</v>
      </c>
      <c r="K39" s="19"/>
      <c r="L39" s="20"/>
      <c r="M39" s="52"/>
    </row>
    <row r="40" spans="1:13" x14ac:dyDescent="0.25">
      <c r="A40" s="45">
        <v>39</v>
      </c>
      <c r="B40" s="44" t="s">
        <v>713</v>
      </c>
      <c r="E40" s="47">
        <v>39</v>
      </c>
      <c r="F40" s="44" t="s">
        <v>714</v>
      </c>
      <c r="H40" s="62">
        <v>39</v>
      </c>
      <c r="I40" s="58" t="s">
        <v>715</v>
      </c>
      <c r="K40" s="19"/>
      <c r="L40" s="20"/>
      <c r="M40" s="52"/>
    </row>
    <row r="41" spans="1:13" x14ac:dyDescent="0.25">
      <c r="A41" s="45">
        <v>40</v>
      </c>
      <c r="B41" s="44" t="s">
        <v>716</v>
      </c>
      <c r="E41" s="47">
        <v>40</v>
      </c>
      <c r="F41" s="44" t="s">
        <v>717</v>
      </c>
      <c r="H41" s="62">
        <v>40</v>
      </c>
      <c r="I41" s="58" t="s">
        <v>718</v>
      </c>
      <c r="K41" s="19"/>
      <c r="L41" s="20"/>
      <c r="M41" s="52"/>
    </row>
    <row r="42" spans="1:13" x14ac:dyDescent="0.25">
      <c r="A42" s="45">
        <v>41</v>
      </c>
      <c r="B42" s="44" t="s">
        <v>719</v>
      </c>
      <c r="E42" s="47">
        <v>41</v>
      </c>
      <c r="F42" s="44" t="s">
        <v>720</v>
      </c>
      <c r="H42" s="62">
        <v>41</v>
      </c>
      <c r="I42" s="58" t="s">
        <v>721</v>
      </c>
      <c r="K42" s="19"/>
      <c r="L42" s="20"/>
      <c r="M42" s="52"/>
    </row>
    <row r="43" spans="1:13" x14ac:dyDescent="0.25">
      <c r="A43" s="45">
        <v>42</v>
      </c>
      <c r="B43" s="44" t="s">
        <v>722</v>
      </c>
      <c r="E43" s="47">
        <v>42</v>
      </c>
      <c r="F43" s="44" t="s">
        <v>723</v>
      </c>
      <c r="H43" s="62">
        <v>42</v>
      </c>
      <c r="I43" s="58" t="s">
        <v>724</v>
      </c>
      <c r="K43" s="19"/>
      <c r="L43" s="20"/>
      <c r="M43" s="52"/>
    </row>
    <row r="44" spans="1:13" x14ac:dyDescent="0.25">
      <c r="A44" s="45">
        <v>43</v>
      </c>
      <c r="B44" s="44" t="s">
        <v>725</v>
      </c>
      <c r="E44" s="47">
        <v>43</v>
      </c>
      <c r="F44" s="44" t="s">
        <v>726</v>
      </c>
      <c r="H44" s="62">
        <v>43</v>
      </c>
      <c r="I44" s="58" t="s">
        <v>727</v>
      </c>
      <c r="K44" s="19"/>
      <c r="L44" s="20"/>
      <c r="M44" s="19"/>
    </row>
    <row r="45" spans="1:13" x14ac:dyDescent="0.25">
      <c r="A45" s="45">
        <v>44</v>
      </c>
      <c r="B45" s="44" t="s">
        <v>728</v>
      </c>
      <c r="E45" s="47">
        <v>44</v>
      </c>
      <c r="F45" s="44" t="s">
        <v>729</v>
      </c>
      <c r="H45" s="62">
        <v>44</v>
      </c>
      <c r="I45" s="58" t="s">
        <v>730</v>
      </c>
      <c r="K45" s="19"/>
      <c r="L45" s="20"/>
      <c r="M45" s="52"/>
    </row>
    <row r="46" spans="1:13" x14ac:dyDescent="0.25">
      <c r="A46" s="45">
        <v>45</v>
      </c>
      <c r="B46" s="44" t="s">
        <v>731</v>
      </c>
      <c r="E46" s="47">
        <v>45</v>
      </c>
      <c r="F46" s="44" t="s">
        <v>732</v>
      </c>
      <c r="H46" s="62">
        <v>45</v>
      </c>
      <c r="I46" s="58" t="s">
        <v>733</v>
      </c>
      <c r="K46" s="19"/>
      <c r="L46" s="20"/>
      <c r="M46" s="52"/>
    </row>
    <row r="47" spans="1:13" x14ac:dyDescent="0.25">
      <c r="A47" s="45">
        <v>46</v>
      </c>
      <c r="B47" s="44" t="s">
        <v>734</v>
      </c>
      <c r="E47" s="47">
        <v>46</v>
      </c>
      <c r="F47" s="44" t="s">
        <v>735</v>
      </c>
      <c r="H47" s="62">
        <v>46</v>
      </c>
      <c r="I47" s="58" t="s">
        <v>736</v>
      </c>
      <c r="K47" s="19"/>
      <c r="L47" s="20"/>
      <c r="M47" s="52"/>
    </row>
    <row r="48" spans="1:13" x14ac:dyDescent="0.25">
      <c r="A48" s="45">
        <v>47</v>
      </c>
      <c r="B48" s="44" t="s">
        <v>737</v>
      </c>
      <c r="E48" s="47">
        <v>47</v>
      </c>
      <c r="F48" s="44" t="s">
        <v>738</v>
      </c>
      <c r="H48" s="62">
        <v>47</v>
      </c>
      <c r="I48" s="56" t="s">
        <v>657</v>
      </c>
      <c r="K48" s="19"/>
      <c r="L48" s="20"/>
      <c r="M48" s="20"/>
    </row>
    <row r="49" spans="1:13" x14ac:dyDescent="0.25">
      <c r="A49" s="45">
        <v>48</v>
      </c>
      <c r="B49" s="44" t="s">
        <v>739</v>
      </c>
      <c r="E49" s="47">
        <v>48</v>
      </c>
      <c r="F49" s="44" t="s">
        <v>740</v>
      </c>
      <c r="H49" s="62">
        <v>48</v>
      </c>
      <c r="I49" s="58" t="s">
        <v>741</v>
      </c>
      <c r="K49" s="19"/>
      <c r="L49" s="20"/>
      <c r="M49" s="20"/>
    </row>
    <row r="50" spans="1:13" x14ac:dyDescent="0.25">
      <c r="A50" s="45">
        <v>49</v>
      </c>
      <c r="B50" s="44" t="s">
        <v>742</v>
      </c>
      <c r="E50" s="47">
        <v>49</v>
      </c>
      <c r="F50" s="44" t="s">
        <v>743</v>
      </c>
      <c r="H50" s="62">
        <v>49</v>
      </c>
      <c r="I50" s="58" t="s">
        <v>744</v>
      </c>
      <c r="K50" s="19"/>
      <c r="L50" s="20"/>
      <c r="M50" s="20"/>
    </row>
    <row r="51" spans="1:13" x14ac:dyDescent="0.25">
      <c r="A51" s="45">
        <v>50</v>
      </c>
      <c r="B51" s="44" t="s">
        <v>745</v>
      </c>
      <c r="E51" s="47">
        <v>50</v>
      </c>
      <c r="F51" s="44" t="s">
        <v>746</v>
      </c>
      <c r="H51" s="62">
        <v>50</v>
      </c>
      <c r="I51" s="58" t="s">
        <v>747</v>
      </c>
      <c r="K51" s="19"/>
      <c r="L51" s="20"/>
      <c r="M51" s="20"/>
    </row>
    <row r="52" spans="1:13" x14ac:dyDescent="0.25">
      <c r="A52" s="45">
        <v>51</v>
      </c>
      <c r="B52" s="44" t="s">
        <v>748</v>
      </c>
      <c r="E52" s="47">
        <v>51</v>
      </c>
      <c r="F52" s="44" t="s">
        <v>749</v>
      </c>
      <c r="H52" s="62">
        <v>51</v>
      </c>
      <c r="I52" s="58" t="s">
        <v>750</v>
      </c>
      <c r="K52" s="19"/>
      <c r="L52" s="20"/>
      <c r="M52" s="20"/>
    </row>
    <row r="53" spans="1:13" x14ac:dyDescent="0.25">
      <c r="A53" s="45">
        <v>52</v>
      </c>
      <c r="B53" s="44" t="s">
        <v>751</v>
      </c>
      <c r="E53" s="47">
        <v>52</v>
      </c>
      <c r="F53" s="44" t="s">
        <v>752</v>
      </c>
      <c r="H53" s="62">
        <v>52</v>
      </c>
      <c r="I53" s="58" t="s">
        <v>753</v>
      </c>
      <c r="K53" s="19"/>
      <c r="L53" s="20"/>
      <c r="M53" s="20"/>
    </row>
    <row r="54" spans="1:13" x14ac:dyDescent="0.25">
      <c r="A54" s="45">
        <v>53</v>
      </c>
      <c r="B54" s="44" t="s">
        <v>754</v>
      </c>
      <c r="E54" s="47">
        <v>53</v>
      </c>
      <c r="F54" s="44" t="s">
        <v>755</v>
      </c>
      <c r="H54" s="62">
        <v>53</v>
      </c>
      <c r="I54" s="58" t="s">
        <v>756</v>
      </c>
      <c r="K54" s="19"/>
      <c r="L54" s="20"/>
      <c r="M54" s="20"/>
    </row>
    <row r="55" spans="1:13" x14ac:dyDescent="0.25">
      <c r="A55" s="45">
        <v>54</v>
      </c>
      <c r="B55" s="44" t="s">
        <v>757</v>
      </c>
      <c r="E55" s="47">
        <v>54</v>
      </c>
      <c r="F55" s="44" t="s">
        <v>758</v>
      </c>
      <c r="H55" s="62">
        <v>54</v>
      </c>
      <c r="I55" s="58" t="s">
        <v>759</v>
      </c>
      <c r="K55" s="19"/>
      <c r="L55" s="20"/>
      <c r="M55" s="20"/>
    </row>
    <row r="56" spans="1:13" x14ac:dyDescent="0.25">
      <c r="A56" s="45">
        <v>55</v>
      </c>
      <c r="B56" s="44" t="s">
        <v>760</v>
      </c>
      <c r="E56" s="47">
        <v>55</v>
      </c>
      <c r="F56" s="44" t="s">
        <v>761</v>
      </c>
      <c r="H56" s="62">
        <v>55</v>
      </c>
      <c r="I56" s="58" t="s">
        <v>762</v>
      </c>
      <c r="K56" s="19"/>
      <c r="L56" s="20"/>
      <c r="M56" s="20"/>
    </row>
    <row r="57" spans="1:13" x14ac:dyDescent="0.25">
      <c r="A57" s="45">
        <v>56</v>
      </c>
      <c r="B57" s="44" t="s">
        <v>763</v>
      </c>
      <c r="E57" s="47">
        <v>56</v>
      </c>
      <c r="F57" s="44" t="s">
        <v>764</v>
      </c>
      <c r="H57" s="62">
        <v>56</v>
      </c>
      <c r="I57" s="58" t="s">
        <v>765</v>
      </c>
      <c r="K57" s="19"/>
      <c r="L57" s="20"/>
      <c r="M57" s="20"/>
    </row>
    <row r="58" spans="1:13" x14ac:dyDescent="0.25">
      <c r="A58" s="45">
        <v>57</v>
      </c>
      <c r="B58" s="44" t="s">
        <v>766</v>
      </c>
      <c r="E58" s="47">
        <v>57</v>
      </c>
      <c r="F58" s="44" t="s">
        <v>767</v>
      </c>
      <c r="H58" s="62">
        <v>57</v>
      </c>
      <c r="I58" s="58" t="s">
        <v>768</v>
      </c>
      <c r="K58" s="19"/>
      <c r="L58" s="20"/>
      <c r="M58" s="20"/>
    </row>
    <row r="59" spans="1:13" x14ac:dyDescent="0.25">
      <c r="A59" s="45">
        <v>58</v>
      </c>
      <c r="B59" s="44" t="s">
        <v>769</v>
      </c>
      <c r="E59" s="47">
        <v>58</v>
      </c>
      <c r="F59" s="44" t="s">
        <v>770</v>
      </c>
      <c r="H59" s="62">
        <v>58</v>
      </c>
      <c r="I59" s="58" t="s">
        <v>771</v>
      </c>
      <c r="K59" s="19"/>
      <c r="L59" s="20"/>
      <c r="M59" s="20"/>
    </row>
    <row r="60" spans="1:13" x14ac:dyDescent="0.25">
      <c r="A60" s="45">
        <v>59</v>
      </c>
      <c r="B60" s="44" t="s">
        <v>772</v>
      </c>
      <c r="E60" s="47">
        <v>59</v>
      </c>
      <c r="F60" s="44" t="s">
        <v>773</v>
      </c>
      <c r="H60" s="62">
        <v>59</v>
      </c>
      <c r="I60" s="58" t="s">
        <v>774</v>
      </c>
      <c r="K60" s="19"/>
      <c r="L60" s="20"/>
      <c r="M60" s="52"/>
    </row>
    <row r="61" spans="1:13" x14ac:dyDescent="0.25">
      <c r="E61" s="47">
        <v>60</v>
      </c>
      <c r="F61" s="44" t="s">
        <v>775</v>
      </c>
      <c r="H61" s="62">
        <v>60</v>
      </c>
      <c r="I61" s="55" t="s">
        <v>776</v>
      </c>
      <c r="K61" s="19"/>
      <c r="L61" s="20"/>
      <c r="M61" s="19"/>
    </row>
    <row r="62" spans="1:13" x14ac:dyDescent="0.25">
      <c r="E62" s="47">
        <v>61</v>
      </c>
      <c r="F62" s="44" t="s">
        <v>777</v>
      </c>
      <c r="H62" s="62">
        <v>61</v>
      </c>
      <c r="I62" s="60" t="s">
        <v>778</v>
      </c>
      <c r="K62" s="19"/>
      <c r="L62" s="20"/>
      <c r="M62" s="52"/>
    </row>
    <row r="63" spans="1:13" x14ac:dyDescent="0.25">
      <c r="E63" s="47">
        <v>62</v>
      </c>
      <c r="F63" s="44" t="s">
        <v>778</v>
      </c>
    </row>
    <row r="64" spans="1:13" x14ac:dyDescent="0.25">
      <c r="E64" s="47">
        <v>63</v>
      </c>
      <c r="F64" s="44" t="s">
        <v>779</v>
      </c>
    </row>
    <row r="65" spans="5:6" x14ac:dyDescent="0.25">
      <c r="E65" s="47">
        <v>64</v>
      </c>
      <c r="F65" s="44" t="s">
        <v>780</v>
      </c>
    </row>
    <row r="66" spans="5:6" x14ac:dyDescent="0.25">
      <c r="E66" s="47">
        <v>65</v>
      </c>
      <c r="F66" s="44" t="s">
        <v>781</v>
      </c>
    </row>
    <row r="67" spans="5:6" x14ac:dyDescent="0.25">
      <c r="E67" s="47">
        <v>66</v>
      </c>
      <c r="F67" s="44" t="s">
        <v>782</v>
      </c>
    </row>
    <row r="68" spans="5:6" x14ac:dyDescent="0.25">
      <c r="E68" s="47">
        <v>67</v>
      </c>
      <c r="F68" s="44" t="s">
        <v>783</v>
      </c>
    </row>
    <row r="69" spans="5:6" x14ac:dyDescent="0.25">
      <c r="E69" s="47">
        <v>68</v>
      </c>
      <c r="F69" s="44" t="s">
        <v>784</v>
      </c>
    </row>
    <row r="70" spans="5:6" x14ac:dyDescent="0.25">
      <c r="E70" s="47">
        <v>69</v>
      </c>
      <c r="F70" s="44" t="s">
        <v>785</v>
      </c>
    </row>
    <row r="71" spans="5:6" x14ac:dyDescent="0.25">
      <c r="E71" s="47">
        <v>70</v>
      </c>
      <c r="F71" s="44" t="s">
        <v>786</v>
      </c>
    </row>
    <row r="72" spans="5:6" x14ac:dyDescent="0.25">
      <c r="E72" s="47">
        <v>71</v>
      </c>
      <c r="F72" s="44" t="s">
        <v>787</v>
      </c>
    </row>
    <row r="73" spans="5:6" x14ac:dyDescent="0.25">
      <c r="E73" s="47">
        <v>72</v>
      </c>
      <c r="F73" s="44" t="s">
        <v>788</v>
      </c>
    </row>
    <row r="74" spans="5:6" x14ac:dyDescent="0.25">
      <c r="E74" s="47">
        <v>73</v>
      </c>
      <c r="F74" s="44" t="s">
        <v>789</v>
      </c>
    </row>
    <row r="75" spans="5:6" x14ac:dyDescent="0.25">
      <c r="E75" s="47">
        <v>74</v>
      </c>
      <c r="F75" s="44" t="s">
        <v>790</v>
      </c>
    </row>
    <row r="76" spans="5:6" x14ac:dyDescent="0.25">
      <c r="E76" s="47">
        <v>75</v>
      </c>
      <c r="F76" s="44" t="s">
        <v>791</v>
      </c>
    </row>
    <row r="77" spans="5:6" x14ac:dyDescent="0.25">
      <c r="E77" s="47">
        <v>76</v>
      </c>
      <c r="F77" s="44" t="s">
        <v>792</v>
      </c>
    </row>
    <row r="78" spans="5:6" x14ac:dyDescent="0.25">
      <c r="E78" s="47">
        <v>77</v>
      </c>
      <c r="F78" s="44" t="s">
        <v>793</v>
      </c>
    </row>
    <row r="79" spans="5:6" x14ac:dyDescent="0.25">
      <c r="E79" s="47">
        <v>78</v>
      </c>
      <c r="F79" s="44" t="s">
        <v>794</v>
      </c>
    </row>
    <row r="80" spans="5:6" x14ac:dyDescent="0.25">
      <c r="E80" s="47">
        <v>79</v>
      </c>
      <c r="F80" s="44" t="s">
        <v>795</v>
      </c>
    </row>
    <row r="81" spans="5:6" x14ac:dyDescent="0.25">
      <c r="E81" s="47">
        <v>80</v>
      </c>
      <c r="F81" s="44" t="s">
        <v>796</v>
      </c>
    </row>
    <row r="82" spans="5:6" x14ac:dyDescent="0.25">
      <c r="E82" s="47">
        <v>81</v>
      </c>
      <c r="F82" s="44" t="s">
        <v>703</v>
      </c>
    </row>
    <row r="83" spans="5:6" x14ac:dyDescent="0.25">
      <c r="E83" s="47">
        <v>82</v>
      </c>
      <c r="F83" s="44" t="s">
        <v>797</v>
      </c>
    </row>
    <row r="84" spans="5:6" x14ac:dyDescent="0.25">
      <c r="E84" s="47">
        <v>83</v>
      </c>
      <c r="F84" s="44" t="s">
        <v>798</v>
      </c>
    </row>
    <row r="85" spans="5:6" x14ac:dyDescent="0.25">
      <c r="E85" s="47">
        <v>84</v>
      </c>
      <c r="F85" s="44" t="s">
        <v>799</v>
      </c>
    </row>
    <row r="86" spans="5:6" x14ac:dyDescent="0.25">
      <c r="E86" s="47">
        <v>85</v>
      </c>
      <c r="F86" s="44" t="s">
        <v>800</v>
      </c>
    </row>
    <row r="87" spans="5:6" x14ac:dyDescent="0.25">
      <c r="E87" s="47">
        <v>86</v>
      </c>
      <c r="F87" s="44" t="s">
        <v>801</v>
      </c>
    </row>
    <row r="88" spans="5:6" x14ac:dyDescent="0.25">
      <c r="E88" s="47">
        <v>87</v>
      </c>
      <c r="F88" s="44" t="s">
        <v>802</v>
      </c>
    </row>
    <row r="89" spans="5:6" x14ac:dyDescent="0.25">
      <c r="E89" s="47">
        <v>88</v>
      </c>
      <c r="F89" s="44" t="s">
        <v>803</v>
      </c>
    </row>
    <row r="90" spans="5:6" x14ac:dyDescent="0.25">
      <c r="E90" s="47">
        <v>89</v>
      </c>
      <c r="F90" s="44" t="s">
        <v>804</v>
      </c>
    </row>
    <row r="91" spans="5:6" x14ac:dyDescent="0.25">
      <c r="E91" s="47">
        <v>90</v>
      </c>
      <c r="F91" s="44" t="s">
        <v>805</v>
      </c>
    </row>
    <row r="92" spans="5:6" x14ac:dyDescent="0.25">
      <c r="E92" s="47">
        <v>91</v>
      </c>
      <c r="F92" s="44" t="s">
        <v>806</v>
      </c>
    </row>
    <row r="93" spans="5:6" x14ac:dyDescent="0.25">
      <c r="E93" s="47">
        <v>92</v>
      </c>
      <c r="F93" s="44" t="s">
        <v>807</v>
      </c>
    </row>
    <row r="94" spans="5:6" x14ac:dyDescent="0.25">
      <c r="E94" s="47">
        <v>93</v>
      </c>
      <c r="F94" s="44" t="s">
        <v>808</v>
      </c>
    </row>
    <row r="95" spans="5:6" x14ac:dyDescent="0.25">
      <c r="E95" s="47">
        <v>94</v>
      </c>
      <c r="F95" s="44" t="s">
        <v>809</v>
      </c>
    </row>
    <row r="96" spans="5:6" x14ac:dyDescent="0.25">
      <c r="E96" s="47">
        <v>95</v>
      </c>
      <c r="F96" s="44" t="s">
        <v>810</v>
      </c>
    </row>
    <row r="97" spans="5:6" x14ac:dyDescent="0.25">
      <c r="E97" s="47">
        <v>96</v>
      </c>
      <c r="F97" s="44" t="s">
        <v>811</v>
      </c>
    </row>
    <row r="98" spans="5:6" x14ac:dyDescent="0.25">
      <c r="E98" s="47">
        <v>97</v>
      </c>
      <c r="F98" s="44" t="s">
        <v>812</v>
      </c>
    </row>
    <row r="99" spans="5:6" x14ac:dyDescent="0.25">
      <c r="E99" s="47">
        <v>98</v>
      </c>
      <c r="F99" s="44" t="s">
        <v>813</v>
      </c>
    </row>
    <row r="100" spans="5:6" x14ac:dyDescent="0.25">
      <c r="E100" s="47">
        <v>99</v>
      </c>
      <c r="F100" s="44">
        <v>38</v>
      </c>
    </row>
    <row r="101" spans="5:6" x14ac:dyDescent="0.25">
      <c r="E101" s="47">
        <v>100</v>
      </c>
      <c r="F101" s="44" t="s">
        <v>814</v>
      </c>
    </row>
    <row r="102" spans="5:6" x14ac:dyDescent="0.25">
      <c r="E102" s="47">
        <v>101</v>
      </c>
      <c r="F102" s="44">
        <v>5.5</v>
      </c>
    </row>
    <row r="113" spans="5:6" x14ac:dyDescent="0.25">
      <c r="E113" s="43" t="s">
        <v>815</v>
      </c>
      <c r="F113" t="s">
        <v>816</v>
      </c>
    </row>
    <row r="114" spans="5:6" x14ac:dyDescent="0.25">
      <c r="E114" s="43" t="s">
        <v>817</v>
      </c>
      <c r="F114" t="s">
        <v>818</v>
      </c>
    </row>
    <row r="115" spans="5:6" x14ac:dyDescent="0.25">
      <c r="E115" s="43" t="s">
        <v>819</v>
      </c>
      <c r="F115" t="s">
        <v>820</v>
      </c>
    </row>
  </sheetData>
  <mergeCells count="4">
    <mergeCell ref="E1:F1"/>
    <mergeCell ref="A1:B1"/>
    <mergeCell ref="H1:I1"/>
    <mergeCell ref="K1:L1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theme="2" tint="-0.499984740745262"/>
  </sheetPr>
  <dimension ref="A1:T411"/>
  <sheetViews>
    <sheetView tabSelected="1" zoomScale="85" zoomScaleNormal="85" workbookViewId="0">
      <pane ySplit="1" topLeftCell="A2" activePane="bottomLeft" state="frozen"/>
      <selection activeCell="E903" sqref="E903"/>
      <selection pane="bottomLeft" activeCell="F4" sqref="F4"/>
    </sheetView>
  </sheetViews>
  <sheetFormatPr baseColWidth="10" defaultColWidth="11.42578125" defaultRowHeight="12.75" x14ac:dyDescent="0.2"/>
  <cols>
    <col min="1" max="1" width="5.5703125" style="20" customWidth="1"/>
    <col min="2" max="2" width="7.42578125" style="20" hidden="1" customWidth="1"/>
    <col min="3" max="3" width="83.28515625" style="11" customWidth="1"/>
    <col min="4" max="5" width="17.7109375" style="11" customWidth="1"/>
    <col min="6" max="6" width="30.28515625" style="11" customWidth="1"/>
    <col min="7" max="7" width="9" style="11" customWidth="1"/>
    <col min="8" max="8" width="15.7109375" style="11" bestFit="1" customWidth="1"/>
    <col min="9" max="9" width="18.7109375" style="41" bestFit="1" customWidth="1"/>
    <col min="10" max="10" width="6.28515625" style="15" bestFit="1" customWidth="1"/>
    <col min="11" max="11" width="6" style="15" bestFit="1" customWidth="1"/>
    <col min="12" max="12" width="6.28515625" style="15" bestFit="1" customWidth="1"/>
    <col min="13" max="13" width="5.7109375" style="24" bestFit="1" customWidth="1"/>
    <col min="14" max="14" width="6.28515625" style="18" customWidth="1"/>
    <col min="15" max="15" width="14.5703125" style="117" customWidth="1"/>
    <col min="16" max="16" width="14" style="19" customWidth="1"/>
    <col min="17" max="17" width="20.7109375" style="20" customWidth="1"/>
    <col min="18" max="18" width="11.42578125" style="11"/>
    <col min="19" max="19" width="17.5703125" style="11" bestFit="1" customWidth="1"/>
    <col min="20" max="20" width="32.7109375" style="11" bestFit="1" customWidth="1"/>
    <col min="21" max="21" width="18.28515625" style="11" bestFit="1" customWidth="1"/>
    <col min="22" max="22" width="25.28515625" style="11" bestFit="1" customWidth="1"/>
    <col min="23" max="23" width="15.7109375" style="11" bestFit="1" customWidth="1"/>
    <col min="24" max="24" width="22.85546875" style="11" bestFit="1" customWidth="1"/>
    <col min="25" max="25" width="29.5703125" style="11" bestFit="1" customWidth="1"/>
    <col min="26" max="26" width="10.28515625" style="11" bestFit="1" customWidth="1"/>
    <col min="27" max="28" width="7.42578125" style="11" bestFit="1" customWidth="1"/>
    <col min="29" max="30" width="8.42578125" style="11" bestFit="1" customWidth="1"/>
    <col min="31" max="37" width="7.42578125" style="11" bestFit="1" customWidth="1"/>
    <col min="38" max="38" width="15.42578125" style="11" bestFit="1" customWidth="1"/>
    <col min="39" max="39" width="16" style="11" bestFit="1" customWidth="1"/>
    <col min="40" max="40" width="16.140625" style="11" bestFit="1" customWidth="1"/>
    <col min="41" max="41" width="19" style="11" bestFit="1" customWidth="1"/>
    <col min="42" max="42" width="15.7109375" style="11" bestFit="1" customWidth="1"/>
    <col min="43" max="53" width="13.28515625" style="11" bestFit="1" customWidth="1"/>
    <col min="54" max="55" width="8" style="11" bestFit="1" customWidth="1"/>
    <col min="56" max="57" width="11" style="11" bestFit="1" customWidth="1"/>
    <col min="58" max="60" width="9.5703125" style="11" bestFit="1" customWidth="1"/>
    <col min="61" max="66" width="10" style="11" bestFit="1" customWidth="1"/>
    <col min="67" max="70" width="9" style="11" bestFit="1" customWidth="1"/>
    <col min="71" max="71" width="25.85546875" style="11" bestFit="1" customWidth="1"/>
    <col min="72" max="72" width="13.5703125" style="11" bestFit="1" customWidth="1"/>
    <col min="73" max="73" width="15" style="11" bestFit="1" customWidth="1"/>
    <col min="74" max="74" width="14.7109375" style="11" bestFit="1" customWidth="1"/>
    <col min="75" max="75" width="25.42578125" style="11" bestFit="1" customWidth="1"/>
    <col min="76" max="76" width="20.140625" style="11" bestFit="1" customWidth="1"/>
    <col min="77" max="77" width="18.7109375" style="11" bestFit="1" customWidth="1"/>
    <col min="78" max="78" width="18.5703125" style="11" bestFit="1" customWidth="1"/>
    <col min="79" max="79" width="9.85546875" style="11" bestFit="1" customWidth="1"/>
    <col min="80" max="80" width="7.85546875" style="11" bestFit="1" customWidth="1"/>
    <col min="81" max="81" width="9.85546875" style="11" bestFit="1" customWidth="1"/>
    <col min="82" max="83" width="15.5703125" style="11" bestFit="1" customWidth="1"/>
    <col min="84" max="85" width="22.85546875" style="11" bestFit="1" customWidth="1"/>
    <col min="86" max="86" width="13.7109375" style="11" bestFit="1" customWidth="1"/>
    <col min="87" max="96" width="16.5703125" style="11" bestFit="1" customWidth="1"/>
    <col min="97" max="109" width="13.5703125" style="11" bestFit="1" customWidth="1"/>
    <col min="110" max="110" width="16.42578125" style="11" bestFit="1" customWidth="1"/>
    <col min="111" max="111" width="17.85546875" style="11" bestFit="1" customWidth="1"/>
    <col min="112" max="112" width="15.5703125" style="11" bestFit="1" customWidth="1"/>
    <col min="113" max="113" width="16.28515625" style="11" bestFit="1" customWidth="1"/>
    <col min="114" max="119" width="13.28515625" style="11" bestFit="1" customWidth="1"/>
    <col min="120" max="122" width="14.140625" style="11" bestFit="1" customWidth="1"/>
    <col min="123" max="124" width="21.5703125" style="11" bestFit="1" customWidth="1"/>
    <col min="125" max="127" width="10.42578125" style="11" bestFit="1" customWidth="1"/>
    <col min="128" max="130" width="9.42578125" style="11" bestFit="1" customWidth="1"/>
    <col min="131" max="131" width="15.42578125" style="11" bestFit="1" customWidth="1"/>
    <col min="132" max="135" width="10.140625" style="11" bestFit="1" customWidth="1"/>
    <col min="136" max="138" width="11.85546875" style="11" bestFit="1" customWidth="1"/>
    <col min="139" max="139" width="14.85546875" style="11" bestFit="1" customWidth="1"/>
    <col min="140" max="140" width="11.42578125" style="11"/>
    <col min="141" max="142" width="9.85546875" style="11" bestFit="1" customWidth="1"/>
    <col min="143" max="143" width="8.85546875" style="11" bestFit="1" customWidth="1"/>
    <col min="144" max="145" width="19.42578125" style="11" bestFit="1" customWidth="1"/>
    <col min="146" max="146" width="18.42578125" style="11" bestFit="1" customWidth="1"/>
    <col min="147" max="147" width="14.140625" style="11" bestFit="1" customWidth="1"/>
    <col min="148" max="148" width="24.140625" style="11" bestFit="1" customWidth="1"/>
    <col min="149" max="149" width="16.42578125" style="11" bestFit="1" customWidth="1"/>
    <col min="150" max="150" width="14" style="11" bestFit="1" customWidth="1"/>
    <col min="151" max="151" width="25.85546875" style="11" bestFit="1" customWidth="1"/>
    <col min="152" max="152" width="10.28515625" style="11" bestFit="1" customWidth="1"/>
    <col min="153" max="153" width="12.28515625" style="11" bestFit="1" customWidth="1"/>
    <col min="154" max="156" width="12.7109375" style="11" bestFit="1" customWidth="1"/>
    <col min="157" max="157" width="14.140625" style="11" bestFit="1" customWidth="1"/>
    <col min="158" max="158" width="5.42578125" style="11" bestFit="1" customWidth="1"/>
    <col min="159" max="159" width="12.140625" style="11" bestFit="1" customWidth="1"/>
    <col min="160" max="16384" width="11.42578125" style="11"/>
  </cols>
  <sheetData>
    <row r="1" spans="1:20" ht="48.75" x14ac:dyDescent="0.25">
      <c r="A1" s="65" t="s">
        <v>821</v>
      </c>
      <c r="B1" s="1">
        <f ca="1">+TODAY()</f>
        <v>46109</v>
      </c>
      <c r="C1" s="2" t="s">
        <v>822</v>
      </c>
      <c r="D1" s="63" t="s">
        <v>823</v>
      </c>
      <c r="E1" s="63" t="s">
        <v>824</v>
      </c>
      <c r="F1" s="2" t="s">
        <v>825</v>
      </c>
      <c r="G1" s="2" t="s">
        <v>0</v>
      </c>
      <c r="H1" s="2" t="s">
        <v>826</v>
      </c>
      <c r="I1" s="4" t="s">
        <v>827</v>
      </c>
      <c r="J1" s="5" t="s">
        <v>2</v>
      </c>
      <c r="K1" s="6" t="s">
        <v>3</v>
      </c>
      <c r="L1" s="6" t="s">
        <v>4</v>
      </c>
      <c r="M1" s="7" t="s">
        <v>5</v>
      </c>
      <c r="N1" s="8" t="s">
        <v>828</v>
      </c>
      <c r="O1" s="116" t="s">
        <v>7</v>
      </c>
      <c r="P1" s="9" t="s">
        <v>8</v>
      </c>
      <c r="Q1" s="10" t="s">
        <v>1306</v>
      </c>
      <c r="S1"/>
      <c r="T1"/>
    </row>
    <row r="2" spans="1:20" ht="15" customHeight="1" x14ac:dyDescent="0.2">
      <c r="A2" s="11">
        <f t="shared" ref="A2:A58" ca="1" si="0">DAYS360(I2,$B$1)</f>
        <v>205</v>
      </c>
      <c r="B2" s="11">
        <f t="shared" ref="B2:B23" ca="1" si="1">DAYS360($B$1,P3)</f>
        <v>-45448</v>
      </c>
      <c r="C2" s="11" t="s">
        <v>180</v>
      </c>
      <c r="D2" s="11" t="str">
        <f>VLOOKUP(VALUE(MID($C2,13,2)), codigos!$A$2:$B$60, 2, 1) &amp; " " &amp; VLOOKUP(VALUE(MID($C2,15,4)), codigos!$E$2:$F$102, 2, FALSE)</f>
        <v>POCILLO 12</v>
      </c>
      <c r="E2" s="11" t="str">
        <f>VLOOKUP(VALUE(MID($C2,19,2)),codigos!$H$2:$I$62,2,1) &amp; " " &amp; VLOOKUP(VALUE(MID($C2,21,2)),codigos!$K$2:$L$12,2,FALSE)</f>
        <v>A/T S/I</v>
      </c>
      <c r="F2" s="11" t="s">
        <v>878</v>
      </c>
      <c r="G2" s="11" t="s">
        <v>34</v>
      </c>
      <c r="H2" s="52" t="s">
        <v>879</v>
      </c>
      <c r="I2" s="20" t="s">
        <v>880</v>
      </c>
      <c r="J2" s="11">
        <v>396</v>
      </c>
      <c r="K2" s="11">
        <f>114+2+276+4</f>
        <v>396</v>
      </c>
      <c r="L2" s="11">
        <f t="shared" ref="L2:L24" si="2">+J2-K2</f>
        <v>0</v>
      </c>
      <c r="M2" s="131">
        <f>(SUM(K2:K5))/(SUM(J2:J5))</f>
        <v>0.64655172413793105</v>
      </c>
      <c r="O2" s="93"/>
    </row>
    <row r="3" spans="1:20" x14ac:dyDescent="0.2">
      <c r="A3" s="11">
        <f t="shared" ca="1" si="0"/>
        <v>156</v>
      </c>
      <c r="B3" s="11">
        <f t="shared" ca="1" si="1"/>
        <v>-45448</v>
      </c>
      <c r="C3" s="11" t="s">
        <v>173</v>
      </c>
      <c r="D3" s="11" t="str">
        <f>VLOOKUP(VALUE(MID($C3,13,2)), codigos!$A$2:$B$60, 2, 1) &amp; " " &amp; VLOOKUP(VALUE(MID($C3,15,4)), codigos!$E$2:$F$102, 2, FALSE)</f>
        <v>BUDINERA 34</v>
      </c>
      <c r="E3" s="11" t="str">
        <f>VLOOKUP(VALUE(MID($C3,19,2)),codigos!$H$2:$I$62,2,1) &amp; " " &amp; VLOOKUP(VALUE(MID($C3,21,2)),codigos!$K$2:$L$12,2,FALSE)</f>
        <v>A/T S/I</v>
      </c>
      <c r="F3" s="11" t="s">
        <v>878</v>
      </c>
      <c r="G3" s="11" t="s">
        <v>34</v>
      </c>
      <c r="H3" s="52" t="s">
        <v>879</v>
      </c>
      <c r="I3" s="20" t="s">
        <v>881</v>
      </c>
      <c r="J3" s="11">
        <v>100</v>
      </c>
      <c r="K3" s="11">
        <v>0</v>
      </c>
      <c r="L3" s="11">
        <f t="shared" si="2"/>
        <v>100</v>
      </c>
      <c r="M3" s="131"/>
      <c r="O3" s="93"/>
    </row>
    <row r="4" spans="1:20" x14ac:dyDescent="0.2">
      <c r="A4" s="11">
        <f t="shared" ca="1" si="0"/>
        <v>156</v>
      </c>
      <c r="B4" s="11">
        <f t="shared" ca="1" si="1"/>
        <v>-45448</v>
      </c>
      <c r="C4" s="11" t="s">
        <v>175</v>
      </c>
      <c r="D4" s="11" t="str">
        <f>VLOOKUP(VALUE(MID($C4,13,2)), codigos!$A$2:$B$60, 2, 1) &amp; " " &amp; VLOOKUP(VALUE(MID($C4,15,4)), codigos!$E$2:$F$102, 2, FALSE)</f>
        <v>JUEGO 3+3</v>
      </c>
      <c r="E4" s="11" t="str">
        <f>VLOOKUP(VALUE(MID($C4,19,2)),codigos!$H$2:$I$62,2,1) &amp; " " &amp; VLOOKUP(VALUE(MID($C4,21,2)),codigos!$K$2:$L$12,2,FALSE)</f>
        <v>S/I S/I</v>
      </c>
      <c r="F4" s="11" t="s">
        <v>878</v>
      </c>
      <c r="G4" s="11" t="s">
        <v>34</v>
      </c>
      <c r="H4" s="52" t="s">
        <v>879</v>
      </c>
      <c r="I4" s="20" t="s">
        <v>881</v>
      </c>
      <c r="J4" s="11">
        <v>448</v>
      </c>
      <c r="K4" s="11">
        <f>179</f>
        <v>179</v>
      </c>
      <c r="L4" s="11">
        <f t="shared" si="2"/>
        <v>269</v>
      </c>
      <c r="M4" s="131"/>
      <c r="O4" s="93"/>
    </row>
    <row r="5" spans="1:20" x14ac:dyDescent="0.2">
      <c r="A5" s="11">
        <f t="shared" ca="1" si="0"/>
        <v>156</v>
      </c>
      <c r="B5" s="11">
        <f t="shared" ca="1" si="1"/>
        <v>-45448</v>
      </c>
      <c r="C5" s="11" t="s">
        <v>156</v>
      </c>
      <c r="D5" s="11" t="str">
        <f>VLOOKUP(VALUE(MID($C5,13,2)), codigos!$A$2:$B$60, 2, 1) &amp; " " &amp; VLOOKUP(VALUE(MID($C5,15,4)), codigos!$E$2:$F$102, 2, FALSE)</f>
        <v>OLLA RECTA 34</v>
      </c>
      <c r="E5" s="11" t="str">
        <f>VLOOKUP(VALUE(MID($C5,19,2)),codigos!$H$2:$I$62,2,1) &amp; " " &amp; VLOOKUP(VALUE(MID($C5,21,2)),codigos!$K$2:$L$12,2,FALSE)</f>
        <v>A/T S/I</v>
      </c>
      <c r="F5" s="11" t="s">
        <v>878</v>
      </c>
      <c r="G5" s="11" t="s">
        <v>34</v>
      </c>
      <c r="H5" s="52" t="s">
        <v>879</v>
      </c>
      <c r="I5" s="20" t="s">
        <v>881</v>
      </c>
      <c r="J5" s="11">
        <v>100</v>
      </c>
      <c r="K5" s="11">
        <f>20+2-6+12+48+4+20</f>
        <v>100</v>
      </c>
      <c r="L5" s="11">
        <f t="shared" si="2"/>
        <v>0</v>
      </c>
      <c r="M5" s="131"/>
      <c r="O5" s="93"/>
    </row>
    <row r="6" spans="1:20" x14ac:dyDescent="0.2">
      <c r="A6" s="11">
        <f t="shared" ca="1" si="0"/>
        <v>60</v>
      </c>
      <c r="B6" s="11">
        <f t="shared" ca="1" si="1"/>
        <v>-45448</v>
      </c>
      <c r="C6" s="11" t="s">
        <v>215</v>
      </c>
      <c r="D6" s="11" t="str">
        <f>VLOOKUP(VALUE(MID($C6,13,2)), codigos!$A$2:$B$60, 2, 1) &amp; " " &amp; VLOOKUP(VALUE(MID($C6,15,4)), codigos!$E$2:$F$102, 2, FALSE)</f>
        <v>BUDINERA 20</v>
      </c>
      <c r="E6" s="11" t="str">
        <f>VLOOKUP(VALUE(MID($C6,19,2)),codigos!$H$2:$I$62,2,1) &amp; " " &amp; VLOOKUP(VALUE(MID($C6,21,2)),codigos!$K$2:$L$12,2,FALSE)</f>
        <v>A/T S/I</v>
      </c>
      <c r="F6" s="11" t="s">
        <v>882</v>
      </c>
      <c r="G6" s="11" t="s">
        <v>11</v>
      </c>
      <c r="H6" s="52" t="s">
        <v>883</v>
      </c>
      <c r="I6" s="19" t="s">
        <v>1324</v>
      </c>
      <c r="J6" s="11">
        <v>180</v>
      </c>
      <c r="K6" s="11">
        <f>59+36+1+13+56+15</f>
        <v>180</v>
      </c>
      <c r="L6" s="11">
        <f t="shared" si="2"/>
        <v>0</v>
      </c>
      <c r="M6" s="131">
        <f>(SUM(K6:K24))/(SUM(J6:J24))</f>
        <v>0.81985044187627465</v>
      </c>
      <c r="O6" s="93">
        <v>46108</v>
      </c>
    </row>
    <row r="7" spans="1:20" x14ac:dyDescent="0.2">
      <c r="A7" s="11">
        <f t="shared" ca="1" si="0"/>
        <v>60</v>
      </c>
      <c r="B7" s="11">
        <f t="shared" ca="1" si="1"/>
        <v>-45448</v>
      </c>
      <c r="C7" s="11" t="s">
        <v>241</v>
      </c>
      <c r="D7" s="11" t="str">
        <f>VLOOKUP(VALUE(MID($C7,13,2)), codigos!$A$2:$B$60, 2, 1) &amp; " " &amp; VLOOKUP(VALUE(MID($C7,15,4)), codigos!$E$2:$F$102, 2, FALSE)</f>
        <v>BUDINERA 22</v>
      </c>
      <c r="E7" s="11" t="str">
        <f>VLOOKUP(VALUE(MID($C7,19,2)),codigos!$H$2:$I$62,2,1) &amp; " " &amp; VLOOKUP(VALUE(MID($C7,21,2)),codigos!$K$2:$L$12,2,FALSE)</f>
        <v>A/T S/I</v>
      </c>
      <c r="F7" s="11" t="s">
        <v>882</v>
      </c>
      <c r="G7" s="11" t="s">
        <v>11</v>
      </c>
      <c r="H7" s="52" t="s">
        <v>883</v>
      </c>
      <c r="I7" s="18">
        <v>46050</v>
      </c>
      <c r="J7" s="11">
        <v>180</v>
      </c>
      <c r="K7" s="11">
        <f>120+12+48-120+6+24+12+72+6-29+29</f>
        <v>180</v>
      </c>
      <c r="L7" s="11">
        <f t="shared" si="2"/>
        <v>0</v>
      </c>
      <c r="M7" s="131"/>
      <c r="O7" s="93">
        <v>46108</v>
      </c>
    </row>
    <row r="8" spans="1:20" x14ac:dyDescent="0.2">
      <c r="A8" s="11">
        <f t="shared" ca="1" si="0"/>
        <v>60</v>
      </c>
      <c r="B8" s="11">
        <f t="shared" ca="1" si="1"/>
        <v>-45448</v>
      </c>
      <c r="C8" s="11" t="s">
        <v>143</v>
      </c>
      <c r="D8" s="11" t="str">
        <f>VLOOKUP(VALUE(MID($C8,13,2)), codigos!$A$2:$B$60, 2, 1) &amp; " " &amp; VLOOKUP(VALUE(MID($C8,15,4)), codigos!$E$2:$F$102, 2, FALSE)</f>
        <v>BUDINERA 24</v>
      </c>
      <c r="E8" s="11" t="str">
        <f>VLOOKUP(VALUE(MID($C8,19,2)),codigos!$H$2:$I$62,2,1) &amp; " " &amp; VLOOKUP(VALUE(MID($C8,21,2)),codigos!$K$2:$L$12,2,FALSE)</f>
        <v>A/T S/I</v>
      </c>
      <c r="F8" s="11" t="s">
        <v>882</v>
      </c>
      <c r="G8" s="11" t="s">
        <v>11</v>
      </c>
      <c r="H8" s="52" t="s">
        <v>883</v>
      </c>
      <c r="I8" s="19" t="s">
        <v>1324</v>
      </c>
      <c r="J8" s="11">
        <v>204</v>
      </c>
      <c r="K8" s="11">
        <f>91+14+4+24</f>
        <v>133</v>
      </c>
      <c r="L8" s="11">
        <f t="shared" si="2"/>
        <v>71</v>
      </c>
      <c r="M8" s="131"/>
      <c r="O8" s="93">
        <v>46108</v>
      </c>
    </row>
    <row r="9" spans="1:20" x14ac:dyDescent="0.2">
      <c r="A9" s="11">
        <f t="shared" ca="1" si="0"/>
        <v>60</v>
      </c>
      <c r="B9" s="11">
        <f t="shared" ca="1" si="1"/>
        <v>-45448</v>
      </c>
      <c r="C9" s="11" t="s">
        <v>148</v>
      </c>
      <c r="D9" s="11" t="str">
        <f>VLOOKUP(VALUE(MID($C9,13,2)), codigos!$A$2:$B$60, 2, 1) &amp; " " &amp; VLOOKUP(VALUE(MID($C9,15,4)), codigos!$E$2:$F$102, 2, FALSE)</f>
        <v>BUDINERA 26</v>
      </c>
      <c r="E9" s="11" t="str">
        <f>VLOOKUP(VALUE(MID($C9,19,2)),codigos!$H$2:$I$62,2,1) &amp; " " &amp; VLOOKUP(VALUE(MID($C9,21,2)),codigos!$K$2:$L$12,2,FALSE)</f>
        <v>A/T S/I</v>
      </c>
      <c r="F9" s="11" t="s">
        <v>882</v>
      </c>
      <c r="G9" s="11" t="s">
        <v>11</v>
      </c>
      <c r="H9" s="52" t="s">
        <v>883</v>
      </c>
      <c r="I9" s="19" t="s">
        <v>1324</v>
      </c>
      <c r="J9" s="11">
        <v>120</v>
      </c>
      <c r="K9" s="11">
        <f>12+36+4+4+1-57</f>
        <v>0</v>
      </c>
      <c r="L9" s="11">
        <f t="shared" si="2"/>
        <v>120</v>
      </c>
      <c r="M9" s="131"/>
      <c r="O9" s="93">
        <v>46108</v>
      </c>
    </row>
    <row r="10" spans="1:20" x14ac:dyDescent="0.2">
      <c r="A10" s="11">
        <f t="shared" ca="1" si="0"/>
        <v>60</v>
      </c>
      <c r="B10" s="11">
        <f t="shared" ca="1" si="1"/>
        <v>-45448</v>
      </c>
      <c r="C10" s="11" t="s">
        <v>151</v>
      </c>
      <c r="D10" s="11" t="str">
        <f>VLOOKUP(VALUE(MID($C10,13,2)), codigos!$A$2:$B$60, 2, 1) &amp; " " &amp; VLOOKUP(VALUE(MID($C10,15,4)), codigos!$E$2:$F$102, 2, FALSE)</f>
        <v>OLLA CONVEXA 20</v>
      </c>
      <c r="E10" s="11" t="str">
        <f>VLOOKUP(VALUE(MID($C10,19,2)),codigos!$H$2:$I$62,2,1) &amp; " " &amp; VLOOKUP(VALUE(MID($C10,21,2)),codigos!$K$2:$L$12,2,FALSE)</f>
        <v>A/T S/I</v>
      </c>
      <c r="F10" s="11" t="s">
        <v>882</v>
      </c>
      <c r="G10" s="11" t="s">
        <v>11</v>
      </c>
      <c r="H10" s="52" t="s">
        <v>883</v>
      </c>
      <c r="I10" s="19" t="s">
        <v>1324</v>
      </c>
      <c r="J10" s="11">
        <v>180</v>
      </c>
      <c r="K10" s="11">
        <f>180</f>
        <v>180</v>
      </c>
      <c r="L10" s="11">
        <f t="shared" si="2"/>
        <v>0</v>
      </c>
      <c r="M10" s="131"/>
      <c r="O10" s="93">
        <v>46108</v>
      </c>
    </row>
    <row r="11" spans="1:20" x14ac:dyDescent="0.2">
      <c r="A11" s="11">
        <f t="shared" ca="1" si="0"/>
        <v>60</v>
      </c>
      <c r="B11" s="11">
        <f t="shared" ca="1" si="1"/>
        <v>-45448</v>
      </c>
      <c r="C11" s="11" t="s">
        <v>43</v>
      </c>
      <c r="D11" s="11" t="str">
        <f>VLOOKUP(VALUE(MID($C11,13,2)), codigos!$A$2:$B$60, 2, 1) &amp; " " &amp; VLOOKUP(VALUE(MID($C11,15,4)), codigos!$E$2:$F$102, 2, FALSE)</f>
        <v>OLLA CONVEXA 22</v>
      </c>
      <c r="E11" s="11" t="str">
        <f>VLOOKUP(VALUE(MID($C11,19,2)),codigos!$H$2:$I$62,2,1) &amp; " " &amp; VLOOKUP(VALUE(MID($C11,21,2)),codigos!$K$2:$L$12,2,FALSE)</f>
        <v>A/T S/I</v>
      </c>
      <c r="F11" s="11" t="s">
        <v>882</v>
      </c>
      <c r="G11" s="11" t="s">
        <v>11</v>
      </c>
      <c r="H11" s="52" t="s">
        <v>883</v>
      </c>
      <c r="I11" s="19" t="s">
        <v>1324</v>
      </c>
      <c r="J11" s="11">
        <v>180</v>
      </c>
      <c r="K11" s="11">
        <f>4+108+6+6+12+6+1+36+1-120+1+4+114+1</f>
        <v>180</v>
      </c>
      <c r="L11" s="11">
        <f t="shared" si="2"/>
        <v>0</v>
      </c>
      <c r="M11" s="131"/>
      <c r="O11" s="93">
        <v>46108</v>
      </c>
    </row>
    <row r="12" spans="1:20" x14ac:dyDescent="0.2">
      <c r="A12" s="11">
        <f t="shared" ca="1" si="0"/>
        <v>60</v>
      </c>
      <c r="B12" s="11">
        <f t="shared" ca="1" si="1"/>
        <v>-45448</v>
      </c>
      <c r="C12" s="11" t="s">
        <v>152</v>
      </c>
      <c r="D12" s="11" t="str">
        <f>VLOOKUP(VALUE(MID($C12,13,2)), codigos!$A$2:$B$60, 2, 1) &amp; " " &amp; VLOOKUP(VALUE(MID($C12,15,4)), codigos!$E$2:$F$102, 2, FALSE)</f>
        <v>OLLA CONVEXA 24</v>
      </c>
      <c r="E12" s="11" t="str">
        <f>VLOOKUP(VALUE(MID($C12,19,2)),codigos!$H$2:$I$62,2,1) &amp; " " &amp; VLOOKUP(VALUE(MID($C12,21,2)),codigos!$K$2:$L$12,2,FALSE)</f>
        <v>A/T S/I</v>
      </c>
      <c r="F12" s="11" t="s">
        <v>882</v>
      </c>
      <c r="G12" s="11" t="s">
        <v>11</v>
      </c>
      <c r="H12" s="52" t="s">
        <v>883</v>
      </c>
      <c r="I12" s="19" t="s">
        <v>1324</v>
      </c>
      <c r="J12" s="11">
        <v>150</v>
      </c>
      <c r="K12" s="11">
        <f>2+102+30+6-120+18+6+3+2+12+5+18+3-60+18+24+6+75</f>
        <v>150</v>
      </c>
      <c r="L12" s="11">
        <f t="shared" si="2"/>
        <v>0</v>
      </c>
      <c r="M12" s="131"/>
      <c r="O12" s="93">
        <v>46108</v>
      </c>
    </row>
    <row r="13" spans="1:20" x14ac:dyDescent="0.2">
      <c r="A13" s="11">
        <f t="shared" ca="1" si="0"/>
        <v>60</v>
      </c>
      <c r="B13" s="11">
        <f t="shared" ca="1" si="1"/>
        <v>-45448</v>
      </c>
      <c r="C13" s="11" t="s">
        <v>154</v>
      </c>
      <c r="D13" s="11" t="str">
        <f>VLOOKUP(VALUE(MID($C13,13,2)), codigos!$A$2:$B$60, 2, 1) &amp; " " &amp; VLOOKUP(VALUE(MID($C13,15,4)), codigos!$E$2:$F$102, 2, FALSE)</f>
        <v>OLLA CONVEXA 30</v>
      </c>
      <c r="E13" s="11" t="str">
        <f>VLOOKUP(VALUE(MID($C13,19,2)),codigos!$H$2:$I$62,2,1) &amp; " " &amp; VLOOKUP(VALUE(MID($C13,21,2)),codigos!$K$2:$L$12,2,FALSE)</f>
        <v>A/T S/I</v>
      </c>
      <c r="F13" s="11" t="s">
        <v>882</v>
      </c>
      <c r="G13" s="11" t="s">
        <v>11</v>
      </c>
      <c r="H13" s="52" t="s">
        <v>883</v>
      </c>
      <c r="I13" s="19" t="s">
        <v>1324</v>
      </c>
      <c r="J13" s="11">
        <v>120</v>
      </c>
      <c r="K13" s="11">
        <f>66+22+8</f>
        <v>96</v>
      </c>
      <c r="L13" s="11">
        <f t="shared" si="2"/>
        <v>24</v>
      </c>
      <c r="M13" s="131"/>
      <c r="O13" s="93">
        <v>46108</v>
      </c>
    </row>
    <row r="14" spans="1:20" x14ac:dyDescent="0.2">
      <c r="A14" s="11">
        <f t="shared" ca="1" si="0"/>
        <v>60</v>
      </c>
      <c r="B14" s="11">
        <f t="shared" ca="1" si="1"/>
        <v>-45448</v>
      </c>
      <c r="C14" s="11" t="s">
        <v>221</v>
      </c>
      <c r="D14" s="11" t="str">
        <f>VLOOKUP(VALUE(MID($C14,13,2)), codigos!$A$2:$B$60, 2, 1) &amp; " " &amp; VLOOKUP(VALUE(MID($C14,15,4)), codigos!$E$2:$F$102, 2, FALSE)</f>
        <v>OLLA CONVEXA 34</v>
      </c>
      <c r="E14" s="11" t="str">
        <f>VLOOKUP(VALUE(MID($C14,19,2)),codigos!$H$2:$I$62,2,1) &amp; " " &amp; VLOOKUP(VALUE(MID($C14,21,2)),codigos!$K$2:$L$12,2,FALSE)</f>
        <v>A/T S/I</v>
      </c>
      <c r="F14" s="11" t="s">
        <v>882</v>
      </c>
      <c r="G14" s="11" t="s">
        <v>11</v>
      </c>
      <c r="H14" s="52" t="s">
        <v>883</v>
      </c>
      <c r="I14" s="19" t="s">
        <v>1324</v>
      </c>
      <c r="J14" s="11">
        <v>120</v>
      </c>
      <c r="K14" s="11">
        <v>120</v>
      </c>
      <c r="L14" s="11">
        <f t="shared" si="2"/>
        <v>0</v>
      </c>
      <c r="M14" s="131"/>
      <c r="O14" s="93">
        <v>46108</v>
      </c>
    </row>
    <row r="15" spans="1:20" x14ac:dyDescent="0.2">
      <c r="A15" s="11">
        <f t="shared" ca="1" si="0"/>
        <v>60</v>
      </c>
      <c r="B15" s="11">
        <f t="shared" ca="1" si="1"/>
        <v>-45448</v>
      </c>
      <c r="C15" s="11" t="s">
        <v>157</v>
      </c>
      <c r="D15" s="11" t="str">
        <f>VLOOKUP(VALUE(MID($C15,13,2)), codigos!$A$2:$B$60, 2, 1) &amp; " " &amp; VLOOKUP(VALUE(MID($C15,15,4)), codigos!$E$2:$F$102, 2, FALSE)</f>
        <v>OLLA RECTA 42</v>
      </c>
      <c r="E15" s="11" t="str">
        <f>VLOOKUP(VALUE(MID($C15,19,2)),codigos!$H$2:$I$62,2,1) &amp; " " &amp; VLOOKUP(VALUE(MID($C15,21,2)),codigos!$K$2:$L$12,2,FALSE)</f>
        <v>A/T S/I</v>
      </c>
      <c r="F15" s="11" t="s">
        <v>882</v>
      </c>
      <c r="G15" s="11" t="s">
        <v>11</v>
      </c>
      <c r="H15" s="52" t="s">
        <v>883</v>
      </c>
      <c r="I15" s="19" t="s">
        <v>1324</v>
      </c>
      <c r="J15" s="11">
        <v>4</v>
      </c>
      <c r="K15" s="11">
        <f>3+1</f>
        <v>4</v>
      </c>
      <c r="L15" s="11">
        <f t="shared" si="2"/>
        <v>0</v>
      </c>
      <c r="M15" s="131"/>
      <c r="O15" s="93">
        <v>46108</v>
      </c>
    </row>
    <row r="16" spans="1:20" x14ac:dyDescent="0.2">
      <c r="A16" s="11">
        <f t="shared" ca="1" si="0"/>
        <v>60</v>
      </c>
      <c r="B16" s="11">
        <f t="shared" ca="1" si="1"/>
        <v>-45448</v>
      </c>
      <c r="C16" s="11" t="s">
        <v>225</v>
      </c>
      <c r="D16" s="11" t="str">
        <f>VLOOKUP(VALUE(MID($C16,13,2)), codigos!$A$2:$B$60, 2, 1) &amp; " " &amp; VLOOKUP(VALUE(MID($C16,15,4)), codigos!$E$2:$F$102, 2, FALSE)</f>
        <v>POCILLO 8</v>
      </c>
      <c r="E16" s="11" t="str">
        <f>VLOOKUP(VALUE(MID($C16,19,2)),codigos!$H$2:$I$62,2,1) &amp; " " &amp; VLOOKUP(VALUE(MID($C16,21,2)),codigos!$K$2:$L$12,2,FALSE)</f>
        <v>A/T S/I</v>
      </c>
      <c r="F16" s="11" t="s">
        <v>882</v>
      </c>
      <c r="G16" s="11" t="s">
        <v>11</v>
      </c>
      <c r="H16" s="52" t="s">
        <v>883</v>
      </c>
      <c r="I16" s="19" t="s">
        <v>1324</v>
      </c>
      <c r="J16" s="11">
        <v>240</v>
      </c>
      <c r="K16" s="11">
        <f>20-12+192+4+24+12-27-96+90</f>
        <v>207</v>
      </c>
      <c r="L16" s="11">
        <f t="shared" si="2"/>
        <v>33</v>
      </c>
      <c r="M16" s="131"/>
      <c r="O16" s="93">
        <v>46108</v>
      </c>
    </row>
    <row r="17" spans="1:15" x14ac:dyDescent="0.2">
      <c r="A17" s="11">
        <f t="shared" ca="1" si="0"/>
        <v>60</v>
      </c>
      <c r="B17" s="11">
        <f t="shared" ca="1" si="1"/>
        <v>-45448</v>
      </c>
      <c r="C17" s="11" t="s">
        <v>226</v>
      </c>
      <c r="D17" s="11" t="str">
        <f>VLOOKUP(VALUE(MID($C17,13,2)), codigos!$A$2:$B$60, 2, 1) &amp; " " &amp; VLOOKUP(VALUE(MID($C17,15,4)), codigos!$E$2:$F$102, 2, FALSE)</f>
        <v>POCILLO 10</v>
      </c>
      <c r="E17" s="11" t="str">
        <f>VLOOKUP(VALUE(MID($C17,19,2)),codigos!$H$2:$I$62,2,1) &amp; " " &amp; VLOOKUP(VALUE(MID($C17,21,2)),codigos!$K$2:$L$12,2,FALSE)</f>
        <v>A/T S/I</v>
      </c>
      <c r="F17" s="11" t="s">
        <v>882</v>
      </c>
      <c r="G17" s="11" t="s">
        <v>11</v>
      </c>
      <c r="H17" s="52" t="s">
        <v>883</v>
      </c>
      <c r="I17" s="19" t="s">
        <v>1324</v>
      </c>
      <c r="J17" s="11">
        <v>240</v>
      </c>
      <c r="K17" s="11">
        <f>10+107+24+24+18+48+9-81+81</f>
        <v>240</v>
      </c>
      <c r="L17" s="11">
        <f t="shared" si="2"/>
        <v>0</v>
      </c>
      <c r="M17" s="131"/>
      <c r="O17" s="93">
        <v>46108</v>
      </c>
    </row>
    <row r="18" spans="1:15" x14ac:dyDescent="0.2">
      <c r="A18" s="11">
        <f t="shared" ca="1" si="0"/>
        <v>60</v>
      </c>
      <c r="B18" s="11">
        <f t="shared" ca="1" si="1"/>
        <v>-45448</v>
      </c>
      <c r="C18" s="11" t="s">
        <v>180</v>
      </c>
      <c r="D18" s="11" t="str">
        <f>VLOOKUP(VALUE(MID($C18,13,2)), codigos!$A$2:$B$60, 2, 1) &amp; " " &amp; VLOOKUP(VALUE(MID($C18,15,4)), codigos!$E$2:$F$102, 2, FALSE)</f>
        <v>POCILLO 12</v>
      </c>
      <c r="E18" s="11" t="str">
        <f>VLOOKUP(VALUE(MID($C18,19,2)),codigos!$H$2:$I$62,2,1) &amp; " " &amp; VLOOKUP(VALUE(MID($C18,21,2)),codigos!$K$2:$L$12,2,FALSE)</f>
        <v>A/T S/I</v>
      </c>
      <c r="F18" s="11" t="s">
        <v>882</v>
      </c>
      <c r="G18" s="11" t="s">
        <v>11</v>
      </c>
      <c r="H18" s="52" t="s">
        <v>883</v>
      </c>
      <c r="I18" s="19" t="s">
        <v>1324</v>
      </c>
      <c r="J18" s="11">
        <v>240</v>
      </c>
      <c r="K18" s="11">
        <f>10+24+5+48+84+69-117</f>
        <v>123</v>
      </c>
      <c r="L18" s="11">
        <f t="shared" si="2"/>
        <v>117</v>
      </c>
      <c r="M18" s="131"/>
      <c r="O18" s="93">
        <v>46108</v>
      </c>
    </row>
    <row r="19" spans="1:15" x14ac:dyDescent="0.2">
      <c r="A19" s="11">
        <f t="shared" ca="1" si="0"/>
        <v>60</v>
      </c>
      <c r="B19" s="11">
        <f t="shared" ca="1" si="1"/>
        <v>-45448</v>
      </c>
      <c r="C19" s="11" t="s">
        <v>182</v>
      </c>
      <c r="D19" s="11" t="str">
        <f>VLOOKUP(VALUE(MID($C19,13,2)), codigos!$A$2:$B$60, 2, 1) &amp; " " &amp; VLOOKUP(VALUE(MID($C19,15,4)), codigos!$E$2:$F$102, 2, FALSE)</f>
        <v>POCILLO 14</v>
      </c>
      <c r="E19" s="11" t="str">
        <f>VLOOKUP(VALUE(MID($C19,19,2)),codigos!$H$2:$I$62,2,1) &amp; " " &amp; VLOOKUP(VALUE(MID($C19,21,2)),codigos!$K$2:$L$12,2,FALSE)</f>
        <v>A/T S/I</v>
      </c>
      <c r="F19" s="11" t="s">
        <v>882</v>
      </c>
      <c r="G19" s="11" t="s">
        <v>11</v>
      </c>
      <c r="H19" s="52" t="s">
        <v>883</v>
      </c>
      <c r="I19" s="19" t="s">
        <v>1324</v>
      </c>
      <c r="J19" s="11">
        <v>180</v>
      </c>
      <c r="K19" s="11">
        <f>53+2</f>
        <v>55</v>
      </c>
      <c r="L19" s="11">
        <f t="shared" si="2"/>
        <v>125</v>
      </c>
      <c r="M19" s="131"/>
      <c r="O19" s="93">
        <v>46108</v>
      </c>
    </row>
    <row r="20" spans="1:15" x14ac:dyDescent="0.2">
      <c r="A20" s="11">
        <f t="shared" ca="1" si="0"/>
        <v>60</v>
      </c>
      <c r="B20" s="11">
        <f t="shared" ca="1" si="1"/>
        <v>-45448</v>
      </c>
      <c r="C20" s="11" t="s">
        <v>262</v>
      </c>
      <c r="D20" s="11" t="str">
        <f>VLOOKUP(VALUE(MID($C20,13,2)), codigos!$A$2:$B$60, 2, 1) &amp; " " &amp; VLOOKUP(VALUE(MID($C20,15,4)), codigos!$E$2:$F$102, 2, FALSE)</f>
        <v>SARTEN 20</v>
      </c>
      <c r="E20" s="11" t="str">
        <f>VLOOKUP(VALUE(MID($C20,19,2)),codigos!$H$2:$I$62,2,1) &amp; " " &amp; VLOOKUP(VALUE(MID($C20,21,2)),codigos!$K$2:$L$12,2,FALSE)</f>
        <v>A/T S/I</v>
      </c>
      <c r="F20" s="11" t="s">
        <v>882</v>
      </c>
      <c r="G20" s="11" t="s">
        <v>11</v>
      </c>
      <c r="H20" s="52" t="s">
        <v>883</v>
      </c>
      <c r="I20" s="19" t="s">
        <v>1324</v>
      </c>
      <c r="J20" s="11">
        <v>120</v>
      </c>
      <c r="K20" s="11">
        <v>120</v>
      </c>
      <c r="L20" s="11">
        <f t="shared" si="2"/>
        <v>0</v>
      </c>
      <c r="M20" s="131"/>
      <c r="O20" s="93">
        <v>46108</v>
      </c>
    </row>
    <row r="21" spans="1:15" x14ac:dyDescent="0.2">
      <c r="A21" s="11">
        <f t="shared" ca="1" si="0"/>
        <v>60</v>
      </c>
      <c r="B21" s="11">
        <f t="shared" ca="1" si="1"/>
        <v>-45448</v>
      </c>
      <c r="C21" s="11" t="s">
        <v>227</v>
      </c>
      <c r="D21" s="11" t="str">
        <f>VLOOKUP(VALUE(MID($C21,13,2)), codigos!$A$2:$B$60, 2, 1) &amp; " " &amp; VLOOKUP(VALUE(MID($C21,15,4)), codigos!$E$2:$F$102, 2, FALSE)</f>
        <v>SARTEN 22</v>
      </c>
      <c r="E21" s="11" t="str">
        <f>VLOOKUP(VALUE(MID($C21,19,2)),codigos!$H$2:$I$62,2,1) &amp; " " &amp; VLOOKUP(VALUE(MID($C21,21,2)),codigos!$K$2:$L$12,2,FALSE)</f>
        <v>A/T S/I</v>
      </c>
      <c r="F21" s="11" t="s">
        <v>882</v>
      </c>
      <c r="G21" s="11" t="s">
        <v>11</v>
      </c>
      <c r="H21" s="52" t="s">
        <v>883</v>
      </c>
      <c r="I21" s="19" t="s">
        <v>1324</v>
      </c>
      <c r="J21" s="11">
        <v>180</v>
      </c>
      <c r="K21" s="11">
        <f>24+108-120+12+12+24+7+5+108-108+6+3+3+48+12-4</f>
        <v>140</v>
      </c>
      <c r="L21" s="11">
        <f t="shared" si="2"/>
        <v>40</v>
      </c>
      <c r="M21" s="131"/>
      <c r="O21" s="93">
        <v>46108</v>
      </c>
    </row>
    <row r="22" spans="1:15" x14ac:dyDescent="0.2">
      <c r="A22" s="11">
        <f t="shared" ca="1" si="0"/>
        <v>60</v>
      </c>
      <c r="B22" s="11">
        <f t="shared" ca="1" si="1"/>
        <v>-45448</v>
      </c>
      <c r="C22" s="11" t="s">
        <v>44</v>
      </c>
      <c r="D22" s="11" t="str">
        <f>VLOOKUP(VALUE(MID($C22,13,2)), codigos!$A$2:$B$60, 2, 1) &amp; " " &amp; VLOOKUP(VALUE(MID($C22,15,4)), codigos!$E$2:$F$102, 2, FALSE)</f>
        <v>SARTEN 24</v>
      </c>
      <c r="E22" s="11" t="str">
        <f>VLOOKUP(VALUE(MID($C22,19,2)),codigos!$H$2:$I$62,2,1) &amp; " " &amp; VLOOKUP(VALUE(MID($C22,21,2)),codigos!$K$2:$L$12,2,FALSE)</f>
        <v>A/T S/I</v>
      </c>
      <c r="F22" s="11" t="s">
        <v>882</v>
      </c>
      <c r="G22" s="11" t="s">
        <v>11</v>
      </c>
      <c r="H22" s="52" t="s">
        <v>883</v>
      </c>
      <c r="I22" s="19" t="s">
        <v>1324</v>
      </c>
      <c r="J22" s="11">
        <v>180</v>
      </c>
      <c r="K22" s="11">
        <f>120-14+24+3+47-120+1+9+110</f>
        <v>180</v>
      </c>
      <c r="L22" s="11">
        <f t="shared" si="2"/>
        <v>0</v>
      </c>
      <c r="M22" s="131"/>
      <c r="O22" s="93">
        <v>46108</v>
      </c>
    </row>
    <row r="23" spans="1:15" x14ac:dyDescent="0.2">
      <c r="A23" s="11">
        <f t="shared" ca="1" si="0"/>
        <v>60</v>
      </c>
      <c r="B23" s="11">
        <f t="shared" ca="1" si="1"/>
        <v>-45448</v>
      </c>
      <c r="C23" s="11" t="s">
        <v>239</v>
      </c>
      <c r="D23" s="11" t="str">
        <f>VLOOKUP(VALUE(MID($C23,13,2)), codigos!$A$2:$B$60, 2, 1) &amp; " " &amp; VLOOKUP(VALUE(MID($C23,15,4)), codigos!$E$2:$F$102, 2, FALSE)</f>
        <v>SARTEN 26</v>
      </c>
      <c r="E23" s="11" t="str">
        <f>VLOOKUP(VALUE(MID($C23,19,2)),codigos!$H$2:$I$62,2,1) &amp; " " &amp; VLOOKUP(VALUE(MID($C23,21,2)),codigos!$K$2:$L$12,2,FALSE)</f>
        <v>A/T S/I</v>
      </c>
      <c r="F23" s="11" t="s">
        <v>882</v>
      </c>
      <c r="G23" s="11" t="s">
        <v>11</v>
      </c>
      <c r="H23" s="52" t="s">
        <v>883</v>
      </c>
      <c r="I23" s="19" t="s">
        <v>1324</v>
      </c>
      <c r="J23" s="11">
        <v>120</v>
      </c>
      <c r="K23" s="11">
        <v>120</v>
      </c>
      <c r="L23" s="11">
        <f t="shared" si="2"/>
        <v>0</v>
      </c>
      <c r="M23" s="131"/>
      <c r="O23" s="93">
        <v>46108</v>
      </c>
    </row>
    <row r="24" spans="1:15" x14ac:dyDescent="0.2">
      <c r="A24" s="11">
        <f t="shared" ca="1" si="0"/>
        <v>60</v>
      </c>
      <c r="B24" s="11" t="e">
        <f ca="1">DAYS360($B$1,#REF!)</f>
        <v>#REF!</v>
      </c>
      <c r="C24" s="11" t="s">
        <v>238</v>
      </c>
      <c r="D24" s="11" t="str">
        <f>VLOOKUP(VALUE(MID($C24,13,2)), codigos!$A$2:$B$60, 2, 1) &amp; " " &amp; VLOOKUP(VALUE(MID($C24,15,4)), codigos!$E$2:$F$102, 2, FALSE)</f>
        <v>OLLA RECTA 38</v>
      </c>
      <c r="E24" s="11" t="str">
        <f>VLOOKUP(VALUE(MID($C24,19,2)),codigos!$H$2:$I$62,2,1) &amp; " " &amp; VLOOKUP(VALUE(MID($C24,21,2)),codigos!$K$2:$L$12,2,FALSE)</f>
        <v>A/T S/I</v>
      </c>
      <c r="F24" s="11" t="s">
        <v>882</v>
      </c>
      <c r="G24" s="11" t="s">
        <v>11</v>
      </c>
      <c r="H24" s="52" t="s">
        <v>883</v>
      </c>
      <c r="I24" s="19" t="s">
        <v>1324</v>
      </c>
      <c r="J24" s="11">
        <v>4</v>
      </c>
      <c r="K24" s="11">
        <v>4</v>
      </c>
      <c r="L24" s="11">
        <f t="shared" si="2"/>
        <v>0</v>
      </c>
      <c r="M24" s="131"/>
      <c r="O24" s="93">
        <v>46108</v>
      </c>
    </row>
    <row r="25" spans="1:15" ht="16.5" customHeight="1" x14ac:dyDescent="0.2">
      <c r="A25" s="11">
        <f t="shared" ca="1" si="0"/>
        <v>148</v>
      </c>
      <c r="B25" s="11">
        <f ca="1">DAYS360($B$1,P26)</f>
        <v>-45448</v>
      </c>
      <c r="C25" s="11" t="s">
        <v>169</v>
      </c>
      <c r="D25" s="11" t="str">
        <f>VLOOKUP(VALUE(MID($C25,13,2)), codigos!$A$2:$B$60, 2, 1) &amp; " " &amp; VLOOKUP(VALUE(MID($C25,15,4)), codigos!$E$2:$F$102, 2, FALSE)</f>
        <v>BUDINERA 30</v>
      </c>
      <c r="E25" s="11" t="str">
        <f>VLOOKUP(VALUE(MID($C25,19,2)),codigos!$H$2:$I$62,2,1) &amp; " " &amp; VLOOKUP(VALUE(MID($C25,21,2)),codigos!$K$2:$L$12,2,FALSE)</f>
        <v>A/T S/I</v>
      </c>
      <c r="F25" s="11" t="s">
        <v>1008</v>
      </c>
      <c r="G25" s="11" t="s">
        <v>34</v>
      </c>
      <c r="H25" s="52" t="s">
        <v>1009</v>
      </c>
      <c r="I25" s="20" t="s">
        <v>1010</v>
      </c>
      <c r="J25" s="11">
        <v>40</v>
      </c>
      <c r="K25" s="11">
        <f>8+12+20</f>
        <v>40</v>
      </c>
      <c r="L25" s="11">
        <f t="shared" ref="L25:L34" si="3">+J25-K25</f>
        <v>0</v>
      </c>
      <c r="M25" s="134">
        <f>(SUM(K25:K29))/(SUM(J25:J29))</f>
        <v>1</v>
      </c>
      <c r="O25" s="93">
        <v>46066</v>
      </c>
    </row>
    <row r="26" spans="1:15" x14ac:dyDescent="0.2">
      <c r="A26" s="11">
        <f t="shared" ca="1" si="0"/>
        <v>148</v>
      </c>
      <c r="B26" s="11">
        <f ca="1">DAYS360($B$1,P27)</f>
        <v>-45448</v>
      </c>
      <c r="C26" s="11" t="s">
        <v>220</v>
      </c>
      <c r="D26" s="11" t="str">
        <f>VLOOKUP(VALUE(MID($C26,13,2)), codigos!$A$2:$B$60, 2, 1) &amp; " " &amp; VLOOKUP(VALUE(MID($C26,15,4)), codigos!$E$2:$F$102, 2, FALSE)</f>
        <v>OLLA CONVEXA 16</v>
      </c>
      <c r="E26" s="11" t="str">
        <f>VLOOKUP(VALUE(MID($C26,19,2)),codigos!$H$2:$I$62,2,1) &amp; " " &amp; VLOOKUP(VALUE(MID($C26,21,2)),codigos!$K$2:$L$12,2,FALSE)</f>
        <v>A/T S/I</v>
      </c>
      <c r="F26" s="11" t="s">
        <v>1008</v>
      </c>
      <c r="G26" s="11" t="s">
        <v>34</v>
      </c>
      <c r="H26" s="52" t="s">
        <v>1009</v>
      </c>
      <c r="I26" s="20" t="s">
        <v>1010</v>
      </c>
      <c r="J26" s="11">
        <v>12</v>
      </c>
      <c r="K26" s="11">
        <v>12</v>
      </c>
      <c r="L26" s="11">
        <f t="shared" si="3"/>
        <v>0</v>
      </c>
      <c r="M26" s="134"/>
      <c r="O26" s="93">
        <v>46066</v>
      </c>
    </row>
    <row r="27" spans="1:15" x14ac:dyDescent="0.2">
      <c r="A27" s="11">
        <f t="shared" ca="1" si="0"/>
        <v>148</v>
      </c>
      <c r="B27" s="11">
        <f ca="1">DAYS360($B$1,P28)</f>
        <v>-45448</v>
      </c>
      <c r="C27" s="11" t="s">
        <v>151</v>
      </c>
      <c r="D27" s="11" t="str">
        <f>VLOOKUP(VALUE(MID($C27,13,2)), codigos!$A$2:$B$60, 2, 1) &amp; " " &amp; VLOOKUP(VALUE(MID($C27,15,4)), codigos!$E$2:$F$102, 2, FALSE)</f>
        <v>OLLA CONVEXA 20</v>
      </c>
      <c r="E27" s="11" t="str">
        <f>VLOOKUP(VALUE(MID($C27,19,2)),codigos!$H$2:$I$62,2,1) &amp; " " &amp; VLOOKUP(VALUE(MID($C27,21,2)),codigos!$K$2:$L$12,2,FALSE)</f>
        <v>A/T S/I</v>
      </c>
      <c r="F27" s="11" t="s">
        <v>1008</v>
      </c>
      <c r="G27" s="11" t="s">
        <v>34</v>
      </c>
      <c r="H27" s="52" t="s">
        <v>1009</v>
      </c>
      <c r="I27" s="20" t="s">
        <v>1010</v>
      </c>
      <c r="J27" s="11">
        <v>36</v>
      </c>
      <c r="K27" s="11">
        <f>12+12+12</f>
        <v>36</v>
      </c>
      <c r="L27" s="11">
        <f t="shared" si="3"/>
        <v>0</v>
      </c>
      <c r="M27" s="134"/>
      <c r="O27" s="93">
        <v>46066</v>
      </c>
    </row>
    <row r="28" spans="1:15" x14ac:dyDescent="0.2">
      <c r="A28" s="11">
        <f t="shared" ca="1" si="0"/>
        <v>148</v>
      </c>
      <c r="B28" s="11">
        <f ca="1">DAYS360($B$1,P29)</f>
        <v>-45448</v>
      </c>
      <c r="C28" s="11" t="s">
        <v>154</v>
      </c>
      <c r="D28" s="11" t="str">
        <f>VLOOKUP(VALUE(MID($C28,13,2)), codigos!$A$2:$B$60, 2, 1) &amp; " " &amp; VLOOKUP(VALUE(MID($C28,15,4)), codigos!$E$2:$F$102, 2, FALSE)</f>
        <v>OLLA CONVEXA 30</v>
      </c>
      <c r="E28" s="11" t="str">
        <f>VLOOKUP(VALUE(MID($C28,19,2)),codigos!$H$2:$I$62,2,1) &amp; " " &amp; VLOOKUP(VALUE(MID($C28,21,2)),codigos!$K$2:$L$12,2,FALSE)</f>
        <v>A/T S/I</v>
      </c>
      <c r="F28" s="11" t="s">
        <v>1008</v>
      </c>
      <c r="G28" s="11" t="s">
        <v>34</v>
      </c>
      <c r="H28" s="52" t="s">
        <v>1009</v>
      </c>
      <c r="I28" s="20" t="s">
        <v>1010</v>
      </c>
      <c r="J28" s="11">
        <v>20</v>
      </c>
      <c r="K28" s="11">
        <f>14+6</f>
        <v>20</v>
      </c>
      <c r="L28" s="11">
        <f t="shared" si="3"/>
        <v>0</v>
      </c>
      <c r="M28" s="134"/>
      <c r="O28" s="93">
        <v>46066</v>
      </c>
    </row>
    <row r="29" spans="1:15" x14ac:dyDescent="0.2">
      <c r="A29" s="11">
        <f t="shared" ca="1" si="0"/>
        <v>148</v>
      </c>
      <c r="B29" s="11" t="e">
        <f ca="1">DAYS360($B$1,#REF!)</f>
        <v>#REF!</v>
      </c>
      <c r="C29" s="11" t="s">
        <v>227</v>
      </c>
      <c r="D29" s="11" t="str">
        <f>VLOOKUP(VALUE(MID($C29,13,2)), codigos!$A$2:$B$60, 2, 1) &amp; " " &amp; VLOOKUP(VALUE(MID($C29,15,4)), codigos!$E$2:$F$102, 2, FALSE)</f>
        <v>SARTEN 22</v>
      </c>
      <c r="E29" s="11" t="str">
        <f>VLOOKUP(VALUE(MID($C29,19,2)),codigos!$H$2:$I$62,2,1) &amp; " " &amp; VLOOKUP(VALUE(MID($C29,21,2)),codigos!$K$2:$L$12,2,FALSE)</f>
        <v>A/T S/I</v>
      </c>
      <c r="F29" s="11" t="s">
        <v>1008</v>
      </c>
      <c r="G29" s="11" t="s">
        <v>34</v>
      </c>
      <c r="H29" s="52" t="s">
        <v>1009</v>
      </c>
      <c r="I29" s="20" t="s">
        <v>1010</v>
      </c>
      <c r="J29" s="11">
        <v>36</v>
      </c>
      <c r="K29" s="11">
        <v>36</v>
      </c>
      <c r="L29" s="11">
        <f t="shared" si="3"/>
        <v>0</v>
      </c>
      <c r="M29" s="134"/>
      <c r="O29" s="93">
        <v>46066</v>
      </c>
    </row>
    <row r="30" spans="1:15" x14ac:dyDescent="0.2">
      <c r="A30" s="11">
        <f t="shared" ca="1" si="0"/>
        <v>73</v>
      </c>
      <c r="B30" s="11"/>
      <c r="C30" s="11" t="s">
        <v>1059</v>
      </c>
      <c r="D30" s="11" t="str">
        <f>VLOOKUP(VALUE(MID($C30,13,2)), codigos!$A$2:$B$60, 2, 1) &amp; " " &amp; VLOOKUP(VALUE(MID($C30,15,4)), codigos!$E$2:$F$102, 2, FALSE)</f>
        <v>VAJILLA LAVANDA</v>
      </c>
      <c r="E30" s="11" t="str">
        <f>VLOOKUP(VALUE(MID($C30,19,2)),codigos!$H$2:$I$62,2,1) &amp; " " &amp; VLOOKUP(VALUE(MID($C30,21,2)),codigos!$K$2:$L$12,2,FALSE)</f>
        <v>S/I S/I</v>
      </c>
      <c r="F30" s="13" t="s">
        <v>513</v>
      </c>
      <c r="G30" s="11" t="s">
        <v>319</v>
      </c>
      <c r="H30" s="25" t="s">
        <v>514</v>
      </c>
      <c r="I30" s="25" t="s">
        <v>1035</v>
      </c>
      <c r="J30" s="15">
        <v>30</v>
      </c>
      <c r="K30" s="11">
        <f>1</f>
        <v>1</v>
      </c>
      <c r="L30" s="11">
        <f t="shared" si="3"/>
        <v>29</v>
      </c>
      <c r="M30" s="131">
        <f>(SUM(K30:K34))/(SUM(J30:J34))</f>
        <v>4.5454545454545456E-2</v>
      </c>
      <c r="O30" s="93">
        <v>46080</v>
      </c>
    </row>
    <row r="31" spans="1:15" x14ac:dyDescent="0.2">
      <c r="A31" s="11">
        <f t="shared" ca="1" si="0"/>
        <v>73</v>
      </c>
      <c r="B31" s="11"/>
      <c r="C31" s="11" t="s">
        <v>337</v>
      </c>
      <c r="D31" s="11" t="str">
        <f>VLOOKUP(VALUE(MID($C31,13,2)), codigos!$A$2:$B$60, 2, 1) &amp; " " &amp; VLOOKUP(VALUE(MID($C31,15,4)), codigos!$E$2:$F$102, 2, FALSE)</f>
        <v>VAJILLA LE COQ</v>
      </c>
      <c r="E31" s="11" t="str">
        <f>VLOOKUP(VALUE(MID($C31,19,2)),codigos!$H$2:$I$62,2,1) &amp; " " &amp; VLOOKUP(VALUE(MID($C31,21,2)),codigos!$K$2:$L$12,2,FALSE)</f>
        <v>S/I S/I</v>
      </c>
      <c r="F31" s="52" t="s">
        <v>513</v>
      </c>
      <c r="G31" s="20" t="s">
        <v>319</v>
      </c>
      <c r="H31" s="11" t="s">
        <v>514</v>
      </c>
      <c r="I31" s="11" t="s">
        <v>1035</v>
      </c>
      <c r="J31" s="11">
        <v>20</v>
      </c>
      <c r="K31" s="11">
        <v>1</v>
      </c>
      <c r="L31" s="11">
        <f t="shared" si="3"/>
        <v>19</v>
      </c>
      <c r="M31" s="131"/>
      <c r="O31" s="93">
        <v>46080</v>
      </c>
    </row>
    <row r="32" spans="1:15" x14ac:dyDescent="0.2">
      <c r="A32" s="11">
        <f t="shared" ca="1" si="0"/>
        <v>73</v>
      </c>
      <c r="B32" s="11"/>
      <c r="C32" s="11" t="s">
        <v>1060</v>
      </c>
      <c r="D32" s="11" t="str">
        <f>VLOOKUP(VALUE(MID($C32,13,2)), codigos!$A$2:$B$60, 2, 1) &amp; " " &amp; VLOOKUP(VALUE(MID($C32,15,4)), codigos!$E$2:$F$102, 2, FALSE)</f>
        <v>VAJILLA MOSCA EN EL PLATO</v>
      </c>
      <c r="E32" s="11" t="str">
        <f>VLOOKUP(VALUE(MID($C32,19,2)),codigos!$H$2:$I$62,2,1) &amp; " " &amp; VLOOKUP(VALUE(MID($C32,21,2)),codigos!$K$2:$L$12,2,FALSE)</f>
        <v>S/I S/I</v>
      </c>
      <c r="F32" s="13" t="s">
        <v>513</v>
      </c>
      <c r="G32" s="11" t="s">
        <v>319</v>
      </c>
      <c r="H32" s="25" t="s">
        <v>514</v>
      </c>
      <c r="I32" s="25" t="s">
        <v>1035</v>
      </c>
      <c r="J32" s="15">
        <v>20</v>
      </c>
      <c r="K32" s="11">
        <v>0</v>
      </c>
      <c r="L32" s="11">
        <f t="shared" si="3"/>
        <v>20</v>
      </c>
      <c r="M32" s="131"/>
      <c r="O32" s="93">
        <v>46080</v>
      </c>
    </row>
    <row r="33" spans="1:15" x14ac:dyDescent="0.2">
      <c r="A33" s="11">
        <f t="shared" ca="1" si="0"/>
        <v>73</v>
      </c>
      <c r="B33" s="11"/>
      <c r="C33" s="11" t="s">
        <v>1061</v>
      </c>
      <c r="D33" s="11" t="str">
        <f>VLOOKUP(VALUE(MID($C33,13,2)), codigos!$A$2:$B$60, 2, 1) &amp; " " &amp; VLOOKUP(VALUE(MID($C33,15,4)), codigos!$E$2:$F$102, 2, FALSE)</f>
        <v>VAJILLA VELO</v>
      </c>
      <c r="E33" s="11" t="str">
        <f>VLOOKUP(VALUE(MID($C33,19,2)),codigos!$H$2:$I$62,2,1) &amp; " " &amp; VLOOKUP(VALUE(MID($C33,21,2)),codigos!$K$2:$L$12,2,FALSE)</f>
        <v>S/I S/I</v>
      </c>
      <c r="F33" s="52" t="s">
        <v>513</v>
      </c>
      <c r="G33" s="20" t="s">
        <v>319</v>
      </c>
      <c r="H33" s="11" t="s">
        <v>514</v>
      </c>
      <c r="I33" s="11" t="s">
        <v>1035</v>
      </c>
      <c r="J33" s="11">
        <v>15</v>
      </c>
      <c r="K33" s="11">
        <v>0</v>
      </c>
      <c r="L33" s="11">
        <f t="shared" si="3"/>
        <v>15</v>
      </c>
      <c r="M33" s="131"/>
      <c r="O33" s="93">
        <v>46080</v>
      </c>
    </row>
    <row r="34" spans="1:15" x14ac:dyDescent="0.2">
      <c r="A34" s="11">
        <f t="shared" ca="1" si="0"/>
        <v>73</v>
      </c>
      <c r="B34" s="11"/>
      <c r="C34" s="11" t="s">
        <v>1062</v>
      </c>
      <c r="D34" s="11" t="str">
        <f>VLOOKUP(VALUE(MID($C34,13,2)), codigos!$A$2:$B$60, 2, 1) &amp; " " &amp; VLOOKUP(VALUE(MID($C34,15,4)), codigos!$E$2:$F$102, 2, FALSE)</f>
        <v>VAJILLA CERRADO MARINO</v>
      </c>
      <c r="E34" s="11" t="str">
        <f>VLOOKUP(VALUE(MID($C34,19,2)),codigos!$H$2:$I$62,2,1) &amp; " " &amp; VLOOKUP(VALUE(MID($C34,21,2)),codigos!$K$2:$L$12,2,FALSE)</f>
        <v>S/I S/I</v>
      </c>
      <c r="F34" s="13" t="s">
        <v>513</v>
      </c>
      <c r="G34" s="11" t="s">
        <v>319</v>
      </c>
      <c r="H34" s="25" t="s">
        <v>514</v>
      </c>
      <c r="I34" s="25" t="s">
        <v>1035</v>
      </c>
      <c r="J34" s="15">
        <v>25</v>
      </c>
      <c r="K34" s="11">
        <f>3</f>
        <v>3</v>
      </c>
      <c r="L34" s="11">
        <f t="shared" si="3"/>
        <v>22</v>
      </c>
      <c r="M34" s="131"/>
      <c r="O34" s="93">
        <v>46080</v>
      </c>
    </row>
    <row r="35" spans="1:15" x14ac:dyDescent="0.2">
      <c r="A35" s="11">
        <f t="shared" ca="1" si="0"/>
        <v>113</v>
      </c>
      <c r="C35" s="11" t="s">
        <v>189</v>
      </c>
      <c r="D35" s="11" t="str">
        <f>VLOOKUP(VALUE(MID($C35,13,2)), codigos!$A$2:$B$60, 2, 1) &amp; " " &amp; VLOOKUP(VALUE(MID($C35,15,4)), codigos!$E$2:$F$102, 2, FALSE)</f>
        <v>BUDINERA 16</v>
      </c>
      <c r="E35" s="11" t="str">
        <f>VLOOKUP(VALUE(MID($C35,19,2)),codigos!$H$2:$I$62,2,1) &amp; " " &amp; VLOOKUP(VALUE(MID($C35,21,2)),codigos!$K$2:$L$12,2,FALSE)</f>
        <v>A/T S/I</v>
      </c>
      <c r="F35" s="11" t="s">
        <v>413</v>
      </c>
      <c r="G35" s="11" t="s">
        <v>340</v>
      </c>
      <c r="H35" s="52" t="s">
        <v>1307</v>
      </c>
      <c r="I35" s="20" t="s">
        <v>871</v>
      </c>
      <c r="J35" s="11">
        <v>108</v>
      </c>
      <c r="K35" s="11">
        <f>47+18+18+25</f>
        <v>108</v>
      </c>
      <c r="L35" s="11">
        <f t="shared" ref="L35:L41" si="4">+J35-K35</f>
        <v>0</v>
      </c>
      <c r="M35" s="131">
        <f>(SUM(K35:K41))/(SUM(J35:J41))</f>
        <v>0.95622119815668205</v>
      </c>
      <c r="O35" s="93">
        <v>46101</v>
      </c>
    </row>
    <row r="36" spans="1:15" x14ac:dyDescent="0.2">
      <c r="A36" s="11">
        <f t="shared" ca="1" si="0"/>
        <v>113</v>
      </c>
      <c r="C36" s="11" t="s">
        <v>215</v>
      </c>
      <c r="D36" s="11" t="str">
        <f>VLOOKUP(VALUE(MID($C36,13,2)), codigos!$A$2:$B$60, 2, 1) &amp; " " &amp; VLOOKUP(VALUE(MID($C36,15,4)), codigos!$E$2:$F$102, 2, FALSE)</f>
        <v>BUDINERA 20</v>
      </c>
      <c r="E36" s="11" t="str">
        <f>VLOOKUP(VALUE(MID($C36,19,2)),codigos!$H$2:$I$62,2,1) &amp; " " &amp; VLOOKUP(VALUE(MID($C36,21,2)),codigos!$K$2:$L$12,2,FALSE)</f>
        <v>A/T S/I</v>
      </c>
      <c r="F36" s="11" t="s">
        <v>413</v>
      </c>
      <c r="G36" s="11" t="s">
        <v>340</v>
      </c>
      <c r="H36" s="52" t="s">
        <v>1307</v>
      </c>
      <c r="I36" s="20" t="s">
        <v>871</v>
      </c>
      <c r="J36" s="11">
        <v>72</v>
      </c>
      <c r="K36" s="11">
        <v>72</v>
      </c>
      <c r="L36" s="11">
        <f t="shared" si="4"/>
        <v>0</v>
      </c>
      <c r="M36" s="131"/>
      <c r="O36" s="93">
        <v>46101</v>
      </c>
    </row>
    <row r="37" spans="1:15" x14ac:dyDescent="0.2">
      <c r="A37" s="11">
        <f t="shared" ca="1" si="0"/>
        <v>113</v>
      </c>
      <c r="C37" s="11" t="s">
        <v>394</v>
      </c>
      <c r="D37" s="11" t="str">
        <f>VLOOKUP(VALUE(MID($C37,13,2)), codigos!$A$2:$B$60, 2, 1) &amp; " " &amp; VLOOKUP(VALUE(MID($C37,15,4)), codigos!$E$2:$F$102, 2, FALSE)</f>
        <v>JUEGO 5+5</v>
      </c>
      <c r="E37" s="11" t="str">
        <f>VLOOKUP(VALUE(MID($C37,19,2)),codigos!$H$2:$I$62,2,1) &amp; " " &amp; VLOOKUP(VALUE(MID($C37,21,2)),codigos!$K$2:$L$12,2,FALSE)</f>
        <v>S/I S/I</v>
      </c>
      <c r="F37" s="11" t="s">
        <v>413</v>
      </c>
      <c r="G37" s="11" t="s">
        <v>340</v>
      </c>
      <c r="H37" s="52" t="s">
        <v>1307</v>
      </c>
      <c r="I37" s="20" t="s">
        <v>871</v>
      </c>
      <c r="J37" s="11">
        <v>50</v>
      </c>
      <c r="K37" s="11">
        <f>50</f>
        <v>50</v>
      </c>
      <c r="L37" s="11">
        <f t="shared" si="4"/>
        <v>0</v>
      </c>
      <c r="M37" s="131"/>
      <c r="O37" s="93">
        <v>46101</v>
      </c>
    </row>
    <row r="38" spans="1:15" x14ac:dyDescent="0.2">
      <c r="A38" s="11">
        <f t="shared" ca="1" si="0"/>
        <v>113</v>
      </c>
      <c r="C38" s="11" t="s">
        <v>220</v>
      </c>
      <c r="D38" s="11" t="str">
        <f>VLOOKUP(VALUE(MID($C38,13,2)), codigos!$A$2:$B$60, 2, 1) &amp; " " &amp; VLOOKUP(VALUE(MID($C38,15,4)), codigos!$E$2:$F$102, 2, FALSE)</f>
        <v>OLLA CONVEXA 16</v>
      </c>
      <c r="E38" s="11" t="str">
        <f>VLOOKUP(VALUE(MID($C38,19,2)),codigos!$H$2:$I$62,2,1) &amp; " " &amp; VLOOKUP(VALUE(MID($C38,21,2)),codigos!$K$2:$L$12,2,FALSE)</f>
        <v>A/T S/I</v>
      </c>
      <c r="F38" s="11" t="s">
        <v>413</v>
      </c>
      <c r="G38" s="11" t="s">
        <v>340</v>
      </c>
      <c r="H38" s="52" t="s">
        <v>1307</v>
      </c>
      <c r="I38" s="20" t="s">
        <v>871</v>
      </c>
      <c r="J38" s="11">
        <v>60</v>
      </c>
      <c r="K38" s="11">
        <v>60</v>
      </c>
      <c r="L38" s="11">
        <f t="shared" si="4"/>
        <v>0</v>
      </c>
      <c r="M38" s="131"/>
      <c r="O38" s="93">
        <v>46101</v>
      </c>
    </row>
    <row r="39" spans="1:15" x14ac:dyDescent="0.2">
      <c r="A39" s="11">
        <f t="shared" ca="1" si="0"/>
        <v>113</v>
      </c>
      <c r="C39" s="11" t="s">
        <v>151</v>
      </c>
      <c r="D39" s="11" t="str">
        <f>VLOOKUP(VALUE(MID($C39,13,2)), codigos!$A$2:$B$60, 2, 1) &amp; " " &amp; VLOOKUP(VALUE(MID($C39,15,4)), codigos!$E$2:$F$102, 2, FALSE)</f>
        <v>OLLA CONVEXA 20</v>
      </c>
      <c r="E39" s="11" t="str">
        <f>VLOOKUP(VALUE(MID($C39,19,2)),codigos!$H$2:$I$62,2,1) &amp; " " &amp; VLOOKUP(VALUE(MID($C39,21,2)),codigos!$K$2:$L$12,2,FALSE)</f>
        <v>A/T S/I</v>
      </c>
      <c r="F39" s="11" t="s">
        <v>413</v>
      </c>
      <c r="G39" s="11" t="s">
        <v>340</v>
      </c>
      <c r="H39" s="52" t="s">
        <v>1307</v>
      </c>
      <c r="I39" s="20" t="s">
        <v>871</v>
      </c>
      <c r="J39" s="11">
        <v>48</v>
      </c>
      <c r="K39" s="11">
        <f>24+12+12</f>
        <v>48</v>
      </c>
      <c r="L39" s="11">
        <f t="shared" si="4"/>
        <v>0</v>
      </c>
      <c r="M39" s="131"/>
      <c r="O39" s="93">
        <v>46101</v>
      </c>
    </row>
    <row r="40" spans="1:15" x14ac:dyDescent="0.2">
      <c r="A40" s="11">
        <f t="shared" ca="1" si="0"/>
        <v>113</v>
      </c>
      <c r="C40" s="11" t="s">
        <v>227</v>
      </c>
      <c r="D40" s="11" t="str">
        <f>VLOOKUP(VALUE(MID($C40,13,2)), codigos!$A$2:$B$60, 2, 1) &amp; " " &amp; VLOOKUP(VALUE(MID($C40,15,4)), codigos!$E$2:$F$102, 2, FALSE)</f>
        <v>SARTEN 22</v>
      </c>
      <c r="E40" s="11" t="str">
        <f>VLOOKUP(VALUE(MID($C40,19,2)),codigos!$H$2:$I$62,2,1) &amp; " " &amp; VLOOKUP(VALUE(MID($C40,21,2)),codigos!$K$2:$L$12,2,FALSE)</f>
        <v>A/T S/I</v>
      </c>
      <c r="F40" s="11" t="s">
        <v>413</v>
      </c>
      <c r="G40" s="11" t="s">
        <v>340</v>
      </c>
      <c r="H40" s="52" t="s">
        <v>1307</v>
      </c>
      <c r="I40" s="20" t="s">
        <v>871</v>
      </c>
      <c r="J40" s="11">
        <v>36</v>
      </c>
      <c r="K40" s="11">
        <f>12-7+10+12+9</f>
        <v>36</v>
      </c>
      <c r="L40" s="11">
        <f t="shared" si="4"/>
        <v>0</v>
      </c>
      <c r="M40" s="131"/>
      <c r="O40" s="93">
        <v>46101</v>
      </c>
    </row>
    <row r="41" spans="1:15" x14ac:dyDescent="0.2">
      <c r="A41" s="11">
        <f t="shared" ca="1" si="0"/>
        <v>113</v>
      </c>
      <c r="C41" s="11" t="s">
        <v>1312</v>
      </c>
      <c r="D41" s="11" t="str">
        <f>VLOOKUP(VALUE(MID($C41,13,2)), codigos!$A$2:$B$60, 2, 1) &amp; " " &amp; VLOOKUP(VALUE(MID($C41,15,4)), codigos!$E$2:$F$102, 2, FALSE)</f>
        <v>VASO RECTO CON ASA</v>
      </c>
      <c r="E41" s="11" t="str">
        <f>VLOOKUP(VALUE(MID($C41,19,2)),codigos!$H$2:$I$62,2,1) &amp; " " &amp; VLOOKUP(VALUE(MID($C41,21,2)),codigos!$K$2:$L$12,2,FALSE)</f>
        <v>A/T S/I</v>
      </c>
      <c r="F41" s="11" t="s">
        <v>413</v>
      </c>
      <c r="G41" s="11" t="s">
        <v>340</v>
      </c>
      <c r="H41" s="52" t="s">
        <v>1307</v>
      </c>
      <c r="I41" s="20" t="s">
        <v>871</v>
      </c>
      <c r="J41" s="11">
        <v>60</v>
      </c>
      <c r="K41" s="11">
        <f>60-36+12+5</f>
        <v>41</v>
      </c>
      <c r="L41" s="11">
        <f t="shared" si="4"/>
        <v>19</v>
      </c>
      <c r="M41" s="131"/>
      <c r="O41" s="93">
        <v>46101</v>
      </c>
    </row>
    <row r="42" spans="1:15" ht="15" customHeight="1" x14ac:dyDescent="0.2">
      <c r="A42" s="11">
        <f t="shared" ca="1" si="0"/>
        <v>52</v>
      </c>
      <c r="C42" s="11" t="s">
        <v>211</v>
      </c>
      <c r="D42" s="11" t="str">
        <f>VLOOKUP(VALUE(MID($C42,13,2)), codigos!$A$2:$B$60, 2, 1) &amp; " " &amp; VLOOKUP(VALUE(MID($C42,15,4)), codigos!$E$2:$F$102, 2, FALSE)</f>
        <v>BAÑO 10</v>
      </c>
      <c r="E42" s="11" t="str">
        <f>VLOOKUP(VALUE(MID($C42,19,2)),codigos!$H$2:$I$62,2,1) &amp; " " &amp; VLOOKUP(VALUE(MID($C42,21,2)),codigos!$K$2:$L$12,2,FALSE)</f>
        <v>GALVANIZADO S/I</v>
      </c>
      <c r="F42" s="11" t="s">
        <v>1337</v>
      </c>
      <c r="G42" s="11" t="s">
        <v>145</v>
      </c>
      <c r="H42" s="52" t="s">
        <v>362</v>
      </c>
      <c r="I42" s="11" t="s">
        <v>1327</v>
      </c>
      <c r="J42" s="25">
        <v>20</v>
      </c>
      <c r="K42" s="25">
        <v>20</v>
      </c>
      <c r="L42" s="15">
        <f>+J42-K42</f>
        <v>0</v>
      </c>
      <c r="M42" s="131">
        <f>(SUM(K42:K43))/(SUM(J42:J43))</f>
        <v>0.36363636363636365</v>
      </c>
      <c r="O42" s="93">
        <v>46106</v>
      </c>
    </row>
    <row r="43" spans="1:15" x14ac:dyDescent="0.2">
      <c r="A43" s="11">
        <f t="shared" ca="1" si="0"/>
        <v>52</v>
      </c>
      <c r="C43" s="11" t="s">
        <v>212</v>
      </c>
      <c r="D43" s="11" t="str">
        <f>VLOOKUP(VALUE(MID($C43,13,2)), codigos!$A$2:$B$60, 2, 1) &amp; " " &amp; VLOOKUP(VALUE(MID($C43,15,4)), codigos!$E$2:$F$102, 2, FALSE)</f>
        <v>BAÑO 12</v>
      </c>
      <c r="E43" s="11" t="str">
        <f>VLOOKUP(VALUE(MID($C43,19,2)),codigos!$H$2:$I$62,2,1) &amp; " " &amp; VLOOKUP(VALUE(MID($C43,21,2)),codigos!$K$2:$L$12,2,FALSE)</f>
        <v>GALVANIZADO S/I</v>
      </c>
      <c r="F43" s="11" t="s">
        <v>1337</v>
      </c>
      <c r="G43" s="11" t="s">
        <v>145</v>
      </c>
      <c r="H43" s="52" t="s">
        <v>362</v>
      </c>
      <c r="I43" s="11" t="s">
        <v>1327</v>
      </c>
      <c r="J43" s="25">
        <v>35</v>
      </c>
      <c r="K43" s="25">
        <v>0</v>
      </c>
      <c r="L43" s="15">
        <f>+J43-K43</f>
        <v>35</v>
      </c>
      <c r="M43" s="131"/>
      <c r="O43" s="93">
        <v>46106</v>
      </c>
    </row>
    <row r="44" spans="1:15" x14ac:dyDescent="0.2">
      <c r="A44" s="11">
        <f t="shared" ca="1" si="0"/>
        <v>61</v>
      </c>
      <c r="C44" s="11" t="s">
        <v>211</v>
      </c>
      <c r="D44" s="11" t="str">
        <f>VLOOKUP(VALUE(MID($C44,13,2)), codigos!$A$2:$B$60, 2, 1) &amp; " " &amp; VLOOKUP(VALUE(MID($C44,15,4)), codigos!$E$2:$F$102, 2, FALSE)</f>
        <v>BAÑO 10</v>
      </c>
      <c r="E44" s="11" t="str">
        <f>VLOOKUP(VALUE(MID($C44,19,2)),codigos!$H$2:$I$62,2,1) &amp; " " &amp; VLOOKUP(VALUE(MID($C44,21,2)),codigos!$K$2:$L$12,2,FALSE)</f>
        <v>GALVANIZADO S/I</v>
      </c>
      <c r="F44" s="11" t="s">
        <v>1292</v>
      </c>
      <c r="G44" s="11" t="s">
        <v>340</v>
      </c>
      <c r="H44" s="52" t="s">
        <v>1124</v>
      </c>
      <c r="I44" s="11" t="s">
        <v>1289</v>
      </c>
      <c r="J44" s="25">
        <v>5</v>
      </c>
      <c r="K44" s="11">
        <v>5</v>
      </c>
      <c r="L44" s="11">
        <f>J44-K44</f>
        <v>0</v>
      </c>
      <c r="M44" s="98">
        <f>(SUM(K44:K44))/(SUM(J44:J44))</f>
        <v>1</v>
      </c>
    </row>
    <row r="45" spans="1:15" x14ac:dyDescent="0.2">
      <c r="A45" s="11">
        <f t="shared" ca="1" si="0"/>
        <v>61</v>
      </c>
      <c r="C45" s="11" t="s">
        <v>189</v>
      </c>
      <c r="D45" s="11" t="str">
        <f>VLOOKUP(VALUE(MID($C45,13,2)), codigos!$A$2:$B$60, 2, 1) &amp; " " &amp; VLOOKUP(VALUE(MID($C45,15,4)), codigos!$E$2:$F$102, 2, FALSE)</f>
        <v>BUDINERA 16</v>
      </c>
      <c r="E45" s="11" t="str">
        <f>VLOOKUP(VALUE(MID($C45,19,2)),codigos!$H$2:$I$62,2,1) &amp; " " &amp; VLOOKUP(VALUE(MID($C45,21,2)),codigos!$K$2:$L$12,2,FALSE)</f>
        <v>A/T S/I</v>
      </c>
      <c r="F45" s="11" t="s">
        <v>1292</v>
      </c>
      <c r="G45" s="11" t="s">
        <v>340</v>
      </c>
      <c r="H45" s="52" t="s">
        <v>1123</v>
      </c>
      <c r="I45" s="20" t="s">
        <v>1289</v>
      </c>
      <c r="J45" s="11">
        <v>18</v>
      </c>
      <c r="K45" s="11">
        <f>11+1+6</f>
        <v>18</v>
      </c>
      <c r="L45" s="11">
        <f t="shared" ref="L45:L67" si="5">J45-K45</f>
        <v>0</v>
      </c>
      <c r="M45" s="131">
        <f>(SUM(K45:K55))/(SUM(J45:J55))</f>
        <v>0.92248062015503873</v>
      </c>
      <c r="O45" s="93">
        <v>46108</v>
      </c>
    </row>
    <row r="46" spans="1:15" x14ac:dyDescent="0.2">
      <c r="A46" s="11">
        <f t="shared" ca="1" si="0"/>
        <v>61</v>
      </c>
      <c r="C46" s="11" t="s">
        <v>214</v>
      </c>
      <c r="D46" s="11" t="str">
        <f>VLOOKUP(VALUE(MID($C46,13,2)), codigos!$A$2:$B$60, 2, 1) &amp; " " &amp; VLOOKUP(VALUE(MID($C46,15,4)), codigos!$E$2:$F$102, 2, FALSE)</f>
        <v>BUDINERA 18</v>
      </c>
      <c r="E46" s="11" t="str">
        <f>VLOOKUP(VALUE(MID($C46,19,2)),codigos!$H$2:$I$62,2,1) &amp; " " &amp; VLOOKUP(VALUE(MID($C46,21,2)),codigos!$K$2:$L$12,2,FALSE)</f>
        <v>A/T S/I</v>
      </c>
      <c r="F46" s="11" t="s">
        <v>1292</v>
      </c>
      <c r="G46" s="11" t="s">
        <v>340</v>
      </c>
      <c r="H46" s="52" t="s">
        <v>1123</v>
      </c>
      <c r="I46" s="20" t="s">
        <v>1289</v>
      </c>
      <c r="J46" s="11">
        <v>18</v>
      </c>
      <c r="K46" s="11">
        <v>18</v>
      </c>
      <c r="L46" s="11">
        <f t="shared" si="5"/>
        <v>0</v>
      </c>
      <c r="M46" s="131"/>
      <c r="O46" s="93">
        <v>46108</v>
      </c>
    </row>
    <row r="47" spans="1:15" x14ac:dyDescent="0.2">
      <c r="A47" s="11">
        <f t="shared" ca="1" si="0"/>
        <v>61</v>
      </c>
      <c r="C47" s="11" t="s">
        <v>241</v>
      </c>
      <c r="D47" s="11" t="str">
        <f>VLOOKUP(VALUE(MID($C47,13,2)), codigos!$A$2:$B$60, 2, 1) &amp; " " &amp; VLOOKUP(VALUE(MID($C47,15,4)), codigos!$E$2:$F$102, 2, FALSE)</f>
        <v>BUDINERA 22</v>
      </c>
      <c r="E47" s="11" t="str">
        <f>VLOOKUP(VALUE(MID($C47,19,2)),codigos!$H$2:$I$62,2,1) &amp; " " &amp; VLOOKUP(VALUE(MID($C47,21,2)),codigos!$K$2:$L$12,2,FALSE)</f>
        <v>A/T S/I</v>
      </c>
      <c r="F47" s="11" t="s">
        <v>1292</v>
      </c>
      <c r="G47" s="11" t="s">
        <v>340</v>
      </c>
      <c r="H47" s="52" t="s">
        <v>1123</v>
      </c>
      <c r="I47" s="20" t="s">
        <v>1289</v>
      </c>
      <c r="J47" s="11">
        <v>12</v>
      </c>
      <c r="K47" s="11">
        <v>12</v>
      </c>
      <c r="L47" s="11">
        <f t="shared" si="5"/>
        <v>0</v>
      </c>
      <c r="M47" s="131"/>
      <c r="O47" s="93">
        <v>46108</v>
      </c>
    </row>
    <row r="48" spans="1:15" x14ac:dyDescent="0.2">
      <c r="A48" s="11">
        <f t="shared" ca="1" si="0"/>
        <v>61</v>
      </c>
      <c r="C48" s="11" t="s">
        <v>148</v>
      </c>
      <c r="D48" s="11" t="str">
        <f>VLOOKUP(VALUE(MID($C48,13,2)), codigos!$A$2:$B$60, 2, 1) &amp; " " &amp; VLOOKUP(VALUE(MID($C48,15,4)), codigos!$E$2:$F$102, 2, FALSE)</f>
        <v>BUDINERA 26</v>
      </c>
      <c r="E48" s="11" t="str">
        <f>VLOOKUP(VALUE(MID($C48,19,2)),codigos!$H$2:$I$62,2,1) &amp; " " &amp; VLOOKUP(VALUE(MID($C48,21,2)),codigos!$K$2:$L$12,2,FALSE)</f>
        <v>A/T S/I</v>
      </c>
      <c r="F48" s="11" t="s">
        <v>1292</v>
      </c>
      <c r="G48" s="11" t="s">
        <v>340</v>
      </c>
      <c r="H48" s="52" t="s">
        <v>1123</v>
      </c>
      <c r="I48" s="20" t="s">
        <v>1289</v>
      </c>
      <c r="J48" s="11">
        <v>36</v>
      </c>
      <c r="K48" s="11">
        <f>36</f>
        <v>36</v>
      </c>
      <c r="L48" s="11">
        <f t="shared" si="5"/>
        <v>0</v>
      </c>
      <c r="M48" s="131"/>
      <c r="O48" s="93">
        <v>46108</v>
      </c>
    </row>
    <row r="49" spans="1:15" x14ac:dyDescent="0.2">
      <c r="A49" s="11">
        <f t="shared" ca="1" si="0"/>
        <v>61</v>
      </c>
      <c r="C49" s="20" t="s">
        <v>173</v>
      </c>
      <c r="D49" s="11" t="str">
        <f>VLOOKUP(VALUE(MID($C49,13,2)), codigos!$A$2:$B$60, 2, 1) &amp; " " &amp; VLOOKUP(VALUE(MID($C49,15,4)), codigos!$E$2:$F$102, 2, FALSE)</f>
        <v>BUDINERA 34</v>
      </c>
      <c r="E49" s="11" t="str">
        <f>VLOOKUP(VALUE(MID($C49,19,2)),codigos!$H$2:$I$62,2,1) &amp; " " &amp; VLOOKUP(VALUE(MID($C49,21,2)),codigos!$K$2:$L$12,2,FALSE)</f>
        <v>A/T S/I</v>
      </c>
      <c r="F49" s="20" t="s">
        <v>1292</v>
      </c>
      <c r="G49" s="20" t="s">
        <v>340</v>
      </c>
      <c r="H49" s="52" t="s">
        <v>1123</v>
      </c>
      <c r="I49" s="20" t="s">
        <v>1289</v>
      </c>
      <c r="J49" s="20">
        <v>20</v>
      </c>
      <c r="K49" s="20">
        <v>0</v>
      </c>
      <c r="L49" s="20">
        <f t="shared" si="5"/>
        <v>20</v>
      </c>
      <c r="M49" s="131"/>
      <c r="O49" s="93">
        <v>46108</v>
      </c>
    </row>
    <row r="50" spans="1:15" x14ac:dyDescent="0.2">
      <c r="A50" s="11">
        <f t="shared" ca="1" si="0"/>
        <v>61</v>
      </c>
      <c r="C50" s="20" t="s">
        <v>38</v>
      </c>
      <c r="D50" s="20" t="str">
        <f>VLOOKUP(VALUE(MID($C50,13,2)), codigos!$A$2:$B$60, 2, 1) &amp; " " &amp; VLOOKUP(VALUE(MID($C50,15,4)), codigos!$E$2:$F$102, 2, FALSE)</f>
        <v>BUDINERA 42</v>
      </c>
      <c r="E50" s="20" t="str">
        <f>VLOOKUP(VALUE(MID($C50,19,2)),codigos!$H$2:$I$62,2,1) &amp; " " &amp; VLOOKUP(VALUE(MID($C50,21,2)),codigos!$K$2:$L$12,2,FALSE)</f>
        <v>A/T S/I</v>
      </c>
      <c r="F50" s="20" t="s">
        <v>1292</v>
      </c>
      <c r="G50" s="20" t="s">
        <v>340</v>
      </c>
      <c r="H50" s="52" t="s">
        <v>1123</v>
      </c>
      <c r="I50" s="20" t="s">
        <v>1289</v>
      </c>
      <c r="J50" s="20">
        <v>10</v>
      </c>
      <c r="K50" s="20">
        <f>1+1+8</f>
        <v>10</v>
      </c>
      <c r="L50" s="20">
        <f t="shared" si="5"/>
        <v>0</v>
      </c>
      <c r="M50" s="131"/>
      <c r="O50" s="93">
        <v>46108</v>
      </c>
    </row>
    <row r="51" spans="1:15" x14ac:dyDescent="0.2">
      <c r="A51" s="11">
        <f t="shared" ca="1" si="0"/>
        <v>61</v>
      </c>
      <c r="C51" s="11" t="s">
        <v>220</v>
      </c>
      <c r="D51" s="11" t="str">
        <f>VLOOKUP(VALUE(MID($C51,13,2)), codigos!$A$2:$B$60, 2, 1) &amp; " " &amp; VLOOKUP(VALUE(MID($C51,15,4)), codigos!$E$2:$F$102, 2, FALSE)</f>
        <v>OLLA CONVEXA 16</v>
      </c>
      <c r="E51" s="11" t="str">
        <f>VLOOKUP(VALUE(MID($C51,19,2)),codigos!$H$2:$I$62,2,1) &amp; " " &amp; VLOOKUP(VALUE(MID($C51,21,2)),codigos!$K$2:$L$12,2,FALSE)</f>
        <v>A/T S/I</v>
      </c>
      <c r="F51" s="11" t="s">
        <v>1292</v>
      </c>
      <c r="G51" s="11" t="s">
        <v>340</v>
      </c>
      <c r="H51" s="52" t="s">
        <v>1123</v>
      </c>
      <c r="I51" s="20" t="s">
        <v>1289</v>
      </c>
      <c r="J51" s="11">
        <v>12</v>
      </c>
      <c r="K51" s="11">
        <v>12</v>
      </c>
      <c r="L51" s="11">
        <f t="shared" si="5"/>
        <v>0</v>
      </c>
      <c r="M51" s="131"/>
      <c r="O51" s="93">
        <v>46108</v>
      </c>
    </row>
    <row r="52" spans="1:15" x14ac:dyDescent="0.2">
      <c r="A52" s="11">
        <f t="shared" ca="1" si="0"/>
        <v>61</v>
      </c>
      <c r="C52" s="11" t="s">
        <v>151</v>
      </c>
      <c r="D52" s="11" t="str">
        <f>VLOOKUP(VALUE(MID($C52,13,2)), codigos!$A$2:$B$60, 2, 1) &amp; " " &amp; VLOOKUP(VALUE(MID($C52,15,4)), codigos!$E$2:$F$102, 2, FALSE)</f>
        <v>OLLA CONVEXA 20</v>
      </c>
      <c r="E52" s="11" t="str">
        <f>VLOOKUP(VALUE(MID($C52,19,2)),codigos!$H$2:$I$62,2,1) &amp; " " &amp; VLOOKUP(VALUE(MID($C52,21,2)),codigos!$K$2:$L$12,2,FALSE)</f>
        <v>A/T S/I</v>
      </c>
      <c r="F52" s="11" t="s">
        <v>1292</v>
      </c>
      <c r="G52" s="11" t="s">
        <v>340</v>
      </c>
      <c r="H52" s="52" t="s">
        <v>1123</v>
      </c>
      <c r="I52" s="20" t="s">
        <v>1289</v>
      </c>
      <c r="J52" s="11">
        <v>24</v>
      </c>
      <c r="K52" s="11">
        <f>24</f>
        <v>24</v>
      </c>
      <c r="L52" s="11">
        <f t="shared" si="5"/>
        <v>0</v>
      </c>
      <c r="M52" s="131"/>
      <c r="O52" s="93">
        <v>46108</v>
      </c>
    </row>
    <row r="53" spans="1:15" x14ac:dyDescent="0.2">
      <c r="A53" s="11">
        <f t="shared" ca="1" si="0"/>
        <v>61</v>
      </c>
      <c r="C53" s="11" t="s">
        <v>180</v>
      </c>
      <c r="D53" s="11" t="str">
        <f>VLOOKUP(VALUE(MID($C53,13,2)), codigos!$A$2:$B$60, 2, 1) &amp; " " &amp; VLOOKUP(VALUE(MID($C53,15,4)), codigos!$E$2:$F$102, 2, FALSE)</f>
        <v>POCILLO 12</v>
      </c>
      <c r="E53" s="11" t="str">
        <f>VLOOKUP(VALUE(MID($C53,19,2)),codigos!$H$2:$I$62,2,1) &amp; " " &amp; VLOOKUP(VALUE(MID($C53,21,2)),codigos!$K$2:$L$12,2,FALSE)</f>
        <v>A/T S/I</v>
      </c>
      <c r="F53" s="11" t="s">
        <v>1292</v>
      </c>
      <c r="G53" s="11" t="s">
        <v>340</v>
      </c>
      <c r="H53" s="52" t="s">
        <v>1123</v>
      </c>
      <c r="I53" s="20" t="s">
        <v>1289</v>
      </c>
      <c r="J53" s="11">
        <v>48</v>
      </c>
      <c r="K53" s="11">
        <v>48</v>
      </c>
      <c r="L53" s="11">
        <f t="shared" si="5"/>
        <v>0</v>
      </c>
      <c r="M53" s="131"/>
      <c r="O53" s="93">
        <v>46108</v>
      </c>
    </row>
    <row r="54" spans="1:15" x14ac:dyDescent="0.2">
      <c r="A54" s="11">
        <f t="shared" ca="1" si="0"/>
        <v>61</v>
      </c>
      <c r="C54" s="11" t="s">
        <v>182</v>
      </c>
      <c r="D54" s="11" t="str">
        <f>VLOOKUP(VALUE(MID($C54,13,2)), codigos!$A$2:$B$60, 2, 1) &amp; " " &amp; VLOOKUP(VALUE(MID($C54,15,4)), codigos!$E$2:$F$102, 2, FALSE)</f>
        <v>POCILLO 14</v>
      </c>
      <c r="E54" s="11" t="str">
        <f>VLOOKUP(VALUE(MID($C54,19,2)),codigos!$H$2:$I$62,2,1) &amp; " " &amp; VLOOKUP(VALUE(MID($C54,21,2)),codigos!$K$2:$L$12,2,FALSE)</f>
        <v>A/T S/I</v>
      </c>
      <c r="F54" s="11" t="s">
        <v>1292</v>
      </c>
      <c r="G54" s="11" t="s">
        <v>340</v>
      </c>
      <c r="H54" s="52" t="s">
        <v>1123</v>
      </c>
      <c r="I54" s="20" t="s">
        <v>1289</v>
      </c>
      <c r="J54" s="11">
        <v>30</v>
      </c>
      <c r="K54" s="11">
        <v>30</v>
      </c>
      <c r="L54" s="11">
        <f t="shared" si="5"/>
        <v>0</v>
      </c>
      <c r="M54" s="131"/>
      <c r="O54" s="93">
        <v>46108</v>
      </c>
    </row>
    <row r="55" spans="1:15" x14ac:dyDescent="0.2">
      <c r="A55" s="11">
        <f t="shared" ca="1" si="0"/>
        <v>61</v>
      </c>
      <c r="C55" s="11" t="s">
        <v>129</v>
      </c>
      <c r="D55" s="11" t="str">
        <f>VLOOKUP(VALUE(MID($C55,13,2)), codigos!$A$2:$B$60, 2, 1) &amp; " " &amp; VLOOKUP(VALUE(MID($C55,15,4)), codigos!$E$2:$F$102, 2, FALSE)</f>
        <v>POCILLO 14</v>
      </c>
      <c r="E55" s="11" t="str">
        <f>VLOOKUP(VALUE(MID($C55,19,2)),codigos!$H$2:$I$62,2,1) &amp; " " &amp; VLOOKUP(VALUE(MID($C55,21,2)),codigos!$K$2:$L$12,2,FALSE)</f>
        <v>BICOLOR NARANJA S/I</v>
      </c>
      <c r="F55" s="11" t="s">
        <v>1292</v>
      </c>
      <c r="G55" s="11" t="s">
        <v>340</v>
      </c>
      <c r="H55" s="52" t="s">
        <v>1123</v>
      </c>
      <c r="I55" s="20" t="s">
        <v>1289</v>
      </c>
      <c r="J55" s="11">
        <v>30</v>
      </c>
      <c r="K55" s="11">
        <f>12+4+3+1+1+6+3</f>
        <v>30</v>
      </c>
      <c r="L55" s="11">
        <f t="shared" si="5"/>
        <v>0</v>
      </c>
      <c r="M55" s="131"/>
      <c r="O55" s="93">
        <v>46108</v>
      </c>
    </row>
    <row r="56" spans="1:15" x14ac:dyDescent="0.2">
      <c r="A56" s="11">
        <f t="shared" ca="1" si="0"/>
        <v>59</v>
      </c>
      <c r="C56" s="11" t="s">
        <v>143</v>
      </c>
      <c r="D56" s="11" t="str">
        <f>VLOOKUP(VALUE(MID($C56,13,2)), codigos!$A$2:$B$60, 2, 1) &amp; " " &amp; VLOOKUP(VALUE(MID($C56,15,4)), codigos!$E$2:$F$102, 2, FALSE)</f>
        <v>BUDINERA 24</v>
      </c>
      <c r="E56" s="11" t="str">
        <f>VLOOKUP(VALUE(MID($C56,19,2)),codigos!$H$2:$I$62,2,1) &amp; " " &amp; VLOOKUP(VALUE(MID($C56,21,2)),codigos!$K$2:$L$12,2,FALSE)</f>
        <v>A/T S/I</v>
      </c>
      <c r="F56" s="11" t="s">
        <v>1228</v>
      </c>
      <c r="G56" s="11" t="s">
        <v>340</v>
      </c>
      <c r="H56" s="52" t="s">
        <v>1133</v>
      </c>
      <c r="I56" s="20" t="s">
        <v>1298</v>
      </c>
      <c r="J56" s="11">
        <v>12</v>
      </c>
      <c r="K56" s="11">
        <v>12</v>
      </c>
      <c r="L56" s="11">
        <f t="shared" si="5"/>
        <v>0</v>
      </c>
      <c r="M56" s="130">
        <f>(SUM(K56:K64))/(SUM(J56:J64))</f>
        <v>0.9213483146067416</v>
      </c>
      <c r="O56" s="93">
        <v>46108</v>
      </c>
    </row>
    <row r="57" spans="1:15" x14ac:dyDescent="0.2">
      <c r="A57" s="11">
        <f t="shared" ca="1" si="0"/>
        <v>59</v>
      </c>
      <c r="C57" s="11" t="s">
        <v>148</v>
      </c>
      <c r="D57" s="11" t="str">
        <f>VLOOKUP(VALUE(MID($C57,13,2)), codigos!$A$2:$B$60, 2, 1) &amp; " " &amp; VLOOKUP(VALUE(MID($C57,15,4)), codigos!$E$2:$F$102, 2, FALSE)</f>
        <v>BUDINERA 26</v>
      </c>
      <c r="E57" s="11" t="str">
        <f>VLOOKUP(VALUE(MID($C57,19,2)),codigos!$H$2:$I$62,2,1) &amp; " " &amp; VLOOKUP(VALUE(MID($C57,21,2)),codigos!$K$2:$L$12,2,FALSE)</f>
        <v>A/T S/I</v>
      </c>
      <c r="F57" s="11" t="s">
        <v>1228</v>
      </c>
      <c r="G57" s="11" t="s">
        <v>340</v>
      </c>
      <c r="H57" s="52" t="s">
        <v>1133</v>
      </c>
      <c r="I57" s="20" t="s">
        <v>1298</v>
      </c>
      <c r="J57" s="11">
        <v>12</v>
      </c>
      <c r="K57" s="11">
        <f>12-12+8</f>
        <v>8</v>
      </c>
      <c r="L57" s="11">
        <f t="shared" si="5"/>
        <v>4</v>
      </c>
      <c r="M57" s="131"/>
      <c r="O57" s="93">
        <v>46108</v>
      </c>
    </row>
    <row r="58" spans="1:15" x14ac:dyDescent="0.2">
      <c r="A58" s="11">
        <f t="shared" ca="1" si="0"/>
        <v>59</v>
      </c>
      <c r="C58" s="11" t="s">
        <v>173</v>
      </c>
      <c r="D58" s="11" t="str">
        <f>VLOOKUP(VALUE(MID($C58,13,2)), codigos!$A$2:$B$60, 2, 1) &amp; " " &amp; VLOOKUP(VALUE(MID($C58,15,4)), codigos!$E$2:$F$102, 2, FALSE)</f>
        <v>BUDINERA 34</v>
      </c>
      <c r="E58" s="11" t="str">
        <f>VLOOKUP(VALUE(MID($C58,19,2)),codigos!$H$2:$I$62,2,1) &amp; " " &amp; VLOOKUP(VALUE(MID($C58,21,2)),codigos!$K$2:$L$12,2,FALSE)</f>
        <v>A/T S/I</v>
      </c>
      <c r="F58" s="11" t="s">
        <v>1228</v>
      </c>
      <c r="G58" s="11" t="s">
        <v>340</v>
      </c>
      <c r="H58" s="52" t="s">
        <v>1133</v>
      </c>
      <c r="I58" s="20" t="s">
        <v>1298</v>
      </c>
      <c r="J58" s="11">
        <v>4</v>
      </c>
      <c r="K58" s="11">
        <v>4</v>
      </c>
      <c r="L58" s="11">
        <f t="shared" si="5"/>
        <v>0</v>
      </c>
      <c r="M58" s="131"/>
      <c r="O58" s="93">
        <v>46108</v>
      </c>
    </row>
    <row r="59" spans="1:15" x14ac:dyDescent="0.2">
      <c r="A59" s="11">
        <f t="shared" ref="A59:A73" ca="1" si="6">DAYS360(I59,$B$1)</f>
        <v>59</v>
      </c>
      <c r="C59" s="11" t="s">
        <v>38</v>
      </c>
      <c r="D59" s="11" t="str">
        <f>VLOOKUP(VALUE(MID($C59,13,2)), codigos!$A$2:$B$60, 2, 1) &amp; " " &amp; VLOOKUP(VALUE(MID($C59,15,4)), codigos!$E$2:$F$102, 2, FALSE)</f>
        <v>BUDINERA 42</v>
      </c>
      <c r="E59" s="11" t="str">
        <f>VLOOKUP(VALUE(MID($C59,19,2)),codigos!$H$2:$I$62,2,1) &amp; " " &amp; VLOOKUP(VALUE(MID($C59,21,2)),codigos!$K$2:$L$12,2,FALSE)</f>
        <v>A/T S/I</v>
      </c>
      <c r="F59" s="11" t="s">
        <v>1228</v>
      </c>
      <c r="G59" s="11" t="s">
        <v>340</v>
      </c>
      <c r="H59" s="52" t="s">
        <v>1133</v>
      </c>
      <c r="I59" s="20" t="s">
        <v>1298</v>
      </c>
      <c r="J59" s="11">
        <v>4</v>
      </c>
      <c r="K59" s="11">
        <f>4</f>
        <v>4</v>
      </c>
      <c r="L59" s="11">
        <f t="shared" si="5"/>
        <v>0</v>
      </c>
      <c r="M59" s="131"/>
      <c r="O59" s="93">
        <v>46108</v>
      </c>
    </row>
    <row r="60" spans="1:15" x14ac:dyDescent="0.2">
      <c r="A60" s="11">
        <f t="shared" ca="1" si="6"/>
        <v>59</v>
      </c>
      <c r="C60" s="11" t="s">
        <v>220</v>
      </c>
      <c r="D60" s="11" t="str">
        <f>VLOOKUP(VALUE(MID($C60,13,2)), codigos!$A$2:$B$60, 2, 1) &amp; " " &amp; VLOOKUP(VALUE(MID($C60,15,4)), codigos!$E$2:$F$102, 2, FALSE)</f>
        <v>OLLA CONVEXA 16</v>
      </c>
      <c r="E60" s="11" t="str">
        <f>VLOOKUP(VALUE(MID($C60,19,2)),codigos!$H$2:$I$62,2,1) &amp; " " &amp; VLOOKUP(VALUE(MID($C60,21,2)),codigos!$K$2:$L$12,2,FALSE)</f>
        <v>A/T S/I</v>
      </c>
      <c r="F60" s="11" t="s">
        <v>1228</v>
      </c>
      <c r="G60" s="11" t="s">
        <v>340</v>
      </c>
      <c r="H60" s="52" t="s">
        <v>1133</v>
      </c>
      <c r="I60" s="20" t="s">
        <v>1298</v>
      </c>
      <c r="J60" s="11">
        <v>24</v>
      </c>
      <c r="K60" s="11">
        <f>6+4+12+2</f>
        <v>24</v>
      </c>
      <c r="L60" s="11">
        <f t="shared" si="5"/>
        <v>0</v>
      </c>
      <c r="M60" s="131"/>
      <c r="O60" s="93">
        <v>46108</v>
      </c>
    </row>
    <row r="61" spans="1:15" x14ac:dyDescent="0.2">
      <c r="A61" s="11">
        <f t="shared" ca="1" si="6"/>
        <v>59</v>
      </c>
      <c r="C61" s="11" t="s">
        <v>151</v>
      </c>
      <c r="D61" s="11" t="str">
        <f>VLOOKUP(VALUE(MID($C61,13,2)), codigos!$A$2:$B$60, 2, 1) &amp; " " &amp; VLOOKUP(VALUE(MID($C61,15,4)), codigos!$E$2:$F$102, 2, FALSE)</f>
        <v>OLLA CONVEXA 20</v>
      </c>
      <c r="E61" s="11" t="str">
        <f>VLOOKUP(VALUE(MID($C61,19,2)),codigos!$H$2:$I$62,2,1) &amp; " " &amp; VLOOKUP(VALUE(MID($C61,21,2)),codigos!$K$2:$L$12,2,FALSE)</f>
        <v>A/T S/I</v>
      </c>
      <c r="F61" s="11" t="s">
        <v>1228</v>
      </c>
      <c r="G61" s="11" t="s">
        <v>340</v>
      </c>
      <c r="H61" s="52" t="s">
        <v>1133</v>
      </c>
      <c r="I61" s="20" t="s">
        <v>1298</v>
      </c>
      <c r="J61" s="11">
        <v>12</v>
      </c>
      <c r="K61" s="11">
        <f>5+7</f>
        <v>12</v>
      </c>
      <c r="L61" s="11">
        <f t="shared" si="5"/>
        <v>0</v>
      </c>
      <c r="M61" s="131"/>
      <c r="O61" s="93">
        <v>46108</v>
      </c>
    </row>
    <row r="62" spans="1:15" x14ac:dyDescent="0.2">
      <c r="A62" s="11">
        <f t="shared" ca="1" si="6"/>
        <v>59</v>
      </c>
      <c r="C62" s="11" t="s">
        <v>154</v>
      </c>
      <c r="D62" s="11" t="str">
        <f>VLOOKUP(VALUE(MID($C62,13,2)), codigos!$A$2:$B$60, 2, 1) &amp; " " &amp; VLOOKUP(VALUE(MID($C62,15,4)), codigos!$E$2:$F$102, 2, FALSE)</f>
        <v>OLLA CONVEXA 30</v>
      </c>
      <c r="E62" s="11" t="str">
        <f>VLOOKUP(VALUE(MID($C62,19,2)),codigos!$H$2:$I$62,2,1) &amp; " " &amp; VLOOKUP(VALUE(MID($C62,21,2)),codigos!$K$2:$L$12,2,FALSE)</f>
        <v>A/T S/I</v>
      </c>
      <c r="F62" s="11" t="s">
        <v>1228</v>
      </c>
      <c r="G62" s="11" t="s">
        <v>340</v>
      </c>
      <c r="H62" s="52" t="s">
        <v>1133</v>
      </c>
      <c r="I62" s="20" t="s">
        <v>1298</v>
      </c>
      <c r="J62" s="11">
        <v>6</v>
      </c>
      <c r="K62" s="11">
        <v>6</v>
      </c>
      <c r="L62" s="11">
        <f t="shared" si="5"/>
        <v>0</v>
      </c>
      <c r="M62" s="131"/>
      <c r="O62" s="93">
        <v>46108</v>
      </c>
    </row>
    <row r="63" spans="1:15" x14ac:dyDescent="0.2">
      <c r="A63" s="11">
        <f t="shared" ca="1" si="6"/>
        <v>59</v>
      </c>
      <c r="C63" s="11" t="s">
        <v>157</v>
      </c>
      <c r="D63" s="11" t="str">
        <f>VLOOKUP(VALUE(MID($C63,13,2)), codigos!$A$2:$B$60, 2, 1) &amp; " " &amp; VLOOKUP(VALUE(MID($C63,15,4)), codigos!$E$2:$F$102, 2, FALSE)</f>
        <v>OLLA RECTA 42</v>
      </c>
      <c r="E63" s="11" t="str">
        <f>VLOOKUP(VALUE(MID($C63,19,2)),codigos!$H$2:$I$62,2,1) &amp; " " &amp; VLOOKUP(VALUE(MID($C63,21,2)),codigos!$K$2:$L$12,2,FALSE)</f>
        <v>A/T S/I</v>
      </c>
      <c r="F63" s="11" t="s">
        <v>1228</v>
      </c>
      <c r="G63" s="11" t="s">
        <v>340</v>
      </c>
      <c r="H63" s="52" t="s">
        <v>1133</v>
      </c>
      <c r="I63" s="20" t="s">
        <v>1298</v>
      </c>
      <c r="J63" s="11">
        <v>3</v>
      </c>
      <c r="K63" s="11">
        <v>0</v>
      </c>
      <c r="L63" s="11">
        <f t="shared" si="5"/>
        <v>3</v>
      </c>
      <c r="M63" s="131"/>
      <c r="O63" s="93">
        <v>46108</v>
      </c>
    </row>
    <row r="64" spans="1:15" x14ac:dyDescent="0.2">
      <c r="A64" s="11">
        <f t="shared" ca="1" si="6"/>
        <v>59</v>
      </c>
      <c r="C64" s="11" t="s">
        <v>227</v>
      </c>
      <c r="D64" s="11" t="str">
        <f>VLOOKUP(VALUE(MID($C64,13,2)), codigos!$A$2:$B$60, 2, 1) &amp; " " &amp; VLOOKUP(VALUE(MID($C64,15,4)), codigos!$E$2:$F$102, 2, FALSE)</f>
        <v>SARTEN 22</v>
      </c>
      <c r="E64" s="11" t="str">
        <f>VLOOKUP(VALUE(MID($C64,19,2)),codigos!$H$2:$I$62,2,1) &amp; " " &amp; VLOOKUP(VALUE(MID($C64,21,2)),codigos!$K$2:$L$12,2,FALSE)</f>
        <v>A/T S/I</v>
      </c>
      <c r="F64" s="11" t="s">
        <v>1228</v>
      </c>
      <c r="G64" s="11" t="s">
        <v>340</v>
      </c>
      <c r="H64" s="52" t="s">
        <v>1133</v>
      </c>
      <c r="I64" s="20" t="s">
        <v>1298</v>
      </c>
      <c r="J64" s="11">
        <v>12</v>
      </c>
      <c r="K64" s="11">
        <v>12</v>
      </c>
      <c r="L64" s="11">
        <f t="shared" si="5"/>
        <v>0</v>
      </c>
      <c r="M64" s="132"/>
      <c r="O64" s="93">
        <v>46108</v>
      </c>
    </row>
    <row r="65" spans="1:15" x14ac:dyDescent="0.2">
      <c r="A65" s="11">
        <f t="shared" ca="1" si="6"/>
        <v>59</v>
      </c>
      <c r="C65" s="11" t="s">
        <v>211</v>
      </c>
      <c r="D65" s="11" t="str">
        <f>VLOOKUP(VALUE(MID($C65,13,2)), codigos!$A$2:$B$60, 2, 1) &amp; " " &amp; VLOOKUP(VALUE(MID($C65,15,4)), codigos!$E$2:$F$102, 2, FALSE)</f>
        <v>BAÑO 10</v>
      </c>
      <c r="E65" s="11" t="str">
        <f>VLOOKUP(VALUE(MID($C65,19,2)),codigos!$H$2:$I$62,2,1) &amp; " " &amp; VLOOKUP(VALUE(MID($C65,21,2)),codigos!$K$2:$L$12,2,FALSE)</f>
        <v>GALVANIZADO S/I</v>
      </c>
      <c r="F65" s="11" t="s">
        <v>1228</v>
      </c>
      <c r="G65" s="11" t="s">
        <v>340</v>
      </c>
      <c r="H65" s="52" t="s">
        <v>1367</v>
      </c>
      <c r="I65" s="20" t="s">
        <v>1298</v>
      </c>
      <c r="J65" s="11">
        <v>20</v>
      </c>
      <c r="K65" s="11">
        <v>20</v>
      </c>
      <c r="L65" s="11">
        <f t="shared" si="5"/>
        <v>0</v>
      </c>
      <c r="M65" s="131">
        <f>(SUM(K65:K66))/(SUM(J65:J66))</f>
        <v>0.4</v>
      </c>
      <c r="O65" s="93">
        <v>46108</v>
      </c>
    </row>
    <row r="66" spans="1:15" x14ac:dyDescent="0.2">
      <c r="A66" s="11">
        <f t="shared" ca="1" si="6"/>
        <v>59</v>
      </c>
      <c r="C66" s="11" t="s">
        <v>212</v>
      </c>
      <c r="D66" s="11" t="str">
        <f>VLOOKUP(VALUE(MID($C66,13,2)), codigos!$A$2:$B$60, 2, 1) &amp; " " &amp; VLOOKUP(VALUE(MID($C66,15,4)), codigos!$E$2:$F$102, 2, FALSE)</f>
        <v>BAÑO 12</v>
      </c>
      <c r="E66" s="11" t="str">
        <f>VLOOKUP(VALUE(MID($C66,19,2)),codigos!$H$2:$I$62,2,1) &amp; " " &amp; VLOOKUP(VALUE(MID($C66,21,2)),codigos!$K$2:$L$12,2,FALSE)</f>
        <v>GALVANIZADO S/I</v>
      </c>
      <c r="F66" s="11" t="s">
        <v>1228</v>
      </c>
      <c r="G66" s="11" t="s">
        <v>340</v>
      </c>
      <c r="H66" s="52" t="s">
        <v>1367</v>
      </c>
      <c r="I66" s="20" t="s">
        <v>1298</v>
      </c>
      <c r="J66" s="11">
        <v>30</v>
      </c>
      <c r="K66" s="11">
        <v>0</v>
      </c>
      <c r="L66" s="11">
        <f t="shared" si="5"/>
        <v>30</v>
      </c>
      <c r="M66" s="131"/>
      <c r="O66" s="93">
        <v>46108</v>
      </c>
    </row>
    <row r="67" spans="1:15" x14ac:dyDescent="0.2">
      <c r="A67" s="11">
        <f t="shared" ca="1" si="6"/>
        <v>48</v>
      </c>
      <c r="C67" s="11" t="s">
        <v>371</v>
      </c>
      <c r="D67" s="11" t="str">
        <f>VLOOKUP(VALUE(MID($C67,13,2)), codigos!$A$2:$B$60, 2, 1) &amp; " " &amp; VLOOKUP(VALUE(MID($C67,15,4)), codigos!$E$2:$F$102, 2, FALSE)</f>
        <v>POCILLO 5</v>
      </c>
      <c r="E67" s="11" t="str">
        <f>VLOOKUP(VALUE(MID($C67,19,2)),codigos!$H$2:$I$62,2,1) &amp; " " &amp; VLOOKUP(VALUE(MID($C67,21,2)),codigos!$K$2:$L$12,2,FALSE)</f>
        <v>BLANCO  ROJO</v>
      </c>
      <c r="F67" s="11" t="s">
        <v>1184</v>
      </c>
      <c r="G67" s="11" t="s">
        <v>16</v>
      </c>
      <c r="H67" s="52" t="s">
        <v>1368</v>
      </c>
      <c r="I67" s="20" t="s">
        <v>1359</v>
      </c>
      <c r="J67" s="11">
        <v>360</v>
      </c>
      <c r="K67" s="11">
        <f>8+24+120+24</f>
        <v>176</v>
      </c>
      <c r="L67" s="11">
        <f t="shared" si="5"/>
        <v>184</v>
      </c>
      <c r="M67" s="89">
        <f>(SUM(K67))/(SUM(J67))</f>
        <v>0.48888888888888887</v>
      </c>
      <c r="O67" s="93">
        <v>46106</v>
      </c>
    </row>
    <row r="68" spans="1:15" x14ac:dyDescent="0.2">
      <c r="A68" s="11">
        <f t="shared" ca="1" si="6"/>
        <v>45</v>
      </c>
      <c r="C68" s="11" t="s">
        <v>169</v>
      </c>
      <c r="D68" s="11" t="str">
        <f>VLOOKUP(VALUE(MID($C68,13,2)), codigos!$A$2:$B$60, 2, 1) &amp; " " &amp; VLOOKUP(VALUE(MID($C68,15,4)), codigos!$E$2:$F$102, 2, FALSE)</f>
        <v>BUDINERA 30</v>
      </c>
      <c r="E68" s="11" t="str">
        <f>VLOOKUP(VALUE(MID($C68,19,2)),codigos!$H$2:$I$62,2,1) &amp; " " &amp; VLOOKUP(VALUE(MID($C68,21,2)),codigos!$K$2:$L$12,2,FALSE)</f>
        <v>A/T S/I</v>
      </c>
      <c r="F68" s="11" t="s">
        <v>976</v>
      </c>
      <c r="G68" s="11" t="s">
        <v>11</v>
      </c>
      <c r="H68" s="52" t="s">
        <v>1383</v>
      </c>
      <c r="I68" s="20" t="s">
        <v>1381</v>
      </c>
      <c r="J68" s="11">
        <v>20</v>
      </c>
      <c r="K68" s="11">
        <f>10+10</f>
        <v>20</v>
      </c>
      <c r="L68" s="11">
        <f t="shared" ref="L68:L73" si="7">J68-K68</f>
        <v>0</v>
      </c>
      <c r="M68" s="131">
        <f>(SUM(K68:K73))/(SUM(J68:J73))</f>
        <v>0.96923076923076923</v>
      </c>
      <c r="O68" s="93">
        <v>46106</v>
      </c>
    </row>
    <row r="69" spans="1:15" x14ac:dyDescent="0.2">
      <c r="A69" s="11">
        <f t="shared" ca="1" si="6"/>
        <v>45</v>
      </c>
      <c r="C69" s="11" t="s">
        <v>38</v>
      </c>
      <c r="D69" s="11" t="str">
        <f>VLOOKUP(VALUE(MID($C69,13,2)), codigos!$A$2:$B$60, 2, 1) &amp; " " &amp; VLOOKUP(VALUE(MID($C69,15,4)), codigos!$E$2:$F$102, 2, FALSE)</f>
        <v>BUDINERA 42</v>
      </c>
      <c r="E69" s="11" t="str">
        <f>VLOOKUP(VALUE(MID($C69,19,2)),codigos!$H$2:$I$62,2,1) &amp; " " &amp; VLOOKUP(VALUE(MID($C69,21,2)),codigos!$K$2:$L$12,2,FALSE)</f>
        <v>A/T S/I</v>
      </c>
      <c r="F69" s="11" t="s">
        <v>976</v>
      </c>
      <c r="G69" s="11" t="s">
        <v>11</v>
      </c>
      <c r="H69" s="52" t="s">
        <v>1383</v>
      </c>
      <c r="I69" s="20" t="s">
        <v>1381</v>
      </c>
      <c r="J69" s="11">
        <v>40</v>
      </c>
      <c r="K69" s="11">
        <f>2+6+3+6+10+1</f>
        <v>28</v>
      </c>
      <c r="L69" s="11">
        <f t="shared" si="7"/>
        <v>12</v>
      </c>
      <c r="M69" s="131"/>
      <c r="O69" s="93">
        <v>46106</v>
      </c>
    </row>
    <row r="70" spans="1:15" x14ac:dyDescent="0.2">
      <c r="A70" s="11">
        <f t="shared" ca="1" si="6"/>
        <v>45</v>
      </c>
      <c r="C70" s="11" t="s">
        <v>242</v>
      </c>
      <c r="D70" s="11" t="str">
        <f>VLOOKUP(VALUE(MID($C70,13,2)), codigos!$A$2:$B$60, 2, 1) &amp; " " &amp; VLOOKUP(VALUE(MID($C70,15,4)), codigos!$E$2:$F$102, 2, FALSE)</f>
        <v>COMAL 22</v>
      </c>
      <c r="E70" s="11" t="str">
        <f>VLOOKUP(VALUE(MID($C70,19,2)),codigos!$H$2:$I$62,2,1) &amp; " " &amp; VLOOKUP(VALUE(MID($C70,21,2)),codigos!$K$2:$L$12,2,FALSE)</f>
        <v>NEGRO MOTAS S/I</v>
      </c>
      <c r="F70" s="11" t="s">
        <v>976</v>
      </c>
      <c r="G70" s="11" t="s">
        <v>11</v>
      </c>
      <c r="H70" s="52" t="s">
        <v>1383</v>
      </c>
      <c r="I70" s="20" t="s">
        <v>1381</v>
      </c>
      <c r="J70" s="11">
        <v>240</v>
      </c>
      <c r="K70" s="11">
        <v>240</v>
      </c>
      <c r="L70" s="11">
        <f t="shared" si="7"/>
        <v>0</v>
      </c>
      <c r="M70" s="131"/>
      <c r="O70" s="93">
        <v>46106</v>
      </c>
    </row>
    <row r="71" spans="1:15" x14ac:dyDescent="0.2">
      <c r="A71" s="11">
        <f t="shared" ca="1" si="6"/>
        <v>45</v>
      </c>
      <c r="C71" s="11" t="s">
        <v>149</v>
      </c>
      <c r="D71" s="11" t="str">
        <f>VLOOKUP(VALUE(MID($C71,13,2)), codigos!$A$2:$B$60, 2, 1) &amp; " " &amp; VLOOKUP(VALUE(MID($C71,15,4)), codigos!$E$2:$F$102, 2, FALSE)</f>
        <v>COMAL 28</v>
      </c>
      <c r="E71" s="11" t="str">
        <f>VLOOKUP(VALUE(MID($C71,19,2)),codigos!$H$2:$I$62,2,1) &amp; " " &amp; VLOOKUP(VALUE(MID($C71,21,2)),codigos!$K$2:$L$12,2,FALSE)</f>
        <v>NEGRO MOTAS S/I</v>
      </c>
      <c r="F71" s="11" t="s">
        <v>976</v>
      </c>
      <c r="G71" s="11" t="s">
        <v>11</v>
      </c>
      <c r="H71" s="52" t="s">
        <v>1383</v>
      </c>
      <c r="I71" s="20" t="s">
        <v>1381</v>
      </c>
      <c r="J71" s="11">
        <v>600</v>
      </c>
      <c r="K71" s="11">
        <f>5+24+36+9+6+7-5+1+4+24+40+240+84+6+9+110</f>
        <v>600</v>
      </c>
      <c r="L71" s="11">
        <f t="shared" si="7"/>
        <v>0</v>
      </c>
      <c r="M71" s="131"/>
      <c r="O71" s="93">
        <v>46106</v>
      </c>
    </row>
    <row r="72" spans="1:15" x14ac:dyDescent="0.2">
      <c r="A72" s="11">
        <f t="shared" ca="1" si="6"/>
        <v>45</v>
      </c>
      <c r="C72" s="11" t="s">
        <v>344</v>
      </c>
      <c r="D72" s="11" t="str">
        <f>VLOOKUP(VALUE(MID($C72,13,2)), codigos!$A$2:$B$60, 2, 1) &amp; " " &amp; VLOOKUP(VALUE(MID($C72,15,4)), codigos!$E$2:$F$102, 2, FALSE)</f>
        <v>COMAL 36</v>
      </c>
      <c r="E72" s="11" t="str">
        <f>VLOOKUP(VALUE(MID($C72,19,2)),codigos!$H$2:$I$62,2,1) &amp; " " &amp; VLOOKUP(VALUE(MID($C72,21,2)),codigos!$K$2:$L$12,2,FALSE)</f>
        <v>NEGRO MOTAS S/I</v>
      </c>
      <c r="F72" s="11" t="s">
        <v>976</v>
      </c>
      <c r="G72" s="11" t="s">
        <v>11</v>
      </c>
      <c r="H72" s="52" t="s">
        <v>1383</v>
      </c>
      <c r="I72" s="20" t="s">
        <v>1381</v>
      </c>
      <c r="J72" s="11">
        <v>120</v>
      </c>
      <c r="K72" s="11">
        <f>24+36+11+49</f>
        <v>120</v>
      </c>
      <c r="L72" s="11">
        <f t="shared" si="7"/>
        <v>0</v>
      </c>
      <c r="M72" s="131"/>
      <c r="O72" s="93">
        <v>46106</v>
      </c>
    </row>
    <row r="73" spans="1:15" x14ac:dyDescent="0.2">
      <c r="A73" s="11">
        <f t="shared" ca="1" si="6"/>
        <v>45</v>
      </c>
      <c r="C73" s="11" t="s">
        <v>157</v>
      </c>
      <c r="D73" s="11" t="str">
        <f>VLOOKUP(VALUE(MID($C73,13,2)), codigos!$A$2:$B$60, 2, 1) &amp; " " &amp; VLOOKUP(VALUE(MID($C73,15,4)), codigos!$E$2:$F$102, 2, FALSE)</f>
        <v>OLLA RECTA 42</v>
      </c>
      <c r="E73" s="11" t="str">
        <f>VLOOKUP(VALUE(MID($C73,19,2)),codigos!$H$2:$I$62,2,1) &amp; " " &amp; VLOOKUP(VALUE(MID($C73,21,2)),codigos!$K$2:$L$12,2,FALSE)</f>
        <v>A/T S/I</v>
      </c>
      <c r="F73" s="11" t="s">
        <v>976</v>
      </c>
      <c r="G73" s="11" t="s">
        <v>11</v>
      </c>
      <c r="H73" s="52" t="s">
        <v>1383</v>
      </c>
      <c r="I73" s="20" t="s">
        <v>1381</v>
      </c>
      <c r="J73" s="11">
        <v>20</v>
      </c>
      <c r="K73" s="11">
        <v>0</v>
      </c>
      <c r="L73" s="11">
        <f t="shared" si="7"/>
        <v>20</v>
      </c>
      <c r="M73" s="131"/>
      <c r="O73" s="93">
        <v>46106</v>
      </c>
    </row>
    <row r="74" spans="1:15" x14ac:dyDescent="0.2">
      <c r="A74" s="11">
        <f t="shared" ref="A74:A112" ca="1" si="8">DAYS360(I74,$B$1)</f>
        <v>42</v>
      </c>
      <c r="C74" s="11" t="s">
        <v>295</v>
      </c>
      <c r="D74" s="11" t="str">
        <f>VLOOKUP(VALUE(MID($C74,13,2)), codigos!$A$2:$B$60, 2, 1) &amp; " " &amp; VLOOKUP(VALUE(MID($C74,15,4)), codigos!$E$2:$F$102, 2, FALSE)</f>
        <v>PLATO LISO 32</v>
      </c>
      <c r="E74" s="11" t="str">
        <f>VLOOKUP(VALUE(MID($C74,19,2)),codigos!$H$2:$I$62,2,1) &amp; " " &amp; VLOOKUP(VALUE(MID($C74,21,2)),codigos!$K$2:$L$12,2,FALSE)</f>
        <v>BLANCO  NEGRO</v>
      </c>
      <c r="F74" s="11" t="s">
        <v>539</v>
      </c>
      <c r="G74" s="11" t="s">
        <v>11</v>
      </c>
      <c r="H74" s="52" t="s">
        <v>1389</v>
      </c>
      <c r="I74" s="20" t="s">
        <v>1387</v>
      </c>
      <c r="J74" s="11">
        <v>60</v>
      </c>
      <c r="K74" s="11">
        <f>12+18</f>
        <v>30</v>
      </c>
      <c r="L74" s="11">
        <f t="shared" ref="L74:L103" si="9">J74-K74</f>
        <v>30</v>
      </c>
      <c r="M74" s="131">
        <f>(SUM(K74:K75))/(SUM(J74:J75))</f>
        <v>0.73888888888888893</v>
      </c>
      <c r="O74" s="93">
        <v>46108</v>
      </c>
    </row>
    <row r="75" spans="1:15" x14ac:dyDescent="0.2">
      <c r="A75" s="11">
        <f t="shared" ca="1" si="8"/>
        <v>42</v>
      </c>
      <c r="C75" s="11" t="s">
        <v>78</v>
      </c>
      <c r="D75" s="11" t="str">
        <f>VLOOKUP(VALUE(MID($C75,13,2)), codigos!$A$2:$B$60, 2, 1) &amp; " " &amp; VLOOKUP(VALUE(MID($C75,15,4)), codigos!$E$2:$F$102, 2, FALSE)</f>
        <v>POCILLO 6</v>
      </c>
      <c r="E75" s="11" t="str">
        <f>VLOOKUP(VALUE(MID($C75,19,2)),codigos!$H$2:$I$62,2,1) &amp; " " &amp; VLOOKUP(VALUE(MID($C75,21,2)),codigos!$K$2:$L$12,2,FALSE)</f>
        <v>A/T S/I</v>
      </c>
      <c r="F75" s="11" t="s">
        <v>539</v>
      </c>
      <c r="G75" s="11" t="s">
        <v>11</v>
      </c>
      <c r="H75" s="52" t="s">
        <v>1389</v>
      </c>
      <c r="I75" s="20" t="s">
        <v>1387</v>
      </c>
      <c r="J75" s="11">
        <v>120</v>
      </c>
      <c r="K75" s="11">
        <v>103</v>
      </c>
      <c r="L75" s="11">
        <f t="shared" si="9"/>
        <v>17</v>
      </c>
      <c r="M75" s="131"/>
      <c r="O75" s="93">
        <v>46108</v>
      </c>
    </row>
    <row r="76" spans="1:15" x14ac:dyDescent="0.2">
      <c r="A76" s="11">
        <f t="shared" ca="1" si="8"/>
        <v>42</v>
      </c>
      <c r="C76" s="11" t="s">
        <v>252</v>
      </c>
      <c r="D76" s="11" t="str">
        <f>VLOOKUP(VALUE(MID($C76,13,2)), codigos!$A$2:$B$60, 2, 1) &amp; " " &amp; VLOOKUP(VALUE(MID($C76,15,4)), codigos!$E$2:$F$102, 2, FALSE)</f>
        <v>BACINICA 20</v>
      </c>
      <c r="E76" s="11" t="str">
        <f>VLOOKUP(VALUE(MID($C76,19,2)),codigos!$H$2:$I$62,2,1) &amp; " " &amp; VLOOKUP(VALUE(MID($C76,21,2)),codigos!$K$2:$L$12,2,FALSE)</f>
        <v>BLANCO  NEGRO</v>
      </c>
      <c r="F76" s="11" t="s">
        <v>1226</v>
      </c>
      <c r="G76" s="11" t="s">
        <v>11</v>
      </c>
      <c r="H76" s="52" t="s">
        <v>1390</v>
      </c>
      <c r="I76" s="20" t="s">
        <v>1387</v>
      </c>
      <c r="J76" s="11">
        <v>24</v>
      </c>
      <c r="K76" s="11">
        <v>24</v>
      </c>
      <c r="L76" s="11">
        <f t="shared" si="9"/>
        <v>0</v>
      </c>
      <c r="M76" s="131">
        <f>(SUM(K76:K112))/(SUM(J76:J112))</f>
        <v>0.9550561797752809</v>
      </c>
      <c r="O76" s="93">
        <v>46127</v>
      </c>
    </row>
    <row r="77" spans="1:15" x14ac:dyDescent="0.2">
      <c r="A77" s="11">
        <f t="shared" ca="1" si="8"/>
        <v>42</v>
      </c>
      <c r="C77" s="11" t="s">
        <v>256</v>
      </c>
      <c r="D77" s="11" t="str">
        <f>VLOOKUP(VALUE(MID($C77,13,2)), codigos!$A$2:$B$60, 2, 1) &amp; " " &amp; VLOOKUP(VALUE(MID($C77,15,4)), codigos!$E$2:$F$102, 2, FALSE)</f>
        <v>BUDINERA 14</v>
      </c>
      <c r="E77" s="11" t="str">
        <f>VLOOKUP(VALUE(MID($C77,19,2)),codigos!$H$2:$I$62,2,1) &amp; " " &amp; VLOOKUP(VALUE(MID($C77,21,2)),codigos!$K$2:$L$12,2,FALSE)</f>
        <v>A/T S/I</v>
      </c>
      <c r="F77" s="11" t="s">
        <v>1226</v>
      </c>
      <c r="G77" s="11" t="s">
        <v>11</v>
      </c>
      <c r="H77" s="52" t="s">
        <v>1390</v>
      </c>
      <c r="I77" s="20" t="s">
        <v>1387</v>
      </c>
      <c r="J77" s="11">
        <v>18</v>
      </c>
      <c r="K77" s="11">
        <v>18</v>
      </c>
      <c r="L77" s="11">
        <f t="shared" si="9"/>
        <v>0</v>
      </c>
      <c r="M77" s="131"/>
      <c r="O77" s="93">
        <v>46127</v>
      </c>
    </row>
    <row r="78" spans="1:15" x14ac:dyDescent="0.2">
      <c r="A78" s="11">
        <f t="shared" ca="1" si="8"/>
        <v>42</v>
      </c>
      <c r="C78" s="11" t="s">
        <v>189</v>
      </c>
      <c r="D78" s="11" t="str">
        <f>VLOOKUP(VALUE(MID($C78,13,2)), codigos!$A$2:$B$60, 2, 1) &amp; " " &amp; VLOOKUP(VALUE(MID($C78,15,4)), codigos!$E$2:$F$102, 2, FALSE)</f>
        <v>BUDINERA 16</v>
      </c>
      <c r="E78" s="11" t="str">
        <f>VLOOKUP(VALUE(MID($C78,19,2)),codigos!$H$2:$I$62,2,1) &amp; " " &amp; VLOOKUP(VALUE(MID($C78,21,2)),codigos!$K$2:$L$12,2,FALSE)</f>
        <v>A/T S/I</v>
      </c>
      <c r="F78" s="11" t="s">
        <v>1226</v>
      </c>
      <c r="G78" s="11" t="s">
        <v>11</v>
      </c>
      <c r="H78" s="52" t="s">
        <v>1390</v>
      </c>
      <c r="I78" s="20" t="s">
        <v>1387</v>
      </c>
      <c r="J78" s="11">
        <v>18</v>
      </c>
      <c r="K78" s="11">
        <f>1+1+16</f>
        <v>18</v>
      </c>
      <c r="L78" s="11">
        <f t="shared" si="9"/>
        <v>0</v>
      </c>
      <c r="M78" s="131"/>
      <c r="O78" s="93">
        <v>46127</v>
      </c>
    </row>
    <row r="79" spans="1:15" x14ac:dyDescent="0.2">
      <c r="A79" s="11">
        <f t="shared" ca="1" si="8"/>
        <v>42</v>
      </c>
      <c r="C79" s="11" t="s">
        <v>214</v>
      </c>
      <c r="D79" s="11" t="str">
        <f>VLOOKUP(VALUE(MID($C79,13,2)), codigos!$A$2:$B$60, 2, 1) &amp; " " &amp; VLOOKUP(VALUE(MID($C79,15,4)), codigos!$E$2:$F$102, 2, FALSE)</f>
        <v>BUDINERA 18</v>
      </c>
      <c r="E79" s="11" t="str">
        <f>VLOOKUP(VALUE(MID($C79,19,2)),codigos!$H$2:$I$62,2,1) &amp; " " &amp; VLOOKUP(VALUE(MID($C79,21,2)),codigos!$K$2:$L$12,2,FALSE)</f>
        <v>A/T S/I</v>
      </c>
      <c r="F79" s="11" t="s">
        <v>1226</v>
      </c>
      <c r="G79" s="11" t="s">
        <v>11</v>
      </c>
      <c r="H79" s="52" t="s">
        <v>1390</v>
      </c>
      <c r="I79" s="20" t="s">
        <v>1387</v>
      </c>
      <c r="J79" s="11">
        <v>18</v>
      </c>
      <c r="K79" s="11">
        <f>18-13+13</f>
        <v>18</v>
      </c>
      <c r="L79" s="11">
        <f t="shared" si="9"/>
        <v>0</v>
      </c>
      <c r="M79" s="131"/>
      <c r="O79" s="93">
        <v>46127</v>
      </c>
    </row>
    <row r="80" spans="1:15" x14ac:dyDescent="0.2">
      <c r="A80" s="11">
        <f t="shared" ca="1" si="8"/>
        <v>42</v>
      </c>
      <c r="C80" s="11" t="s">
        <v>215</v>
      </c>
      <c r="D80" s="11" t="str">
        <f>VLOOKUP(VALUE(MID($C80,13,2)), codigos!$A$2:$B$60, 2, 1) &amp; " " &amp; VLOOKUP(VALUE(MID($C80,15,4)), codigos!$E$2:$F$102, 2, FALSE)</f>
        <v>BUDINERA 20</v>
      </c>
      <c r="E80" s="11" t="str">
        <f>VLOOKUP(VALUE(MID($C80,19,2)),codigos!$H$2:$I$62,2,1) &amp; " " &amp; VLOOKUP(VALUE(MID($C80,21,2)),codigos!$K$2:$L$12,2,FALSE)</f>
        <v>A/T S/I</v>
      </c>
      <c r="F80" s="11" t="s">
        <v>1226</v>
      </c>
      <c r="G80" s="11" t="s">
        <v>11</v>
      </c>
      <c r="H80" s="52" t="s">
        <v>1390</v>
      </c>
      <c r="I80" s="20" t="s">
        <v>1387</v>
      </c>
      <c r="J80" s="11">
        <v>18</v>
      </c>
      <c r="K80" s="11">
        <v>18</v>
      </c>
      <c r="L80" s="11">
        <f t="shared" si="9"/>
        <v>0</v>
      </c>
      <c r="M80" s="131"/>
      <c r="O80" s="93">
        <v>46127</v>
      </c>
    </row>
    <row r="81" spans="1:15" x14ac:dyDescent="0.2">
      <c r="A81" s="11">
        <f t="shared" ca="1" si="8"/>
        <v>42</v>
      </c>
      <c r="C81" s="11" t="s">
        <v>241</v>
      </c>
      <c r="D81" s="11" t="str">
        <f>VLOOKUP(VALUE(MID($C81,13,2)), codigos!$A$2:$B$60, 2, 1) &amp; " " &amp; VLOOKUP(VALUE(MID($C81,15,4)), codigos!$E$2:$F$102, 2, FALSE)</f>
        <v>BUDINERA 22</v>
      </c>
      <c r="E81" s="11" t="str">
        <f>VLOOKUP(VALUE(MID($C81,19,2)),codigos!$H$2:$I$62,2,1) &amp; " " &amp; VLOOKUP(VALUE(MID($C81,21,2)),codigos!$K$2:$L$12,2,FALSE)</f>
        <v>A/T S/I</v>
      </c>
      <c r="F81" s="11" t="s">
        <v>1226</v>
      </c>
      <c r="G81" s="11" t="s">
        <v>11</v>
      </c>
      <c r="H81" s="52" t="s">
        <v>1390</v>
      </c>
      <c r="I81" s="20" t="s">
        <v>1387</v>
      </c>
      <c r="J81" s="11">
        <v>12</v>
      </c>
      <c r="K81" s="11">
        <f>12</f>
        <v>12</v>
      </c>
      <c r="L81" s="11">
        <f t="shared" si="9"/>
        <v>0</v>
      </c>
      <c r="M81" s="131"/>
      <c r="O81" s="93">
        <v>46127</v>
      </c>
    </row>
    <row r="82" spans="1:15" x14ac:dyDescent="0.2">
      <c r="A82" s="11">
        <f t="shared" ca="1" si="8"/>
        <v>42</v>
      </c>
      <c r="C82" s="11" t="s">
        <v>143</v>
      </c>
      <c r="D82" s="11" t="str">
        <f>VLOOKUP(VALUE(MID($C82,13,2)), codigos!$A$2:$B$60, 2, 1) &amp; " " &amp; VLOOKUP(VALUE(MID($C82,15,4)), codigos!$E$2:$F$102, 2, FALSE)</f>
        <v>BUDINERA 24</v>
      </c>
      <c r="E82" s="11" t="str">
        <f>VLOOKUP(VALUE(MID($C82,19,2)),codigos!$H$2:$I$62,2,1) &amp; " " &amp; VLOOKUP(VALUE(MID($C82,21,2)),codigos!$K$2:$L$12,2,FALSE)</f>
        <v>A/T S/I</v>
      </c>
      <c r="F82" s="11" t="s">
        <v>1226</v>
      </c>
      <c r="G82" s="11" t="s">
        <v>11</v>
      </c>
      <c r="H82" s="52" t="s">
        <v>1390</v>
      </c>
      <c r="I82" s="20" t="s">
        <v>1387</v>
      </c>
      <c r="J82" s="11">
        <v>12</v>
      </c>
      <c r="K82" s="11">
        <f>12</f>
        <v>12</v>
      </c>
      <c r="L82" s="11">
        <f t="shared" si="9"/>
        <v>0</v>
      </c>
      <c r="M82" s="131"/>
      <c r="O82" s="93">
        <v>46127</v>
      </c>
    </row>
    <row r="83" spans="1:15" x14ac:dyDescent="0.2">
      <c r="A83" s="11">
        <f t="shared" ca="1" si="8"/>
        <v>42</v>
      </c>
      <c r="C83" s="11" t="s">
        <v>148</v>
      </c>
      <c r="D83" s="11" t="str">
        <f>VLOOKUP(VALUE(MID($C83,13,2)), codigos!$A$2:$B$60, 2, 1) &amp; " " &amp; VLOOKUP(VALUE(MID($C83,15,4)), codigos!$E$2:$F$102, 2, FALSE)</f>
        <v>BUDINERA 26</v>
      </c>
      <c r="E83" s="11" t="str">
        <f>VLOOKUP(VALUE(MID($C83,19,2)),codigos!$H$2:$I$62,2,1) &amp; " " &amp; VLOOKUP(VALUE(MID($C83,21,2)),codigos!$K$2:$L$12,2,FALSE)</f>
        <v>A/T S/I</v>
      </c>
      <c r="F83" s="11" t="s">
        <v>1226</v>
      </c>
      <c r="G83" s="11" t="s">
        <v>11</v>
      </c>
      <c r="H83" s="52" t="s">
        <v>1390</v>
      </c>
      <c r="I83" s="20" t="s">
        <v>1387</v>
      </c>
      <c r="J83" s="11">
        <v>12</v>
      </c>
      <c r="K83" s="11">
        <f>1</f>
        <v>1</v>
      </c>
      <c r="L83" s="11">
        <f t="shared" si="9"/>
        <v>11</v>
      </c>
      <c r="M83" s="131"/>
      <c r="O83" s="93">
        <v>46127</v>
      </c>
    </row>
    <row r="84" spans="1:15" x14ac:dyDescent="0.2">
      <c r="A84" s="11">
        <f t="shared" ca="1" si="8"/>
        <v>42</v>
      </c>
      <c r="C84" s="11" t="s">
        <v>169</v>
      </c>
      <c r="D84" s="11" t="str">
        <f>VLOOKUP(VALUE(MID($C84,13,2)), codigos!$A$2:$B$60, 2, 1) &amp; " " &amp; VLOOKUP(VALUE(MID($C84,15,4)), codigos!$E$2:$F$102, 2, FALSE)</f>
        <v>BUDINERA 30</v>
      </c>
      <c r="E84" s="11" t="str">
        <f>VLOOKUP(VALUE(MID($C84,19,2)),codigos!$H$2:$I$62,2,1) &amp; " " &amp; VLOOKUP(VALUE(MID($C84,21,2)),codigos!$K$2:$L$12,2,FALSE)</f>
        <v>A/T S/I</v>
      </c>
      <c r="F84" s="11" t="s">
        <v>1226</v>
      </c>
      <c r="G84" s="11" t="s">
        <v>11</v>
      </c>
      <c r="H84" s="52" t="s">
        <v>1390</v>
      </c>
      <c r="I84" s="20" t="s">
        <v>1387</v>
      </c>
      <c r="J84" s="11">
        <v>6</v>
      </c>
      <c r="K84" s="11">
        <f>6</f>
        <v>6</v>
      </c>
      <c r="L84" s="11">
        <f t="shared" si="9"/>
        <v>0</v>
      </c>
      <c r="M84" s="131"/>
      <c r="O84" s="93">
        <v>46127</v>
      </c>
    </row>
    <row r="85" spans="1:15" x14ac:dyDescent="0.2">
      <c r="A85" s="11">
        <f t="shared" ca="1" si="8"/>
        <v>42</v>
      </c>
      <c r="C85" s="11" t="s">
        <v>173</v>
      </c>
      <c r="D85" s="11" t="str">
        <f>VLOOKUP(VALUE(MID($C85,13,2)), codigos!$A$2:$B$60, 2, 1) &amp; " " &amp; VLOOKUP(VALUE(MID($C85,15,4)), codigos!$E$2:$F$102, 2, FALSE)</f>
        <v>BUDINERA 34</v>
      </c>
      <c r="E85" s="11" t="str">
        <f>VLOOKUP(VALUE(MID($C85,19,2)),codigos!$H$2:$I$62,2,1) &amp; " " &amp; VLOOKUP(VALUE(MID($C85,21,2)),codigos!$K$2:$L$12,2,FALSE)</f>
        <v>A/T S/I</v>
      </c>
      <c r="F85" s="11" t="s">
        <v>1226</v>
      </c>
      <c r="G85" s="11" t="s">
        <v>11</v>
      </c>
      <c r="H85" s="52" t="s">
        <v>1390</v>
      </c>
      <c r="I85" s="20" t="s">
        <v>1387</v>
      </c>
      <c r="J85" s="11">
        <v>4</v>
      </c>
      <c r="K85" s="11">
        <v>4</v>
      </c>
      <c r="L85" s="11">
        <f t="shared" si="9"/>
        <v>0</v>
      </c>
      <c r="M85" s="131"/>
      <c r="O85" s="93">
        <v>46127</v>
      </c>
    </row>
    <row r="86" spans="1:15" x14ac:dyDescent="0.2">
      <c r="A86" s="11">
        <f t="shared" ca="1" si="8"/>
        <v>42</v>
      </c>
      <c r="C86" s="11" t="s">
        <v>38</v>
      </c>
      <c r="D86" s="11" t="str">
        <f>VLOOKUP(VALUE(MID($C86,13,2)), codigos!$A$2:$B$60, 2, 1) &amp; " " &amp; VLOOKUP(VALUE(MID($C86,15,4)), codigos!$E$2:$F$102, 2, FALSE)</f>
        <v>BUDINERA 42</v>
      </c>
      <c r="E86" s="11" t="str">
        <f>VLOOKUP(VALUE(MID($C86,19,2)),codigos!$H$2:$I$62,2,1) &amp; " " &amp; VLOOKUP(VALUE(MID($C86,21,2)),codigos!$K$2:$L$12,2,FALSE)</f>
        <v>A/T S/I</v>
      </c>
      <c r="F86" s="11" t="s">
        <v>1226</v>
      </c>
      <c r="G86" s="11" t="s">
        <v>11</v>
      </c>
      <c r="H86" s="52" t="s">
        <v>1390</v>
      </c>
      <c r="I86" s="20" t="s">
        <v>1387</v>
      </c>
      <c r="J86" s="11">
        <v>2</v>
      </c>
      <c r="K86" s="11">
        <f>2</f>
        <v>2</v>
      </c>
      <c r="L86" s="11">
        <f t="shared" si="9"/>
        <v>0</v>
      </c>
      <c r="M86" s="131"/>
      <c r="O86" s="93">
        <v>46127</v>
      </c>
    </row>
    <row r="87" spans="1:15" x14ac:dyDescent="0.2">
      <c r="A87" s="11">
        <f t="shared" ca="1" si="8"/>
        <v>42</v>
      </c>
      <c r="C87" s="11" t="s">
        <v>218</v>
      </c>
      <c r="D87" s="11" t="str">
        <f>VLOOKUP(VALUE(MID($C87,13,2)), codigos!$A$2:$B$60, 2, 1) &amp; " " &amp; VLOOKUP(VALUE(MID($C87,15,4)), codigos!$E$2:$F$102, 2, FALSE)</f>
        <v>CAZO 14</v>
      </c>
      <c r="E87" s="11" t="str">
        <f>VLOOKUP(VALUE(MID($C87,19,2)),codigos!$H$2:$I$62,2,1) &amp; " " &amp; VLOOKUP(VALUE(MID($C87,21,2)),codigos!$K$2:$L$12,2,FALSE)</f>
        <v>A/T S/I</v>
      </c>
      <c r="F87" s="11" t="s">
        <v>1226</v>
      </c>
      <c r="G87" s="11" t="s">
        <v>11</v>
      </c>
      <c r="H87" s="52" t="s">
        <v>1390</v>
      </c>
      <c r="I87" s="20" t="s">
        <v>1387</v>
      </c>
      <c r="J87" s="11">
        <v>12</v>
      </c>
      <c r="K87" s="11">
        <v>12</v>
      </c>
      <c r="L87" s="11">
        <f t="shared" si="9"/>
        <v>0</v>
      </c>
      <c r="M87" s="131"/>
      <c r="O87" s="93">
        <v>46127</v>
      </c>
    </row>
    <row r="88" spans="1:15" x14ac:dyDescent="0.2">
      <c r="A88" s="11">
        <f t="shared" ca="1" si="8"/>
        <v>42</v>
      </c>
      <c r="C88" s="11" t="s">
        <v>219</v>
      </c>
      <c r="D88" s="11" t="str">
        <f>VLOOKUP(VALUE(MID($C88,13,2)), codigos!$A$2:$B$60, 2, 1) &amp; " " &amp; VLOOKUP(VALUE(MID($C88,15,4)), codigos!$E$2:$F$102, 2, FALSE)</f>
        <v>CAZO 16</v>
      </c>
      <c r="E88" s="11" t="str">
        <f>VLOOKUP(VALUE(MID($C88,19,2)),codigos!$H$2:$I$62,2,1) &amp; " " &amp; VLOOKUP(VALUE(MID($C88,21,2)),codigos!$K$2:$L$12,2,FALSE)</f>
        <v>A/T S/I</v>
      </c>
      <c r="F88" s="11" t="s">
        <v>1226</v>
      </c>
      <c r="G88" s="11" t="s">
        <v>11</v>
      </c>
      <c r="H88" s="52" t="s">
        <v>1390</v>
      </c>
      <c r="I88" s="20" t="s">
        <v>1387</v>
      </c>
      <c r="J88" s="11">
        <v>12</v>
      </c>
      <c r="K88" s="11">
        <v>0</v>
      </c>
      <c r="L88" s="11">
        <f t="shared" si="9"/>
        <v>12</v>
      </c>
      <c r="M88" s="131"/>
      <c r="O88" s="93">
        <v>46127</v>
      </c>
    </row>
    <row r="89" spans="1:15" x14ac:dyDescent="0.2">
      <c r="A89" s="11">
        <f t="shared" ca="1" si="8"/>
        <v>42</v>
      </c>
      <c r="C89" s="11" t="s">
        <v>242</v>
      </c>
      <c r="D89" s="11" t="str">
        <f>VLOOKUP(VALUE(MID($C89,13,2)), codigos!$A$2:$B$60, 2, 1) &amp; " " &amp; VLOOKUP(VALUE(MID($C89,15,4)), codigos!$E$2:$F$102, 2, FALSE)</f>
        <v>COMAL 22</v>
      </c>
      <c r="E89" s="11" t="str">
        <f>VLOOKUP(VALUE(MID($C89,19,2)),codigos!$H$2:$I$62,2,1) &amp; " " &amp; VLOOKUP(VALUE(MID($C89,21,2)),codigos!$K$2:$L$12,2,FALSE)</f>
        <v>NEGRO MOTAS S/I</v>
      </c>
      <c r="F89" s="11" t="s">
        <v>1226</v>
      </c>
      <c r="G89" s="11" t="s">
        <v>11</v>
      </c>
      <c r="H89" s="52" t="s">
        <v>1390</v>
      </c>
      <c r="I89" s="20" t="s">
        <v>1387</v>
      </c>
      <c r="J89" s="11">
        <v>24</v>
      </c>
      <c r="K89" s="11">
        <v>24</v>
      </c>
      <c r="L89" s="11">
        <f t="shared" si="9"/>
        <v>0</v>
      </c>
      <c r="M89" s="131"/>
      <c r="O89" s="93">
        <v>46127</v>
      </c>
    </row>
    <row r="90" spans="1:15" x14ac:dyDescent="0.2">
      <c r="A90" s="11">
        <f t="shared" ca="1" si="8"/>
        <v>42</v>
      </c>
      <c r="C90" s="11" t="s">
        <v>149</v>
      </c>
      <c r="D90" s="11" t="str">
        <f>VLOOKUP(VALUE(MID($C90,13,2)), codigos!$A$2:$B$60, 2, 1) &amp; " " &amp; VLOOKUP(VALUE(MID($C90,15,4)), codigos!$E$2:$F$102, 2, FALSE)</f>
        <v>COMAL 28</v>
      </c>
      <c r="E90" s="11" t="str">
        <f>VLOOKUP(VALUE(MID($C90,19,2)),codigos!$H$2:$I$62,2,1) &amp; " " &amp; VLOOKUP(VALUE(MID($C90,21,2)),codigos!$K$2:$L$12,2,FALSE)</f>
        <v>NEGRO MOTAS S/I</v>
      </c>
      <c r="F90" s="11" t="s">
        <v>1226</v>
      </c>
      <c r="G90" s="11" t="s">
        <v>11</v>
      </c>
      <c r="H90" s="52" t="s">
        <v>1390</v>
      </c>
      <c r="I90" s="20" t="s">
        <v>1387</v>
      </c>
      <c r="J90" s="11">
        <v>12</v>
      </c>
      <c r="K90" s="11">
        <v>12</v>
      </c>
      <c r="L90" s="11">
        <f t="shared" si="9"/>
        <v>0</v>
      </c>
      <c r="M90" s="131"/>
      <c r="O90" s="93">
        <v>46127</v>
      </c>
    </row>
    <row r="91" spans="1:15" x14ac:dyDescent="0.2">
      <c r="A91" s="11">
        <f t="shared" ca="1" si="8"/>
        <v>42</v>
      </c>
      <c r="C91" s="11" t="s">
        <v>333</v>
      </c>
      <c r="D91" s="11" t="str">
        <f>VLOOKUP(VALUE(MID($C91,13,2)), codigos!$A$2:$B$60, 2, 1) &amp; " " &amp; VLOOKUP(VALUE(MID($C91,15,4)), codigos!$E$2:$F$102, 2, FALSE)</f>
        <v>OLLA CONVEXA 14</v>
      </c>
      <c r="E91" s="11" t="str">
        <f>VLOOKUP(VALUE(MID($C91,19,2)),codigos!$H$2:$I$62,2,1) &amp; " " &amp; VLOOKUP(VALUE(MID($C91,21,2)),codigos!$K$2:$L$12,2,FALSE)</f>
        <v>A/T S/I</v>
      </c>
      <c r="F91" s="11" t="s">
        <v>1226</v>
      </c>
      <c r="G91" s="11" t="s">
        <v>11</v>
      </c>
      <c r="H91" s="52" t="s">
        <v>1390</v>
      </c>
      <c r="I91" s="20" t="s">
        <v>1387</v>
      </c>
      <c r="J91" s="11">
        <v>18</v>
      </c>
      <c r="K91" s="11">
        <f>4+14</f>
        <v>18</v>
      </c>
      <c r="L91" s="11">
        <f t="shared" si="9"/>
        <v>0</v>
      </c>
      <c r="M91" s="131"/>
      <c r="O91" s="93">
        <v>46127</v>
      </c>
    </row>
    <row r="92" spans="1:15" x14ac:dyDescent="0.2">
      <c r="A92" s="11">
        <f t="shared" ca="1" si="8"/>
        <v>42</v>
      </c>
      <c r="C92" s="11" t="s">
        <v>220</v>
      </c>
      <c r="D92" s="11" t="str">
        <f>VLOOKUP(VALUE(MID($C92,13,2)), codigos!$A$2:$B$60, 2, 1) &amp; " " &amp; VLOOKUP(VALUE(MID($C92,15,4)), codigos!$E$2:$F$102, 2, FALSE)</f>
        <v>OLLA CONVEXA 16</v>
      </c>
      <c r="E92" s="11" t="str">
        <f>VLOOKUP(VALUE(MID($C92,19,2)),codigos!$H$2:$I$62,2,1) &amp; " " &amp; VLOOKUP(VALUE(MID($C92,21,2)),codigos!$K$2:$L$12,2,FALSE)</f>
        <v>A/T S/I</v>
      </c>
      <c r="F92" s="11" t="s">
        <v>1226</v>
      </c>
      <c r="G92" s="11" t="s">
        <v>11</v>
      </c>
      <c r="H92" s="52" t="s">
        <v>1390</v>
      </c>
      <c r="I92" s="20" t="s">
        <v>1387</v>
      </c>
      <c r="J92" s="11">
        <v>12</v>
      </c>
      <c r="K92" s="11">
        <v>12</v>
      </c>
      <c r="L92" s="11">
        <f t="shared" si="9"/>
        <v>0</v>
      </c>
      <c r="M92" s="131"/>
      <c r="O92" s="93">
        <v>46127</v>
      </c>
    </row>
    <row r="93" spans="1:15" x14ac:dyDescent="0.2">
      <c r="A93" s="11">
        <f t="shared" ca="1" si="8"/>
        <v>42</v>
      </c>
      <c r="C93" s="11" t="s">
        <v>151</v>
      </c>
      <c r="D93" s="11" t="str">
        <f>VLOOKUP(VALUE(MID($C93,13,2)), codigos!$A$2:$B$60, 2, 1) &amp; " " &amp; VLOOKUP(VALUE(MID($C93,15,4)), codigos!$E$2:$F$102, 2, FALSE)</f>
        <v>OLLA CONVEXA 20</v>
      </c>
      <c r="E93" s="11" t="str">
        <f>VLOOKUP(VALUE(MID($C93,19,2)),codigos!$H$2:$I$62,2,1) &amp; " " &amp; VLOOKUP(VALUE(MID($C93,21,2)),codigos!$K$2:$L$12,2,FALSE)</f>
        <v>A/T S/I</v>
      </c>
      <c r="F93" s="11" t="s">
        <v>1226</v>
      </c>
      <c r="G93" s="11" t="s">
        <v>11</v>
      </c>
      <c r="H93" s="52" t="s">
        <v>1390</v>
      </c>
      <c r="I93" s="20" t="s">
        <v>1387</v>
      </c>
      <c r="J93" s="11">
        <v>12</v>
      </c>
      <c r="K93" s="11">
        <f>12</f>
        <v>12</v>
      </c>
      <c r="L93" s="11">
        <f t="shared" si="9"/>
        <v>0</v>
      </c>
      <c r="M93" s="131"/>
      <c r="O93" s="93">
        <v>46127</v>
      </c>
    </row>
    <row r="94" spans="1:15" x14ac:dyDescent="0.2">
      <c r="A94" s="11">
        <f t="shared" ca="1" si="8"/>
        <v>42</v>
      </c>
      <c r="C94" s="11" t="s">
        <v>154</v>
      </c>
      <c r="D94" s="11" t="str">
        <f>VLOOKUP(VALUE(MID($C94,13,2)), codigos!$A$2:$B$60, 2, 1) &amp; " " &amp; VLOOKUP(VALUE(MID($C94,15,4)), codigos!$E$2:$F$102, 2, FALSE)</f>
        <v>OLLA CONVEXA 30</v>
      </c>
      <c r="E94" s="11" t="str">
        <f>VLOOKUP(VALUE(MID($C94,19,2)),codigos!$H$2:$I$62,2,1) &amp; " " &amp; VLOOKUP(VALUE(MID($C94,21,2)),codigos!$K$2:$L$12,2,FALSE)</f>
        <v>A/T S/I</v>
      </c>
      <c r="F94" s="11" t="s">
        <v>1226</v>
      </c>
      <c r="G94" s="11" t="s">
        <v>11</v>
      </c>
      <c r="H94" s="52" t="s">
        <v>1390</v>
      </c>
      <c r="I94" s="20" t="s">
        <v>1387</v>
      </c>
      <c r="J94" s="11">
        <v>4</v>
      </c>
      <c r="K94" s="11">
        <f>4</f>
        <v>4</v>
      </c>
      <c r="L94" s="11">
        <f t="shared" si="9"/>
        <v>0</v>
      </c>
      <c r="M94" s="131"/>
      <c r="O94" s="93">
        <v>46127</v>
      </c>
    </row>
    <row r="95" spans="1:15" x14ac:dyDescent="0.2">
      <c r="A95" s="11">
        <f t="shared" ca="1" si="8"/>
        <v>42</v>
      </c>
      <c r="C95" s="11" t="s">
        <v>221</v>
      </c>
      <c r="D95" s="11" t="str">
        <f>VLOOKUP(VALUE(MID($C95,13,2)), codigos!$A$2:$B$60, 2, 1) &amp; " " &amp; VLOOKUP(VALUE(MID($C95,15,4)), codigos!$E$2:$F$102, 2, FALSE)</f>
        <v>OLLA CONVEXA 34</v>
      </c>
      <c r="E95" s="11" t="str">
        <f>VLOOKUP(VALUE(MID($C95,19,2)),codigos!$H$2:$I$62,2,1) &amp; " " &amp; VLOOKUP(VALUE(MID($C95,21,2)),codigos!$K$2:$L$12,2,FALSE)</f>
        <v>A/T S/I</v>
      </c>
      <c r="F95" s="11" t="s">
        <v>1226</v>
      </c>
      <c r="G95" s="11" t="s">
        <v>11</v>
      </c>
      <c r="H95" s="52" t="s">
        <v>1390</v>
      </c>
      <c r="I95" s="20" t="s">
        <v>1387</v>
      </c>
      <c r="J95" s="11">
        <v>4</v>
      </c>
      <c r="K95" s="11">
        <v>4</v>
      </c>
      <c r="L95" s="11">
        <f t="shared" si="9"/>
        <v>0</v>
      </c>
      <c r="M95" s="131"/>
      <c r="O95" s="93">
        <v>46127</v>
      </c>
    </row>
    <row r="96" spans="1:15" x14ac:dyDescent="0.2">
      <c r="A96" s="11">
        <f t="shared" ca="1" si="8"/>
        <v>42</v>
      </c>
      <c r="C96" s="11" t="s">
        <v>257</v>
      </c>
      <c r="D96" s="11" t="str">
        <f>VLOOKUP(VALUE(MID($C96,13,2)), codigos!$A$2:$B$60, 2, 1) &amp; " " &amp; VLOOKUP(VALUE(MID($C96,15,4)), codigos!$E$2:$F$102, 2, FALSE)</f>
        <v>OLLA RECTA 14</v>
      </c>
      <c r="E96" s="11" t="str">
        <f>VLOOKUP(VALUE(MID($C96,19,2)),codigos!$H$2:$I$62,2,1) &amp; " " &amp; VLOOKUP(VALUE(MID($C96,21,2)),codigos!$K$2:$L$12,2,FALSE)</f>
        <v>A/T S/I</v>
      </c>
      <c r="F96" s="11" t="s">
        <v>1226</v>
      </c>
      <c r="G96" s="11" t="s">
        <v>11</v>
      </c>
      <c r="H96" s="52" t="s">
        <v>1390</v>
      </c>
      <c r="I96" s="20" t="s">
        <v>1387</v>
      </c>
      <c r="J96" s="11">
        <v>18</v>
      </c>
      <c r="K96" s="11">
        <v>18</v>
      </c>
      <c r="L96" s="11">
        <f t="shared" si="9"/>
        <v>0</v>
      </c>
      <c r="M96" s="131"/>
      <c r="O96" s="93">
        <v>46127</v>
      </c>
    </row>
    <row r="97" spans="1:15" x14ac:dyDescent="0.2">
      <c r="A97" s="11">
        <f t="shared" ca="1" si="8"/>
        <v>42</v>
      </c>
      <c r="C97" s="11" t="s">
        <v>258</v>
      </c>
      <c r="D97" s="11" t="str">
        <f>VLOOKUP(VALUE(MID($C97,13,2)), codigos!$A$2:$B$60, 2, 1) &amp; " " &amp; VLOOKUP(VALUE(MID($C97,15,4)), codigos!$E$2:$F$102, 2, FALSE)</f>
        <v>OLLA RECTA 16</v>
      </c>
      <c r="E97" s="11" t="str">
        <f>VLOOKUP(VALUE(MID($C97,19,2)),codigos!$H$2:$I$62,2,1) &amp; " " &amp; VLOOKUP(VALUE(MID($C97,21,2)),codigos!$K$2:$L$12,2,FALSE)</f>
        <v>A/T S/I</v>
      </c>
      <c r="F97" s="11" t="s">
        <v>1226</v>
      </c>
      <c r="G97" s="11" t="s">
        <v>11</v>
      </c>
      <c r="H97" s="52" t="s">
        <v>1390</v>
      </c>
      <c r="I97" s="20" t="s">
        <v>1387</v>
      </c>
      <c r="J97" s="11">
        <v>12</v>
      </c>
      <c r="K97" s="11">
        <v>12</v>
      </c>
      <c r="L97" s="11">
        <f t="shared" si="9"/>
        <v>0</v>
      </c>
      <c r="M97" s="131"/>
      <c r="O97" s="93">
        <v>46127</v>
      </c>
    </row>
    <row r="98" spans="1:15" x14ac:dyDescent="0.2">
      <c r="A98" s="11">
        <f t="shared" ca="1" si="8"/>
        <v>42</v>
      </c>
      <c r="C98" s="11" t="s">
        <v>259</v>
      </c>
      <c r="D98" s="11" t="str">
        <f>VLOOKUP(VALUE(MID($C98,13,2)), codigos!$A$2:$B$60, 2, 1) &amp; " " &amp; VLOOKUP(VALUE(MID($C98,15,4)), codigos!$E$2:$F$102, 2, FALSE)</f>
        <v>OLLA RECTA 18</v>
      </c>
      <c r="E98" s="11" t="str">
        <f>VLOOKUP(VALUE(MID($C98,19,2)),codigos!$H$2:$I$62,2,1) &amp; " " &amp; VLOOKUP(VALUE(MID($C98,21,2)),codigos!$K$2:$L$12,2,FALSE)</f>
        <v>A/T S/I</v>
      </c>
      <c r="F98" s="11" t="s">
        <v>1226</v>
      </c>
      <c r="G98" s="11" t="s">
        <v>11</v>
      </c>
      <c r="H98" s="52" t="s">
        <v>1390</v>
      </c>
      <c r="I98" s="20" t="s">
        <v>1387</v>
      </c>
      <c r="J98" s="11">
        <v>12</v>
      </c>
      <c r="K98" s="11">
        <v>12</v>
      </c>
      <c r="L98" s="11">
        <f t="shared" si="9"/>
        <v>0</v>
      </c>
      <c r="M98" s="131"/>
      <c r="O98" s="93">
        <v>46127</v>
      </c>
    </row>
    <row r="99" spans="1:15" x14ac:dyDescent="0.2">
      <c r="A99" s="11">
        <f t="shared" ca="1" si="8"/>
        <v>42</v>
      </c>
      <c r="C99" s="11" t="s">
        <v>260</v>
      </c>
      <c r="D99" s="11" t="str">
        <f>VLOOKUP(VALUE(MID($C99,13,2)), codigos!$A$2:$B$60, 2, 1) &amp; " " &amp; VLOOKUP(VALUE(MID($C99,15,4)), codigos!$E$2:$F$102, 2, FALSE)</f>
        <v>OLLA RECTA 20</v>
      </c>
      <c r="E99" s="11" t="str">
        <f>VLOOKUP(VALUE(MID($C99,19,2)),codigos!$H$2:$I$62,2,1) &amp; " " &amp; VLOOKUP(VALUE(MID($C99,21,2)),codigos!$K$2:$L$12,2,FALSE)</f>
        <v>A/T S/I</v>
      </c>
      <c r="F99" s="11" t="s">
        <v>1226</v>
      </c>
      <c r="G99" s="11" t="s">
        <v>11</v>
      </c>
      <c r="H99" s="52" t="s">
        <v>1390</v>
      </c>
      <c r="I99" s="20" t="s">
        <v>1387</v>
      </c>
      <c r="J99" s="11">
        <v>12</v>
      </c>
      <c r="K99" s="11">
        <f>1+1+10</f>
        <v>12</v>
      </c>
      <c r="L99" s="11">
        <f t="shared" si="9"/>
        <v>0</v>
      </c>
      <c r="M99" s="131"/>
      <c r="O99" s="93">
        <v>46127</v>
      </c>
    </row>
    <row r="100" spans="1:15" x14ac:dyDescent="0.2">
      <c r="A100" s="11">
        <f t="shared" ca="1" si="8"/>
        <v>42</v>
      </c>
      <c r="C100" s="11" t="s">
        <v>236</v>
      </c>
      <c r="D100" s="11" t="str">
        <f>VLOOKUP(VALUE(MID($C100,13,2)), codigos!$A$2:$B$60, 2, 1) &amp; " " &amp; VLOOKUP(VALUE(MID($C100,15,4)), codigos!$E$2:$F$102, 2, FALSE)</f>
        <v>OLLA RECTA 22</v>
      </c>
      <c r="E100" s="11" t="str">
        <f>VLOOKUP(VALUE(MID($C100,19,2)),codigos!$H$2:$I$62,2,1) &amp; " " &amp; VLOOKUP(VALUE(MID($C100,21,2)),codigos!$K$2:$L$12,2,FALSE)</f>
        <v>A/T S/I</v>
      </c>
      <c r="F100" s="11" t="s">
        <v>1226</v>
      </c>
      <c r="G100" s="11" t="s">
        <v>11</v>
      </c>
      <c r="H100" s="52" t="s">
        <v>1390</v>
      </c>
      <c r="I100" s="20" t="s">
        <v>1387</v>
      </c>
      <c r="J100" s="11">
        <v>6</v>
      </c>
      <c r="K100" s="11">
        <v>6</v>
      </c>
      <c r="L100" s="11">
        <f t="shared" si="9"/>
        <v>0</v>
      </c>
      <c r="M100" s="131"/>
      <c r="O100" s="93">
        <v>46127</v>
      </c>
    </row>
    <row r="101" spans="1:15" x14ac:dyDescent="0.2">
      <c r="A101" s="11">
        <f t="shared" ca="1" si="8"/>
        <v>42</v>
      </c>
      <c r="C101" s="11" t="s">
        <v>336</v>
      </c>
      <c r="D101" s="11" t="str">
        <f>VLOOKUP(VALUE(MID($C101,13,2)), codigos!$A$2:$B$60, 2, 1) &amp; " " &amp; VLOOKUP(VALUE(MID($C101,15,4)), codigos!$E$2:$F$102, 2, FALSE)</f>
        <v>OLLA RECTA 28</v>
      </c>
      <c r="E101" s="11" t="str">
        <f>VLOOKUP(VALUE(MID($C101,19,2)),codigos!$H$2:$I$62,2,1) &amp; " " &amp; VLOOKUP(VALUE(MID($C101,21,2)),codigos!$K$2:$L$12,2,FALSE)</f>
        <v>A/T S/I</v>
      </c>
      <c r="F101" s="11" t="s">
        <v>1226</v>
      </c>
      <c r="G101" s="11" t="s">
        <v>11</v>
      </c>
      <c r="H101" s="52" t="s">
        <v>1390</v>
      </c>
      <c r="I101" s="20" t="s">
        <v>1387</v>
      </c>
      <c r="J101" s="11">
        <v>4</v>
      </c>
      <c r="K101" s="11">
        <v>4</v>
      </c>
      <c r="L101" s="11">
        <f t="shared" si="9"/>
        <v>0</v>
      </c>
      <c r="M101" s="131"/>
      <c r="O101" s="93">
        <v>46127</v>
      </c>
    </row>
    <row r="102" spans="1:15" x14ac:dyDescent="0.2">
      <c r="A102" s="11">
        <f t="shared" ca="1" si="8"/>
        <v>42</v>
      </c>
      <c r="C102" s="11" t="s">
        <v>155</v>
      </c>
      <c r="D102" s="11" t="str">
        <f>VLOOKUP(VALUE(MID($C102,13,2)), codigos!$A$2:$B$60, 2, 1) &amp; " " &amp; VLOOKUP(VALUE(MID($C102,15,4)), codigos!$E$2:$F$102, 2, FALSE)</f>
        <v>OLLA RECTA 30</v>
      </c>
      <c r="E102" s="11" t="str">
        <f>VLOOKUP(VALUE(MID($C102,19,2)),codigos!$H$2:$I$62,2,1) &amp; " " &amp; VLOOKUP(VALUE(MID($C102,21,2)),codigos!$K$2:$L$12,2,FALSE)</f>
        <v>A/T S/I</v>
      </c>
      <c r="F102" s="11" t="s">
        <v>1226</v>
      </c>
      <c r="G102" s="11" t="s">
        <v>11</v>
      </c>
      <c r="H102" s="52" t="s">
        <v>1390</v>
      </c>
      <c r="I102" s="20" t="s">
        <v>1387</v>
      </c>
      <c r="J102" s="11">
        <v>4</v>
      </c>
      <c r="K102" s="11">
        <v>4</v>
      </c>
      <c r="L102" s="11">
        <f t="shared" si="9"/>
        <v>0</v>
      </c>
      <c r="M102" s="131"/>
      <c r="O102" s="93">
        <v>46127</v>
      </c>
    </row>
    <row r="103" spans="1:15" x14ac:dyDescent="0.2">
      <c r="A103" s="11">
        <f t="shared" ca="1" si="8"/>
        <v>42</v>
      </c>
      <c r="C103" s="11" t="s">
        <v>156</v>
      </c>
      <c r="D103" s="11" t="str">
        <f>VLOOKUP(VALUE(MID($C103,13,2)), codigos!$A$2:$B$60, 2, 1) &amp; " " &amp; VLOOKUP(VALUE(MID($C103,15,4)), codigos!$E$2:$F$102, 2, FALSE)</f>
        <v>OLLA RECTA 34</v>
      </c>
      <c r="E103" s="11" t="str">
        <f>VLOOKUP(VALUE(MID($C103,19,2)),codigos!$H$2:$I$62,2,1) &amp; " " &amp; VLOOKUP(VALUE(MID($C103,21,2)),codigos!$K$2:$L$12,2,FALSE)</f>
        <v>A/T S/I</v>
      </c>
      <c r="F103" s="11" t="s">
        <v>1226</v>
      </c>
      <c r="G103" s="11" t="s">
        <v>11</v>
      </c>
      <c r="H103" s="52" t="s">
        <v>1390</v>
      </c>
      <c r="I103" s="20" t="s">
        <v>1387</v>
      </c>
      <c r="J103" s="11">
        <v>4</v>
      </c>
      <c r="K103" s="11">
        <v>4</v>
      </c>
      <c r="L103" s="11">
        <f t="shared" si="9"/>
        <v>0</v>
      </c>
      <c r="M103" s="131"/>
      <c r="O103" s="93">
        <v>46127</v>
      </c>
    </row>
    <row r="104" spans="1:15" x14ac:dyDescent="0.2">
      <c r="A104" s="11">
        <f t="shared" ca="1" si="8"/>
        <v>42</v>
      </c>
      <c r="C104" s="11" t="s">
        <v>157</v>
      </c>
      <c r="D104" s="11" t="str">
        <f>VLOOKUP(VALUE(MID($C104,13,2)), codigos!$A$2:$B$60, 2, 1) &amp; " " &amp; VLOOKUP(VALUE(MID($C104,15,4)), codigos!$E$2:$F$102, 2, FALSE)</f>
        <v>OLLA RECTA 42</v>
      </c>
      <c r="E104" s="11" t="str">
        <f>VLOOKUP(VALUE(MID($C104,19,2)),codigos!$H$2:$I$62,2,1) &amp; " " &amp; VLOOKUP(VALUE(MID($C104,21,2)),codigos!$K$2:$L$12,2,FALSE)</f>
        <v>A/T S/I</v>
      </c>
      <c r="F104" s="11" t="s">
        <v>1226</v>
      </c>
      <c r="G104" s="11" t="s">
        <v>11</v>
      </c>
      <c r="H104" s="52" t="s">
        <v>1390</v>
      </c>
      <c r="I104" s="20" t="s">
        <v>1387</v>
      </c>
      <c r="J104" s="11">
        <v>2</v>
      </c>
      <c r="K104" s="11">
        <f>1</f>
        <v>1</v>
      </c>
      <c r="L104" s="11">
        <f t="shared" ref="L104:L116" si="10">J104-K104</f>
        <v>1</v>
      </c>
      <c r="M104" s="131"/>
      <c r="O104" s="93">
        <v>46127</v>
      </c>
    </row>
    <row r="105" spans="1:15" x14ac:dyDescent="0.2">
      <c r="A105" s="11">
        <f t="shared" ca="1" si="8"/>
        <v>42</v>
      </c>
      <c r="C105" s="11" t="s">
        <v>225</v>
      </c>
      <c r="D105" s="11" t="str">
        <f>VLOOKUP(VALUE(MID($C105,13,2)), codigos!$A$2:$B$60, 2, 1) &amp; " " &amp; VLOOKUP(VALUE(MID($C105,15,4)), codigos!$E$2:$F$102, 2, FALSE)</f>
        <v>POCILLO 8</v>
      </c>
      <c r="E105" s="11" t="str">
        <f>VLOOKUP(VALUE(MID($C105,19,2)),codigos!$H$2:$I$62,2,1) &amp; " " &amp; VLOOKUP(VALUE(MID($C105,21,2)),codigos!$K$2:$L$12,2,FALSE)</f>
        <v>A/T S/I</v>
      </c>
      <c r="F105" s="11" t="s">
        <v>1226</v>
      </c>
      <c r="G105" s="11" t="s">
        <v>11</v>
      </c>
      <c r="H105" s="52" t="s">
        <v>1390</v>
      </c>
      <c r="I105" s="20" t="s">
        <v>1387</v>
      </c>
      <c r="J105" s="11">
        <v>24</v>
      </c>
      <c r="K105" s="11">
        <v>24</v>
      </c>
      <c r="L105" s="11">
        <f t="shared" si="10"/>
        <v>0</v>
      </c>
      <c r="M105" s="131"/>
      <c r="O105" s="93">
        <v>46127</v>
      </c>
    </row>
    <row r="106" spans="1:15" x14ac:dyDescent="0.2">
      <c r="A106" s="11">
        <f t="shared" ca="1" si="8"/>
        <v>42</v>
      </c>
      <c r="C106" s="11" t="s">
        <v>226</v>
      </c>
      <c r="D106" s="11" t="str">
        <f>VLOOKUP(VALUE(MID($C106,13,2)), codigos!$A$2:$B$60, 2, 1) &amp; " " &amp; VLOOKUP(VALUE(MID($C106,15,4)), codigos!$E$2:$F$102, 2, FALSE)</f>
        <v>POCILLO 10</v>
      </c>
      <c r="E106" s="11" t="str">
        <f>VLOOKUP(VALUE(MID($C106,19,2)),codigos!$H$2:$I$62,2,1) &amp; " " &amp; VLOOKUP(VALUE(MID($C106,21,2)),codigos!$K$2:$L$12,2,FALSE)</f>
        <v>A/T S/I</v>
      </c>
      <c r="F106" s="11" t="s">
        <v>1226</v>
      </c>
      <c r="G106" s="11" t="s">
        <v>11</v>
      </c>
      <c r="H106" s="52" t="s">
        <v>1390</v>
      </c>
      <c r="I106" s="20" t="s">
        <v>1387</v>
      </c>
      <c r="J106" s="11">
        <v>48</v>
      </c>
      <c r="K106" s="11">
        <f>48</f>
        <v>48</v>
      </c>
      <c r="L106" s="11">
        <f t="shared" si="10"/>
        <v>0</v>
      </c>
      <c r="M106" s="131"/>
      <c r="O106" s="93">
        <v>46127</v>
      </c>
    </row>
    <row r="107" spans="1:15" x14ac:dyDescent="0.2">
      <c r="A107" s="11">
        <f t="shared" ca="1" si="8"/>
        <v>42</v>
      </c>
      <c r="C107" s="11" t="s">
        <v>180</v>
      </c>
      <c r="D107" s="11" t="str">
        <f>VLOOKUP(VALUE(MID($C107,13,2)), codigos!$A$2:$B$60, 2, 1) &amp; " " &amp; VLOOKUP(VALUE(MID($C107,15,4)), codigos!$E$2:$F$102, 2, FALSE)</f>
        <v>POCILLO 12</v>
      </c>
      <c r="E107" s="11" t="str">
        <f>VLOOKUP(VALUE(MID($C107,19,2)),codigos!$H$2:$I$62,2,1) &amp; " " &amp; VLOOKUP(VALUE(MID($C107,21,2)),codigos!$K$2:$L$12,2,FALSE)</f>
        <v>A/T S/I</v>
      </c>
      <c r="F107" s="11" t="s">
        <v>1226</v>
      </c>
      <c r="G107" s="11" t="s">
        <v>11</v>
      </c>
      <c r="H107" s="52" t="s">
        <v>1390</v>
      </c>
      <c r="I107" s="20" t="s">
        <v>1387</v>
      </c>
      <c r="J107" s="11">
        <v>48</v>
      </c>
      <c r="K107" s="11">
        <f>12+36</f>
        <v>48</v>
      </c>
      <c r="L107" s="11">
        <f t="shared" si="10"/>
        <v>0</v>
      </c>
      <c r="M107" s="131"/>
      <c r="O107" s="93">
        <v>46127</v>
      </c>
    </row>
    <row r="108" spans="1:15" x14ac:dyDescent="0.2">
      <c r="A108" s="11">
        <f t="shared" ca="1" si="8"/>
        <v>42</v>
      </c>
      <c r="C108" s="11" t="s">
        <v>182</v>
      </c>
      <c r="D108" s="11" t="str">
        <f>VLOOKUP(VALUE(MID($C108,13,2)), codigos!$A$2:$B$60, 2, 1) &amp; " " &amp; VLOOKUP(VALUE(MID($C108,15,4)), codigos!$E$2:$F$102, 2, FALSE)</f>
        <v>POCILLO 14</v>
      </c>
      <c r="E108" s="11" t="str">
        <f>VLOOKUP(VALUE(MID($C108,19,2)),codigos!$H$2:$I$62,2,1) &amp; " " &amp; VLOOKUP(VALUE(MID($C108,21,2)),codigos!$K$2:$L$12,2,FALSE)</f>
        <v>A/T S/I</v>
      </c>
      <c r="F108" s="11" t="s">
        <v>1226</v>
      </c>
      <c r="G108" s="11" t="s">
        <v>11</v>
      </c>
      <c r="H108" s="52" t="s">
        <v>1390</v>
      </c>
      <c r="I108" s="20" t="s">
        <v>1387</v>
      </c>
      <c r="J108" s="11">
        <v>48</v>
      </c>
      <c r="K108" s="11">
        <f>42+6</f>
        <v>48</v>
      </c>
      <c r="L108" s="11">
        <f t="shared" si="10"/>
        <v>0</v>
      </c>
      <c r="M108" s="131"/>
      <c r="O108" s="93">
        <v>46127</v>
      </c>
    </row>
    <row r="109" spans="1:15" x14ac:dyDescent="0.2">
      <c r="A109" s="11">
        <f t="shared" ca="1" si="8"/>
        <v>42</v>
      </c>
      <c r="C109" s="11" t="s">
        <v>262</v>
      </c>
      <c r="D109" s="11" t="str">
        <f>VLOOKUP(VALUE(MID($C109,13,2)), codigos!$A$2:$B$60, 2, 1) &amp; " " &amp; VLOOKUP(VALUE(MID($C109,15,4)), codigos!$E$2:$F$102, 2, FALSE)</f>
        <v>SARTEN 20</v>
      </c>
      <c r="E109" s="11" t="str">
        <f>VLOOKUP(VALUE(MID($C109,19,2)),codigos!$H$2:$I$62,2,1) &amp; " " &amp; VLOOKUP(VALUE(MID($C109,21,2)),codigos!$K$2:$L$12,2,FALSE)</f>
        <v>A/T S/I</v>
      </c>
      <c r="F109" s="11" t="s">
        <v>1226</v>
      </c>
      <c r="G109" s="11" t="s">
        <v>11</v>
      </c>
      <c r="H109" s="52" t="s">
        <v>1390</v>
      </c>
      <c r="I109" s="20" t="s">
        <v>1387</v>
      </c>
      <c r="J109" s="11">
        <v>12</v>
      </c>
      <c r="K109" s="11">
        <v>12</v>
      </c>
      <c r="L109" s="11">
        <f t="shared" si="10"/>
        <v>0</v>
      </c>
      <c r="M109" s="131"/>
      <c r="O109" s="93">
        <v>46127</v>
      </c>
    </row>
    <row r="110" spans="1:15" x14ac:dyDescent="0.2">
      <c r="A110" s="11">
        <f t="shared" ca="1" si="8"/>
        <v>42</v>
      </c>
      <c r="C110" s="11" t="s">
        <v>227</v>
      </c>
      <c r="D110" s="11" t="str">
        <f>VLOOKUP(VALUE(MID($C110,13,2)), codigos!$A$2:$B$60, 2, 1) &amp; " " &amp; VLOOKUP(VALUE(MID($C110,15,4)), codigos!$E$2:$F$102, 2, FALSE)</f>
        <v>SARTEN 22</v>
      </c>
      <c r="E110" s="11" t="str">
        <f>VLOOKUP(VALUE(MID($C110,19,2)),codigos!$H$2:$I$62,2,1) &amp; " " &amp; VLOOKUP(VALUE(MID($C110,21,2)),codigos!$K$2:$L$12,2,FALSE)</f>
        <v>A/T S/I</v>
      </c>
      <c r="F110" s="11" t="s">
        <v>1226</v>
      </c>
      <c r="G110" s="11" t="s">
        <v>11</v>
      </c>
      <c r="H110" s="52" t="s">
        <v>1390</v>
      </c>
      <c r="I110" s="20" t="s">
        <v>1387</v>
      </c>
      <c r="J110" s="11">
        <v>12</v>
      </c>
      <c r="K110" s="11">
        <f>5+7</f>
        <v>12</v>
      </c>
      <c r="L110" s="11">
        <f t="shared" si="10"/>
        <v>0</v>
      </c>
      <c r="M110" s="131"/>
      <c r="O110" s="93">
        <v>46127</v>
      </c>
    </row>
    <row r="111" spans="1:15" x14ac:dyDescent="0.2">
      <c r="A111" s="11">
        <f t="shared" ca="1" si="8"/>
        <v>42</v>
      </c>
      <c r="C111" s="11" t="s">
        <v>44</v>
      </c>
      <c r="D111" s="11" t="str">
        <f>VLOOKUP(VALUE(MID($C111,13,2)), codigos!$A$2:$B$60, 2, 1) &amp; " " &amp; VLOOKUP(VALUE(MID($C111,15,4)), codigos!$E$2:$F$102, 2, FALSE)</f>
        <v>SARTEN 24</v>
      </c>
      <c r="E111" s="11" t="str">
        <f>VLOOKUP(VALUE(MID($C111,19,2)),codigos!$H$2:$I$62,2,1) &amp; " " &amp; VLOOKUP(VALUE(MID($C111,21,2)),codigos!$K$2:$L$12,2,FALSE)</f>
        <v>A/T S/I</v>
      </c>
      <c r="F111" s="11" t="s">
        <v>1226</v>
      </c>
      <c r="G111" s="11" t="s">
        <v>11</v>
      </c>
      <c r="H111" s="52" t="s">
        <v>1390</v>
      </c>
      <c r="I111" s="20" t="s">
        <v>1387</v>
      </c>
      <c r="J111" s="11">
        <v>12</v>
      </c>
      <c r="K111" s="11">
        <f>12</f>
        <v>12</v>
      </c>
      <c r="L111" s="11">
        <f t="shared" si="10"/>
        <v>0</v>
      </c>
      <c r="M111" s="131"/>
      <c r="O111" s="93">
        <v>46127</v>
      </c>
    </row>
    <row r="112" spans="1:15" x14ac:dyDescent="0.2">
      <c r="A112" s="11">
        <f t="shared" ca="1" si="8"/>
        <v>42</v>
      </c>
      <c r="C112" s="11" t="s">
        <v>238</v>
      </c>
      <c r="D112" s="11" t="str">
        <f>VLOOKUP(VALUE(MID($C112,13,2)), codigos!$A$2:$B$60, 2, 1) &amp; " " &amp; VLOOKUP(VALUE(MID($C112,15,4)), codigos!$E$2:$F$102, 2, FALSE)</f>
        <v>OLLA RECTA 38</v>
      </c>
      <c r="E112" s="11" t="str">
        <f>VLOOKUP(VALUE(MID($C112,19,2)),codigos!$H$2:$I$62,2,1) &amp; " " &amp; VLOOKUP(VALUE(MID($C112,21,2)),codigos!$K$2:$L$12,2,FALSE)</f>
        <v>A/T S/I</v>
      </c>
      <c r="F112" s="11" t="s">
        <v>1226</v>
      </c>
      <c r="G112" s="11" t="s">
        <v>11</v>
      </c>
      <c r="H112" s="52" t="s">
        <v>1390</v>
      </c>
      <c r="I112" s="20" t="s">
        <v>1387</v>
      </c>
      <c r="J112" s="11">
        <v>2</v>
      </c>
      <c r="K112" s="11">
        <f>2</f>
        <v>2</v>
      </c>
      <c r="L112" s="11">
        <f t="shared" si="10"/>
        <v>0</v>
      </c>
      <c r="M112" s="131"/>
      <c r="O112" s="93">
        <v>46127</v>
      </c>
    </row>
    <row r="113" spans="1:15" x14ac:dyDescent="0.2">
      <c r="A113" s="11">
        <f t="shared" ref="A113:A172" ca="1" si="11">DAYS360(I113,$B$1)</f>
        <v>41</v>
      </c>
      <c r="C113" s="11" t="s">
        <v>212</v>
      </c>
      <c r="D113" s="11" t="str">
        <f>VLOOKUP(VALUE(MID($C113,13,2)), codigos!$A$2:$B$60, 2, 1) &amp; " " &amp; VLOOKUP(VALUE(MID($C113,15,4)), codigos!$E$2:$F$102, 2, FALSE)</f>
        <v>BAÑO 12</v>
      </c>
      <c r="E113" s="11" t="str">
        <f>VLOOKUP(VALUE(MID($C113,19,2)),codigos!$H$2:$I$62,2,1) &amp; " " &amp; VLOOKUP(VALUE(MID($C113,21,2)),codigos!$K$2:$L$12,2,FALSE)</f>
        <v>GALVANIZADO S/I</v>
      </c>
      <c r="F113" s="11" t="s">
        <v>600</v>
      </c>
      <c r="G113" s="11" t="s">
        <v>11</v>
      </c>
      <c r="H113" s="52" t="s">
        <v>1395</v>
      </c>
      <c r="I113" s="20" t="s">
        <v>1396</v>
      </c>
      <c r="J113" s="11">
        <v>25</v>
      </c>
      <c r="K113" s="11">
        <v>0</v>
      </c>
      <c r="L113" s="11">
        <f t="shared" si="10"/>
        <v>25</v>
      </c>
      <c r="M113" s="89">
        <f>K113/J113</f>
        <v>0</v>
      </c>
    </row>
    <row r="114" spans="1:15" x14ac:dyDescent="0.2">
      <c r="A114" s="11">
        <f t="shared" ca="1" si="11"/>
        <v>55</v>
      </c>
      <c r="C114" s="11" t="s">
        <v>211</v>
      </c>
      <c r="D114" s="11" t="str">
        <f>VLOOKUP(VALUE(MID($C114,13,2)), codigos!$A$2:$B$60, 2, 1) &amp; " " &amp; VLOOKUP(VALUE(MID($C114,15,4)), codigos!$E$2:$F$102, 2, FALSE)</f>
        <v>BAÑO 10</v>
      </c>
      <c r="E114" s="11" t="str">
        <f>VLOOKUP(VALUE(MID($C114,19,2)),codigos!$H$2:$I$62,2,1) &amp; " " &amp; VLOOKUP(VALUE(MID($C114,21,2)),codigos!$K$2:$L$12,2,FALSE)</f>
        <v>GALVANIZADO S/I</v>
      </c>
      <c r="F114" s="11" t="s">
        <v>607</v>
      </c>
      <c r="G114" s="11" t="s">
        <v>34</v>
      </c>
      <c r="H114" s="52" t="s">
        <v>1408</v>
      </c>
      <c r="I114" s="20" t="s">
        <v>1311</v>
      </c>
      <c r="J114" s="11">
        <v>20</v>
      </c>
      <c r="K114" s="11">
        <v>20</v>
      </c>
      <c r="L114" s="11">
        <f t="shared" si="10"/>
        <v>0</v>
      </c>
      <c r="M114" s="89">
        <f>(SUM(K114))/(SUM(J114))</f>
        <v>1</v>
      </c>
      <c r="O114" s="93">
        <v>46094</v>
      </c>
    </row>
    <row r="115" spans="1:15" ht="15" customHeight="1" x14ac:dyDescent="0.2">
      <c r="A115" s="11">
        <f t="shared" ca="1" si="11"/>
        <v>55</v>
      </c>
      <c r="C115" s="11" t="s">
        <v>143</v>
      </c>
      <c r="D115" s="11" t="str">
        <f>VLOOKUP(VALUE(MID($C115,13,2)), codigos!$A$2:$B$60, 2, 1) &amp; " " &amp; VLOOKUP(VALUE(MID($C115,15,4)), codigos!$E$2:$F$102, 2, FALSE)</f>
        <v>BUDINERA 24</v>
      </c>
      <c r="E115" s="11" t="str">
        <f>VLOOKUP(VALUE(MID($C115,19,2)),codigos!$H$2:$I$62,2,1) &amp; " " &amp; VLOOKUP(VALUE(MID($C115,21,2)),codigos!$K$2:$L$12,2,FALSE)</f>
        <v>A/T S/I</v>
      </c>
      <c r="F115" s="11" t="s">
        <v>607</v>
      </c>
      <c r="G115" s="11" t="s">
        <v>34</v>
      </c>
      <c r="H115" s="52" t="s">
        <v>1409</v>
      </c>
      <c r="I115" s="20" t="s">
        <v>1311</v>
      </c>
      <c r="J115" s="11">
        <v>36</v>
      </c>
      <c r="K115" s="11">
        <f>36</f>
        <v>36</v>
      </c>
      <c r="L115" s="11">
        <f t="shared" si="10"/>
        <v>0</v>
      </c>
      <c r="M115" s="131">
        <f>(SUM(K115:K119))/(SUM(J115:J119))</f>
        <v>1</v>
      </c>
      <c r="O115" s="93">
        <v>46094</v>
      </c>
    </row>
    <row r="116" spans="1:15" x14ac:dyDescent="0.2">
      <c r="A116" s="11">
        <f t="shared" ca="1" si="11"/>
        <v>55</v>
      </c>
      <c r="C116" s="11" t="s">
        <v>151</v>
      </c>
      <c r="D116" s="11" t="str">
        <f>VLOOKUP(VALUE(MID($C116,13,2)), codigos!$A$2:$B$60, 2, 1) &amp; " " &amp; VLOOKUP(VALUE(MID($C116,15,4)), codigos!$E$2:$F$102, 2, FALSE)</f>
        <v>OLLA CONVEXA 20</v>
      </c>
      <c r="E116" s="11" t="str">
        <f>VLOOKUP(VALUE(MID($C116,19,2)),codigos!$H$2:$I$62,2,1) &amp; " " &amp; VLOOKUP(VALUE(MID($C116,21,2)),codigos!$K$2:$L$12,2,FALSE)</f>
        <v>A/T S/I</v>
      </c>
      <c r="F116" s="11" t="s">
        <v>607</v>
      </c>
      <c r="G116" s="11" t="s">
        <v>34</v>
      </c>
      <c r="H116" s="52" t="s">
        <v>1409</v>
      </c>
      <c r="I116" s="20" t="s">
        <v>1311</v>
      </c>
      <c r="J116" s="11">
        <v>36</v>
      </c>
      <c r="K116" s="11">
        <f>36</f>
        <v>36</v>
      </c>
      <c r="L116" s="11">
        <f t="shared" si="10"/>
        <v>0</v>
      </c>
      <c r="M116" s="131"/>
      <c r="O116" s="93">
        <v>46094</v>
      </c>
    </row>
    <row r="117" spans="1:15" x14ac:dyDescent="0.2">
      <c r="A117" s="11">
        <f t="shared" ca="1" si="11"/>
        <v>55</v>
      </c>
      <c r="C117" s="11" t="s">
        <v>226</v>
      </c>
      <c r="D117" s="11" t="str">
        <f>VLOOKUP(VALUE(MID($C117,13,2)), codigos!$A$2:$B$60, 2, 1) &amp; " " &amp; VLOOKUP(VALUE(MID($C117,15,4)), codigos!$E$2:$F$102, 2, FALSE)</f>
        <v>POCILLO 10</v>
      </c>
      <c r="E117" s="11" t="str">
        <f>VLOOKUP(VALUE(MID($C117,19,2)),codigos!$H$2:$I$62,2,1) &amp; " " &amp; VLOOKUP(VALUE(MID($C117,21,2)),codigos!$K$2:$L$12,2,FALSE)</f>
        <v>A/T S/I</v>
      </c>
      <c r="F117" s="11" t="s">
        <v>607</v>
      </c>
      <c r="G117" s="11" t="s">
        <v>34</v>
      </c>
      <c r="H117" s="52" t="s">
        <v>1409</v>
      </c>
      <c r="I117" s="20" t="s">
        <v>1311</v>
      </c>
      <c r="J117" s="11">
        <f>192-144</f>
        <v>48</v>
      </c>
      <c r="K117" s="11">
        <f>48</f>
        <v>48</v>
      </c>
      <c r="L117" s="11">
        <f t="shared" ref="L117:L164" si="12">J117-K117</f>
        <v>0</v>
      </c>
      <c r="M117" s="131"/>
      <c r="O117" s="93">
        <v>46094</v>
      </c>
    </row>
    <row r="118" spans="1:15" x14ac:dyDescent="0.2">
      <c r="A118" s="11">
        <f t="shared" ca="1" si="11"/>
        <v>55</v>
      </c>
      <c r="C118" s="11" t="s">
        <v>182</v>
      </c>
      <c r="D118" s="11" t="str">
        <f>VLOOKUP(VALUE(MID($C118,13,2)), codigos!$A$2:$B$60, 2, 1) &amp; " " &amp; VLOOKUP(VALUE(MID($C118,15,4)), codigos!$E$2:$F$102, 2, FALSE)</f>
        <v>POCILLO 14</v>
      </c>
      <c r="E118" s="11" t="str">
        <f>VLOOKUP(VALUE(MID($C118,19,2)),codigos!$H$2:$I$62,2,1) &amp; " " &amp; VLOOKUP(VALUE(MID($C118,21,2)),codigos!$K$2:$L$12,2,FALSE)</f>
        <v>A/T S/I</v>
      </c>
      <c r="F118" s="11" t="s">
        <v>607</v>
      </c>
      <c r="G118" s="11" t="s">
        <v>34</v>
      </c>
      <c r="H118" s="52" t="s">
        <v>1409</v>
      </c>
      <c r="I118" s="20" t="s">
        <v>1311</v>
      </c>
      <c r="J118" s="11">
        <v>60</v>
      </c>
      <c r="K118" s="11">
        <f>60</f>
        <v>60</v>
      </c>
      <c r="L118" s="11">
        <f t="shared" si="12"/>
        <v>0</v>
      </c>
      <c r="M118" s="131"/>
      <c r="O118" s="93">
        <v>46094</v>
      </c>
    </row>
    <row r="119" spans="1:15" x14ac:dyDescent="0.2">
      <c r="A119" s="11">
        <f t="shared" ca="1" si="11"/>
        <v>55</v>
      </c>
      <c r="C119" s="11" t="s">
        <v>215</v>
      </c>
      <c r="D119" s="11" t="str">
        <f>VLOOKUP(VALUE(MID($C119,13,2)), codigos!$A$2:$B$60, 2, 1) &amp; " " &amp; VLOOKUP(VALUE(MID($C119,15,4)), codigos!$E$2:$F$102, 2, FALSE)</f>
        <v>BUDINERA 20</v>
      </c>
      <c r="E119" s="11" t="str">
        <f>VLOOKUP(VALUE(MID($C119,19,2)),codigos!$H$2:$I$62,2,1) &amp; " " &amp; VLOOKUP(VALUE(MID($C119,21,2)),codigos!$K$2:$L$12,2,FALSE)</f>
        <v>A/T S/I</v>
      </c>
      <c r="F119" s="11" t="s">
        <v>607</v>
      </c>
      <c r="G119" s="11" t="s">
        <v>34</v>
      </c>
      <c r="H119" s="52" t="s">
        <v>1409</v>
      </c>
      <c r="I119" s="20" t="s">
        <v>1311</v>
      </c>
      <c r="J119" s="11">
        <v>18</v>
      </c>
      <c r="K119" s="11">
        <v>18</v>
      </c>
      <c r="L119" s="11">
        <f t="shared" si="12"/>
        <v>0</v>
      </c>
      <c r="M119" s="131"/>
      <c r="O119" s="93">
        <v>46094</v>
      </c>
    </row>
    <row r="120" spans="1:15" x14ac:dyDescent="0.2">
      <c r="A120" s="11">
        <f t="shared" ca="1" si="11"/>
        <v>34</v>
      </c>
      <c r="C120" s="11" t="s">
        <v>37</v>
      </c>
      <c r="D120" s="11" t="str">
        <f>VLOOKUP(VALUE(MID($C120,13,2)), codigos!$A$2:$B$60, 2, 1) &amp; " " &amp; VLOOKUP(VALUE(MID($C120,15,4)), codigos!$E$2:$F$102, 2, FALSE)</f>
        <v>BAÑO 6</v>
      </c>
      <c r="E120" s="11" t="str">
        <f>VLOOKUP(VALUE(MID($C120,19,2)),codigos!$H$2:$I$62,2,1) &amp; " " &amp; VLOOKUP(VALUE(MID($C120,21,2)),codigos!$K$2:$L$12,2,FALSE)</f>
        <v>GALVANIZADO S/I</v>
      </c>
      <c r="F120" s="11" t="s">
        <v>439</v>
      </c>
      <c r="G120" s="11" t="s">
        <v>34</v>
      </c>
      <c r="H120" s="52" t="s">
        <v>1443</v>
      </c>
      <c r="I120" s="20" t="s">
        <v>1421</v>
      </c>
      <c r="J120" s="11">
        <v>27</v>
      </c>
      <c r="K120" s="11">
        <v>0</v>
      </c>
      <c r="L120" s="11">
        <f t="shared" si="12"/>
        <v>27</v>
      </c>
      <c r="M120" s="135">
        <f>(SUM(K120:K123))/(SUM(J120:J123))</f>
        <v>0.32258064516129031</v>
      </c>
    </row>
    <row r="121" spans="1:15" x14ac:dyDescent="0.2">
      <c r="A121" s="11">
        <f t="shared" ca="1" si="11"/>
        <v>34</v>
      </c>
      <c r="C121" s="11" t="s">
        <v>416</v>
      </c>
      <c r="D121" s="11" t="str">
        <f>VLOOKUP(VALUE(MID($C121,13,2)), codigos!$A$2:$B$60, 2, 1) &amp; " " &amp; VLOOKUP(VALUE(MID($C121,15,4)), codigos!$E$2:$F$102, 2, FALSE)</f>
        <v>BAÑO 7</v>
      </c>
      <c r="E121" s="11" t="str">
        <f>VLOOKUP(VALUE(MID($C121,19,2)),codigos!$H$2:$I$62,2,1) &amp; " " &amp; VLOOKUP(VALUE(MID($C121,21,2)),codigos!$K$2:$L$12,2,FALSE)</f>
        <v>GALVANIZADO S/I</v>
      </c>
      <c r="F121" s="11" t="s">
        <v>439</v>
      </c>
      <c r="G121" s="11" t="s">
        <v>34</v>
      </c>
      <c r="H121" s="52" t="s">
        <v>1443</v>
      </c>
      <c r="I121" s="20" t="s">
        <v>1421</v>
      </c>
      <c r="J121" s="11">
        <v>22</v>
      </c>
      <c r="K121" s="11">
        <f>20</f>
        <v>20</v>
      </c>
      <c r="L121" s="11">
        <f t="shared" si="12"/>
        <v>2</v>
      </c>
      <c r="M121" s="135"/>
    </row>
    <row r="122" spans="1:15" x14ac:dyDescent="0.2">
      <c r="A122" s="11">
        <f t="shared" ca="1" si="11"/>
        <v>34</v>
      </c>
      <c r="C122" s="11" t="s">
        <v>212</v>
      </c>
      <c r="D122" s="11" t="str">
        <f>VLOOKUP(VALUE(MID($C122,13,2)), codigos!$A$2:$B$60, 2, 1) &amp; " " &amp; VLOOKUP(VALUE(MID($C122,15,4)), codigos!$E$2:$F$102, 2, FALSE)</f>
        <v>BAÑO 12</v>
      </c>
      <c r="E122" s="11" t="str">
        <f>VLOOKUP(VALUE(MID($C122,19,2)),codigos!$H$2:$I$62,2,1) &amp; " " &amp; VLOOKUP(VALUE(MID($C122,21,2)),codigos!$K$2:$L$12,2,FALSE)</f>
        <v>GALVANIZADO S/I</v>
      </c>
      <c r="F122" s="11" t="s">
        <v>439</v>
      </c>
      <c r="G122" s="11" t="s">
        <v>34</v>
      </c>
      <c r="H122" s="52" t="s">
        <v>1443</v>
      </c>
      <c r="I122" s="20" t="s">
        <v>1421</v>
      </c>
      <c r="J122" s="11">
        <v>10</v>
      </c>
      <c r="K122" s="11">
        <v>0</v>
      </c>
      <c r="L122" s="11">
        <f t="shared" si="12"/>
        <v>10</v>
      </c>
      <c r="M122" s="135"/>
    </row>
    <row r="123" spans="1:15" x14ac:dyDescent="0.2">
      <c r="A123" s="11">
        <f t="shared" ca="1" si="11"/>
        <v>141</v>
      </c>
      <c r="C123" s="11" t="s">
        <v>210</v>
      </c>
      <c r="D123" s="11" t="str">
        <f>VLOOKUP(VALUE(MID($C123,13,2)), codigos!$A$2:$B$60, 2, 1) &amp; " " &amp; VLOOKUP(VALUE(MID($C123,15,4)), codigos!$E$2:$F$102, 2, FALSE)</f>
        <v>BAÑO 8</v>
      </c>
      <c r="E123" s="11" t="str">
        <f>VLOOKUP(VALUE(MID($C123,19,2)),codigos!$H$2:$I$62,2,1) &amp; " " &amp; VLOOKUP(VALUE(MID($C123,21,2)),codigos!$K$2:$L$12,2,FALSE)</f>
        <v>GALVANIZADO S/I</v>
      </c>
      <c r="F123" s="11" t="s">
        <v>439</v>
      </c>
      <c r="G123" s="11" t="s">
        <v>34</v>
      </c>
      <c r="H123" s="52" t="s">
        <v>1443</v>
      </c>
      <c r="I123" s="20" t="s">
        <v>852</v>
      </c>
      <c r="J123" s="11">
        <v>3</v>
      </c>
      <c r="K123" s="11">
        <v>0</v>
      </c>
      <c r="L123" s="11">
        <f t="shared" si="12"/>
        <v>3</v>
      </c>
      <c r="M123" s="135"/>
    </row>
    <row r="124" spans="1:15" x14ac:dyDescent="0.2">
      <c r="A124" s="11">
        <f t="shared" ca="1" si="11"/>
        <v>34</v>
      </c>
      <c r="C124" s="11" t="s">
        <v>255</v>
      </c>
      <c r="D124" s="11" t="str">
        <f>VLOOKUP(VALUE(MID($C124,13,2)), codigos!$A$2:$B$60, 2, 1) &amp; " " &amp; VLOOKUP(VALUE(MID($C124,15,4)), codigos!$E$2:$F$102, 2, FALSE)</f>
        <v>BUDINERA 12</v>
      </c>
      <c r="E124" s="11" t="str">
        <f>VLOOKUP(VALUE(MID($C124,19,2)),codigos!$H$2:$I$62,2,1) &amp; " " &amp; VLOOKUP(VALUE(MID($C124,21,2)),codigos!$K$2:$L$12,2,FALSE)</f>
        <v>A/T S/I</v>
      </c>
      <c r="F124" s="11" t="s">
        <v>439</v>
      </c>
      <c r="G124" s="11" t="s">
        <v>34</v>
      </c>
      <c r="H124" s="52" t="s">
        <v>1444</v>
      </c>
      <c r="I124" s="20" t="s">
        <v>1421</v>
      </c>
      <c r="J124" s="11">
        <v>54</v>
      </c>
      <c r="K124" s="11">
        <f>54</f>
        <v>54</v>
      </c>
      <c r="L124" s="11">
        <f t="shared" si="12"/>
        <v>0</v>
      </c>
      <c r="M124" s="131">
        <f>(SUM(K124:K163))/(SUM(J124:J163))</f>
        <v>0.76807403123192597</v>
      </c>
      <c r="O124" s="93">
        <v>46127</v>
      </c>
    </row>
    <row r="125" spans="1:15" x14ac:dyDescent="0.2">
      <c r="A125" s="11">
        <f t="shared" ca="1" si="11"/>
        <v>34</v>
      </c>
      <c r="C125" s="11" t="s">
        <v>256</v>
      </c>
      <c r="D125" s="11" t="str">
        <f>VLOOKUP(VALUE(MID($C125,13,2)), codigos!$A$2:$B$60, 2, 1) &amp; " " &amp; VLOOKUP(VALUE(MID($C125,15,4)), codigos!$E$2:$F$102, 2, FALSE)</f>
        <v>BUDINERA 14</v>
      </c>
      <c r="E125" s="11" t="str">
        <f>VLOOKUP(VALUE(MID($C125,19,2)),codigos!$H$2:$I$62,2,1) &amp; " " &amp; VLOOKUP(VALUE(MID($C125,21,2)),codigos!$K$2:$L$12,2,FALSE)</f>
        <v>A/T S/I</v>
      </c>
      <c r="F125" s="11" t="s">
        <v>439</v>
      </c>
      <c r="G125" s="11" t="s">
        <v>34</v>
      </c>
      <c r="H125" s="52" t="s">
        <v>1444</v>
      </c>
      <c r="I125" s="20" t="s">
        <v>1421</v>
      </c>
      <c r="J125" s="11">
        <v>54</v>
      </c>
      <c r="K125" s="11">
        <f>5+49</f>
        <v>54</v>
      </c>
      <c r="L125" s="11">
        <f t="shared" si="12"/>
        <v>0</v>
      </c>
      <c r="M125" s="131"/>
      <c r="O125" s="93">
        <v>46127</v>
      </c>
    </row>
    <row r="126" spans="1:15" x14ac:dyDescent="0.2">
      <c r="A126" s="11">
        <f t="shared" ca="1" si="11"/>
        <v>34</v>
      </c>
      <c r="C126" s="11" t="s">
        <v>189</v>
      </c>
      <c r="D126" s="11" t="str">
        <f>VLOOKUP(VALUE(MID($C126,13,2)), codigos!$A$2:$B$60, 2, 1) &amp; " " &amp; VLOOKUP(VALUE(MID($C126,15,4)), codigos!$E$2:$F$102, 2, FALSE)</f>
        <v>BUDINERA 16</v>
      </c>
      <c r="E126" s="11" t="str">
        <f>VLOOKUP(VALUE(MID($C126,19,2)),codigos!$H$2:$I$62,2,1) &amp; " " &amp; VLOOKUP(VALUE(MID($C126,21,2)),codigos!$K$2:$L$12,2,FALSE)</f>
        <v>A/T S/I</v>
      </c>
      <c r="F126" s="11" t="s">
        <v>439</v>
      </c>
      <c r="G126" s="11" t="s">
        <v>34</v>
      </c>
      <c r="H126" s="52" t="s">
        <v>1444</v>
      </c>
      <c r="I126" s="20" t="s">
        <v>1421</v>
      </c>
      <c r="J126" s="11">
        <v>12</v>
      </c>
      <c r="K126" s="11">
        <f>12</f>
        <v>12</v>
      </c>
      <c r="L126" s="11">
        <f t="shared" si="12"/>
        <v>0</v>
      </c>
      <c r="M126" s="131"/>
      <c r="O126" s="93">
        <v>46127</v>
      </c>
    </row>
    <row r="127" spans="1:15" x14ac:dyDescent="0.2">
      <c r="A127" s="11">
        <f t="shared" ca="1" si="11"/>
        <v>34</v>
      </c>
      <c r="C127" s="11" t="s">
        <v>241</v>
      </c>
      <c r="D127" s="11" t="str">
        <f>VLOOKUP(VALUE(MID($C127,13,2)), codigos!$A$2:$B$60, 2, 1) &amp; " " &amp; VLOOKUP(VALUE(MID($C127,15,4)), codigos!$E$2:$F$102, 2, FALSE)</f>
        <v>BUDINERA 22</v>
      </c>
      <c r="E127" s="11" t="str">
        <f>VLOOKUP(VALUE(MID($C127,19,2)),codigos!$H$2:$I$62,2,1) &amp; " " &amp; VLOOKUP(VALUE(MID($C127,21,2)),codigos!$K$2:$L$12,2,FALSE)</f>
        <v>A/T S/I</v>
      </c>
      <c r="F127" s="11" t="s">
        <v>439</v>
      </c>
      <c r="G127" s="11" t="s">
        <v>34</v>
      </c>
      <c r="H127" s="52" t="s">
        <v>1444</v>
      </c>
      <c r="I127" s="20" t="s">
        <v>1421</v>
      </c>
      <c r="J127" s="11">
        <v>12</v>
      </c>
      <c r="K127" s="11">
        <f>12</f>
        <v>12</v>
      </c>
      <c r="L127" s="11">
        <f t="shared" si="12"/>
        <v>0</v>
      </c>
      <c r="M127" s="131"/>
      <c r="O127" s="93">
        <v>46127</v>
      </c>
    </row>
    <row r="128" spans="1:15" x14ac:dyDescent="0.2">
      <c r="A128" s="11">
        <f t="shared" ca="1" si="11"/>
        <v>34</v>
      </c>
      <c r="C128" s="11" t="s">
        <v>169</v>
      </c>
      <c r="D128" s="11" t="str">
        <f>VLOOKUP(VALUE(MID($C128,13,2)), codigos!$A$2:$B$60, 2, 1) &amp; " " &amp; VLOOKUP(VALUE(MID($C128,15,4)), codigos!$E$2:$F$102, 2, FALSE)</f>
        <v>BUDINERA 30</v>
      </c>
      <c r="E128" s="11" t="str">
        <f>VLOOKUP(VALUE(MID($C128,19,2)),codigos!$H$2:$I$62,2,1) &amp; " " &amp; VLOOKUP(VALUE(MID($C128,21,2)),codigos!$K$2:$L$12,2,FALSE)</f>
        <v>A/T S/I</v>
      </c>
      <c r="F128" s="11" t="s">
        <v>439</v>
      </c>
      <c r="G128" s="11" t="s">
        <v>34</v>
      </c>
      <c r="H128" s="52" t="s">
        <v>1444</v>
      </c>
      <c r="I128" s="20" t="s">
        <v>1421</v>
      </c>
      <c r="J128" s="11">
        <v>12</v>
      </c>
      <c r="K128" s="11">
        <f>12</f>
        <v>12</v>
      </c>
      <c r="L128" s="11">
        <f t="shared" si="12"/>
        <v>0</v>
      </c>
      <c r="M128" s="131"/>
      <c r="O128" s="93">
        <v>46127</v>
      </c>
    </row>
    <row r="129" spans="1:15" x14ac:dyDescent="0.2">
      <c r="A129" s="11">
        <f t="shared" ca="1" si="11"/>
        <v>34</v>
      </c>
      <c r="C129" s="11" t="s">
        <v>38</v>
      </c>
      <c r="D129" s="11" t="str">
        <f>VLOOKUP(VALUE(MID($C129,13,2)), codigos!$A$2:$B$60, 2, 1) &amp; " " &amp; VLOOKUP(VALUE(MID($C129,15,4)), codigos!$E$2:$F$102, 2, FALSE)</f>
        <v>BUDINERA 42</v>
      </c>
      <c r="E129" s="11" t="str">
        <f>VLOOKUP(VALUE(MID($C129,19,2)),codigos!$H$2:$I$62,2,1) &amp; " " &amp; VLOOKUP(VALUE(MID($C129,21,2)),codigos!$K$2:$L$12,2,FALSE)</f>
        <v>A/T S/I</v>
      </c>
      <c r="F129" s="11" t="s">
        <v>439</v>
      </c>
      <c r="G129" s="11" t="s">
        <v>34</v>
      </c>
      <c r="H129" s="52" t="s">
        <v>1444</v>
      </c>
      <c r="I129" s="20" t="s">
        <v>1421</v>
      </c>
      <c r="J129" s="11">
        <v>12</v>
      </c>
      <c r="K129" s="11">
        <f>12</f>
        <v>12</v>
      </c>
      <c r="L129" s="11">
        <f t="shared" si="12"/>
        <v>0</v>
      </c>
      <c r="M129" s="131"/>
      <c r="O129" s="93">
        <v>46127</v>
      </c>
    </row>
    <row r="130" spans="1:15" x14ac:dyDescent="0.2">
      <c r="A130" s="11">
        <f t="shared" ca="1" si="11"/>
        <v>34</v>
      </c>
      <c r="C130" s="11" t="s">
        <v>218</v>
      </c>
      <c r="D130" s="11" t="str">
        <f>VLOOKUP(VALUE(MID($C130,13,2)), codigos!$A$2:$B$60, 2, 1) &amp; " " &amp; VLOOKUP(VALUE(MID($C130,15,4)), codigos!$E$2:$F$102, 2, FALSE)</f>
        <v>CAZO 14</v>
      </c>
      <c r="E130" s="11" t="str">
        <f>VLOOKUP(VALUE(MID($C130,19,2)),codigos!$H$2:$I$62,2,1) &amp; " " &amp; VLOOKUP(VALUE(MID($C130,21,2)),codigos!$K$2:$L$12,2,FALSE)</f>
        <v>A/T S/I</v>
      </c>
      <c r="F130" s="11" t="s">
        <v>439</v>
      </c>
      <c r="G130" s="11" t="s">
        <v>34</v>
      </c>
      <c r="H130" s="52" t="s">
        <v>1444</v>
      </c>
      <c r="I130" s="20" t="s">
        <v>1421</v>
      </c>
      <c r="J130" s="11">
        <v>12</v>
      </c>
      <c r="K130" s="11">
        <v>12</v>
      </c>
      <c r="L130" s="11">
        <f t="shared" si="12"/>
        <v>0</v>
      </c>
      <c r="M130" s="131"/>
      <c r="O130" s="93">
        <v>46127</v>
      </c>
    </row>
    <row r="131" spans="1:15" x14ac:dyDescent="0.2">
      <c r="A131" s="11">
        <f t="shared" ca="1" si="11"/>
        <v>34</v>
      </c>
      <c r="C131" s="11" t="s">
        <v>219</v>
      </c>
      <c r="D131" s="11" t="str">
        <f>VLOOKUP(VALUE(MID($C131,13,2)), codigos!$A$2:$B$60, 2, 1) &amp; " " &amp; VLOOKUP(VALUE(MID($C131,15,4)), codigos!$E$2:$F$102, 2, FALSE)</f>
        <v>CAZO 16</v>
      </c>
      <c r="E131" s="11" t="str">
        <f>VLOOKUP(VALUE(MID($C131,19,2)),codigos!$H$2:$I$62,2,1) &amp; " " &amp; VLOOKUP(VALUE(MID($C131,21,2)),codigos!$K$2:$L$12,2,FALSE)</f>
        <v>A/T S/I</v>
      </c>
      <c r="F131" s="11" t="s">
        <v>439</v>
      </c>
      <c r="G131" s="11" t="s">
        <v>34</v>
      </c>
      <c r="H131" s="52" t="s">
        <v>1444</v>
      </c>
      <c r="I131" s="20" t="s">
        <v>1421</v>
      </c>
      <c r="J131" s="11">
        <v>12</v>
      </c>
      <c r="K131" s="11">
        <v>0</v>
      </c>
      <c r="L131" s="11">
        <f t="shared" si="12"/>
        <v>12</v>
      </c>
      <c r="M131" s="131"/>
      <c r="O131" s="93">
        <v>46127</v>
      </c>
    </row>
    <row r="132" spans="1:15" x14ac:dyDescent="0.2">
      <c r="A132" s="11">
        <f t="shared" ca="1" si="11"/>
        <v>34</v>
      </c>
      <c r="C132" s="11" t="s">
        <v>149</v>
      </c>
      <c r="D132" s="11" t="str">
        <f>VLOOKUP(VALUE(MID($C132,13,2)), codigos!$A$2:$B$60, 2, 1) &amp; " " &amp; VLOOKUP(VALUE(MID($C132,15,4)), codigos!$E$2:$F$102, 2, FALSE)</f>
        <v>COMAL 28</v>
      </c>
      <c r="E132" s="11" t="str">
        <f>VLOOKUP(VALUE(MID($C132,19,2)),codigos!$H$2:$I$62,2,1) &amp; " " &amp; VLOOKUP(VALUE(MID($C132,21,2)),codigos!$K$2:$L$12,2,FALSE)</f>
        <v>NEGRO MOTAS S/I</v>
      </c>
      <c r="F132" s="11" t="s">
        <v>439</v>
      </c>
      <c r="G132" s="11" t="s">
        <v>34</v>
      </c>
      <c r="H132" s="52" t="s">
        <v>1444</v>
      </c>
      <c r="I132" s="20" t="s">
        <v>1421</v>
      </c>
      <c r="J132" s="11">
        <v>72</v>
      </c>
      <c r="K132" s="11">
        <f>72</f>
        <v>72</v>
      </c>
      <c r="L132" s="11">
        <f t="shared" si="12"/>
        <v>0</v>
      </c>
      <c r="M132" s="131"/>
      <c r="O132" s="93">
        <v>46127</v>
      </c>
    </row>
    <row r="133" spans="1:15" x14ac:dyDescent="0.2">
      <c r="A133" s="11">
        <f t="shared" ca="1" si="11"/>
        <v>34</v>
      </c>
      <c r="C133" s="11" t="s">
        <v>344</v>
      </c>
      <c r="D133" s="11" t="str">
        <f>VLOOKUP(VALUE(MID($C133,13,2)), codigos!$A$2:$B$60, 2, 1) &amp; " " &amp; VLOOKUP(VALUE(MID($C133,15,4)), codigos!$E$2:$F$102, 2, FALSE)</f>
        <v>COMAL 36</v>
      </c>
      <c r="E133" s="11" t="str">
        <f>VLOOKUP(VALUE(MID($C133,19,2)),codigos!$H$2:$I$62,2,1) &amp; " " &amp; VLOOKUP(VALUE(MID($C133,21,2)),codigos!$K$2:$L$12,2,FALSE)</f>
        <v>NEGRO MOTAS S/I</v>
      </c>
      <c r="F133" s="11" t="s">
        <v>439</v>
      </c>
      <c r="G133" s="11" t="s">
        <v>34</v>
      </c>
      <c r="H133" s="52" t="s">
        <v>1444</v>
      </c>
      <c r="I133" s="20" t="s">
        <v>1421</v>
      </c>
      <c r="J133" s="11">
        <v>72</v>
      </c>
      <c r="K133" s="11">
        <f>60+12</f>
        <v>72</v>
      </c>
      <c r="L133" s="11">
        <f t="shared" si="12"/>
        <v>0</v>
      </c>
      <c r="M133" s="131"/>
      <c r="O133" s="93">
        <v>46127</v>
      </c>
    </row>
    <row r="134" spans="1:15" x14ac:dyDescent="0.2">
      <c r="A134" s="11">
        <f t="shared" ca="1" si="11"/>
        <v>34</v>
      </c>
      <c r="C134" s="11" t="s">
        <v>51</v>
      </c>
      <c r="D134" s="11" t="str">
        <f>VLOOKUP(VALUE(MID($C134,13,2)), codigos!$A$2:$B$60, 2, 1) &amp; " " &amp; VLOOKUP(VALUE(MID($C134,15,4)), codigos!$E$2:$F$102, 2, FALSE)</f>
        <v>CUBETA 5</v>
      </c>
      <c r="E134" s="11" t="str">
        <f>VLOOKUP(VALUE(MID($C134,19,2)),codigos!$H$2:$I$62,2,1) &amp; " " &amp; VLOOKUP(VALUE(MID($C134,21,2)),codigos!$K$2:$L$12,2,FALSE)</f>
        <v>NEGRO MOTAS S/I</v>
      </c>
      <c r="F134" s="11" t="s">
        <v>439</v>
      </c>
      <c r="G134" s="11" t="s">
        <v>34</v>
      </c>
      <c r="H134" s="52" t="s">
        <v>1444</v>
      </c>
      <c r="I134" s="20" t="s">
        <v>1421</v>
      </c>
      <c r="J134" s="11">
        <v>12</v>
      </c>
      <c r="K134" s="11">
        <v>0</v>
      </c>
      <c r="L134" s="11">
        <f t="shared" si="12"/>
        <v>12</v>
      </c>
      <c r="M134" s="131"/>
      <c r="O134" s="93">
        <v>46127</v>
      </c>
    </row>
    <row r="135" spans="1:15" x14ac:dyDescent="0.2">
      <c r="A135" s="11">
        <f t="shared" ca="1" si="11"/>
        <v>34</v>
      </c>
      <c r="C135" s="11" t="s">
        <v>111</v>
      </c>
      <c r="D135" s="11" t="str">
        <f>VLOOKUP(VALUE(MID($C135,13,2)), codigos!$A$2:$B$60, 2, 1) &amp; " " &amp; VLOOKUP(VALUE(MID($C135,15,4)), codigos!$E$2:$F$102, 2, FALSE)</f>
        <v>CUBETA 6</v>
      </c>
      <c r="E135" s="11" t="str">
        <f>VLOOKUP(VALUE(MID($C135,19,2)),codigos!$H$2:$I$62,2,1) &amp; " " &amp; VLOOKUP(VALUE(MID($C135,21,2)),codigos!$K$2:$L$12,2,FALSE)</f>
        <v>NEGRO MOTAS S/I</v>
      </c>
      <c r="F135" s="11" t="s">
        <v>439</v>
      </c>
      <c r="G135" s="11" t="s">
        <v>34</v>
      </c>
      <c r="H135" s="52" t="s">
        <v>1444</v>
      </c>
      <c r="I135" s="20" t="s">
        <v>1421</v>
      </c>
      <c r="J135" s="11">
        <v>12</v>
      </c>
      <c r="K135" s="11">
        <v>0</v>
      </c>
      <c r="L135" s="11">
        <f t="shared" si="12"/>
        <v>12</v>
      </c>
      <c r="M135" s="131"/>
      <c r="O135" s="93">
        <v>46127</v>
      </c>
    </row>
    <row r="136" spans="1:15" x14ac:dyDescent="0.2">
      <c r="A136" s="11">
        <f t="shared" ca="1" si="11"/>
        <v>34</v>
      </c>
      <c r="C136" s="11" t="s">
        <v>187</v>
      </c>
      <c r="D136" s="11" t="str">
        <f>VLOOKUP(VALUE(MID($C136,13,2)), codigos!$A$2:$B$60, 2, 1) &amp; " " &amp; VLOOKUP(VALUE(MID($C136,15,4)), codigos!$E$2:$F$102, 2, FALSE)</f>
        <v>OLLA CONVEXA 12</v>
      </c>
      <c r="E136" s="11" t="str">
        <f>VLOOKUP(VALUE(MID($C136,19,2)),codigos!$H$2:$I$62,2,1) &amp; " " &amp; VLOOKUP(VALUE(MID($C136,21,2)),codigos!$K$2:$L$12,2,FALSE)</f>
        <v>A/T S/I</v>
      </c>
      <c r="F136" s="11" t="s">
        <v>439</v>
      </c>
      <c r="G136" s="11" t="s">
        <v>34</v>
      </c>
      <c r="H136" s="52" t="s">
        <v>1444</v>
      </c>
      <c r="I136" s="20" t="s">
        <v>1421</v>
      </c>
      <c r="J136" s="11">
        <v>180</v>
      </c>
      <c r="K136" s="11">
        <f>36+18+29+54+36</f>
        <v>173</v>
      </c>
      <c r="L136" s="11">
        <f t="shared" si="12"/>
        <v>7</v>
      </c>
      <c r="M136" s="131"/>
      <c r="O136" s="93">
        <v>46127</v>
      </c>
    </row>
    <row r="137" spans="1:15" x14ac:dyDescent="0.2">
      <c r="A137" s="11">
        <f t="shared" ca="1" si="11"/>
        <v>34</v>
      </c>
      <c r="C137" s="11" t="s">
        <v>333</v>
      </c>
      <c r="D137" s="11" t="str">
        <f>VLOOKUP(VALUE(MID($C137,13,2)), codigos!$A$2:$B$60, 2, 1) &amp; " " &amp; VLOOKUP(VALUE(MID($C137,15,4)), codigos!$E$2:$F$102, 2, FALSE)</f>
        <v>OLLA CONVEXA 14</v>
      </c>
      <c r="E137" s="11" t="str">
        <f>VLOOKUP(VALUE(MID($C137,19,2)),codigos!$H$2:$I$62,2,1) &amp; " " &amp; VLOOKUP(VALUE(MID($C137,21,2)),codigos!$K$2:$L$12,2,FALSE)</f>
        <v>A/T S/I</v>
      </c>
      <c r="F137" s="11" t="s">
        <v>439</v>
      </c>
      <c r="G137" s="11" t="s">
        <v>34</v>
      </c>
      <c r="H137" s="52" t="s">
        <v>1444</v>
      </c>
      <c r="I137" s="20" t="s">
        <v>1421</v>
      </c>
      <c r="J137" s="11">
        <v>54</v>
      </c>
      <c r="K137" s="11">
        <v>54</v>
      </c>
      <c r="L137" s="11">
        <f t="shared" si="12"/>
        <v>0</v>
      </c>
      <c r="M137" s="131"/>
      <c r="O137" s="93">
        <v>46127</v>
      </c>
    </row>
    <row r="138" spans="1:15" x14ac:dyDescent="0.2">
      <c r="A138" s="11">
        <f t="shared" ca="1" si="11"/>
        <v>34</v>
      </c>
      <c r="C138" s="11" t="s">
        <v>220</v>
      </c>
      <c r="D138" s="11" t="str">
        <f>VLOOKUP(VALUE(MID($C138,13,2)), codigos!$A$2:$B$60, 2, 1) &amp; " " &amp; VLOOKUP(VALUE(MID($C138,15,4)), codigos!$E$2:$F$102, 2, FALSE)</f>
        <v>OLLA CONVEXA 16</v>
      </c>
      <c r="E138" s="11" t="str">
        <f>VLOOKUP(VALUE(MID($C138,19,2)),codigos!$H$2:$I$62,2,1) &amp; " " &amp; VLOOKUP(VALUE(MID($C138,21,2)),codigos!$K$2:$L$12,2,FALSE)</f>
        <v>A/T S/I</v>
      </c>
      <c r="F138" s="11" t="s">
        <v>439</v>
      </c>
      <c r="G138" s="11" t="s">
        <v>34</v>
      </c>
      <c r="H138" s="52" t="s">
        <v>1444</v>
      </c>
      <c r="I138" s="20" t="s">
        <v>1421</v>
      </c>
      <c r="J138" s="11">
        <v>96</v>
      </c>
      <c r="K138" s="11">
        <f>10+24+62</f>
        <v>96</v>
      </c>
      <c r="L138" s="11">
        <f t="shared" si="12"/>
        <v>0</v>
      </c>
      <c r="M138" s="131"/>
      <c r="O138" s="93">
        <v>46127</v>
      </c>
    </row>
    <row r="139" spans="1:15" x14ac:dyDescent="0.2">
      <c r="A139" s="11">
        <f t="shared" ca="1" si="11"/>
        <v>34</v>
      </c>
      <c r="C139" s="11" t="s">
        <v>150</v>
      </c>
      <c r="D139" s="11" t="str">
        <f>VLOOKUP(VALUE(MID($C139,13,2)), codigos!$A$2:$B$60, 2, 1) &amp; " " &amp; VLOOKUP(VALUE(MID($C139,15,4)), codigos!$E$2:$F$102, 2, FALSE)</f>
        <v>OLLA CONVEXA 18</v>
      </c>
      <c r="E139" s="11" t="str">
        <f>VLOOKUP(VALUE(MID($C139,19,2)),codigos!$H$2:$I$62,2,1) &amp; " " &amp; VLOOKUP(VALUE(MID($C139,21,2)),codigos!$K$2:$L$12,2,FALSE)</f>
        <v>A/T S/I</v>
      </c>
      <c r="F139" s="11" t="s">
        <v>439</v>
      </c>
      <c r="G139" s="11" t="s">
        <v>34</v>
      </c>
      <c r="H139" s="52" t="s">
        <v>1444</v>
      </c>
      <c r="I139" s="20" t="s">
        <v>1421</v>
      </c>
      <c r="J139" s="11">
        <v>96</v>
      </c>
      <c r="K139" s="11">
        <f>16+72+6-24-12+38</f>
        <v>96</v>
      </c>
      <c r="L139" s="11">
        <f t="shared" si="12"/>
        <v>0</v>
      </c>
      <c r="M139" s="131"/>
      <c r="O139" s="93">
        <v>46127</v>
      </c>
    </row>
    <row r="140" spans="1:15" x14ac:dyDescent="0.2">
      <c r="A140" s="11">
        <f t="shared" ca="1" si="11"/>
        <v>34</v>
      </c>
      <c r="C140" s="11" t="s">
        <v>154</v>
      </c>
      <c r="D140" s="11" t="str">
        <f>VLOOKUP(VALUE(MID($C140,13,2)), codigos!$A$2:$B$60, 2, 1) &amp; " " &amp; VLOOKUP(VALUE(MID($C140,15,4)), codigos!$E$2:$F$102, 2, FALSE)</f>
        <v>OLLA CONVEXA 30</v>
      </c>
      <c r="E140" s="11" t="str">
        <f>VLOOKUP(VALUE(MID($C140,19,2)),codigos!$H$2:$I$62,2,1) &amp; " " &amp; VLOOKUP(VALUE(MID($C140,21,2)),codigos!$K$2:$L$12,2,FALSE)</f>
        <v>A/T S/I</v>
      </c>
      <c r="F140" s="11" t="s">
        <v>439</v>
      </c>
      <c r="G140" s="11" t="s">
        <v>34</v>
      </c>
      <c r="H140" s="52" t="s">
        <v>1444</v>
      </c>
      <c r="I140" s="20" t="s">
        <v>1421</v>
      </c>
      <c r="J140" s="11">
        <v>20</v>
      </c>
      <c r="K140" s="11">
        <f>20</f>
        <v>20</v>
      </c>
      <c r="L140" s="11">
        <f t="shared" si="12"/>
        <v>0</v>
      </c>
      <c r="M140" s="131"/>
      <c r="O140" s="93">
        <v>46127</v>
      </c>
    </row>
    <row r="141" spans="1:15" x14ac:dyDescent="0.2">
      <c r="A141" s="11">
        <f t="shared" ca="1" si="11"/>
        <v>34</v>
      </c>
      <c r="C141" s="11" t="s">
        <v>221</v>
      </c>
      <c r="D141" s="11" t="str">
        <f>VLOOKUP(VALUE(MID($C141,13,2)), codigos!$A$2:$B$60, 2, 1) &amp; " " &amp; VLOOKUP(VALUE(MID($C141,15,4)), codigos!$E$2:$F$102, 2, FALSE)</f>
        <v>OLLA CONVEXA 34</v>
      </c>
      <c r="E141" s="11" t="str">
        <f>VLOOKUP(VALUE(MID($C141,19,2)),codigos!$H$2:$I$62,2,1) &amp; " " &amp; VLOOKUP(VALUE(MID($C141,21,2)),codigos!$K$2:$L$12,2,FALSE)</f>
        <v>A/T S/I</v>
      </c>
      <c r="F141" s="11" t="s">
        <v>439</v>
      </c>
      <c r="G141" s="11" t="s">
        <v>34</v>
      </c>
      <c r="H141" s="52" t="s">
        <v>1444</v>
      </c>
      <c r="I141" s="20" t="s">
        <v>1421</v>
      </c>
      <c r="J141" s="11">
        <v>20</v>
      </c>
      <c r="K141" s="11">
        <v>20</v>
      </c>
      <c r="L141" s="11">
        <f t="shared" si="12"/>
        <v>0</v>
      </c>
      <c r="M141" s="131"/>
      <c r="O141" s="93">
        <v>46127</v>
      </c>
    </row>
    <row r="142" spans="1:15" x14ac:dyDescent="0.2">
      <c r="A142" s="11">
        <f t="shared" ca="1" si="11"/>
        <v>34</v>
      </c>
      <c r="C142" s="11" t="s">
        <v>222</v>
      </c>
      <c r="D142" s="11" t="str">
        <f>VLOOKUP(VALUE(MID($C142,13,2)), codigos!$A$2:$B$60, 2, 1) &amp; " " &amp; VLOOKUP(VALUE(MID($C142,15,4)), codigos!$E$2:$F$102, 2, FALSE)</f>
        <v>OLLA RECTA 12</v>
      </c>
      <c r="E142" s="11" t="str">
        <f>VLOOKUP(VALUE(MID($C142,19,2)),codigos!$H$2:$I$62,2,1) &amp; " " &amp; VLOOKUP(VALUE(MID($C142,21,2)),codigos!$K$2:$L$12,2,FALSE)</f>
        <v>A/T S/I</v>
      </c>
      <c r="F142" s="11" t="s">
        <v>439</v>
      </c>
      <c r="G142" s="11" t="s">
        <v>34</v>
      </c>
      <c r="H142" s="52" t="s">
        <v>1444</v>
      </c>
      <c r="I142" s="20" t="s">
        <v>1421</v>
      </c>
      <c r="J142" s="11">
        <v>54</v>
      </c>
      <c r="K142" s="11">
        <v>54</v>
      </c>
      <c r="L142" s="11">
        <f t="shared" si="12"/>
        <v>0</v>
      </c>
      <c r="M142" s="131"/>
      <c r="O142" s="93">
        <v>46127</v>
      </c>
    </row>
    <row r="143" spans="1:15" x14ac:dyDescent="0.2">
      <c r="A143" s="11">
        <f t="shared" ca="1" si="11"/>
        <v>34</v>
      </c>
      <c r="C143" s="11" t="s">
        <v>257</v>
      </c>
      <c r="D143" s="11" t="str">
        <f>VLOOKUP(VALUE(MID($C143,13,2)), codigos!$A$2:$B$60, 2, 1) &amp; " " &amp; VLOOKUP(VALUE(MID($C143,15,4)), codigos!$E$2:$F$102, 2, FALSE)</f>
        <v>OLLA RECTA 14</v>
      </c>
      <c r="E143" s="11" t="str">
        <f>VLOOKUP(VALUE(MID($C143,19,2)),codigos!$H$2:$I$62,2,1) &amp; " " &amp; VLOOKUP(VALUE(MID($C143,21,2)),codigos!$K$2:$L$12,2,FALSE)</f>
        <v>A/T S/I</v>
      </c>
      <c r="F143" s="11" t="s">
        <v>439</v>
      </c>
      <c r="G143" s="11" t="s">
        <v>34</v>
      </c>
      <c r="H143" s="52" t="s">
        <v>1444</v>
      </c>
      <c r="I143" s="20" t="s">
        <v>1421</v>
      </c>
      <c r="J143" s="11">
        <v>54</v>
      </c>
      <c r="K143" s="11">
        <v>54</v>
      </c>
      <c r="L143" s="11">
        <f t="shared" si="12"/>
        <v>0</v>
      </c>
      <c r="M143" s="131"/>
      <c r="O143" s="93">
        <v>46127</v>
      </c>
    </row>
    <row r="144" spans="1:15" x14ac:dyDescent="0.2">
      <c r="A144" s="11">
        <f t="shared" ca="1" si="11"/>
        <v>34</v>
      </c>
      <c r="C144" s="11" t="s">
        <v>258</v>
      </c>
      <c r="D144" s="11" t="str">
        <f>VLOOKUP(VALUE(MID($C144,13,2)), codigos!$A$2:$B$60, 2, 1) &amp; " " &amp; VLOOKUP(VALUE(MID($C144,15,4)), codigos!$E$2:$F$102, 2, FALSE)</f>
        <v>OLLA RECTA 16</v>
      </c>
      <c r="E144" s="11" t="str">
        <f>VLOOKUP(VALUE(MID($C144,19,2)),codigos!$H$2:$I$62,2,1) &amp; " " &amp; VLOOKUP(VALUE(MID($C144,21,2)),codigos!$K$2:$L$12,2,FALSE)</f>
        <v>A/T S/I</v>
      </c>
      <c r="F144" s="11" t="s">
        <v>439</v>
      </c>
      <c r="G144" s="11" t="s">
        <v>34</v>
      </c>
      <c r="H144" s="52" t="s">
        <v>1444</v>
      </c>
      <c r="I144" s="20" t="s">
        <v>1421</v>
      </c>
      <c r="J144" s="11">
        <v>54</v>
      </c>
      <c r="K144" s="11">
        <f>54</f>
        <v>54</v>
      </c>
      <c r="L144" s="11">
        <f t="shared" si="12"/>
        <v>0</v>
      </c>
      <c r="M144" s="131"/>
      <c r="O144" s="93">
        <v>46127</v>
      </c>
    </row>
    <row r="145" spans="1:15" x14ac:dyDescent="0.2">
      <c r="A145" s="11">
        <f t="shared" ca="1" si="11"/>
        <v>34</v>
      </c>
      <c r="C145" s="11" t="s">
        <v>259</v>
      </c>
      <c r="D145" s="11" t="str">
        <f>VLOOKUP(VALUE(MID($C145,13,2)), codigos!$A$2:$B$60, 2, 1) &amp; " " &amp; VLOOKUP(VALUE(MID($C145,15,4)), codigos!$E$2:$F$102, 2, FALSE)</f>
        <v>OLLA RECTA 18</v>
      </c>
      <c r="E145" s="11" t="str">
        <f>VLOOKUP(VALUE(MID($C145,19,2)),codigos!$H$2:$I$62,2,1) &amp; " " &amp; VLOOKUP(VALUE(MID($C145,21,2)),codigos!$K$2:$L$12,2,FALSE)</f>
        <v>A/T S/I</v>
      </c>
      <c r="F145" s="11" t="s">
        <v>439</v>
      </c>
      <c r="G145" s="11" t="s">
        <v>34</v>
      </c>
      <c r="H145" s="52" t="s">
        <v>1444</v>
      </c>
      <c r="I145" s="20" t="s">
        <v>1421</v>
      </c>
      <c r="J145" s="11">
        <v>54</v>
      </c>
      <c r="K145" s="11">
        <f>54</f>
        <v>54</v>
      </c>
      <c r="L145" s="11">
        <f t="shared" si="12"/>
        <v>0</v>
      </c>
      <c r="M145" s="131"/>
      <c r="O145" s="93">
        <v>46127</v>
      </c>
    </row>
    <row r="146" spans="1:15" x14ac:dyDescent="0.2">
      <c r="A146" s="11">
        <f t="shared" ca="1" si="11"/>
        <v>34</v>
      </c>
      <c r="C146" s="11" t="s">
        <v>155</v>
      </c>
      <c r="D146" s="11" t="str">
        <f>VLOOKUP(VALUE(MID($C146,13,2)), codigos!$A$2:$B$60, 2, 1) &amp; " " &amp; VLOOKUP(VALUE(MID($C146,15,4)), codigos!$E$2:$F$102, 2, FALSE)</f>
        <v>OLLA RECTA 30</v>
      </c>
      <c r="E146" s="11" t="str">
        <f>VLOOKUP(VALUE(MID($C146,19,2)),codigos!$H$2:$I$62,2,1) &amp; " " &amp; VLOOKUP(VALUE(MID($C146,21,2)),codigos!$K$2:$L$12,2,FALSE)</f>
        <v>A/T S/I</v>
      </c>
      <c r="F146" s="11" t="s">
        <v>439</v>
      </c>
      <c r="G146" s="11" t="s">
        <v>34</v>
      </c>
      <c r="H146" s="52" t="s">
        <v>1444</v>
      </c>
      <c r="I146" s="20" t="s">
        <v>1421</v>
      </c>
      <c r="J146" s="11">
        <v>12</v>
      </c>
      <c r="K146" s="11">
        <v>12</v>
      </c>
      <c r="L146" s="11">
        <f t="shared" si="12"/>
        <v>0</v>
      </c>
      <c r="M146" s="131"/>
      <c r="O146" s="93">
        <v>46127</v>
      </c>
    </row>
    <row r="147" spans="1:15" x14ac:dyDescent="0.2">
      <c r="A147" s="11">
        <f t="shared" ca="1" si="11"/>
        <v>34</v>
      </c>
      <c r="C147" s="11" t="s">
        <v>156</v>
      </c>
      <c r="D147" s="11" t="str">
        <f>VLOOKUP(VALUE(MID($C147,13,2)), codigos!$A$2:$B$60, 2, 1) &amp; " " &amp; VLOOKUP(VALUE(MID($C147,15,4)), codigos!$E$2:$F$102, 2, FALSE)</f>
        <v>OLLA RECTA 34</v>
      </c>
      <c r="E147" s="11" t="str">
        <f>VLOOKUP(VALUE(MID($C147,19,2)),codigos!$H$2:$I$62,2,1) &amp; " " &amp; VLOOKUP(VALUE(MID($C147,21,2)),codigos!$K$2:$L$12,2,FALSE)</f>
        <v>A/T S/I</v>
      </c>
      <c r="F147" s="11" t="s">
        <v>439</v>
      </c>
      <c r="G147" s="11" t="s">
        <v>34</v>
      </c>
      <c r="H147" s="52" t="s">
        <v>1444</v>
      </c>
      <c r="I147" s="20" t="s">
        <v>1421</v>
      </c>
      <c r="J147" s="11">
        <v>10</v>
      </c>
      <c r="K147" s="11">
        <v>10</v>
      </c>
      <c r="L147" s="11">
        <f t="shared" si="12"/>
        <v>0</v>
      </c>
      <c r="M147" s="131"/>
      <c r="O147" s="93">
        <v>46127</v>
      </c>
    </row>
    <row r="148" spans="1:15" x14ac:dyDescent="0.2">
      <c r="A148" s="11">
        <f t="shared" ca="1" si="11"/>
        <v>34</v>
      </c>
      <c r="C148" s="11" t="s">
        <v>157</v>
      </c>
      <c r="D148" s="11" t="str">
        <f>VLOOKUP(VALUE(MID($C148,13,2)), codigos!$A$2:$B$60, 2, 1) &amp; " " &amp; VLOOKUP(VALUE(MID($C148,15,4)), codigos!$E$2:$F$102, 2, FALSE)</f>
        <v>OLLA RECTA 42</v>
      </c>
      <c r="E148" s="11" t="str">
        <f>VLOOKUP(VALUE(MID($C148,19,2)),codigos!$H$2:$I$62,2,1) &amp; " " &amp; VLOOKUP(VALUE(MID($C148,21,2)),codigos!$K$2:$L$12,2,FALSE)</f>
        <v>A/T S/I</v>
      </c>
      <c r="F148" s="11" t="s">
        <v>439</v>
      </c>
      <c r="G148" s="11" t="s">
        <v>34</v>
      </c>
      <c r="H148" s="52" t="s">
        <v>1444</v>
      </c>
      <c r="I148" s="20" t="s">
        <v>1421</v>
      </c>
      <c r="J148" s="11">
        <v>6</v>
      </c>
      <c r="K148" s="11">
        <v>0</v>
      </c>
      <c r="L148" s="11">
        <f t="shared" si="12"/>
        <v>6</v>
      </c>
      <c r="M148" s="131"/>
      <c r="O148" s="93">
        <v>46127</v>
      </c>
    </row>
    <row r="149" spans="1:15" x14ac:dyDescent="0.2">
      <c r="A149" s="11">
        <f t="shared" ca="1" si="11"/>
        <v>34</v>
      </c>
      <c r="C149" s="11" t="s">
        <v>66</v>
      </c>
      <c r="D149" s="11" t="str">
        <f>VLOOKUP(VALUE(MID($C149,13,2)), codigos!$A$2:$B$60, 2, 1) &amp; " " &amp; VLOOKUP(VALUE(MID($C149,15,4)), codigos!$E$2:$F$102, 2, FALSE)</f>
        <v>PLATO AVENERO 20</v>
      </c>
      <c r="E149" s="11" t="str">
        <f>VLOOKUP(VALUE(MID($C149,19,2)),codigos!$H$2:$I$62,2,1) &amp; " " &amp; VLOOKUP(VALUE(MID($C149,21,2)),codigos!$K$2:$L$12,2,FALSE)</f>
        <v>A/T S/I</v>
      </c>
      <c r="F149" s="11" t="s">
        <v>439</v>
      </c>
      <c r="G149" s="11" t="s">
        <v>34</v>
      </c>
      <c r="H149" s="52" t="s">
        <v>1444</v>
      </c>
      <c r="I149" s="20" t="s">
        <v>1421</v>
      </c>
      <c r="J149" s="11">
        <v>120</v>
      </c>
      <c r="K149" s="11">
        <v>120</v>
      </c>
      <c r="L149" s="11">
        <f t="shared" si="12"/>
        <v>0</v>
      </c>
      <c r="M149" s="131"/>
      <c r="O149" s="93">
        <v>46127</v>
      </c>
    </row>
    <row r="150" spans="1:15" x14ac:dyDescent="0.2">
      <c r="A150" s="11">
        <f t="shared" ca="1" si="11"/>
        <v>34</v>
      </c>
      <c r="C150" s="11" t="s">
        <v>283</v>
      </c>
      <c r="D150" s="11" t="str">
        <f>VLOOKUP(VALUE(MID($C150,13,2)), codigos!$A$2:$B$60, 2, 1) &amp; " " &amp; VLOOKUP(VALUE(MID($C150,15,4)), codigos!$E$2:$F$102, 2, FALSE)</f>
        <v>PLATO AVENERO 20</v>
      </c>
      <c r="E150" s="11" t="str">
        <f>VLOOKUP(VALUE(MID($C150,19,2)),codigos!$H$2:$I$62,2,1) &amp; " " &amp; VLOOKUP(VALUE(MID($C150,21,2)),codigos!$K$2:$L$12,2,FALSE)</f>
        <v>BLANCO  NEGRO</v>
      </c>
      <c r="F150" s="11" t="s">
        <v>439</v>
      </c>
      <c r="G150" s="11" t="s">
        <v>34</v>
      </c>
      <c r="H150" s="52" t="s">
        <v>1444</v>
      </c>
      <c r="I150" s="20" t="s">
        <v>1421</v>
      </c>
      <c r="J150" s="11">
        <v>120</v>
      </c>
      <c r="K150" s="11">
        <v>120</v>
      </c>
      <c r="L150" s="11">
        <f t="shared" si="12"/>
        <v>0</v>
      </c>
      <c r="M150" s="131"/>
      <c r="O150" s="93">
        <v>46127</v>
      </c>
    </row>
    <row r="151" spans="1:15" x14ac:dyDescent="0.2">
      <c r="A151" s="11">
        <f t="shared" ca="1" si="11"/>
        <v>34</v>
      </c>
      <c r="C151" s="11" t="s">
        <v>225</v>
      </c>
      <c r="D151" s="11" t="str">
        <f>VLOOKUP(VALUE(MID($C151,13,2)), codigos!$A$2:$B$60, 2, 1) &amp; " " &amp; VLOOKUP(VALUE(MID($C151,15,4)), codigos!$E$2:$F$102, 2, FALSE)</f>
        <v>POCILLO 8</v>
      </c>
      <c r="E151" s="11" t="str">
        <f>VLOOKUP(VALUE(MID($C151,19,2)),codigos!$H$2:$I$62,2,1) &amp; " " &amp; VLOOKUP(VALUE(MID($C151,21,2)),codigos!$K$2:$L$12,2,FALSE)</f>
        <v>A/T S/I</v>
      </c>
      <c r="F151" s="11" t="s">
        <v>439</v>
      </c>
      <c r="G151" s="11" t="s">
        <v>34</v>
      </c>
      <c r="H151" s="52" t="s">
        <v>1444</v>
      </c>
      <c r="I151" s="20" t="s">
        <v>1421</v>
      </c>
      <c r="J151" s="11">
        <v>144</v>
      </c>
      <c r="K151" s="11">
        <f>144</f>
        <v>144</v>
      </c>
      <c r="L151" s="11">
        <f t="shared" si="12"/>
        <v>0</v>
      </c>
      <c r="M151" s="131"/>
      <c r="O151" s="93">
        <v>46127</v>
      </c>
    </row>
    <row r="152" spans="1:15" x14ac:dyDescent="0.2">
      <c r="A152" s="11">
        <f t="shared" ca="1" si="11"/>
        <v>34</v>
      </c>
      <c r="C152" s="11" t="s">
        <v>226</v>
      </c>
      <c r="D152" s="11" t="str">
        <f>VLOOKUP(VALUE(MID($C152,13,2)), codigos!$A$2:$B$60, 2, 1) &amp; " " &amp; VLOOKUP(VALUE(MID($C152,15,4)), codigos!$E$2:$F$102, 2, FALSE)</f>
        <v>POCILLO 10</v>
      </c>
      <c r="E152" s="11" t="str">
        <f>VLOOKUP(VALUE(MID($C152,19,2)),codigos!$H$2:$I$62,2,1) &amp; " " &amp; VLOOKUP(VALUE(MID($C152,21,2)),codigos!$K$2:$L$12,2,FALSE)</f>
        <v>A/T S/I</v>
      </c>
      <c r="F152" s="11" t="s">
        <v>439</v>
      </c>
      <c r="G152" s="11" t="s">
        <v>34</v>
      </c>
      <c r="H152" s="52" t="s">
        <v>1444</v>
      </c>
      <c r="I152" s="20" t="s">
        <v>1421</v>
      </c>
      <c r="J152" s="11">
        <v>144</v>
      </c>
      <c r="K152" s="11">
        <f>27+117</f>
        <v>144</v>
      </c>
      <c r="L152" s="11">
        <f t="shared" si="12"/>
        <v>0</v>
      </c>
      <c r="M152" s="131"/>
      <c r="O152" s="93">
        <v>46127</v>
      </c>
    </row>
    <row r="153" spans="1:15" x14ac:dyDescent="0.2">
      <c r="A153" s="11">
        <f t="shared" ca="1" si="11"/>
        <v>34</v>
      </c>
      <c r="C153" s="11" t="s">
        <v>180</v>
      </c>
      <c r="D153" s="11" t="str">
        <f>VLOOKUP(VALUE(MID($C153,13,2)), codigos!$A$2:$B$60, 2, 1) &amp; " " &amp; VLOOKUP(VALUE(MID($C153,15,4)), codigos!$E$2:$F$102, 2, FALSE)</f>
        <v>POCILLO 12</v>
      </c>
      <c r="E153" s="11" t="str">
        <f>VLOOKUP(VALUE(MID($C153,19,2)),codigos!$H$2:$I$62,2,1) &amp; " " &amp; VLOOKUP(VALUE(MID($C153,21,2)),codigos!$K$2:$L$12,2,FALSE)</f>
        <v>A/T S/I</v>
      </c>
      <c r="F153" s="11" t="s">
        <v>439</v>
      </c>
      <c r="G153" s="11" t="s">
        <v>34</v>
      </c>
      <c r="H153" s="52" t="s">
        <v>1444</v>
      </c>
      <c r="I153" s="20" t="s">
        <v>1421</v>
      </c>
      <c r="J153" s="11">
        <v>96</v>
      </c>
      <c r="K153" s="11">
        <f>30</f>
        <v>30</v>
      </c>
      <c r="L153" s="11">
        <f t="shared" si="12"/>
        <v>66</v>
      </c>
      <c r="M153" s="131"/>
      <c r="O153" s="93">
        <v>46127</v>
      </c>
    </row>
    <row r="154" spans="1:15" x14ac:dyDescent="0.2">
      <c r="A154" s="11">
        <f t="shared" ca="1" si="11"/>
        <v>34</v>
      </c>
      <c r="C154" s="11" t="s">
        <v>182</v>
      </c>
      <c r="D154" s="11" t="str">
        <f>VLOOKUP(VALUE(MID($C154,13,2)), codigos!$A$2:$B$60, 2, 1) &amp; " " &amp; VLOOKUP(VALUE(MID($C154,15,4)), codigos!$E$2:$F$102, 2, FALSE)</f>
        <v>POCILLO 14</v>
      </c>
      <c r="E154" s="11" t="str">
        <f>VLOOKUP(VALUE(MID($C154,19,2)),codigos!$H$2:$I$62,2,1) &amp; " " &amp; VLOOKUP(VALUE(MID($C154,21,2)),codigos!$K$2:$L$12,2,FALSE)</f>
        <v>A/T S/I</v>
      </c>
      <c r="F154" s="11" t="s">
        <v>439</v>
      </c>
      <c r="G154" s="11" t="s">
        <v>34</v>
      </c>
      <c r="H154" s="52" t="s">
        <v>1444</v>
      </c>
      <c r="I154" s="20" t="s">
        <v>1421</v>
      </c>
      <c r="J154" s="11">
        <v>120</v>
      </c>
      <c r="K154" s="11">
        <f>120</f>
        <v>120</v>
      </c>
      <c r="L154" s="11">
        <f t="shared" si="12"/>
        <v>0</v>
      </c>
      <c r="M154" s="131"/>
      <c r="O154" s="93">
        <v>46127</v>
      </c>
    </row>
    <row r="155" spans="1:15" x14ac:dyDescent="0.2">
      <c r="A155" s="11">
        <f t="shared" ca="1" si="11"/>
        <v>34</v>
      </c>
      <c r="C155" s="11" t="s">
        <v>125</v>
      </c>
      <c r="D155" s="11" t="str">
        <f>VLOOKUP(VALUE(MID($C155,13,2)), codigos!$A$2:$B$60, 2, 1) &amp; " " &amp; VLOOKUP(VALUE(MID($C155,15,4)), codigos!$E$2:$F$102, 2, FALSE)</f>
        <v>POCILLO 14</v>
      </c>
      <c r="E155" s="11" t="str">
        <f>VLOOKUP(VALUE(MID($C155,19,2)),codigos!$H$2:$I$62,2,1) &amp; " " &amp; VLOOKUP(VALUE(MID($C155,21,2)),codigos!$K$2:$L$12,2,FALSE)</f>
        <v>BICOLOR AZUL S/I</v>
      </c>
      <c r="F155" s="11" t="s">
        <v>439</v>
      </c>
      <c r="G155" s="11" t="s">
        <v>34</v>
      </c>
      <c r="H155" s="52" t="s">
        <v>1444</v>
      </c>
      <c r="I155" s="20" t="s">
        <v>1421</v>
      </c>
      <c r="J155" s="11">
        <v>60</v>
      </c>
      <c r="K155" s="11">
        <f>4+4+6+28-18+36</f>
        <v>60</v>
      </c>
      <c r="L155" s="11">
        <f t="shared" si="12"/>
        <v>0</v>
      </c>
      <c r="M155" s="131"/>
      <c r="O155" s="93">
        <v>46127</v>
      </c>
    </row>
    <row r="156" spans="1:15" x14ac:dyDescent="0.2">
      <c r="A156" s="11">
        <f t="shared" ca="1" si="11"/>
        <v>34</v>
      </c>
      <c r="C156" s="11" t="s">
        <v>129</v>
      </c>
      <c r="D156" s="11" t="str">
        <f>VLOOKUP(VALUE(MID($C156,13,2)), codigos!$A$2:$B$60, 2, 1) &amp; " " &amp; VLOOKUP(VALUE(MID($C156,15,4)), codigos!$E$2:$F$102, 2, FALSE)</f>
        <v>POCILLO 14</v>
      </c>
      <c r="E156" s="11" t="str">
        <f>VLOOKUP(VALUE(MID($C156,19,2)),codigos!$H$2:$I$62,2,1) &amp; " " &amp; VLOOKUP(VALUE(MID($C156,21,2)),codigos!$K$2:$L$12,2,FALSE)</f>
        <v>BICOLOR NARANJA S/I</v>
      </c>
      <c r="F156" s="11" t="s">
        <v>439</v>
      </c>
      <c r="G156" s="11" t="s">
        <v>34</v>
      </c>
      <c r="H156" s="52" t="s">
        <v>1444</v>
      </c>
      <c r="I156" s="20" t="s">
        <v>1421</v>
      </c>
      <c r="J156" s="11">
        <v>60</v>
      </c>
      <c r="K156" s="11">
        <f>22+6+30+5</f>
        <v>63</v>
      </c>
      <c r="L156" s="11">
        <f t="shared" si="12"/>
        <v>-3</v>
      </c>
      <c r="M156" s="131"/>
      <c r="O156" s="93">
        <v>46127</v>
      </c>
    </row>
    <row r="157" spans="1:15" x14ac:dyDescent="0.2">
      <c r="A157" s="11">
        <f t="shared" ca="1" si="11"/>
        <v>34</v>
      </c>
      <c r="C157" s="11" t="s">
        <v>130</v>
      </c>
      <c r="D157" s="11" t="str">
        <f>VLOOKUP(VALUE(MID($C157,13,2)), codigos!$A$2:$B$60, 2, 1) &amp; " " &amp; VLOOKUP(VALUE(MID($C157,15,4)), codigos!$E$2:$F$102, 2, FALSE)</f>
        <v>POCILLO 14</v>
      </c>
      <c r="E157" s="11" t="str">
        <f>VLOOKUP(VALUE(MID($C157,19,2)),codigos!$H$2:$I$62,2,1) &amp; " " &amp; VLOOKUP(VALUE(MID($C157,21,2)),codigos!$K$2:$L$12,2,FALSE)</f>
        <v>BICOLOR ROJO S/I</v>
      </c>
      <c r="F157" s="11" t="s">
        <v>439</v>
      </c>
      <c r="G157" s="11" t="s">
        <v>34</v>
      </c>
      <c r="H157" s="52" t="s">
        <v>1444</v>
      </c>
      <c r="I157" s="20" t="s">
        <v>1421</v>
      </c>
      <c r="J157" s="11">
        <v>60</v>
      </c>
      <c r="K157" s="11">
        <v>60</v>
      </c>
      <c r="L157" s="11">
        <f t="shared" si="12"/>
        <v>0</v>
      </c>
      <c r="M157" s="131"/>
      <c r="O157" s="93">
        <v>46127</v>
      </c>
    </row>
    <row r="158" spans="1:15" x14ac:dyDescent="0.2">
      <c r="A158" s="11">
        <f t="shared" ca="1" si="11"/>
        <v>34</v>
      </c>
      <c r="C158" s="11" t="s">
        <v>44</v>
      </c>
      <c r="D158" s="11" t="str">
        <f>VLOOKUP(VALUE(MID($C158,13,2)), codigos!$A$2:$B$60, 2, 1) &amp; " " &amp; VLOOKUP(VALUE(MID($C158,15,4)), codigos!$E$2:$F$102, 2, FALSE)</f>
        <v>SARTEN 24</v>
      </c>
      <c r="E158" s="11" t="str">
        <f>VLOOKUP(VALUE(MID($C158,19,2)),codigos!$H$2:$I$62,2,1) &amp; " " &amp; VLOOKUP(VALUE(MID($C158,21,2)),codigos!$K$2:$L$12,2,FALSE)</f>
        <v>A/T S/I</v>
      </c>
      <c r="F158" s="11" t="s">
        <v>439</v>
      </c>
      <c r="G158" s="11" t="s">
        <v>34</v>
      </c>
      <c r="H158" s="52" t="s">
        <v>1444</v>
      </c>
      <c r="I158" s="20" t="s">
        <v>1421</v>
      </c>
      <c r="J158" s="11">
        <v>24</v>
      </c>
      <c r="K158" s="11">
        <f>24</f>
        <v>24</v>
      </c>
      <c r="L158" s="11">
        <f t="shared" si="12"/>
        <v>0</v>
      </c>
      <c r="M158" s="131"/>
      <c r="O158" s="93">
        <v>46127</v>
      </c>
    </row>
    <row r="159" spans="1:15" x14ac:dyDescent="0.2">
      <c r="A159" s="11">
        <f t="shared" ca="1" si="11"/>
        <v>34</v>
      </c>
      <c r="C159" s="11" t="s">
        <v>80</v>
      </c>
      <c r="D159" s="11" t="str">
        <f>VLOOKUP(VALUE(MID($C159,13,2)), codigos!$A$2:$B$60, 2, 1) &amp; " " &amp; VLOOKUP(VALUE(MID($C159,15,4)), codigos!$E$2:$F$102, 2, FALSE)</f>
        <v>TAZON 15.5</v>
      </c>
      <c r="E159" s="11" t="str">
        <f>VLOOKUP(VALUE(MID($C159,19,2)),codigos!$H$2:$I$62,2,1) &amp; " " &amp; VLOOKUP(VALUE(MID($C159,21,2)),codigos!$K$2:$L$12,2,FALSE)</f>
        <v>A/T S/I</v>
      </c>
      <c r="F159" s="11" t="s">
        <v>439</v>
      </c>
      <c r="G159" s="11" t="s">
        <v>34</v>
      </c>
      <c r="H159" s="52" t="s">
        <v>1444</v>
      </c>
      <c r="I159" s="20" t="s">
        <v>1421</v>
      </c>
      <c r="J159" s="11">
        <v>408</v>
      </c>
      <c r="K159" s="11">
        <v>408</v>
      </c>
      <c r="L159" s="11">
        <f t="shared" si="12"/>
        <v>0</v>
      </c>
      <c r="M159" s="131"/>
      <c r="O159" s="93">
        <v>46127</v>
      </c>
    </row>
    <row r="160" spans="1:15" x14ac:dyDescent="0.2">
      <c r="A160" s="11">
        <f t="shared" ca="1" si="11"/>
        <v>34</v>
      </c>
      <c r="C160" s="11" t="s">
        <v>83</v>
      </c>
      <c r="D160" s="11" t="str">
        <f>VLOOKUP(VALUE(MID($C160,13,2)), codigos!$A$2:$B$60, 2, 1) &amp; " " &amp; VLOOKUP(VALUE(MID($C160,15,4)), codigos!$E$2:$F$102, 2, FALSE)</f>
        <v>TAZON 15.5</v>
      </c>
      <c r="E160" s="11" t="str">
        <f>VLOOKUP(VALUE(MID($C160,19,2)),codigos!$H$2:$I$62,2,1) &amp; " " &amp; VLOOKUP(VALUE(MID($C160,21,2)),codigos!$K$2:$L$12,2,FALSE)</f>
        <v>BLANCO  NEGRO</v>
      </c>
      <c r="F160" s="11" t="s">
        <v>439</v>
      </c>
      <c r="G160" s="11" t="s">
        <v>34</v>
      </c>
      <c r="H160" s="52" t="s">
        <v>1444</v>
      </c>
      <c r="I160" s="20" t="s">
        <v>1421</v>
      </c>
      <c r="J160" s="11">
        <v>408</v>
      </c>
      <c r="K160" s="11">
        <v>0</v>
      </c>
      <c r="L160" s="11">
        <f t="shared" si="12"/>
        <v>408</v>
      </c>
      <c r="M160" s="131"/>
      <c r="O160" s="93">
        <v>46127</v>
      </c>
    </row>
    <row r="161" spans="1:15" x14ac:dyDescent="0.2">
      <c r="A161" s="11">
        <f t="shared" ca="1" si="11"/>
        <v>34</v>
      </c>
      <c r="C161" s="11" t="s">
        <v>85</v>
      </c>
      <c r="D161" s="11" t="str">
        <f>VLOOKUP(VALUE(MID($C161,13,2)), codigos!$A$2:$B$60, 2, 1) &amp; " " &amp; VLOOKUP(VALUE(MID($C161,15,4)), codigos!$E$2:$F$102, 2, FALSE)</f>
        <v>TAZON 20</v>
      </c>
      <c r="E161" s="11" t="str">
        <f>VLOOKUP(VALUE(MID($C161,19,2)),codigos!$H$2:$I$62,2,1) &amp; " " &amp; VLOOKUP(VALUE(MID($C161,21,2)),codigos!$K$2:$L$12,2,FALSE)</f>
        <v>A/T S/I</v>
      </c>
      <c r="F161" s="11" t="s">
        <v>439</v>
      </c>
      <c r="G161" s="11" t="s">
        <v>34</v>
      </c>
      <c r="H161" s="52" t="s">
        <v>1444</v>
      </c>
      <c r="I161" s="20" t="s">
        <v>1421</v>
      </c>
      <c r="J161" s="11">
        <v>288</v>
      </c>
      <c r="K161" s="11">
        <f>6</f>
        <v>6</v>
      </c>
      <c r="L161" s="11">
        <f t="shared" si="12"/>
        <v>282</v>
      </c>
      <c r="M161" s="131"/>
      <c r="O161" s="93">
        <v>46127</v>
      </c>
    </row>
    <row r="162" spans="1:15" x14ac:dyDescent="0.2">
      <c r="A162" s="11">
        <f t="shared" ca="1" si="11"/>
        <v>34</v>
      </c>
      <c r="C162" s="11" t="s">
        <v>390</v>
      </c>
      <c r="D162" s="11" t="str">
        <f>VLOOKUP(VALUE(MID($C162,13,2)), codigos!$A$2:$B$60, 2, 1) &amp; " " &amp; VLOOKUP(VALUE(MID($C162,15,4)), codigos!$E$2:$F$102, 2, FALSE)</f>
        <v>TAZON 20</v>
      </c>
      <c r="E162" s="11" t="str">
        <f>VLOOKUP(VALUE(MID($C162,19,2)),codigos!$H$2:$I$62,2,1) &amp; " " &amp; VLOOKUP(VALUE(MID($C162,21,2)),codigos!$K$2:$L$12,2,FALSE)</f>
        <v>BLANCO  NEGRO</v>
      </c>
      <c r="F162" s="11" t="s">
        <v>439</v>
      </c>
      <c r="G162" s="11" t="s">
        <v>34</v>
      </c>
      <c r="H162" s="52" t="s">
        <v>1444</v>
      </c>
      <c r="I162" s="20" t="s">
        <v>1421</v>
      </c>
      <c r="J162" s="11">
        <v>288</v>
      </c>
      <c r="K162" s="11">
        <f>150+138</f>
        <v>288</v>
      </c>
      <c r="L162" s="11">
        <f t="shared" si="12"/>
        <v>0</v>
      </c>
      <c r="M162" s="131"/>
      <c r="O162" s="93">
        <v>46127</v>
      </c>
    </row>
    <row r="163" spans="1:15" x14ac:dyDescent="0.2">
      <c r="A163" s="11">
        <f t="shared" ca="1" si="11"/>
        <v>34</v>
      </c>
      <c r="C163" s="11" t="s">
        <v>1588</v>
      </c>
      <c r="D163" s="11" t="str">
        <f>VLOOKUP(VALUE(MID($C163,13,2)), codigos!$A$2:$B$60, 2, 1) &amp; " " &amp; VLOOKUP(VALUE(MID($C163,15,4)), codigos!$E$2:$F$102, 2, FALSE)</f>
        <v>POCILLO 14</v>
      </c>
      <c r="E163" s="11" t="str">
        <f>VLOOKUP(VALUE(MID($C163,19,2)),codigos!$H$2:$I$62,2,1) &amp; " " &amp; VLOOKUP(VALUE(MID($C163,21,2)),codigos!$K$2:$L$12,2,FALSE)</f>
        <v>S/I S/I</v>
      </c>
      <c r="F163" s="11" t="s">
        <v>439</v>
      </c>
      <c r="G163" s="11" t="s">
        <v>34</v>
      </c>
      <c r="H163" s="52" t="s">
        <v>1444</v>
      </c>
      <c r="I163" s="20" t="s">
        <v>1421</v>
      </c>
      <c r="J163" s="11">
        <v>60</v>
      </c>
      <c r="K163" s="11">
        <f>60</f>
        <v>60</v>
      </c>
      <c r="L163" s="11">
        <f t="shared" si="12"/>
        <v>0</v>
      </c>
      <c r="M163" s="131"/>
      <c r="O163" s="93">
        <v>46127</v>
      </c>
    </row>
    <row r="164" spans="1:15" x14ac:dyDescent="0.2">
      <c r="A164" s="11">
        <f t="shared" ca="1" si="11"/>
        <v>31</v>
      </c>
      <c r="C164" s="11" t="s">
        <v>149</v>
      </c>
      <c r="D164" s="11" t="str">
        <f>VLOOKUP(VALUE(MID($C164,13,2)), codigos!$A$2:$B$60, 2, 1) &amp; " " &amp; VLOOKUP(VALUE(MID($C164,15,4)), codigos!$E$2:$F$102, 2, FALSE)</f>
        <v>COMAL 28</v>
      </c>
      <c r="E164" s="11" t="str">
        <f>VLOOKUP(VALUE(MID($C164,19,2)),codigos!$H$2:$I$62,2,1) &amp; " " &amp; VLOOKUP(VALUE(MID($C164,21,2)),codigos!$K$2:$L$12,2,FALSE)</f>
        <v>NEGRO MOTAS S/I</v>
      </c>
      <c r="F164" s="11" t="s">
        <v>1247</v>
      </c>
      <c r="G164" s="11" t="s">
        <v>145</v>
      </c>
      <c r="H164" s="52" t="s">
        <v>442</v>
      </c>
      <c r="I164" s="20" t="s">
        <v>1445</v>
      </c>
      <c r="J164" s="11">
        <v>480</v>
      </c>
      <c r="K164" s="11">
        <f>142+108+8+84+138</f>
        <v>480</v>
      </c>
      <c r="L164" s="11">
        <f t="shared" si="12"/>
        <v>0</v>
      </c>
      <c r="M164" s="98">
        <f>(SUM(K164:K164))/(SUM(J164:J164))</f>
        <v>1</v>
      </c>
    </row>
    <row r="165" spans="1:15" x14ac:dyDescent="0.2">
      <c r="A165" s="11">
        <f t="shared" ca="1" si="11"/>
        <v>31</v>
      </c>
      <c r="C165" s="11" t="s">
        <v>211</v>
      </c>
      <c r="D165" s="11" t="str">
        <f>VLOOKUP(VALUE(MID($C165,13,2)), codigos!$A$2:$B$60, 2, 1) &amp; " " &amp; VLOOKUP(VALUE(MID($C165,15,4)), codigos!$E$2:$F$102, 2, FALSE)</f>
        <v>BAÑO 10</v>
      </c>
      <c r="E165" s="11" t="str">
        <f>VLOOKUP(VALUE(MID($C165,19,2)),codigos!$H$2:$I$62,2,1) &amp; " " &amp; VLOOKUP(VALUE(MID($C165,21,2)),codigos!$K$2:$L$12,2,FALSE)</f>
        <v>GALVANIZADO S/I</v>
      </c>
      <c r="F165" s="11" t="s">
        <v>1489</v>
      </c>
      <c r="G165" s="11" t="s">
        <v>145</v>
      </c>
      <c r="H165" s="52" t="s">
        <v>1488</v>
      </c>
      <c r="I165" s="20" t="s">
        <v>1445</v>
      </c>
      <c r="J165" s="11">
        <v>10</v>
      </c>
      <c r="K165" s="11">
        <f>4+6</f>
        <v>10</v>
      </c>
      <c r="L165" s="11">
        <f>J165-K165</f>
        <v>0</v>
      </c>
      <c r="M165" s="131">
        <f>(SUM(K165:K166))/(SUM(J165:J166))</f>
        <v>0.25</v>
      </c>
    </row>
    <row r="166" spans="1:15" x14ac:dyDescent="0.2">
      <c r="A166" s="11">
        <f t="shared" ca="1" si="11"/>
        <v>31</v>
      </c>
      <c r="C166" s="11" t="s">
        <v>212</v>
      </c>
      <c r="D166" s="11" t="str">
        <f>VLOOKUP(VALUE(MID($C166,13,2)), codigos!$A$2:$B$60, 2, 1) &amp; " " &amp; VLOOKUP(VALUE(MID($C166,15,4)), codigos!$E$2:$F$102, 2, FALSE)</f>
        <v>BAÑO 12</v>
      </c>
      <c r="E166" s="11" t="str">
        <f>VLOOKUP(VALUE(MID($C166,19,2)),codigos!$H$2:$I$62,2,1) &amp; " " &amp; VLOOKUP(VALUE(MID($C166,21,2)),codigos!$K$2:$L$12,2,FALSE)</f>
        <v>GALVANIZADO S/I</v>
      </c>
      <c r="F166" s="11" t="s">
        <v>1489</v>
      </c>
      <c r="G166" s="11" t="s">
        <v>145</v>
      </c>
      <c r="H166" s="52" t="s">
        <v>1488</v>
      </c>
      <c r="I166" s="20" t="s">
        <v>1445</v>
      </c>
      <c r="J166" s="11">
        <v>30</v>
      </c>
      <c r="K166" s="11">
        <v>0</v>
      </c>
      <c r="L166" s="11">
        <f>J166-K166</f>
        <v>30</v>
      </c>
      <c r="M166" s="131"/>
    </row>
    <row r="167" spans="1:15" x14ac:dyDescent="0.2">
      <c r="A167" s="11">
        <f t="shared" ca="1" si="11"/>
        <v>31</v>
      </c>
      <c r="C167" s="11" t="s">
        <v>148</v>
      </c>
      <c r="D167" s="11" t="str">
        <f>VLOOKUP(VALUE(MID($C167,13,2)), codigos!$A$2:$B$60, 2, 1) &amp; " " &amp; VLOOKUP(VALUE(MID($C167,15,4)), codigos!$E$2:$F$102, 2, FALSE)</f>
        <v>BUDINERA 26</v>
      </c>
      <c r="E167" s="11" t="str">
        <f>VLOOKUP(VALUE(MID($C167,19,2)),codigos!$H$2:$I$62,2,1) &amp; " " &amp; VLOOKUP(VALUE(MID($C167,21,2)),codigos!$K$2:$L$12,2,FALSE)</f>
        <v>A/T S/I</v>
      </c>
      <c r="F167" s="11" t="s">
        <v>1211</v>
      </c>
      <c r="G167" s="11" t="s">
        <v>11</v>
      </c>
      <c r="H167" s="52" t="s">
        <v>1501</v>
      </c>
      <c r="I167" s="20" t="s">
        <v>1445</v>
      </c>
      <c r="J167" s="11">
        <v>24</v>
      </c>
      <c r="K167" s="11">
        <f>24</f>
        <v>24</v>
      </c>
      <c r="L167" s="11">
        <f t="shared" ref="L167:L179" si="13">J167-K167</f>
        <v>0</v>
      </c>
      <c r="M167" s="131">
        <f>(SUM(K167:K180))/(SUM(J167:J180))</f>
        <v>0.98433420365535251</v>
      </c>
      <c r="O167" s="93">
        <v>46127</v>
      </c>
    </row>
    <row r="168" spans="1:15" x14ac:dyDescent="0.2">
      <c r="A168" s="11">
        <f t="shared" ca="1" si="11"/>
        <v>31</v>
      </c>
      <c r="C168" s="11" t="s">
        <v>169</v>
      </c>
      <c r="D168" s="11" t="str">
        <f>VLOOKUP(VALUE(MID($C168,13,2)), codigos!$A$2:$B$60, 2, 1) &amp; " " &amp; VLOOKUP(VALUE(MID($C168,15,4)), codigos!$E$2:$F$102, 2, FALSE)</f>
        <v>BUDINERA 30</v>
      </c>
      <c r="E168" s="11" t="str">
        <f>VLOOKUP(VALUE(MID($C168,19,2)),codigos!$H$2:$I$62,2,1) &amp; " " &amp; VLOOKUP(VALUE(MID($C168,21,2)),codigos!$K$2:$L$12,2,FALSE)</f>
        <v>A/T S/I</v>
      </c>
      <c r="F168" s="11" t="s">
        <v>1211</v>
      </c>
      <c r="G168" s="11" t="s">
        <v>11</v>
      </c>
      <c r="H168" s="52" t="s">
        <v>1501</v>
      </c>
      <c r="I168" s="20" t="s">
        <v>1445</v>
      </c>
      <c r="J168" s="11">
        <v>20</v>
      </c>
      <c r="K168" s="11">
        <f>20</f>
        <v>20</v>
      </c>
      <c r="L168" s="11">
        <f t="shared" si="13"/>
        <v>0</v>
      </c>
      <c r="M168" s="131"/>
      <c r="O168" s="93">
        <v>46127</v>
      </c>
    </row>
    <row r="169" spans="1:15" x14ac:dyDescent="0.2">
      <c r="A169" s="11">
        <f t="shared" ca="1" si="11"/>
        <v>31</v>
      </c>
      <c r="C169" s="11" t="s">
        <v>394</v>
      </c>
      <c r="D169" s="11" t="str">
        <f>VLOOKUP(VALUE(MID($C169,13,2)), codigos!$A$2:$B$60, 2, 1) &amp; " " &amp; VLOOKUP(VALUE(MID($C169,15,4)), codigos!$E$2:$F$102, 2, FALSE)</f>
        <v>JUEGO 5+5</v>
      </c>
      <c r="E169" s="11" t="str">
        <f>VLOOKUP(VALUE(MID($C169,19,2)),codigos!$H$2:$I$62,2,1) &amp; " " &amp; VLOOKUP(VALUE(MID($C169,21,2)),codigos!$K$2:$L$12,2,FALSE)</f>
        <v>S/I S/I</v>
      </c>
      <c r="F169" s="11" t="s">
        <v>1211</v>
      </c>
      <c r="G169" s="11" t="s">
        <v>11</v>
      </c>
      <c r="H169" s="52" t="s">
        <v>1501</v>
      </c>
      <c r="I169" s="20" t="s">
        <v>1445</v>
      </c>
      <c r="J169" s="11">
        <v>15</v>
      </c>
      <c r="K169" s="11">
        <f>15</f>
        <v>15</v>
      </c>
      <c r="L169" s="11">
        <f t="shared" si="13"/>
        <v>0</v>
      </c>
      <c r="M169" s="131"/>
      <c r="O169" s="93">
        <v>46127</v>
      </c>
    </row>
    <row r="170" spans="1:15" x14ac:dyDescent="0.2">
      <c r="A170" s="11">
        <f t="shared" ca="1" si="11"/>
        <v>31</v>
      </c>
      <c r="C170" s="11" t="s">
        <v>66</v>
      </c>
      <c r="D170" s="11" t="str">
        <f>VLOOKUP(VALUE(MID($C170,13,2)), codigos!$A$2:$B$60, 2, 1) &amp; " " &amp; VLOOKUP(VALUE(MID($C170,15,4)), codigos!$E$2:$F$102, 2, FALSE)</f>
        <v>PLATO AVENERO 20</v>
      </c>
      <c r="E170" s="11" t="str">
        <f>VLOOKUP(VALUE(MID($C170,19,2)),codigos!$H$2:$I$62,2,1) &amp; " " &amp; VLOOKUP(VALUE(MID($C170,21,2)),codigos!$K$2:$L$12,2,FALSE)</f>
        <v>A/T S/I</v>
      </c>
      <c r="F170" s="11" t="s">
        <v>1211</v>
      </c>
      <c r="G170" s="11" t="s">
        <v>11</v>
      </c>
      <c r="H170" s="52" t="s">
        <v>1501</v>
      </c>
      <c r="I170" s="20" t="s">
        <v>1445</v>
      </c>
      <c r="J170" s="11">
        <v>72</v>
      </c>
      <c r="K170" s="11">
        <v>72</v>
      </c>
      <c r="L170" s="11">
        <f t="shared" si="13"/>
        <v>0</v>
      </c>
      <c r="M170" s="131"/>
      <c r="O170" s="93">
        <v>46127</v>
      </c>
    </row>
    <row r="171" spans="1:15" x14ac:dyDescent="0.2">
      <c r="A171" s="11">
        <f t="shared" ca="1" si="11"/>
        <v>31</v>
      </c>
      <c r="C171" s="11" t="s">
        <v>225</v>
      </c>
      <c r="D171" s="11" t="str">
        <f>VLOOKUP(VALUE(MID($C171,13,2)), codigos!$A$2:$B$60, 2, 1) &amp; " " &amp; VLOOKUP(VALUE(MID($C171,15,4)), codigos!$E$2:$F$102, 2, FALSE)</f>
        <v>POCILLO 8</v>
      </c>
      <c r="E171" s="11" t="str">
        <f>VLOOKUP(VALUE(MID($C171,19,2)),codigos!$H$2:$I$62,2,1) &amp; " " &amp; VLOOKUP(VALUE(MID($C171,21,2)),codigos!$K$2:$L$12,2,FALSE)</f>
        <v>A/T S/I</v>
      </c>
      <c r="F171" s="11" t="s">
        <v>1211</v>
      </c>
      <c r="G171" s="11" t="s">
        <v>11</v>
      </c>
      <c r="H171" s="52" t="s">
        <v>1501</v>
      </c>
      <c r="I171" s="20" t="s">
        <v>1445</v>
      </c>
      <c r="J171" s="11">
        <v>72</v>
      </c>
      <c r="K171" s="11">
        <f>18+54</f>
        <v>72</v>
      </c>
      <c r="L171" s="11">
        <f t="shared" si="13"/>
        <v>0</v>
      </c>
      <c r="M171" s="131"/>
      <c r="O171" s="93">
        <v>46127</v>
      </c>
    </row>
    <row r="172" spans="1:15" x14ac:dyDescent="0.2">
      <c r="A172" s="11">
        <f t="shared" ca="1" si="11"/>
        <v>31</v>
      </c>
      <c r="C172" s="11" t="s">
        <v>262</v>
      </c>
      <c r="D172" s="11" t="str">
        <f>VLOOKUP(VALUE(MID($C172,13,2)), codigos!$A$2:$B$60, 2, 1) &amp; " " &amp; VLOOKUP(VALUE(MID($C172,15,4)), codigos!$E$2:$F$102, 2, FALSE)</f>
        <v>SARTEN 20</v>
      </c>
      <c r="E172" s="11" t="str">
        <f>VLOOKUP(VALUE(MID($C172,19,2)),codigos!$H$2:$I$62,2,1) &amp; " " &amp; VLOOKUP(VALUE(MID($C172,21,2)),codigos!$K$2:$L$12,2,FALSE)</f>
        <v>A/T S/I</v>
      </c>
      <c r="F172" s="11" t="s">
        <v>1211</v>
      </c>
      <c r="G172" s="11" t="s">
        <v>11</v>
      </c>
      <c r="H172" s="52" t="s">
        <v>1501</v>
      </c>
      <c r="I172" s="20" t="s">
        <v>1445</v>
      </c>
      <c r="J172" s="11">
        <v>24</v>
      </c>
      <c r="K172" s="11">
        <v>24</v>
      </c>
      <c r="L172" s="11">
        <f t="shared" si="13"/>
        <v>0</v>
      </c>
      <c r="M172" s="131"/>
      <c r="O172" s="93">
        <v>46127</v>
      </c>
    </row>
    <row r="173" spans="1:15" x14ac:dyDescent="0.2">
      <c r="A173" s="11">
        <f t="shared" ref="A173:A202" ca="1" si="14">DAYS360(I173,$B$1)</f>
        <v>31</v>
      </c>
      <c r="C173" s="11" t="s">
        <v>227</v>
      </c>
      <c r="D173" s="11" t="str">
        <f>VLOOKUP(VALUE(MID($C173,13,2)), codigos!$A$2:$B$60, 2, 1) &amp; " " &amp; VLOOKUP(VALUE(MID($C173,15,4)), codigos!$E$2:$F$102, 2, FALSE)</f>
        <v>SARTEN 22</v>
      </c>
      <c r="E173" s="11" t="str">
        <f>VLOOKUP(VALUE(MID($C173,19,2)),codigos!$H$2:$I$62,2,1) &amp; " " &amp; VLOOKUP(VALUE(MID($C173,21,2)),codigos!$K$2:$L$12,2,FALSE)</f>
        <v>A/T S/I</v>
      </c>
      <c r="F173" s="11" t="s">
        <v>1211</v>
      </c>
      <c r="G173" s="11" t="s">
        <v>11</v>
      </c>
      <c r="H173" s="52" t="s">
        <v>1501</v>
      </c>
      <c r="I173" s="20" t="s">
        <v>1445</v>
      </c>
      <c r="J173" s="11">
        <v>24</v>
      </c>
      <c r="K173" s="11">
        <f>5+7+10+2</f>
        <v>24</v>
      </c>
      <c r="L173" s="11">
        <f t="shared" si="13"/>
        <v>0</v>
      </c>
      <c r="M173" s="131"/>
      <c r="O173" s="93">
        <v>46127</v>
      </c>
    </row>
    <row r="174" spans="1:15" x14ac:dyDescent="0.2">
      <c r="A174" s="11">
        <f t="shared" ca="1" si="14"/>
        <v>31</v>
      </c>
      <c r="C174" s="11" t="s">
        <v>44</v>
      </c>
      <c r="D174" s="11" t="str">
        <f>VLOOKUP(VALUE(MID($C174,13,2)), codigos!$A$2:$B$60, 2, 1) &amp; " " &amp; VLOOKUP(VALUE(MID($C174,15,4)), codigos!$E$2:$F$102, 2, FALSE)</f>
        <v>SARTEN 24</v>
      </c>
      <c r="E174" s="11" t="str">
        <f>VLOOKUP(VALUE(MID($C174,19,2)),codigos!$H$2:$I$62,2,1) &amp; " " &amp; VLOOKUP(VALUE(MID($C174,21,2)),codigos!$K$2:$L$12,2,FALSE)</f>
        <v>A/T S/I</v>
      </c>
      <c r="F174" s="11" t="s">
        <v>1211</v>
      </c>
      <c r="G174" s="11" t="s">
        <v>11</v>
      </c>
      <c r="H174" s="52" t="s">
        <v>1501</v>
      </c>
      <c r="I174" s="20" t="s">
        <v>1445</v>
      </c>
      <c r="J174" s="11">
        <v>24</v>
      </c>
      <c r="K174" s="11">
        <f>12+10+2</f>
        <v>24</v>
      </c>
      <c r="L174" s="11">
        <f t="shared" si="13"/>
        <v>0</v>
      </c>
      <c r="M174" s="131"/>
      <c r="O174" s="93">
        <v>46127</v>
      </c>
    </row>
    <row r="175" spans="1:15" x14ac:dyDescent="0.2">
      <c r="A175" s="11">
        <f t="shared" ca="1" si="14"/>
        <v>31</v>
      </c>
      <c r="C175" s="11" t="s">
        <v>239</v>
      </c>
      <c r="D175" s="11" t="str">
        <f>VLOOKUP(VALUE(MID($C175,13,2)), codigos!$A$2:$B$60, 2, 1) &amp; " " &amp; VLOOKUP(VALUE(MID($C175,15,4)), codigos!$E$2:$F$102, 2, FALSE)</f>
        <v>SARTEN 26</v>
      </c>
      <c r="E175" s="11" t="str">
        <f>VLOOKUP(VALUE(MID($C175,19,2)),codigos!$H$2:$I$62,2,1) &amp; " " &amp; VLOOKUP(VALUE(MID($C175,21,2)),codigos!$K$2:$L$12,2,FALSE)</f>
        <v>A/T S/I</v>
      </c>
      <c r="F175" s="11" t="s">
        <v>1211</v>
      </c>
      <c r="G175" s="11" t="s">
        <v>11</v>
      </c>
      <c r="H175" s="52" t="s">
        <v>1501</v>
      </c>
      <c r="I175" s="20" t="s">
        <v>1445</v>
      </c>
      <c r="J175" s="11">
        <v>24</v>
      </c>
      <c r="K175" s="11">
        <v>24</v>
      </c>
      <c r="L175" s="11">
        <f t="shared" si="13"/>
        <v>0</v>
      </c>
      <c r="M175" s="131"/>
      <c r="O175" s="93">
        <v>46127</v>
      </c>
    </row>
    <row r="176" spans="1:15" x14ac:dyDescent="0.2">
      <c r="A176" s="11">
        <f t="shared" ca="1" si="14"/>
        <v>31</v>
      </c>
      <c r="C176" s="11" t="s">
        <v>80</v>
      </c>
      <c r="D176" s="11" t="str">
        <f>VLOOKUP(VALUE(MID($C176,13,2)), codigos!$A$2:$B$60, 2, 1) &amp; " " &amp; VLOOKUP(VALUE(MID($C176,15,4)), codigos!$E$2:$F$102, 2, FALSE)</f>
        <v>TAZON 15.5</v>
      </c>
      <c r="E176" s="11" t="str">
        <f>VLOOKUP(VALUE(MID($C176,19,2)),codigos!$H$2:$I$62,2,1) &amp; " " &amp; VLOOKUP(VALUE(MID($C176,21,2)),codigos!$K$2:$L$12,2,FALSE)</f>
        <v>A/T S/I</v>
      </c>
      <c r="F176" s="11" t="s">
        <v>1211</v>
      </c>
      <c r="G176" s="11" t="s">
        <v>11</v>
      </c>
      <c r="H176" s="52" t="s">
        <v>1501</v>
      </c>
      <c r="I176" s="20" t="s">
        <v>1445</v>
      </c>
      <c r="J176" s="11">
        <v>36</v>
      </c>
      <c r="K176" s="11">
        <v>36</v>
      </c>
      <c r="L176" s="11">
        <f t="shared" si="13"/>
        <v>0</v>
      </c>
      <c r="M176" s="131"/>
      <c r="O176" s="93">
        <v>46127</v>
      </c>
    </row>
    <row r="177" spans="1:15" x14ac:dyDescent="0.2">
      <c r="A177" s="11">
        <f t="shared" ca="1" si="14"/>
        <v>31</v>
      </c>
      <c r="C177" s="11" t="s">
        <v>85</v>
      </c>
      <c r="D177" s="11" t="str">
        <f>VLOOKUP(VALUE(MID($C177,13,2)), codigos!$A$2:$B$60, 2, 1) &amp; " " &amp; VLOOKUP(VALUE(MID($C177,15,4)), codigos!$E$2:$F$102, 2, FALSE)</f>
        <v>TAZON 20</v>
      </c>
      <c r="E177" s="11" t="str">
        <f>VLOOKUP(VALUE(MID($C177,19,2)),codigos!$H$2:$I$62,2,1) &amp; " " &amp; VLOOKUP(VALUE(MID($C177,21,2)),codigos!$K$2:$L$12,2,FALSE)</f>
        <v>A/T S/I</v>
      </c>
      <c r="F177" s="11" t="s">
        <v>1211</v>
      </c>
      <c r="G177" s="11" t="s">
        <v>11</v>
      </c>
      <c r="H177" s="52" t="s">
        <v>1501</v>
      </c>
      <c r="I177" s="20" t="s">
        <v>1445</v>
      </c>
      <c r="J177" s="11">
        <v>18</v>
      </c>
      <c r="K177" s="11">
        <f>18</f>
        <v>18</v>
      </c>
      <c r="L177" s="11">
        <f t="shared" si="13"/>
        <v>0</v>
      </c>
      <c r="M177" s="131"/>
      <c r="O177" s="93">
        <v>46127</v>
      </c>
    </row>
    <row r="178" spans="1:15" x14ac:dyDescent="0.2">
      <c r="A178" s="11">
        <f t="shared" ca="1" si="14"/>
        <v>31</v>
      </c>
      <c r="C178" s="11" t="s">
        <v>387</v>
      </c>
      <c r="D178" s="11" t="str">
        <f>VLOOKUP(VALUE(MID($C178,13,2)), codigos!$A$2:$B$60, 2, 1) &amp; " " &amp; VLOOKUP(VALUE(MID($C178,15,4)), codigos!$E$2:$F$102, 2, FALSE)</f>
        <v>TAZON 20</v>
      </c>
      <c r="E178" s="11" t="str">
        <f>VLOOKUP(VALUE(MID($C178,19,2)),codigos!$H$2:$I$62,2,1) &amp; " " &amp; VLOOKUP(VALUE(MID($C178,21,2)),codigos!$K$2:$L$12,2,FALSE)</f>
        <v>BICOLOR AZUL S/I</v>
      </c>
      <c r="F178" s="11" t="s">
        <v>1211</v>
      </c>
      <c r="G178" s="11" t="s">
        <v>11</v>
      </c>
      <c r="H178" s="52" t="s">
        <v>1501</v>
      </c>
      <c r="I178" s="20" t="s">
        <v>1445</v>
      </c>
      <c r="J178" s="11">
        <v>12</v>
      </c>
      <c r="K178" s="11">
        <v>6</v>
      </c>
      <c r="L178" s="11">
        <f t="shared" si="13"/>
        <v>6</v>
      </c>
      <c r="M178" s="131"/>
      <c r="O178" s="93">
        <v>46127</v>
      </c>
    </row>
    <row r="179" spans="1:15" x14ac:dyDescent="0.2">
      <c r="A179" s="11">
        <f t="shared" ca="1" si="14"/>
        <v>31</v>
      </c>
      <c r="C179" s="11" t="s">
        <v>388</v>
      </c>
      <c r="D179" s="11" t="str">
        <f>VLOOKUP(VALUE(MID($C179,13,2)), codigos!$A$2:$B$60, 2, 1) &amp; " " &amp; VLOOKUP(VALUE(MID($C179,15,4)), codigos!$E$2:$F$102, 2, FALSE)</f>
        <v>TAZON 20</v>
      </c>
      <c r="E179" s="11" t="str">
        <f>VLOOKUP(VALUE(MID($C179,19,2)),codigos!$H$2:$I$62,2,1) &amp; " " &amp; VLOOKUP(VALUE(MID($C179,21,2)),codigos!$K$2:$L$12,2,FALSE)</f>
        <v>BICOLOR NARANJA S/I</v>
      </c>
      <c r="F179" s="11" t="s">
        <v>1211</v>
      </c>
      <c r="G179" s="11" t="s">
        <v>11</v>
      </c>
      <c r="H179" s="52" t="s">
        <v>1501</v>
      </c>
      <c r="I179" s="20" t="s">
        <v>1445</v>
      </c>
      <c r="J179" s="11">
        <v>12</v>
      </c>
      <c r="K179" s="11">
        <v>12</v>
      </c>
      <c r="L179" s="11">
        <f t="shared" si="13"/>
        <v>0</v>
      </c>
      <c r="M179" s="131"/>
      <c r="O179" s="93">
        <v>46127</v>
      </c>
    </row>
    <row r="180" spans="1:15" x14ac:dyDescent="0.2">
      <c r="A180" s="11">
        <f t="shared" ca="1" si="14"/>
        <v>31</v>
      </c>
      <c r="C180" s="11" t="s">
        <v>88</v>
      </c>
      <c r="D180" s="11" t="str">
        <f>VLOOKUP(VALUE(MID($C180,13,2)), codigos!$A$2:$B$60, 2, 1) &amp; " " &amp; VLOOKUP(VALUE(MID($C180,15,4)), codigos!$E$2:$F$102, 2, FALSE)</f>
        <v>TAZON 20</v>
      </c>
      <c r="E180" s="11" t="str">
        <f>VLOOKUP(VALUE(MID($C180,19,2)),codigos!$H$2:$I$62,2,1) &amp; " " &amp; VLOOKUP(VALUE(MID($C180,21,2)),codigos!$K$2:$L$12,2,FALSE)</f>
        <v>BLANCO  ROJO</v>
      </c>
      <c r="F180" s="11" t="s">
        <v>1211</v>
      </c>
      <c r="G180" s="11" t="s">
        <v>11</v>
      </c>
      <c r="H180" s="52" t="s">
        <v>1501</v>
      </c>
      <c r="I180" s="20" t="s">
        <v>1445</v>
      </c>
      <c r="J180" s="11">
        <v>6</v>
      </c>
      <c r="K180" s="11">
        <v>6</v>
      </c>
      <c r="L180" s="11">
        <f t="shared" ref="L180:L184" si="15">J180-K180</f>
        <v>0</v>
      </c>
      <c r="M180" s="131"/>
      <c r="O180" s="93">
        <v>46127</v>
      </c>
    </row>
    <row r="181" spans="1:15" x14ac:dyDescent="0.2">
      <c r="A181" s="11">
        <f t="shared" ca="1" si="14"/>
        <v>31</v>
      </c>
      <c r="C181" s="11" t="s">
        <v>210</v>
      </c>
      <c r="D181" s="11" t="str">
        <f>VLOOKUP(VALUE(MID($C181,13,2)), codigos!$A$2:$B$60, 2, 1) &amp; " " &amp; VLOOKUP(VALUE(MID($C181,15,4)), codigos!$E$2:$F$102, 2, FALSE)</f>
        <v>BAÑO 8</v>
      </c>
      <c r="E181" s="11" t="str">
        <f>VLOOKUP(VALUE(MID($C181,19,2)),codigos!$H$2:$I$62,2,1) &amp; " " &amp; VLOOKUP(VALUE(MID($C181,21,2)),codigos!$K$2:$L$12,2,FALSE)</f>
        <v>GALVANIZADO S/I</v>
      </c>
      <c r="F181" s="11" t="s">
        <v>1211</v>
      </c>
      <c r="G181" s="11" t="s">
        <v>11</v>
      </c>
      <c r="H181" s="52" t="s">
        <v>1502</v>
      </c>
      <c r="I181" s="20" t="s">
        <v>1445</v>
      </c>
      <c r="J181" s="11">
        <v>6</v>
      </c>
      <c r="K181" s="11">
        <v>0</v>
      </c>
      <c r="L181" s="11">
        <f t="shared" si="15"/>
        <v>6</v>
      </c>
      <c r="M181" s="131">
        <f>(SUM(K181:K183))/(SUM(J181:J183))</f>
        <v>0.14285714285714285</v>
      </c>
    </row>
    <row r="182" spans="1:15" x14ac:dyDescent="0.2">
      <c r="A182" s="11">
        <f t="shared" ca="1" si="14"/>
        <v>31</v>
      </c>
      <c r="C182" s="11" t="s">
        <v>211</v>
      </c>
      <c r="D182" s="11" t="str">
        <f>VLOOKUP(VALUE(MID($C182,13,2)), codigos!$A$2:$B$60, 2, 1) &amp; " " &amp; VLOOKUP(VALUE(MID($C182,15,4)), codigos!$E$2:$F$102, 2, FALSE)</f>
        <v>BAÑO 10</v>
      </c>
      <c r="E182" s="11" t="str">
        <f>VLOOKUP(VALUE(MID($C182,19,2)),codigos!$H$2:$I$62,2,1) &amp; " " &amp; VLOOKUP(VALUE(MID($C182,21,2)),codigos!$K$2:$L$12,2,FALSE)</f>
        <v>GALVANIZADO S/I</v>
      </c>
      <c r="F182" s="11" t="s">
        <v>1211</v>
      </c>
      <c r="G182" s="11" t="s">
        <v>11</v>
      </c>
      <c r="H182" s="52" t="s">
        <v>1502</v>
      </c>
      <c r="I182" s="20" t="s">
        <v>1445</v>
      </c>
      <c r="J182" s="11">
        <v>3</v>
      </c>
      <c r="K182" s="11">
        <v>3</v>
      </c>
      <c r="L182" s="11">
        <f t="shared" si="15"/>
        <v>0</v>
      </c>
      <c r="M182" s="131"/>
    </row>
    <row r="183" spans="1:15" x14ac:dyDescent="0.2">
      <c r="A183" s="11">
        <f t="shared" ca="1" si="14"/>
        <v>31</v>
      </c>
      <c r="C183" s="11" t="s">
        <v>212</v>
      </c>
      <c r="D183" s="11" t="str">
        <f>VLOOKUP(VALUE(MID($C183,13,2)), codigos!$A$2:$B$60, 2, 1) &amp; " " &amp; VLOOKUP(VALUE(MID($C183,15,4)), codigos!$E$2:$F$102, 2, FALSE)</f>
        <v>BAÑO 12</v>
      </c>
      <c r="E183" s="11" t="str">
        <f>VLOOKUP(VALUE(MID($C183,19,2)),codigos!$H$2:$I$62,2,1) &amp; " " &amp; VLOOKUP(VALUE(MID($C183,21,2)),codigos!$K$2:$L$12,2,FALSE)</f>
        <v>GALVANIZADO S/I</v>
      </c>
      <c r="F183" s="11" t="s">
        <v>1211</v>
      </c>
      <c r="G183" s="11" t="s">
        <v>11</v>
      </c>
      <c r="H183" s="52" t="s">
        <v>1502</v>
      </c>
      <c r="I183" s="20" t="s">
        <v>1445</v>
      </c>
      <c r="J183" s="11">
        <v>12</v>
      </c>
      <c r="K183" s="11">
        <v>0</v>
      </c>
      <c r="L183" s="11">
        <f t="shared" si="15"/>
        <v>12</v>
      </c>
      <c r="M183" s="131"/>
    </row>
    <row r="184" spans="1:15" x14ac:dyDescent="0.2">
      <c r="A184" s="11">
        <f t="shared" ca="1" si="14"/>
        <v>25</v>
      </c>
      <c r="C184" s="11" t="s">
        <v>283</v>
      </c>
      <c r="D184" s="11" t="str">
        <f>VLOOKUP(VALUE(MID($C184,13,2)), codigos!$A$2:$B$60, 2, 1) &amp; " " &amp; VLOOKUP(VALUE(MID($C184,15,4)), codigos!$E$2:$F$102, 2, FALSE)</f>
        <v>PLATO AVENERO 20</v>
      </c>
      <c r="E184" s="11" t="str">
        <f>VLOOKUP(VALUE(MID($C184,19,2)),codigos!$H$2:$I$62,2,1) &amp; " " &amp; VLOOKUP(VALUE(MID($C184,21,2)),codigos!$K$2:$L$12,2,FALSE)</f>
        <v>BLANCO  NEGRO</v>
      </c>
      <c r="F184" s="11" t="s">
        <v>1589</v>
      </c>
      <c r="G184" s="11" t="s">
        <v>145</v>
      </c>
      <c r="H184" s="52" t="s">
        <v>451</v>
      </c>
      <c r="I184" s="121">
        <v>46084</v>
      </c>
      <c r="J184" s="11">
        <v>4800</v>
      </c>
      <c r="K184" s="11">
        <f>722-240-5+168</f>
        <v>645</v>
      </c>
      <c r="L184" s="11">
        <f t="shared" si="15"/>
        <v>4155</v>
      </c>
      <c r="M184" s="98">
        <f>(SUM(K184))/(SUM(J184))</f>
        <v>0.13437499999999999</v>
      </c>
    </row>
    <row r="185" spans="1:15" x14ac:dyDescent="0.2">
      <c r="A185" s="11">
        <f t="shared" ca="1" si="14"/>
        <v>34</v>
      </c>
      <c r="C185" s="11" t="s">
        <v>212</v>
      </c>
      <c r="D185" s="11" t="str">
        <f>VLOOKUP(VALUE(MID($C185,13,2)), codigos!$A$2:$B$60, 2, 1) &amp; " " &amp; VLOOKUP(VALUE(MID($C185,15,4)), codigos!$E$2:$F$102, 2, FALSE)</f>
        <v>BAÑO 12</v>
      </c>
      <c r="E185" s="11" t="str">
        <f>VLOOKUP(VALUE(MID($C185,19,2)),codigos!$H$2:$I$62,2,1) &amp; " " &amp; VLOOKUP(VALUE(MID($C185,21,2)),codigos!$K$2:$L$12,2,FALSE)</f>
        <v>GALVANIZADO S/I</v>
      </c>
      <c r="F185" s="11" t="s">
        <v>1191</v>
      </c>
      <c r="G185" s="11" t="s">
        <v>114</v>
      </c>
      <c r="H185" s="52" t="s">
        <v>1507</v>
      </c>
      <c r="I185" s="20" t="s">
        <v>1421</v>
      </c>
      <c r="J185" s="11">
        <v>20</v>
      </c>
      <c r="K185" s="11">
        <v>0</v>
      </c>
      <c r="L185" s="11">
        <f>J185-K185</f>
        <v>20</v>
      </c>
      <c r="M185" s="98">
        <f>(SUM(K185))/(SUM(J185))</f>
        <v>0</v>
      </c>
      <c r="O185" s="93">
        <v>46113</v>
      </c>
    </row>
    <row r="186" spans="1:15" x14ac:dyDescent="0.2">
      <c r="A186" s="11">
        <f t="shared" ca="1" si="14"/>
        <v>226</v>
      </c>
      <c r="C186" s="11" t="s">
        <v>173</v>
      </c>
      <c r="D186" s="11" t="str">
        <f>VLOOKUP(VALUE(MID($C186,13,2)), codigos!$A$2:$B$60, 2, 1) &amp; " " &amp; VLOOKUP(VALUE(MID($C186,15,4)), codigos!$E$2:$F$102, 2, FALSE)</f>
        <v>BUDINERA 34</v>
      </c>
      <c r="E186" s="11" t="str">
        <f>VLOOKUP(VALUE(MID($C186,19,2)),codigos!$H$2:$I$62,2,1) &amp; " " &amp; VLOOKUP(VALUE(MID($C186,21,2)),codigos!$K$2:$L$12,2,FALSE)</f>
        <v>A/T S/I</v>
      </c>
      <c r="F186" s="11" t="s">
        <v>835</v>
      </c>
      <c r="G186" s="11" t="s">
        <v>340</v>
      </c>
      <c r="H186" s="52" t="s">
        <v>1508</v>
      </c>
      <c r="I186" s="20" t="s">
        <v>836</v>
      </c>
      <c r="J186" s="11">
        <v>20</v>
      </c>
      <c r="K186" s="11">
        <f>8+1+2</f>
        <v>11</v>
      </c>
      <c r="L186" s="11">
        <f>J186-K186</f>
        <v>9</v>
      </c>
      <c r="M186" s="98">
        <f>(SUM(K186))/(SUM(J186))</f>
        <v>0.55000000000000004</v>
      </c>
      <c r="O186" s="93">
        <v>46108</v>
      </c>
    </row>
    <row r="187" spans="1:15" ht="15" customHeight="1" x14ac:dyDescent="0.2">
      <c r="A187" s="11">
        <f t="shared" ca="1" si="14"/>
        <v>66</v>
      </c>
      <c r="C187" s="20" t="s">
        <v>157</v>
      </c>
      <c r="D187" s="11" t="str">
        <f>VLOOKUP(VALUE(MID($C187,13,2)), codigos!$A$2:$B$60, 2, 1) &amp; " " &amp; VLOOKUP(VALUE(MID($C187,15,4)), codigos!$E$2:$F$102, 2, FALSE)</f>
        <v>OLLA RECTA 42</v>
      </c>
      <c r="E187" s="11" t="str">
        <f>VLOOKUP(VALUE(MID($C187,19,2)),codigos!$H$2:$I$62,2,1) &amp; " " &amp; VLOOKUP(VALUE(MID($C187,21,2)),codigos!$K$2:$L$12,2,FALSE)</f>
        <v>A/T S/I</v>
      </c>
      <c r="F187" s="20" t="s">
        <v>1264</v>
      </c>
      <c r="G187" s="11" t="s">
        <v>34</v>
      </c>
      <c r="H187" s="52" t="s">
        <v>1509</v>
      </c>
      <c r="I187" s="20" t="s">
        <v>1263</v>
      </c>
      <c r="J187" s="11">
        <v>20</v>
      </c>
      <c r="K187" s="11">
        <v>0</v>
      </c>
      <c r="L187" s="11">
        <f t="shared" ref="L187:L192" si="16">+J187-K187</f>
        <v>20</v>
      </c>
      <c r="M187" s="131">
        <f>(SUM(K187:K189))/(SUM(J187:J189))</f>
        <v>0.97058823529411764</v>
      </c>
      <c r="O187" s="93">
        <v>46108</v>
      </c>
    </row>
    <row r="188" spans="1:15" x14ac:dyDescent="0.2">
      <c r="A188" s="11">
        <f t="shared" ca="1" si="14"/>
        <v>66</v>
      </c>
      <c r="C188" s="11" t="s">
        <v>180</v>
      </c>
      <c r="D188" s="11" t="str">
        <f>VLOOKUP(VALUE(MID($C188,13,2)), codigos!$A$2:$B$60, 2, 1) &amp; " " &amp; VLOOKUP(VALUE(MID($C188,15,4)), codigos!$E$2:$F$102, 2, FALSE)</f>
        <v>POCILLO 12</v>
      </c>
      <c r="E188" s="11" t="str">
        <f>VLOOKUP(VALUE(MID($C188,19,2)),codigos!$H$2:$I$62,2,1) &amp; " " &amp; VLOOKUP(VALUE(MID($C188,21,2)),codigos!$K$2:$L$12,2,FALSE)</f>
        <v>A/T S/I</v>
      </c>
      <c r="F188" s="11" t="s">
        <v>1264</v>
      </c>
      <c r="G188" s="11" t="s">
        <v>34</v>
      </c>
      <c r="H188" s="52" t="s">
        <v>1509</v>
      </c>
      <c r="I188" s="11" t="s">
        <v>1263</v>
      </c>
      <c r="J188" s="11">
        <v>360</v>
      </c>
      <c r="K188" s="11">
        <f>7+60+24+11+24+12+216+6</f>
        <v>360</v>
      </c>
      <c r="L188" s="11">
        <f t="shared" si="16"/>
        <v>0</v>
      </c>
      <c r="M188" s="131"/>
      <c r="O188" s="93">
        <v>46108</v>
      </c>
    </row>
    <row r="189" spans="1:15" x14ac:dyDescent="0.2">
      <c r="A189" s="11">
        <f t="shared" ca="1" si="14"/>
        <v>66</v>
      </c>
      <c r="C189" s="11" t="s">
        <v>182</v>
      </c>
      <c r="D189" s="11" t="str">
        <f>VLOOKUP(VALUE(MID($C189,13,2)), codigos!$A$2:$B$60, 2, 1) &amp; " " &amp; VLOOKUP(VALUE(MID($C189,15,4)), codigos!$E$2:$F$102, 2, FALSE)</f>
        <v>POCILLO 14</v>
      </c>
      <c r="E189" s="11" t="str">
        <f>VLOOKUP(VALUE(MID($C189,19,2)),codigos!$H$2:$I$62,2,1) &amp; " " &amp; VLOOKUP(VALUE(MID($C189,21,2)),codigos!$K$2:$L$12,2,FALSE)</f>
        <v>A/T S/I</v>
      </c>
      <c r="F189" s="11" t="s">
        <v>1264</v>
      </c>
      <c r="G189" s="11" t="s">
        <v>34</v>
      </c>
      <c r="H189" s="52" t="s">
        <v>1509</v>
      </c>
      <c r="I189" s="11" t="s">
        <v>1263</v>
      </c>
      <c r="J189" s="11">
        <v>300</v>
      </c>
      <c r="K189" s="11">
        <f>300</f>
        <v>300</v>
      </c>
      <c r="L189" s="11">
        <f t="shared" si="16"/>
        <v>0</v>
      </c>
      <c r="M189" s="131"/>
      <c r="O189" s="93">
        <v>46108</v>
      </c>
    </row>
    <row r="190" spans="1:15" ht="15" customHeight="1" x14ac:dyDescent="0.2">
      <c r="A190" s="11">
        <f t="shared" ca="1" si="14"/>
        <v>24</v>
      </c>
      <c r="C190" s="11" t="s">
        <v>242</v>
      </c>
      <c r="D190" s="11" t="str">
        <f>VLOOKUP(VALUE(MID($C190,13,2)), codigos!$A$2:$B$60, 2, 1) &amp; " " &amp; VLOOKUP(VALUE(MID($C190,15,4)), codigos!$E$2:$F$102, 2, FALSE)</f>
        <v>COMAL 22</v>
      </c>
      <c r="E190" s="11" t="str">
        <f>VLOOKUP(VALUE(MID($C190,19,2)),codigos!$H$2:$I$62,2,1) &amp; " " &amp; VLOOKUP(VALUE(MID($C190,21,2)),codigos!$K$2:$L$12,2,FALSE)</f>
        <v>NEGRO MOTAS S/I</v>
      </c>
      <c r="F190" s="11" t="s">
        <v>976</v>
      </c>
      <c r="G190" s="11" t="s">
        <v>11</v>
      </c>
      <c r="H190" s="11" t="s">
        <v>1514</v>
      </c>
      <c r="I190" s="11" t="s">
        <v>1512</v>
      </c>
      <c r="J190" s="11">
        <v>120</v>
      </c>
      <c r="K190" s="11">
        <f>110+10</f>
        <v>120</v>
      </c>
      <c r="L190" s="11">
        <f t="shared" si="16"/>
        <v>0</v>
      </c>
      <c r="M190" s="132">
        <f>(SUM(K190:K192))/(SUM(J190:J192))</f>
        <v>0.66666666666666663</v>
      </c>
    </row>
    <row r="191" spans="1:15" x14ac:dyDescent="0.2">
      <c r="A191" s="11">
        <f t="shared" ca="1" si="14"/>
        <v>24</v>
      </c>
      <c r="C191" s="11" t="s">
        <v>149</v>
      </c>
      <c r="D191" s="11" t="str">
        <f>VLOOKUP(VALUE(MID($C191,13,2)), codigos!$A$2:$B$60, 2, 1) &amp; " " &amp; VLOOKUP(VALUE(MID($C191,15,4)), codigos!$E$2:$F$102, 2, FALSE)</f>
        <v>COMAL 28</v>
      </c>
      <c r="E191" s="11" t="str">
        <f>VLOOKUP(VALUE(MID($C191,19,2)),codigos!$H$2:$I$62,2,1) &amp; " " &amp; VLOOKUP(VALUE(MID($C191,21,2)),codigos!$K$2:$L$12,2,FALSE)</f>
        <v>NEGRO MOTAS S/I</v>
      </c>
      <c r="F191" s="11" t="s">
        <v>976</v>
      </c>
      <c r="G191" s="11" t="s">
        <v>11</v>
      </c>
      <c r="H191" s="11" t="s">
        <v>1514</v>
      </c>
      <c r="I191" s="11" t="s">
        <v>1512</v>
      </c>
      <c r="J191" s="11">
        <v>360</v>
      </c>
      <c r="K191" s="11">
        <f>360</f>
        <v>360</v>
      </c>
      <c r="L191" s="11">
        <f t="shared" si="16"/>
        <v>0</v>
      </c>
      <c r="M191" s="133"/>
    </row>
    <row r="192" spans="1:15" x14ac:dyDescent="0.2">
      <c r="A192" s="11">
        <f t="shared" ca="1" si="14"/>
        <v>24</v>
      </c>
      <c r="C192" s="11" t="s">
        <v>344</v>
      </c>
      <c r="D192" s="11" t="str">
        <f>VLOOKUP(VALUE(MID($C192,13,2)), codigos!$A$2:$B$60, 2, 1) &amp; " " &amp; VLOOKUP(VALUE(MID($C192,15,4)), codigos!$E$2:$F$102, 2, FALSE)</f>
        <v>COMAL 36</v>
      </c>
      <c r="E192" s="11" t="str">
        <f>VLOOKUP(VALUE(MID($C192,19,2)),codigos!$H$2:$I$62,2,1) &amp; " " &amp; VLOOKUP(VALUE(MID($C192,21,2)),codigos!$K$2:$L$12,2,FALSE)</f>
        <v>NEGRO MOTAS S/I</v>
      </c>
      <c r="F192" s="11" t="s">
        <v>976</v>
      </c>
      <c r="G192" s="11" t="s">
        <v>11</v>
      </c>
      <c r="H192" s="11" t="s">
        <v>1514</v>
      </c>
      <c r="I192" s="11" t="s">
        <v>1512</v>
      </c>
      <c r="J192" s="11">
        <v>240</v>
      </c>
      <c r="K192" s="11">
        <v>0</v>
      </c>
      <c r="L192" s="11">
        <f t="shared" si="16"/>
        <v>240</v>
      </c>
      <c r="M192" s="130"/>
    </row>
    <row r="193" spans="1:16" x14ac:dyDescent="0.2">
      <c r="A193" s="11">
        <f t="shared" ca="1" si="14"/>
        <v>19</v>
      </c>
      <c r="C193" s="11" t="s">
        <v>211</v>
      </c>
      <c r="D193" s="11" t="str">
        <f>VLOOKUP(VALUE(MID($C193,13,2)), codigos!$A$2:$B$60, 2, 1) &amp; " " &amp; VLOOKUP(VALUE(MID($C193,15,4)), codigos!$E$2:$F$102, 2, FALSE)</f>
        <v>BAÑO 10</v>
      </c>
      <c r="E193" s="11" t="str">
        <f>VLOOKUP(VALUE(MID($C193,19,2)),codigos!$H$2:$I$62,2,1) &amp; " " &amp; VLOOKUP(VALUE(MID($C193,21,2)),codigos!$K$2:$L$12,2,FALSE)</f>
        <v>GALVANIZADO S/I</v>
      </c>
      <c r="F193" s="11" t="s">
        <v>1218</v>
      </c>
      <c r="G193" s="11" t="s">
        <v>11</v>
      </c>
      <c r="H193" s="52" t="s">
        <v>1524</v>
      </c>
      <c r="I193" s="20" t="s">
        <v>1525</v>
      </c>
      <c r="J193" s="11">
        <v>6</v>
      </c>
      <c r="K193" s="11">
        <v>6</v>
      </c>
      <c r="L193" s="11">
        <f t="shared" ref="L193:L211" si="17">+J193-K193</f>
        <v>0</v>
      </c>
      <c r="M193" s="102">
        <f>(SUM(K193))/(SUM(J193))</f>
        <v>1</v>
      </c>
    </row>
    <row r="194" spans="1:16" x14ac:dyDescent="0.2">
      <c r="A194" s="11">
        <f t="shared" ca="1" si="14"/>
        <v>19</v>
      </c>
      <c r="C194" s="11" t="s">
        <v>1526</v>
      </c>
      <c r="D194" s="11" t="str">
        <f>VLOOKUP(VALUE(MID($C194,13,2)), codigos!$A$2:$B$60, 2, 1) &amp; " " &amp; VLOOKUP(VALUE(MID($C194,15,4)), codigos!$E$2:$F$102, 2, FALSE)</f>
        <v>BUDINERA 12</v>
      </c>
      <c r="E194" s="11" t="str">
        <f>VLOOKUP(VALUE(MID($C194,19,2)),codigos!$H$2:$I$62,2,1) &amp; " " &amp; VLOOKUP(VALUE(MID($C194,21,2)),codigos!$K$2:$L$12,2,FALSE)</f>
        <v>BLANCO  GRIS</v>
      </c>
      <c r="F194" s="11" t="s">
        <v>1238</v>
      </c>
      <c r="G194" s="11" t="s">
        <v>16</v>
      </c>
      <c r="H194" s="52" t="s">
        <v>1527</v>
      </c>
      <c r="I194" s="20" t="s">
        <v>1525</v>
      </c>
      <c r="J194" s="11">
        <v>108</v>
      </c>
      <c r="K194" s="11">
        <f>34+11</f>
        <v>45</v>
      </c>
      <c r="L194" s="11">
        <f t="shared" si="17"/>
        <v>63</v>
      </c>
      <c r="M194" s="88">
        <f>(SUM(K194))/(SUM(J194))</f>
        <v>0.41666666666666669</v>
      </c>
    </row>
    <row r="195" spans="1:16" x14ac:dyDescent="0.2">
      <c r="A195" s="11">
        <f t="shared" ca="1" si="14"/>
        <v>19</v>
      </c>
      <c r="C195" s="11" t="s">
        <v>212</v>
      </c>
      <c r="D195" s="11" t="str">
        <f>VLOOKUP(VALUE(MID($C195,13,2)), codigos!$A$2:$B$60, 2, 1) &amp; " " &amp; VLOOKUP(VALUE(MID($C195,15,4)), codigos!$E$2:$F$102, 2, FALSE)</f>
        <v>BAÑO 12</v>
      </c>
      <c r="E195" s="11" t="str">
        <f>VLOOKUP(VALUE(MID($C195,19,2)),codigos!$H$2:$I$62,2,1) &amp; " " &amp; VLOOKUP(VALUE(MID($C195,21,2)),codigos!$K$2:$L$12,2,FALSE)</f>
        <v>GALVANIZADO S/I</v>
      </c>
      <c r="F195" s="11" t="s">
        <v>600</v>
      </c>
      <c r="G195" s="11" t="s">
        <v>11</v>
      </c>
      <c r="H195" s="52" t="s">
        <v>1531</v>
      </c>
      <c r="I195" s="20" t="s">
        <v>1525</v>
      </c>
      <c r="J195" s="11">
        <v>20</v>
      </c>
      <c r="K195" s="11">
        <v>0</v>
      </c>
      <c r="L195" s="11">
        <f t="shared" si="17"/>
        <v>20</v>
      </c>
      <c r="M195" s="88">
        <f>(SUM(K195))/(SUM(J195))</f>
        <v>0</v>
      </c>
    </row>
    <row r="196" spans="1:16" x14ac:dyDescent="0.2">
      <c r="A196" s="11">
        <f t="shared" ca="1" si="14"/>
        <v>17</v>
      </c>
      <c r="C196" s="11" t="s">
        <v>1126</v>
      </c>
      <c r="D196" s="11" t="str">
        <f>VLOOKUP(VALUE(MID($C196,13,2)), codigos!$A$2:$B$60, 2, 1) &amp; " " &amp; VLOOKUP(VALUE(MID($C196,15,4)), codigos!$E$2:$F$102, 2, FALSE)</f>
        <v>BUDINERA 20</v>
      </c>
      <c r="E196" s="11" t="str">
        <f>VLOOKUP(VALUE(MID($C196,19,2)),codigos!$H$2:$I$62,2,1) &amp; " " &amp; VLOOKUP(VALUE(MID($C196,21,2)),codigos!$K$2:$L$12,2,FALSE)</f>
        <v>A/T S/I</v>
      </c>
      <c r="F196" s="11" t="s">
        <v>1363</v>
      </c>
      <c r="G196" s="11" t="s">
        <v>11</v>
      </c>
      <c r="H196" s="52" t="s">
        <v>1542</v>
      </c>
      <c r="I196" s="20" t="s">
        <v>1543</v>
      </c>
      <c r="J196" s="11">
        <v>1</v>
      </c>
      <c r="K196" s="11">
        <f>1</f>
        <v>1</v>
      </c>
      <c r="L196" s="11">
        <f t="shared" si="17"/>
        <v>0</v>
      </c>
      <c r="M196" s="131">
        <f>(SUM(K196:K211))/(SUM(J196:J211))</f>
        <v>0.83720930232558144</v>
      </c>
      <c r="O196" s="93">
        <v>46121</v>
      </c>
      <c r="P196" s="18">
        <v>46091</v>
      </c>
    </row>
    <row r="197" spans="1:16" x14ac:dyDescent="0.2">
      <c r="A197" s="11">
        <f t="shared" ca="1" si="14"/>
        <v>17</v>
      </c>
      <c r="C197" s="11" t="s">
        <v>1544</v>
      </c>
      <c r="D197" s="11" t="str">
        <f>VLOOKUP(VALUE(MID($C197,13,2)), codigos!$A$2:$B$60, 2, 1) &amp; " " &amp; VLOOKUP(VALUE(MID($C197,15,4)), codigos!$E$2:$F$102, 2, FALSE)</f>
        <v>BUDINERA 22</v>
      </c>
      <c r="E197" s="11" t="str">
        <f>VLOOKUP(VALUE(MID($C197,19,2)),codigos!$H$2:$I$62,2,1) &amp; " " &amp; VLOOKUP(VALUE(MID($C197,21,2)),codigos!$K$2:$L$12,2,FALSE)</f>
        <v>A/T S/I</v>
      </c>
      <c r="F197" s="11" t="s">
        <v>1363</v>
      </c>
      <c r="G197" s="11" t="s">
        <v>11</v>
      </c>
      <c r="H197" s="52" t="s">
        <v>1542</v>
      </c>
      <c r="I197" s="20" t="s">
        <v>1543</v>
      </c>
      <c r="J197" s="11">
        <v>1</v>
      </c>
      <c r="K197" s="11">
        <f>1</f>
        <v>1</v>
      </c>
      <c r="L197" s="11">
        <f t="shared" si="17"/>
        <v>0</v>
      </c>
      <c r="M197" s="131"/>
      <c r="O197" s="93">
        <v>46121</v>
      </c>
      <c r="P197" s="18">
        <v>46091</v>
      </c>
    </row>
    <row r="198" spans="1:16" x14ac:dyDescent="0.2">
      <c r="A198" s="11">
        <f t="shared" ca="1" si="14"/>
        <v>17</v>
      </c>
      <c r="C198" s="11" t="s">
        <v>1040</v>
      </c>
      <c r="D198" s="11" t="str">
        <f>VLOOKUP(VALUE(MID($C198,13,2)), codigos!$A$2:$B$60, 2, 1) &amp; " " &amp; VLOOKUP(VALUE(MID($C198,15,4)), codigos!$E$2:$F$102, 2, FALSE)</f>
        <v>BUDINERA 26</v>
      </c>
      <c r="E198" s="11" t="str">
        <f>VLOOKUP(VALUE(MID($C198,19,2)),codigos!$H$2:$I$62,2,1) &amp; " " &amp; VLOOKUP(VALUE(MID($C198,21,2)),codigos!$K$2:$L$12,2,FALSE)</f>
        <v>A/T S/I</v>
      </c>
      <c r="F198" s="11" t="s">
        <v>1363</v>
      </c>
      <c r="G198" s="11" t="s">
        <v>11</v>
      </c>
      <c r="H198" s="52" t="s">
        <v>1542</v>
      </c>
      <c r="I198" s="20" t="s">
        <v>1543</v>
      </c>
      <c r="J198" s="11">
        <v>1</v>
      </c>
      <c r="K198" s="11">
        <f>1</f>
        <v>1</v>
      </c>
      <c r="L198" s="11">
        <f t="shared" si="17"/>
        <v>0</v>
      </c>
      <c r="M198" s="131"/>
      <c r="O198" s="93">
        <v>46121</v>
      </c>
      <c r="P198" s="18">
        <v>46091</v>
      </c>
    </row>
    <row r="199" spans="1:16" x14ac:dyDescent="0.2">
      <c r="A199" s="11">
        <f t="shared" ca="1" si="14"/>
        <v>17</v>
      </c>
      <c r="C199" s="11" t="s">
        <v>1041</v>
      </c>
      <c r="D199" s="11" t="str">
        <f>VLOOKUP(VALUE(MID($C199,13,2)), codigos!$A$2:$B$60, 2, 1) &amp; " " &amp; VLOOKUP(VALUE(MID($C199,15,4)), codigos!$E$2:$F$102, 2, FALSE)</f>
        <v>CAZO 14</v>
      </c>
      <c r="E199" s="11" t="str">
        <f>VLOOKUP(VALUE(MID($C199,19,2)),codigos!$H$2:$I$62,2,1) &amp; " " &amp; VLOOKUP(VALUE(MID($C199,21,2)),codigos!$K$2:$L$12,2,FALSE)</f>
        <v>A/T S/I</v>
      </c>
      <c r="F199" s="11" t="s">
        <v>1363</v>
      </c>
      <c r="G199" s="11" t="s">
        <v>11</v>
      </c>
      <c r="H199" s="52" t="s">
        <v>1542</v>
      </c>
      <c r="I199" s="20" t="s">
        <v>1543</v>
      </c>
      <c r="J199" s="11">
        <v>1</v>
      </c>
      <c r="K199" s="11">
        <v>0</v>
      </c>
      <c r="L199" s="11">
        <f t="shared" si="17"/>
        <v>1</v>
      </c>
      <c r="M199" s="131"/>
      <c r="O199" s="93">
        <v>46121</v>
      </c>
      <c r="P199" s="18">
        <v>46091</v>
      </c>
    </row>
    <row r="200" spans="1:16" x14ac:dyDescent="0.2">
      <c r="A200" s="11">
        <f t="shared" ca="1" si="14"/>
        <v>17</v>
      </c>
      <c r="C200" s="11" t="s">
        <v>1360</v>
      </c>
      <c r="D200" s="11" t="str">
        <f>VLOOKUP(VALUE(MID($C200,13,2)), codigos!$A$2:$B$60, 2, 1) &amp; " " &amp; VLOOKUP(VALUE(MID($C200,15,4)), codigos!$E$2:$F$102, 2, FALSE)</f>
        <v>CAZO 16</v>
      </c>
      <c r="E200" s="11" t="str">
        <f>VLOOKUP(VALUE(MID($C200,19,2)),codigos!$H$2:$I$62,2,1) &amp; " " &amp; VLOOKUP(VALUE(MID($C200,21,2)),codigos!$K$2:$L$12,2,FALSE)</f>
        <v>A/T S/I</v>
      </c>
      <c r="F200" s="11" t="s">
        <v>1363</v>
      </c>
      <c r="G200" s="11" t="s">
        <v>11</v>
      </c>
      <c r="H200" s="52" t="s">
        <v>1542</v>
      </c>
      <c r="I200" s="20" t="s">
        <v>1543</v>
      </c>
      <c r="J200" s="11">
        <v>1</v>
      </c>
      <c r="K200" s="11">
        <v>0</v>
      </c>
      <c r="L200" s="11">
        <f t="shared" si="17"/>
        <v>1</v>
      </c>
      <c r="M200" s="131"/>
      <c r="O200" s="93">
        <v>46121</v>
      </c>
      <c r="P200" s="18">
        <v>46091</v>
      </c>
    </row>
    <row r="201" spans="1:16" x14ac:dyDescent="0.2">
      <c r="A201" s="11">
        <f t="shared" ca="1" si="14"/>
        <v>17</v>
      </c>
      <c r="C201" s="11" t="s">
        <v>1128</v>
      </c>
      <c r="D201" s="11" t="str">
        <f>VLOOKUP(VALUE(MID($C201,13,2)), codigos!$A$2:$B$60, 2, 1) &amp; " " &amp; VLOOKUP(VALUE(MID($C201,15,4)), codigos!$E$2:$F$102, 2, FALSE)</f>
        <v>OLLA CONVEXA 20</v>
      </c>
      <c r="E201" s="11" t="str">
        <f>VLOOKUP(VALUE(MID($C201,19,2)),codigos!$H$2:$I$62,2,1) &amp; " " &amp; VLOOKUP(VALUE(MID($C201,21,2)),codigos!$K$2:$L$12,2,FALSE)</f>
        <v>A/T S/I</v>
      </c>
      <c r="F201" s="11" t="s">
        <v>1363</v>
      </c>
      <c r="G201" s="11" t="s">
        <v>11</v>
      </c>
      <c r="H201" s="52" t="s">
        <v>1542</v>
      </c>
      <c r="I201" s="20" t="s">
        <v>1543</v>
      </c>
      <c r="J201" s="11">
        <v>2</v>
      </c>
      <c r="K201" s="11">
        <f>2</f>
        <v>2</v>
      </c>
      <c r="L201" s="11">
        <f t="shared" si="17"/>
        <v>0</v>
      </c>
      <c r="M201" s="131"/>
      <c r="O201" s="93">
        <v>46121</v>
      </c>
      <c r="P201" s="18">
        <v>46091</v>
      </c>
    </row>
    <row r="202" spans="1:16" x14ac:dyDescent="0.2">
      <c r="A202" s="11">
        <f t="shared" ca="1" si="14"/>
        <v>17</v>
      </c>
      <c r="C202" s="11" t="s">
        <v>1044</v>
      </c>
      <c r="D202" s="11" t="str">
        <f>VLOOKUP(VALUE(MID($C202,13,2)), codigos!$A$2:$B$60, 2, 1) &amp; " " &amp; VLOOKUP(VALUE(MID($C202,15,4)), codigos!$E$2:$F$102, 2, FALSE)</f>
        <v>OLLA CONVEXA 24</v>
      </c>
      <c r="E202" s="11" t="str">
        <f>VLOOKUP(VALUE(MID($C202,19,2)),codigos!$H$2:$I$62,2,1) &amp; " " &amp; VLOOKUP(VALUE(MID($C202,21,2)),codigos!$K$2:$L$12,2,FALSE)</f>
        <v>A/T S/I</v>
      </c>
      <c r="F202" s="11" t="s">
        <v>1363</v>
      </c>
      <c r="G202" s="11" t="s">
        <v>11</v>
      </c>
      <c r="H202" s="52" t="s">
        <v>1542</v>
      </c>
      <c r="I202" s="20" t="s">
        <v>1543</v>
      </c>
      <c r="J202" s="11">
        <v>2</v>
      </c>
      <c r="K202" s="11">
        <f>2</f>
        <v>2</v>
      </c>
      <c r="L202" s="11">
        <f t="shared" si="17"/>
        <v>0</v>
      </c>
      <c r="M202" s="131"/>
      <c r="O202" s="93">
        <v>46121</v>
      </c>
      <c r="P202" s="18">
        <v>46091</v>
      </c>
    </row>
    <row r="203" spans="1:16" x14ac:dyDescent="0.2">
      <c r="A203" s="11">
        <f t="shared" ref="A203:A239" ca="1" si="18">DAYS360(I203,$B$1)</f>
        <v>17</v>
      </c>
      <c r="C203" s="11" t="s">
        <v>1045</v>
      </c>
      <c r="D203" s="11" t="str">
        <f>VLOOKUP(VALUE(MID($C203,13,2)), codigos!$A$2:$B$60, 2, 1) &amp; " " &amp; VLOOKUP(VALUE(MID($C203,15,4)), codigos!$E$2:$F$102, 2, FALSE)</f>
        <v>OLLA RECTA 20</v>
      </c>
      <c r="E203" s="11" t="str">
        <f>VLOOKUP(VALUE(MID($C203,19,2)),codigos!$H$2:$I$62,2,1) &amp; " " &amp; VLOOKUP(VALUE(MID($C203,21,2)),codigos!$K$2:$L$12,2,FALSE)</f>
        <v>A/T S/I</v>
      </c>
      <c r="F203" s="11" t="s">
        <v>1363</v>
      </c>
      <c r="G203" s="11" t="s">
        <v>11</v>
      </c>
      <c r="H203" s="52" t="s">
        <v>1542</v>
      </c>
      <c r="I203" s="20" t="s">
        <v>1543</v>
      </c>
      <c r="J203" s="11">
        <v>1</v>
      </c>
      <c r="K203" s="11">
        <f>1</f>
        <v>1</v>
      </c>
      <c r="L203" s="11">
        <f t="shared" si="17"/>
        <v>0</v>
      </c>
      <c r="M203" s="131"/>
      <c r="O203" s="93">
        <v>46121</v>
      </c>
      <c r="P203" s="18">
        <v>46091</v>
      </c>
    </row>
    <row r="204" spans="1:16" x14ac:dyDescent="0.2">
      <c r="A204" s="11">
        <f t="shared" ca="1" si="18"/>
        <v>17</v>
      </c>
      <c r="C204" s="11" t="s">
        <v>1046</v>
      </c>
      <c r="D204" s="11" t="str">
        <f>VLOOKUP(VALUE(MID($C204,13,2)), codigos!$A$2:$B$60, 2, 1) &amp; " " &amp; VLOOKUP(VALUE(MID($C204,15,4)), codigos!$E$2:$F$102, 2, FALSE)</f>
        <v>POCILLO 8</v>
      </c>
      <c r="E204" s="11" t="str">
        <f>VLOOKUP(VALUE(MID($C204,19,2)),codigos!$H$2:$I$62,2,1) &amp; " " &amp; VLOOKUP(VALUE(MID($C204,21,2)),codigos!$K$2:$L$12,2,FALSE)</f>
        <v>A/T S/I</v>
      </c>
      <c r="F204" s="11" t="s">
        <v>1363</v>
      </c>
      <c r="G204" s="11" t="s">
        <v>11</v>
      </c>
      <c r="H204" s="52" t="s">
        <v>1542</v>
      </c>
      <c r="I204" s="20" t="s">
        <v>1543</v>
      </c>
      <c r="J204" s="11">
        <v>1</v>
      </c>
      <c r="K204" s="11">
        <f>1</f>
        <v>1</v>
      </c>
      <c r="L204" s="11">
        <f t="shared" si="17"/>
        <v>0</v>
      </c>
      <c r="M204" s="131"/>
      <c r="O204" s="93">
        <v>46121</v>
      </c>
      <c r="P204" s="18">
        <v>46091</v>
      </c>
    </row>
    <row r="205" spans="1:16" x14ac:dyDescent="0.2">
      <c r="A205" s="11">
        <f t="shared" ca="1" si="18"/>
        <v>17</v>
      </c>
      <c r="C205" s="11" t="s">
        <v>1047</v>
      </c>
      <c r="D205" s="11" t="str">
        <f>VLOOKUP(VALUE(MID($C205,13,2)), codigos!$A$2:$B$60, 2, 1) &amp; " " &amp; VLOOKUP(VALUE(MID($C205,15,4)), codigos!$E$2:$F$102, 2, FALSE)</f>
        <v>POCILLO 10</v>
      </c>
      <c r="E205" s="11" t="str">
        <f>VLOOKUP(VALUE(MID($C205,19,2)),codigos!$H$2:$I$62,2,1) &amp; " " &amp; VLOOKUP(VALUE(MID($C205,21,2)),codigos!$K$2:$L$12,2,FALSE)</f>
        <v>A/T S/I</v>
      </c>
      <c r="F205" s="11" t="s">
        <v>1363</v>
      </c>
      <c r="G205" s="11" t="s">
        <v>11</v>
      </c>
      <c r="H205" s="52" t="s">
        <v>1542</v>
      </c>
      <c r="I205" s="20" t="s">
        <v>1543</v>
      </c>
      <c r="J205" s="11">
        <v>3</v>
      </c>
      <c r="K205" s="11">
        <f>3</f>
        <v>3</v>
      </c>
      <c r="L205" s="11">
        <f t="shared" si="17"/>
        <v>0</v>
      </c>
      <c r="M205" s="131"/>
      <c r="O205" s="93">
        <v>46121</v>
      </c>
      <c r="P205" s="18">
        <v>46091</v>
      </c>
    </row>
    <row r="206" spans="1:16" x14ac:dyDescent="0.2">
      <c r="A206" s="11">
        <f t="shared" ca="1" si="18"/>
        <v>17</v>
      </c>
      <c r="C206" s="11" t="s">
        <v>1048</v>
      </c>
      <c r="D206" s="11" t="str">
        <f>VLOOKUP(VALUE(MID($C206,13,2)), codigos!$A$2:$B$60, 2, 1) &amp; " " &amp; VLOOKUP(VALUE(MID($C206,15,4)), codigos!$E$2:$F$102, 2, FALSE)</f>
        <v>POCILLO 12</v>
      </c>
      <c r="E206" s="11" t="str">
        <f>VLOOKUP(VALUE(MID($C206,19,2)),codigos!$H$2:$I$62,2,1) &amp; " " &amp; VLOOKUP(VALUE(MID($C206,21,2)),codigos!$K$2:$L$12,2,FALSE)</f>
        <v>A/T S/I</v>
      </c>
      <c r="F206" s="11" t="s">
        <v>1363</v>
      </c>
      <c r="G206" s="11" t="s">
        <v>11</v>
      </c>
      <c r="H206" s="52" t="s">
        <v>1542</v>
      </c>
      <c r="I206" s="20" t="s">
        <v>1543</v>
      </c>
      <c r="J206" s="11">
        <v>15</v>
      </c>
      <c r="K206" s="11">
        <f>15</f>
        <v>15</v>
      </c>
      <c r="L206" s="11">
        <f t="shared" si="17"/>
        <v>0</v>
      </c>
      <c r="M206" s="131"/>
      <c r="O206" s="93">
        <v>46121</v>
      </c>
      <c r="P206" s="18">
        <v>46091</v>
      </c>
    </row>
    <row r="207" spans="1:16" x14ac:dyDescent="0.2">
      <c r="A207" s="11">
        <f t="shared" ca="1" si="18"/>
        <v>17</v>
      </c>
      <c r="C207" s="11" t="s">
        <v>1362</v>
      </c>
      <c r="D207" s="11" t="str">
        <f>VLOOKUP(VALUE(MID($C207,13,2)), codigos!$A$2:$B$60, 2, 1) &amp; " " &amp; VLOOKUP(VALUE(MID($C207,15,4)), codigos!$E$2:$F$102, 2, FALSE)</f>
        <v>VASO RECTO CON ASA</v>
      </c>
      <c r="E207" s="11" t="str">
        <f>VLOOKUP(VALUE(MID($C207,19,2)),codigos!$H$2:$I$62,2,1) &amp; " " &amp; VLOOKUP(VALUE(MID($C207,21,2)),codigos!$K$2:$L$12,2,FALSE)</f>
        <v>A/T S/I</v>
      </c>
      <c r="F207" s="11" t="s">
        <v>1363</v>
      </c>
      <c r="G207" s="11" t="s">
        <v>11</v>
      </c>
      <c r="H207" s="52" t="s">
        <v>1542</v>
      </c>
      <c r="I207" s="20" t="s">
        <v>1543</v>
      </c>
      <c r="J207" s="11">
        <v>5</v>
      </c>
      <c r="K207" s="11">
        <v>0</v>
      </c>
      <c r="L207" s="11">
        <f t="shared" si="17"/>
        <v>5</v>
      </c>
      <c r="M207" s="131"/>
      <c r="O207" s="93">
        <v>46121</v>
      </c>
      <c r="P207" s="18">
        <v>46091</v>
      </c>
    </row>
    <row r="208" spans="1:16" x14ac:dyDescent="0.2">
      <c r="A208" s="11">
        <f t="shared" ca="1" si="18"/>
        <v>17</v>
      </c>
      <c r="C208" s="11" t="s">
        <v>1050</v>
      </c>
      <c r="D208" s="11" t="str">
        <f>VLOOKUP(VALUE(MID($C208,13,2)), codigos!$A$2:$B$60, 2, 1) &amp; " " &amp; VLOOKUP(VALUE(MID($C208,15,4)), codigos!$E$2:$F$102, 2, FALSE)</f>
        <v>OLLA RECTA 22</v>
      </c>
      <c r="E208" s="11" t="str">
        <f>VLOOKUP(VALUE(MID($C208,19,2)),codigos!$H$2:$I$62,2,1) &amp; " " &amp; VLOOKUP(VALUE(MID($C208,21,2)),codigos!$K$2:$L$12,2,FALSE)</f>
        <v>A/T S/I</v>
      </c>
      <c r="F208" s="11" t="s">
        <v>1363</v>
      </c>
      <c r="G208" s="11" t="s">
        <v>11</v>
      </c>
      <c r="H208" s="52" t="s">
        <v>1542</v>
      </c>
      <c r="I208" s="20" t="s">
        <v>1543</v>
      </c>
      <c r="J208" s="11">
        <v>1</v>
      </c>
      <c r="K208" s="11">
        <v>1</v>
      </c>
      <c r="L208" s="11">
        <f t="shared" si="17"/>
        <v>0</v>
      </c>
      <c r="M208" s="131"/>
      <c r="O208" s="93">
        <v>46121</v>
      </c>
      <c r="P208" s="18">
        <v>46091</v>
      </c>
    </row>
    <row r="209" spans="1:16" x14ac:dyDescent="0.2">
      <c r="A209" s="11">
        <f t="shared" ca="1" si="18"/>
        <v>17</v>
      </c>
      <c r="C209" s="11" t="s">
        <v>1051</v>
      </c>
      <c r="D209" s="11" t="str">
        <f>VLOOKUP(VALUE(MID($C209,13,2)), codigos!$A$2:$B$60, 2, 1) &amp; " " &amp; VLOOKUP(VALUE(MID($C209,15,4)), codigos!$E$2:$F$102, 2, FALSE)</f>
        <v>COMAL 28</v>
      </c>
      <c r="E209" s="11" t="str">
        <f>VLOOKUP(VALUE(MID($C209,19,2)),codigos!$H$2:$I$62,2,1) &amp; " " &amp; VLOOKUP(VALUE(MID($C209,21,2)),codigos!$K$2:$L$12,2,FALSE)</f>
        <v>NEGRO MOTAS S/I</v>
      </c>
      <c r="F209" s="11" t="s">
        <v>1363</v>
      </c>
      <c r="G209" s="11" t="s">
        <v>11</v>
      </c>
      <c r="H209" s="52" t="s">
        <v>1542</v>
      </c>
      <c r="I209" s="20" t="s">
        <v>1543</v>
      </c>
      <c r="J209" s="11">
        <v>5</v>
      </c>
      <c r="K209" s="11">
        <f>5</f>
        <v>5</v>
      </c>
      <c r="L209" s="11">
        <f t="shared" si="17"/>
        <v>0</v>
      </c>
      <c r="M209" s="131"/>
      <c r="O209" s="93">
        <v>46121</v>
      </c>
      <c r="P209" s="18">
        <v>46091</v>
      </c>
    </row>
    <row r="210" spans="1:16" x14ac:dyDescent="0.2">
      <c r="A210" s="11">
        <f t="shared" ca="1" si="18"/>
        <v>17</v>
      </c>
      <c r="C210" s="11" t="s">
        <v>1052</v>
      </c>
      <c r="D210" s="11" t="str">
        <f>VLOOKUP(VALUE(MID($C210,13,2)), codigos!$A$2:$B$60, 2, 1) &amp; " " &amp; VLOOKUP(VALUE(MID($C210,15,4)), codigos!$E$2:$F$102, 2, FALSE)</f>
        <v>BUDINERA 16</v>
      </c>
      <c r="E210" s="11" t="str">
        <f>VLOOKUP(VALUE(MID($C210,19,2)),codigos!$H$2:$I$62,2,1) &amp; " " &amp; VLOOKUP(VALUE(MID($C210,21,2)),codigos!$K$2:$L$12,2,FALSE)</f>
        <v>A/T S/I</v>
      </c>
      <c r="F210" s="11" t="s">
        <v>1363</v>
      </c>
      <c r="G210" s="11" t="s">
        <v>11</v>
      </c>
      <c r="H210" s="52" t="s">
        <v>1542</v>
      </c>
      <c r="I210" s="20" t="s">
        <v>1543</v>
      </c>
      <c r="J210" s="11">
        <v>1</v>
      </c>
      <c r="K210" s="11">
        <f>1</f>
        <v>1</v>
      </c>
      <c r="L210" s="11">
        <f t="shared" si="17"/>
        <v>0</v>
      </c>
      <c r="M210" s="131"/>
      <c r="O210" s="93">
        <v>46121</v>
      </c>
      <c r="P210" s="18">
        <v>46091</v>
      </c>
    </row>
    <row r="211" spans="1:16" ht="14.25" customHeight="1" x14ac:dyDescent="0.2">
      <c r="A211" s="11">
        <f t="shared" ca="1" si="18"/>
        <v>17</v>
      </c>
      <c r="C211" s="11" t="s">
        <v>1130</v>
      </c>
      <c r="D211" s="11" t="str">
        <f>VLOOKUP(VALUE(MID($C211,13,2)), codigos!$A$2:$B$60, 2, 1) &amp; " " &amp; VLOOKUP(VALUE(MID($C211,15,4)), codigos!$E$2:$F$102, 2, FALSE)</f>
        <v>BUDINERA 14</v>
      </c>
      <c r="E211" s="11" t="str">
        <f>VLOOKUP(VALUE(MID($C211,19,2)),codigos!$H$2:$I$62,2,1) &amp; " " &amp; VLOOKUP(VALUE(MID($C211,21,2)),codigos!$K$2:$L$12,2,FALSE)</f>
        <v>A/T S/I</v>
      </c>
      <c r="F211" s="11" t="s">
        <v>1363</v>
      </c>
      <c r="G211" s="11" t="s">
        <v>11</v>
      </c>
      <c r="H211" s="52" t="s">
        <v>1542</v>
      </c>
      <c r="I211" s="20" t="s">
        <v>1543</v>
      </c>
      <c r="J211" s="11">
        <v>2</v>
      </c>
      <c r="K211" s="11">
        <f>2</f>
        <v>2</v>
      </c>
      <c r="L211" s="11">
        <f t="shared" si="17"/>
        <v>0</v>
      </c>
      <c r="M211" s="131"/>
      <c r="O211" s="93">
        <v>46121</v>
      </c>
      <c r="P211" s="18">
        <v>46091</v>
      </c>
    </row>
    <row r="212" spans="1:16" ht="15" customHeight="1" x14ac:dyDescent="0.2">
      <c r="A212" s="11">
        <f t="shared" ca="1" si="18"/>
        <v>17</v>
      </c>
      <c r="C212" s="11" t="s">
        <v>255</v>
      </c>
      <c r="D212" s="11" t="str">
        <f>VLOOKUP(VALUE(MID($C212,13,2)), codigos!$A$2:$B$60, 2, 1) &amp; " " &amp; VLOOKUP(VALUE(MID($C212,15,4)), codigos!$E$2:$F$102, 2, FALSE)</f>
        <v>BUDINERA 12</v>
      </c>
      <c r="E212" s="11" t="str">
        <f>VLOOKUP(VALUE(MID($C212,19,2)),codigos!$H$2:$I$62,2,1) &amp; " " &amp; VLOOKUP(VALUE(MID($C212,21,2)),codigos!$K$2:$L$12,2,FALSE)</f>
        <v>A/T S/I</v>
      </c>
      <c r="F212" s="11" t="s">
        <v>991</v>
      </c>
      <c r="G212" s="11" t="s">
        <v>11</v>
      </c>
      <c r="H212" s="52" t="s">
        <v>1546</v>
      </c>
      <c r="I212" s="20" t="s">
        <v>1543</v>
      </c>
      <c r="J212" s="11">
        <v>72</v>
      </c>
      <c r="K212" s="11">
        <f>72</f>
        <v>72</v>
      </c>
      <c r="L212" s="11">
        <f t="shared" ref="L212:L229" si="19">+J212-K212</f>
        <v>0</v>
      </c>
      <c r="M212" s="131">
        <f>(SUM(K212:K229))/(SUM(J212:J229))</f>
        <v>0.83395942900075126</v>
      </c>
      <c r="O212" s="93">
        <v>46127</v>
      </c>
    </row>
    <row r="213" spans="1:16" x14ac:dyDescent="0.2">
      <c r="A213" s="11">
        <f t="shared" ca="1" si="18"/>
        <v>17</v>
      </c>
      <c r="C213" s="11" t="s">
        <v>256</v>
      </c>
      <c r="D213" s="11" t="str">
        <f>VLOOKUP(VALUE(MID($C213,13,2)), codigos!$A$2:$B$60, 2, 1) &amp; " " &amp; VLOOKUP(VALUE(MID($C213,15,4)), codigos!$E$2:$F$102, 2, FALSE)</f>
        <v>BUDINERA 14</v>
      </c>
      <c r="E213" s="11" t="str">
        <f>VLOOKUP(VALUE(MID($C213,19,2)),codigos!$H$2:$I$62,2,1) &amp; " " &amp; VLOOKUP(VALUE(MID($C213,21,2)),codigos!$K$2:$L$12,2,FALSE)</f>
        <v>A/T S/I</v>
      </c>
      <c r="F213" s="11" t="s">
        <v>991</v>
      </c>
      <c r="G213" s="11" t="s">
        <v>11</v>
      </c>
      <c r="H213" s="52" t="s">
        <v>1546</v>
      </c>
      <c r="I213" s="20" t="s">
        <v>1543</v>
      </c>
      <c r="J213" s="11">
        <v>198</v>
      </c>
      <c r="K213" s="11">
        <f>59</f>
        <v>59</v>
      </c>
      <c r="L213" s="11">
        <f t="shared" si="19"/>
        <v>139</v>
      </c>
      <c r="M213" s="131"/>
      <c r="O213" s="93">
        <v>46127</v>
      </c>
    </row>
    <row r="214" spans="1:16" x14ac:dyDescent="0.2">
      <c r="A214" s="11">
        <f t="shared" ca="1" si="18"/>
        <v>17</v>
      </c>
      <c r="C214" s="11" t="s">
        <v>214</v>
      </c>
      <c r="D214" s="11" t="str">
        <f>VLOOKUP(VALUE(MID($C214,13,2)), codigos!$A$2:$B$60, 2, 1) &amp; " " &amp; VLOOKUP(VALUE(MID($C214,15,4)), codigos!$E$2:$F$102, 2, FALSE)</f>
        <v>BUDINERA 18</v>
      </c>
      <c r="E214" s="11" t="str">
        <f>VLOOKUP(VALUE(MID($C214,19,2)),codigos!$H$2:$I$62,2,1) &amp; " " &amp; VLOOKUP(VALUE(MID($C214,21,2)),codigos!$K$2:$L$12,2,FALSE)</f>
        <v>A/T S/I</v>
      </c>
      <c r="F214" s="11" t="s">
        <v>991</v>
      </c>
      <c r="G214" s="11" t="s">
        <v>11</v>
      </c>
      <c r="H214" s="52" t="s">
        <v>1546</v>
      </c>
      <c r="I214" s="20" t="s">
        <v>1543</v>
      </c>
      <c r="J214" s="11">
        <v>54</v>
      </c>
      <c r="K214" s="11">
        <f>54</f>
        <v>54</v>
      </c>
      <c r="L214" s="11">
        <f t="shared" si="19"/>
        <v>0</v>
      </c>
      <c r="M214" s="131"/>
      <c r="O214" s="93">
        <v>46127</v>
      </c>
    </row>
    <row r="215" spans="1:16" x14ac:dyDescent="0.2">
      <c r="A215" s="11">
        <f t="shared" ca="1" si="18"/>
        <v>17</v>
      </c>
      <c r="C215" s="11" t="s">
        <v>215</v>
      </c>
      <c r="D215" s="11" t="str">
        <f>VLOOKUP(VALUE(MID($C215,13,2)), codigos!$A$2:$B$60, 2, 1) &amp; " " &amp; VLOOKUP(VALUE(MID($C215,15,4)), codigos!$E$2:$F$102, 2, FALSE)</f>
        <v>BUDINERA 20</v>
      </c>
      <c r="E215" s="11" t="str">
        <f>VLOOKUP(VALUE(MID($C215,19,2)),codigos!$H$2:$I$62,2,1) &amp; " " &amp; VLOOKUP(VALUE(MID($C215,21,2)),codigos!$K$2:$L$12,2,FALSE)</f>
        <v>A/T S/I</v>
      </c>
      <c r="F215" s="11" t="s">
        <v>991</v>
      </c>
      <c r="G215" s="11" t="s">
        <v>11</v>
      </c>
      <c r="H215" s="52" t="s">
        <v>1546</v>
      </c>
      <c r="I215" s="20" t="s">
        <v>1543</v>
      </c>
      <c r="J215" s="11">
        <v>126</v>
      </c>
      <c r="K215" s="11">
        <f>126</f>
        <v>126</v>
      </c>
      <c r="L215" s="11">
        <f t="shared" si="19"/>
        <v>0</v>
      </c>
      <c r="M215" s="131"/>
      <c r="O215" s="93">
        <v>46127</v>
      </c>
    </row>
    <row r="216" spans="1:16" x14ac:dyDescent="0.2">
      <c r="A216" s="11">
        <f t="shared" ca="1" si="18"/>
        <v>17</v>
      </c>
      <c r="C216" s="11" t="s">
        <v>241</v>
      </c>
      <c r="D216" s="11" t="str">
        <f>VLOOKUP(VALUE(MID($C216,13,2)), codigos!$A$2:$B$60, 2, 1) &amp; " " &amp; VLOOKUP(VALUE(MID($C216,15,4)), codigos!$E$2:$F$102, 2, FALSE)</f>
        <v>BUDINERA 22</v>
      </c>
      <c r="E216" s="11" t="str">
        <f>VLOOKUP(VALUE(MID($C216,19,2)),codigos!$H$2:$I$62,2,1) &amp; " " &amp; VLOOKUP(VALUE(MID($C216,21,2)),codigos!$K$2:$L$12,2,FALSE)</f>
        <v>A/T S/I</v>
      </c>
      <c r="F216" s="11" t="s">
        <v>991</v>
      </c>
      <c r="G216" s="11" t="s">
        <v>11</v>
      </c>
      <c r="H216" s="52" t="s">
        <v>1546</v>
      </c>
      <c r="I216" s="20" t="s">
        <v>1543</v>
      </c>
      <c r="J216" s="11">
        <v>84</v>
      </c>
      <c r="K216" s="11">
        <f>36+3+45</f>
        <v>84</v>
      </c>
      <c r="L216" s="11">
        <f t="shared" si="19"/>
        <v>0</v>
      </c>
      <c r="M216" s="131"/>
      <c r="O216" s="93">
        <v>46127</v>
      </c>
    </row>
    <row r="217" spans="1:16" x14ac:dyDescent="0.2">
      <c r="A217" s="11">
        <f t="shared" ca="1" si="18"/>
        <v>17</v>
      </c>
      <c r="C217" s="11" t="s">
        <v>148</v>
      </c>
      <c r="D217" s="11" t="str">
        <f>VLOOKUP(VALUE(MID($C217,13,2)), codigos!$A$2:$B$60, 2, 1) &amp; " " &amp; VLOOKUP(VALUE(MID($C217,15,4)), codigos!$E$2:$F$102, 2, FALSE)</f>
        <v>BUDINERA 26</v>
      </c>
      <c r="E217" s="11" t="str">
        <f>VLOOKUP(VALUE(MID($C217,19,2)),codigos!$H$2:$I$62,2,1) &amp; " " &amp; VLOOKUP(VALUE(MID($C217,21,2)),codigos!$K$2:$L$12,2,FALSE)</f>
        <v>A/T S/I</v>
      </c>
      <c r="F217" s="11" t="s">
        <v>991</v>
      </c>
      <c r="G217" s="11" t="s">
        <v>11</v>
      </c>
      <c r="H217" s="52" t="s">
        <v>1546</v>
      </c>
      <c r="I217" s="20" t="s">
        <v>1543</v>
      </c>
      <c r="J217" s="11">
        <v>108</v>
      </c>
      <c r="K217" s="11">
        <f>13+95</f>
        <v>108</v>
      </c>
      <c r="L217" s="11">
        <f t="shared" si="19"/>
        <v>0</v>
      </c>
      <c r="M217" s="131"/>
      <c r="O217" s="93">
        <v>46127</v>
      </c>
    </row>
    <row r="218" spans="1:16" x14ac:dyDescent="0.2">
      <c r="A218" s="11">
        <f t="shared" ca="1" si="18"/>
        <v>17</v>
      </c>
      <c r="C218" s="11" t="s">
        <v>173</v>
      </c>
      <c r="D218" s="11" t="str">
        <f>VLOOKUP(VALUE(MID($C218,13,2)), codigos!$A$2:$B$60, 2, 1) &amp; " " &amp; VLOOKUP(VALUE(MID($C218,15,4)), codigos!$E$2:$F$102, 2, FALSE)</f>
        <v>BUDINERA 34</v>
      </c>
      <c r="E218" s="11" t="str">
        <f>VLOOKUP(VALUE(MID($C218,19,2)),codigos!$H$2:$I$62,2,1) &amp; " " &amp; VLOOKUP(VALUE(MID($C218,21,2)),codigos!$K$2:$L$12,2,FALSE)</f>
        <v>A/T S/I</v>
      </c>
      <c r="F218" s="11" t="s">
        <v>991</v>
      </c>
      <c r="G218" s="11" t="s">
        <v>11</v>
      </c>
      <c r="H218" s="52" t="s">
        <v>1546</v>
      </c>
      <c r="I218" s="20" t="s">
        <v>1543</v>
      </c>
      <c r="J218" s="11">
        <v>112</v>
      </c>
      <c r="K218" s="11">
        <v>0</v>
      </c>
      <c r="L218" s="11">
        <f t="shared" si="19"/>
        <v>112</v>
      </c>
      <c r="M218" s="131"/>
      <c r="O218" s="93">
        <v>46127</v>
      </c>
    </row>
    <row r="219" spans="1:16" x14ac:dyDescent="0.2">
      <c r="A219" s="11">
        <f t="shared" ca="1" si="18"/>
        <v>17</v>
      </c>
      <c r="C219" s="11" t="s">
        <v>242</v>
      </c>
      <c r="D219" s="11" t="str">
        <f>VLOOKUP(VALUE(MID($C219,13,2)), codigos!$A$2:$B$60, 2, 1) &amp; " " &amp; VLOOKUP(VALUE(MID($C219,15,4)), codigos!$E$2:$F$102, 2, FALSE)</f>
        <v>COMAL 22</v>
      </c>
      <c r="E219" s="11" t="str">
        <f>VLOOKUP(VALUE(MID($C219,19,2)),codigos!$H$2:$I$62,2,1) &amp; " " &amp; VLOOKUP(VALUE(MID($C219,21,2)),codigos!$K$2:$L$12,2,FALSE)</f>
        <v>NEGRO MOTAS S/I</v>
      </c>
      <c r="F219" s="11" t="s">
        <v>991</v>
      </c>
      <c r="G219" s="11" t="s">
        <v>11</v>
      </c>
      <c r="H219" s="52" t="s">
        <v>1546</v>
      </c>
      <c r="I219" s="20" t="s">
        <v>1543</v>
      </c>
      <c r="J219" s="11">
        <v>120</v>
      </c>
      <c r="K219" s="11">
        <f>38+22+60</f>
        <v>120</v>
      </c>
      <c r="L219" s="11">
        <f t="shared" si="19"/>
        <v>0</v>
      </c>
      <c r="M219" s="131"/>
      <c r="O219" s="93">
        <v>46127</v>
      </c>
    </row>
    <row r="220" spans="1:16" x14ac:dyDescent="0.2">
      <c r="A220" s="11">
        <f t="shared" ca="1" si="18"/>
        <v>17</v>
      </c>
      <c r="C220" s="11" t="s">
        <v>149</v>
      </c>
      <c r="D220" s="11" t="str">
        <f>VLOOKUP(VALUE(MID($C220,13,2)), codigos!$A$2:$B$60, 2, 1) &amp; " " &amp; VLOOKUP(VALUE(MID($C220,15,4)), codigos!$E$2:$F$102, 2, FALSE)</f>
        <v>COMAL 28</v>
      </c>
      <c r="E220" s="11" t="str">
        <f>VLOOKUP(VALUE(MID($C220,19,2)),codigos!$H$2:$I$62,2,1) &amp; " " &amp; VLOOKUP(VALUE(MID($C220,21,2)),codigos!$K$2:$L$12,2,FALSE)</f>
        <v>NEGRO MOTAS S/I</v>
      </c>
      <c r="F220" s="11" t="s">
        <v>991</v>
      </c>
      <c r="G220" s="11" t="s">
        <v>11</v>
      </c>
      <c r="H220" s="52" t="s">
        <v>1546</v>
      </c>
      <c r="I220" s="20" t="s">
        <v>1543</v>
      </c>
      <c r="J220" s="11">
        <v>576</v>
      </c>
      <c r="K220" s="11">
        <f>24+264+288</f>
        <v>576</v>
      </c>
      <c r="L220" s="11">
        <f t="shared" si="19"/>
        <v>0</v>
      </c>
      <c r="M220" s="131"/>
      <c r="O220" s="93">
        <v>46127</v>
      </c>
    </row>
    <row r="221" spans="1:16" x14ac:dyDescent="0.2">
      <c r="A221" s="11">
        <f t="shared" ca="1" si="18"/>
        <v>17</v>
      </c>
      <c r="C221" s="11" t="s">
        <v>187</v>
      </c>
      <c r="D221" s="11" t="str">
        <f>VLOOKUP(VALUE(MID($C221,13,2)), codigos!$A$2:$B$60, 2, 1) &amp; " " &amp; VLOOKUP(VALUE(MID($C221,15,4)), codigos!$E$2:$F$102, 2, FALSE)</f>
        <v>OLLA CONVEXA 12</v>
      </c>
      <c r="E221" s="11" t="str">
        <f>VLOOKUP(VALUE(MID($C221,19,2)),codigos!$H$2:$I$62,2,1) &amp; " " &amp; VLOOKUP(VALUE(MID($C221,21,2)),codigos!$K$2:$L$12,2,FALSE)</f>
        <v>A/T S/I</v>
      </c>
      <c r="F221" s="11" t="s">
        <v>991</v>
      </c>
      <c r="G221" s="11" t="s">
        <v>11</v>
      </c>
      <c r="H221" s="52" t="s">
        <v>1546</v>
      </c>
      <c r="I221" s="20" t="s">
        <v>1543</v>
      </c>
      <c r="J221" s="11">
        <v>36</v>
      </c>
      <c r="K221" s="11">
        <f>36</f>
        <v>36</v>
      </c>
      <c r="L221" s="11">
        <f t="shared" si="19"/>
        <v>0</v>
      </c>
      <c r="M221" s="131"/>
      <c r="O221" s="93">
        <v>46127</v>
      </c>
    </row>
    <row r="222" spans="1:16" x14ac:dyDescent="0.2">
      <c r="A222" s="11">
        <f t="shared" ca="1" si="18"/>
        <v>17</v>
      </c>
      <c r="C222" s="11" t="s">
        <v>333</v>
      </c>
      <c r="D222" s="11" t="str">
        <f>VLOOKUP(VALUE(MID($C222,13,2)), codigos!$A$2:$B$60, 2, 1) &amp; " " &amp; VLOOKUP(VALUE(MID($C222,15,4)), codigos!$E$2:$F$102, 2, FALSE)</f>
        <v>OLLA CONVEXA 14</v>
      </c>
      <c r="E222" s="11" t="str">
        <f>VLOOKUP(VALUE(MID($C222,19,2)),codigos!$H$2:$I$62,2,1) &amp; " " &amp; VLOOKUP(VALUE(MID($C222,21,2)),codigos!$K$2:$L$12,2,FALSE)</f>
        <v>A/T S/I</v>
      </c>
      <c r="F222" s="11" t="s">
        <v>991</v>
      </c>
      <c r="G222" s="11" t="s">
        <v>11</v>
      </c>
      <c r="H222" s="52" t="s">
        <v>1546</v>
      </c>
      <c r="I222" s="20" t="s">
        <v>1543</v>
      </c>
      <c r="J222" s="11">
        <v>72</v>
      </c>
      <c r="K222" s="11">
        <f>33+2+12+1</f>
        <v>48</v>
      </c>
      <c r="L222" s="11">
        <f t="shared" si="19"/>
        <v>24</v>
      </c>
      <c r="M222" s="131"/>
      <c r="O222" s="93">
        <v>46127</v>
      </c>
    </row>
    <row r="223" spans="1:16" x14ac:dyDescent="0.2">
      <c r="A223" s="11">
        <f t="shared" ca="1" si="18"/>
        <v>17</v>
      </c>
      <c r="C223" s="11" t="s">
        <v>150</v>
      </c>
      <c r="D223" s="11" t="str">
        <f>VLOOKUP(VALUE(MID($C223,13,2)), codigos!$A$2:$B$60, 2, 1) &amp; " " &amp; VLOOKUP(VALUE(MID($C223,15,4)), codigos!$E$2:$F$102, 2, FALSE)</f>
        <v>OLLA CONVEXA 18</v>
      </c>
      <c r="E223" s="11" t="str">
        <f>VLOOKUP(VALUE(MID($C223,19,2)),codigos!$H$2:$I$62,2,1) &amp; " " &amp; VLOOKUP(VALUE(MID($C223,21,2)),codigos!$K$2:$L$12,2,FALSE)</f>
        <v>A/T S/I</v>
      </c>
      <c r="F223" s="11" t="s">
        <v>991</v>
      </c>
      <c r="G223" s="11" t="s">
        <v>11</v>
      </c>
      <c r="H223" s="52" t="s">
        <v>1546</v>
      </c>
      <c r="I223" s="20" t="s">
        <v>1543</v>
      </c>
      <c r="J223" s="11">
        <v>84</v>
      </c>
      <c r="K223" s="11">
        <f>46+9+2+3+24</f>
        <v>84</v>
      </c>
      <c r="L223" s="11">
        <f t="shared" si="19"/>
        <v>0</v>
      </c>
      <c r="M223" s="131"/>
      <c r="O223" s="93">
        <v>46127</v>
      </c>
    </row>
    <row r="224" spans="1:16" x14ac:dyDescent="0.2">
      <c r="A224" s="11">
        <f t="shared" ca="1" si="18"/>
        <v>17</v>
      </c>
      <c r="C224" s="11" t="s">
        <v>153</v>
      </c>
      <c r="D224" s="11" t="str">
        <f>VLOOKUP(VALUE(MID($C224,13,2)), codigos!$A$2:$B$60, 2, 1) &amp; " " &amp; VLOOKUP(VALUE(MID($C224,15,4)), codigos!$E$2:$F$102, 2, FALSE)</f>
        <v>OLLA CONVEXA 26</v>
      </c>
      <c r="E224" s="11" t="str">
        <f>VLOOKUP(VALUE(MID($C224,19,2)),codigos!$H$2:$I$62,2,1) &amp; " " &amp; VLOOKUP(VALUE(MID($C224,21,2)),codigos!$K$2:$L$12,2,FALSE)</f>
        <v>A/T S/I</v>
      </c>
      <c r="F224" s="11" t="s">
        <v>991</v>
      </c>
      <c r="G224" s="11" t="s">
        <v>11</v>
      </c>
      <c r="H224" s="52" t="s">
        <v>1546</v>
      </c>
      <c r="I224" s="20" t="s">
        <v>1543</v>
      </c>
      <c r="J224" s="11">
        <v>36</v>
      </c>
      <c r="K224" s="11">
        <f>36</f>
        <v>36</v>
      </c>
      <c r="L224" s="11">
        <f t="shared" si="19"/>
        <v>0</v>
      </c>
      <c r="M224" s="131"/>
      <c r="O224" s="93">
        <v>46127</v>
      </c>
    </row>
    <row r="225" spans="1:16" x14ac:dyDescent="0.2">
      <c r="A225" s="11">
        <f t="shared" ca="1" si="18"/>
        <v>17</v>
      </c>
      <c r="C225" s="11" t="s">
        <v>222</v>
      </c>
      <c r="D225" s="11" t="str">
        <f>VLOOKUP(VALUE(MID($C225,13,2)), codigos!$A$2:$B$60, 2, 1) &amp; " " &amp; VLOOKUP(VALUE(MID($C225,15,4)), codigos!$E$2:$F$102, 2, FALSE)</f>
        <v>OLLA RECTA 12</v>
      </c>
      <c r="E225" s="11" t="str">
        <f>VLOOKUP(VALUE(MID($C225,19,2)),codigos!$H$2:$I$62,2,1) &amp; " " &amp; VLOOKUP(VALUE(MID($C225,21,2)),codigos!$K$2:$L$12,2,FALSE)</f>
        <v>A/T S/I</v>
      </c>
      <c r="F225" s="11" t="s">
        <v>991</v>
      </c>
      <c r="G225" s="11" t="s">
        <v>11</v>
      </c>
      <c r="H225" s="52" t="s">
        <v>1546</v>
      </c>
      <c r="I225" s="20" t="s">
        <v>1543</v>
      </c>
      <c r="J225" s="11">
        <v>180</v>
      </c>
      <c r="K225" s="11">
        <f>160+4+9</f>
        <v>173</v>
      </c>
      <c r="L225" s="11">
        <f t="shared" si="19"/>
        <v>7</v>
      </c>
      <c r="M225" s="131"/>
      <c r="O225" s="93">
        <v>46127</v>
      </c>
    </row>
    <row r="226" spans="1:16" x14ac:dyDescent="0.2">
      <c r="A226" s="11">
        <f t="shared" ca="1" si="18"/>
        <v>17</v>
      </c>
      <c r="C226" s="11" t="s">
        <v>257</v>
      </c>
      <c r="D226" s="11" t="str">
        <f>VLOOKUP(VALUE(MID($C226,13,2)), codigos!$A$2:$B$60, 2, 1) &amp; " " &amp; VLOOKUP(VALUE(MID($C226,15,4)), codigos!$E$2:$F$102, 2, FALSE)</f>
        <v>OLLA RECTA 14</v>
      </c>
      <c r="E226" s="11" t="str">
        <f>VLOOKUP(VALUE(MID($C226,19,2)),codigos!$H$2:$I$62,2,1) &amp; " " &amp; VLOOKUP(VALUE(MID($C226,21,2)),codigos!$K$2:$L$12,2,FALSE)</f>
        <v>A/T S/I</v>
      </c>
      <c r="F226" s="11" t="s">
        <v>991</v>
      </c>
      <c r="G226" s="11" t="s">
        <v>11</v>
      </c>
      <c r="H226" s="52" t="s">
        <v>1546</v>
      </c>
      <c r="I226" s="20" t="s">
        <v>1543</v>
      </c>
      <c r="J226" s="11">
        <v>306</v>
      </c>
      <c r="K226" s="11">
        <f>140+6</f>
        <v>146</v>
      </c>
      <c r="L226" s="11">
        <f t="shared" si="19"/>
        <v>160</v>
      </c>
      <c r="M226" s="131"/>
      <c r="O226" s="93">
        <v>46127</v>
      </c>
    </row>
    <row r="227" spans="1:16" x14ac:dyDescent="0.2">
      <c r="A227" s="11">
        <f t="shared" ca="1" si="18"/>
        <v>17</v>
      </c>
      <c r="C227" s="11" t="s">
        <v>180</v>
      </c>
      <c r="D227" s="11" t="str">
        <f>VLOOKUP(VALUE(MID($C227,13,2)), codigos!$A$2:$B$60, 2, 1) &amp; " " &amp; VLOOKUP(VALUE(MID($C227,15,4)), codigos!$E$2:$F$102, 2, FALSE)</f>
        <v>POCILLO 12</v>
      </c>
      <c r="E227" s="11" t="str">
        <f>VLOOKUP(VALUE(MID($C227,19,2)),codigos!$H$2:$I$62,2,1) &amp; " " &amp; VLOOKUP(VALUE(MID($C227,21,2)),codigos!$K$2:$L$12,2,FALSE)</f>
        <v>A/T S/I</v>
      </c>
      <c r="F227" s="11" t="s">
        <v>991</v>
      </c>
      <c r="G227" s="11" t="s">
        <v>11</v>
      </c>
      <c r="H227" s="52" t="s">
        <v>1546</v>
      </c>
      <c r="I227" s="20" t="s">
        <v>1543</v>
      </c>
      <c r="J227" s="11">
        <v>144</v>
      </c>
      <c r="K227" s="11">
        <f>144</f>
        <v>144</v>
      </c>
      <c r="L227" s="11">
        <f t="shared" si="19"/>
        <v>0</v>
      </c>
      <c r="M227" s="131"/>
      <c r="O227" s="93">
        <v>46127</v>
      </c>
    </row>
    <row r="228" spans="1:16" x14ac:dyDescent="0.2">
      <c r="A228" s="11">
        <f t="shared" ca="1" si="18"/>
        <v>17</v>
      </c>
      <c r="C228" s="11" t="s">
        <v>182</v>
      </c>
      <c r="D228" s="11" t="str">
        <f>VLOOKUP(VALUE(MID($C228,13,2)), codigos!$A$2:$B$60, 2, 1) &amp; " " &amp; VLOOKUP(VALUE(MID($C228,15,4)), codigos!$E$2:$F$102, 2, FALSE)</f>
        <v>POCILLO 14</v>
      </c>
      <c r="E228" s="11" t="str">
        <f>VLOOKUP(VALUE(MID($C228,19,2)),codigos!$H$2:$I$62,2,1) &amp; " " &amp; VLOOKUP(VALUE(MID($C228,21,2)),codigos!$K$2:$L$12,2,FALSE)</f>
        <v>A/T S/I</v>
      </c>
      <c r="F228" s="11" t="s">
        <v>991</v>
      </c>
      <c r="G228" s="11" t="s">
        <v>11</v>
      </c>
      <c r="H228" s="52" t="s">
        <v>1546</v>
      </c>
      <c r="I228" s="20" t="s">
        <v>1543</v>
      </c>
      <c r="J228" s="11">
        <v>246</v>
      </c>
      <c r="K228" s="11">
        <f>246</f>
        <v>246</v>
      </c>
      <c r="L228" s="11">
        <f t="shared" si="19"/>
        <v>0</v>
      </c>
      <c r="M228" s="131"/>
      <c r="O228" s="93">
        <v>46127</v>
      </c>
    </row>
    <row r="229" spans="1:16" x14ac:dyDescent="0.2">
      <c r="A229" s="11">
        <f t="shared" ca="1" si="18"/>
        <v>17</v>
      </c>
      <c r="C229" s="11" t="s">
        <v>188</v>
      </c>
      <c r="D229" s="11" t="str">
        <f>VLOOKUP(VALUE(MID($C229,13,2)), codigos!$A$2:$B$60, 2, 1) &amp; " " &amp; VLOOKUP(VALUE(MID($C229,15,4)), codigos!$E$2:$F$102, 2, FALSE)</f>
        <v>POCILLO 14</v>
      </c>
      <c r="E229" s="11" t="str">
        <f>VLOOKUP(VALUE(MID($C229,19,2)),codigos!$H$2:$I$62,2,1) &amp; " " &amp; VLOOKUP(VALUE(MID($C229,21,2)),codigos!$K$2:$L$12,2,FALSE)</f>
        <v>S/I S/I</v>
      </c>
      <c r="F229" s="11" t="s">
        <v>991</v>
      </c>
      <c r="G229" s="11" t="s">
        <v>11</v>
      </c>
      <c r="H229" s="52" t="s">
        <v>1546</v>
      </c>
      <c r="I229" s="20" t="s">
        <v>1543</v>
      </c>
      <c r="J229" s="11">
        <v>108</v>
      </c>
      <c r="K229" s="11">
        <f>108</f>
        <v>108</v>
      </c>
      <c r="L229" s="11">
        <f t="shared" si="19"/>
        <v>0</v>
      </c>
      <c r="M229" s="131"/>
      <c r="O229" s="93">
        <v>46127</v>
      </c>
    </row>
    <row r="230" spans="1:16" ht="15" customHeight="1" x14ac:dyDescent="0.2">
      <c r="A230" s="11">
        <f t="shared" ca="1" si="18"/>
        <v>24</v>
      </c>
      <c r="C230" s="11" t="s">
        <v>32</v>
      </c>
      <c r="D230" s="11" t="str">
        <f>VLOOKUP(VALUE(MID($C230,13,2)), codigos!$A$2:$B$60, 2, 1) &amp; " " &amp; VLOOKUP(VALUE(MID($C230,15,4)), codigos!$E$2:$F$102, 2, FALSE)</f>
        <v>BAÑO 5</v>
      </c>
      <c r="E230" s="11" t="str">
        <f>VLOOKUP(VALUE(MID($C230,19,2)),codigos!$H$2:$I$62,2,1) &amp; " " &amp; VLOOKUP(VALUE(MID($C230,21,2)),codigos!$K$2:$L$12,2,FALSE)</f>
        <v>GALVANIZADO S/I</v>
      </c>
      <c r="F230" s="11" t="s">
        <v>1157</v>
      </c>
      <c r="G230" s="11" t="s">
        <v>34</v>
      </c>
      <c r="H230" s="52" t="s">
        <v>1552</v>
      </c>
      <c r="I230" s="20" t="s">
        <v>1512</v>
      </c>
      <c r="J230" s="11">
        <v>30</v>
      </c>
      <c r="K230" s="11">
        <v>0</v>
      </c>
      <c r="L230" s="11">
        <v>30</v>
      </c>
      <c r="M230" s="131">
        <f>(SUM(K230:K232))/(SUM(J230:J232))</f>
        <v>0</v>
      </c>
    </row>
    <row r="231" spans="1:16" x14ac:dyDescent="0.2">
      <c r="A231" s="11">
        <f t="shared" ca="1" si="18"/>
        <v>24</v>
      </c>
      <c r="C231" s="11" t="s">
        <v>37</v>
      </c>
      <c r="D231" s="11" t="str">
        <f>VLOOKUP(VALUE(MID($C231,13,2)), codigos!$A$2:$B$60, 2, 1) &amp; " " &amp; VLOOKUP(VALUE(MID($C231,15,4)), codigos!$E$2:$F$102, 2, FALSE)</f>
        <v>BAÑO 6</v>
      </c>
      <c r="E231" s="11" t="str">
        <f>VLOOKUP(VALUE(MID($C231,19,2)),codigos!$H$2:$I$62,2,1) &amp; " " &amp; VLOOKUP(VALUE(MID($C231,21,2)),codigos!$K$2:$L$12,2,FALSE)</f>
        <v>GALVANIZADO S/I</v>
      </c>
      <c r="F231" s="11" t="s">
        <v>1157</v>
      </c>
      <c r="G231" s="11" t="s">
        <v>34</v>
      </c>
      <c r="H231" s="52" t="s">
        <v>1552</v>
      </c>
      <c r="I231" s="20" t="s">
        <v>1512</v>
      </c>
      <c r="J231" s="11">
        <v>20</v>
      </c>
      <c r="K231" s="11">
        <v>0</v>
      </c>
      <c r="L231" s="11">
        <v>20</v>
      </c>
      <c r="M231" s="131"/>
    </row>
    <row r="232" spans="1:16" x14ac:dyDescent="0.2">
      <c r="A232" s="11">
        <f t="shared" ca="1" si="18"/>
        <v>24</v>
      </c>
      <c r="C232" s="11" t="s">
        <v>210</v>
      </c>
      <c r="D232" s="11" t="str">
        <f>VLOOKUP(VALUE(MID($C232,13,2)), codigos!$A$2:$B$60, 2, 1) &amp; " " &amp; VLOOKUP(VALUE(MID($C232,15,4)), codigos!$E$2:$F$102, 2, FALSE)</f>
        <v>BAÑO 8</v>
      </c>
      <c r="E232" s="11" t="str">
        <f>VLOOKUP(VALUE(MID($C232,19,2)),codigos!$H$2:$I$62,2,1) &amp; " " &amp; VLOOKUP(VALUE(MID($C232,21,2)),codigos!$K$2:$L$12,2,FALSE)</f>
        <v>GALVANIZADO S/I</v>
      </c>
      <c r="F232" s="11" t="s">
        <v>1157</v>
      </c>
      <c r="G232" s="11" t="s">
        <v>34</v>
      </c>
      <c r="H232" s="52" t="s">
        <v>1552</v>
      </c>
      <c r="I232" s="20" t="s">
        <v>1512</v>
      </c>
      <c r="J232" s="11">
        <v>20</v>
      </c>
      <c r="K232" s="11">
        <v>0</v>
      </c>
      <c r="L232" s="11">
        <v>20</v>
      </c>
      <c r="M232" s="131"/>
    </row>
    <row r="233" spans="1:16" ht="15" customHeight="1" x14ac:dyDescent="0.2">
      <c r="A233" s="11">
        <f t="shared" ca="1" si="18"/>
        <v>24</v>
      </c>
      <c r="C233" s="11" t="s">
        <v>344</v>
      </c>
      <c r="D233" s="11" t="str">
        <f>VLOOKUP(VALUE(MID($C233,13,2)), codigos!$A$2:$B$60, 2, 1) &amp; " " &amp; VLOOKUP(VALUE(MID($C233,15,4)), codigos!$E$2:$F$102, 2, FALSE)</f>
        <v>COMAL 36</v>
      </c>
      <c r="E233" s="11" t="str">
        <f>VLOOKUP(VALUE(MID($C233,19,2)),codigos!$H$2:$I$62,2,1) &amp; " " &amp; VLOOKUP(VALUE(MID($C233,21,2)),codigos!$K$2:$L$12,2,FALSE)</f>
        <v>NEGRO MOTAS S/I</v>
      </c>
      <c r="F233" s="11" t="s">
        <v>1156</v>
      </c>
      <c r="G233" s="11" t="s">
        <v>34</v>
      </c>
      <c r="H233" s="52" t="s">
        <v>1553</v>
      </c>
      <c r="I233" s="20" t="s">
        <v>1512</v>
      </c>
      <c r="J233" s="11">
        <v>120</v>
      </c>
      <c r="K233" s="11">
        <v>0</v>
      </c>
      <c r="L233" s="11">
        <f t="shared" ref="L233:L250" si="20">+J233-K233</f>
        <v>120</v>
      </c>
      <c r="M233" s="131">
        <f>(SUM(K233:K239))/(SUM(J233:J239))</f>
        <v>0.3105590062111801</v>
      </c>
      <c r="O233" s="93">
        <v>46127</v>
      </c>
    </row>
    <row r="234" spans="1:16" x14ac:dyDescent="0.2">
      <c r="A234" s="11">
        <f t="shared" ca="1" si="18"/>
        <v>24</v>
      </c>
      <c r="C234" s="11" t="s">
        <v>187</v>
      </c>
      <c r="D234" s="11" t="str">
        <f>VLOOKUP(VALUE(MID($C234,13,2)), codigos!$A$2:$B$60, 2, 1) &amp; " " &amp; VLOOKUP(VALUE(MID($C234,15,4)), codigos!$E$2:$F$102, 2, FALSE)</f>
        <v>OLLA CONVEXA 12</v>
      </c>
      <c r="E234" s="11" t="str">
        <f>VLOOKUP(VALUE(MID($C234,19,2)),codigos!$H$2:$I$62,2,1) &amp; " " &amp; VLOOKUP(VALUE(MID($C234,21,2)),codigos!$K$2:$L$12,2,FALSE)</f>
        <v>A/T S/I</v>
      </c>
      <c r="F234" s="11" t="s">
        <v>1156</v>
      </c>
      <c r="G234" s="11" t="s">
        <v>34</v>
      </c>
      <c r="H234" s="52" t="s">
        <v>1553</v>
      </c>
      <c r="I234" s="20" t="s">
        <v>1512</v>
      </c>
      <c r="J234" s="11">
        <v>180</v>
      </c>
      <c r="K234" s="11">
        <f>18</f>
        <v>18</v>
      </c>
      <c r="L234" s="11">
        <f t="shared" si="20"/>
        <v>162</v>
      </c>
      <c r="M234" s="131"/>
      <c r="O234" s="93">
        <v>46127</v>
      </c>
    </row>
    <row r="235" spans="1:16" x14ac:dyDescent="0.2">
      <c r="A235" s="11">
        <f t="shared" ca="1" si="18"/>
        <v>24</v>
      </c>
      <c r="C235" s="11" t="s">
        <v>333</v>
      </c>
      <c r="D235" s="11" t="str">
        <f>VLOOKUP(VALUE(MID($C235,13,2)), codigos!$A$2:$B$60, 2, 1) &amp; " " &amp; VLOOKUP(VALUE(MID($C235,15,4)), codigos!$E$2:$F$102, 2, FALSE)</f>
        <v>OLLA CONVEXA 14</v>
      </c>
      <c r="E235" s="11" t="str">
        <f>VLOOKUP(VALUE(MID($C235,19,2)),codigos!$H$2:$I$62,2,1) &amp; " " &amp; VLOOKUP(VALUE(MID($C235,21,2)),codigos!$K$2:$L$12,2,FALSE)</f>
        <v>A/T S/I</v>
      </c>
      <c r="F235" s="11" t="s">
        <v>1156</v>
      </c>
      <c r="G235" s="11" t="s">
        <v>34</v>
      </c>
      <c r="H235" s="52" t="s">
        <v>1553</v>
      </c>
      <c r="I235" s="20" t="s">
        <v>1512</v>
      </c>
      <c r="J235" s="11">
        <v>162</v>
      </c>
      <c r="K235" s="11">
        <f>6</f>
        <v>6</v>
      </c>
      <c r="L235" s="11">
        <f t="shared" si="20"/>
        <v>156</v>
      </c>
      <c r="M235" s="131"/>
      <c r="O235" s="93">
        <v>46127</v>
      </c>
    </row>
    <row r="236" spans="1:16" x14ac:dyDescent="0.2">
      <c r="A236" s="11">
        <f t="shared" ca="1" si="18"/>
        <v>24</v>
      </c>
      <c r="C236" s="11" t="s">
        <v>220</v>
      </c>
      <c r="D236" s="11" t="str">
        <f>VLOOKUP(VALUE(MID($C236,13,2)), codigos!$A$2:$B$60, 2, 1) &amp; " " &amp; VLOOKUP(VALUE(MID($C236,15,4)), codigos!$E$2:$F$102, 2, FALSE)</f>
        <v>OLLA CONVEXA 16</v>
      </c>
      <c r="E236" s="11" t="str">
        <f>VLOOKUP(VALUE(MID($C236,19,2)),codigos!$H$2:$I$62,2,1) &amp; " " &amp; VLOOKUP(VALUE(MID($C236,21,2)),codigos!$K$2:$L$12,2,FALSE)</f>
        <v>A/T S/I</v>
      </c>
      <c r="F236" s="11" t="s">
        <v>1156</v>
      </c>
      <c r="G236" s="11" t="s">
        <v>34</v>
      </c>
      <c r="H236" s="52" t="s">
        <v>1553</v>
      </c>
      <c r="I236" s="20" t="s">
        <v>1512</v>
      </c>
      <c r="J236" s="11">
        <v>120</v>
      </c>
      <c r="K236" s="11">
        <f>12+108</f>
        <v>120</v>
      </c>
      <c r="L236" s="11">
        <f t="shared" si="20"/>
        <v>0</v>
      </c>
      <c r="M236" s="131"/>
      <c r="O236" s="93">
        <v>46127</v>
      </c>
    </row>
    <row r="237" spans="1:16" x14ac:dyDescent="0.2">
      <c r="A237" s="11">
        <f t="shared" ca="1" si="18"/>
        <v>24</v>
      </c>
      <c r="C237" s="11" t="s">
        <v>151</v>
      </c>
      <c r="D237" s="11" t="str">
        <f>VLOOKUP(VALUE(MID($C237,13,2)), codigos!$A$2:$B$60, 2, 1) &amp; " " &amp; VLOOKUP(VALUE(MID($C237,15,4)), codigos!$E$2:$F$102, 2, FALSE)</f>
        <v>OLLA CONVEXA 20</v>
      </c>
      <c r="E237" s="11" t="str">
        <f>VLOOKUP(VALUE(MID($C237,19,2)),codigos!$H$2:$I$62,2,1) &amp; " " &amp; VLOOKUP(VALUE(MID($C237,21,2)),codigos!$K$2:$L$12,2,FALSE)</f>
        <v>A/T S/I</v>
      </c>
      <c r="F237" s="11" t="s">
        <v>1156</v>
      </c>
      <c r="G237" s="11" t="s">
        <v>34</v>
      </c>
      <c r="H237" s="52" t="s">
        <v>1553</v>
      </c>
      <c r="I237" s="20" t="s">
        <v>1512</v>
      </c>
      <c r="J237" s="11">
        <v>120</v>
      </c>
      <c r="K237" s="11">
        <f>96+24</f>
        <v>120</v>
      </c>
      <c r="L237" s="11">
        <f t="shared" si="20"/>
        <v>0</v>
      </c>
      <c r="M237" s="131"/>
      <c r="O237" s="93">
        <v>46127</v>
      </c>
    </row>
    <row r="238" spans="1:16" x14ac:dyDescent="0.2">
      <c r="A238" s="11">
        <f t="shared" ca="1" si="18"/>
        <v>24</v>
      </c>
      <c r="C238" s="11" t="s">
        <v>129</v>
      </c>
      <c r="D238" s="11" t="str">
        <f>VLOOKUP(VALUE(MID($C238,13,2)), codigos!$A$2:$B$60, 2, 1) &amp; " " &amp; VLOOKUP(VALUE(MID($C238,15,4)), codigos!$E$2:$F$102, 2, FALSE)</f>
        <v>POCILLO 14</v>
      </c>
      <c r="E238" s="11" t="str">
        <f>VLOOKUP(VALUE(MID($C238,19,2)),codigos!$H$2:$I$62,2,1) &amp; " " &amp; VLOOKUP(VALUE(MID($C238,21,2)),codigos!$K$2:$L$12,2,FALSE)</f>
        <v>BICOLOR NARANJA S/I</v>
      </c>
      <c r="F238" s="11" t="s">
        <v>1156</v>
      </c>
      <c r="G238" s="11" t="s">
        <v>34</v>
      </c>
      <c r="H238" s="52" t="s">
        <v>1553</v>
      </c>
      <c r="I238" s="20" t="s">
        <v>1512</v>
      </c>
      <c r="J238" s="11">
        <v>36</v>
      </c>
      <c r="K238" s="11">
        <f>36</f>
        <v>36</v>
      </c>
      <c r="L238" s="11">
        <f t="shared" si="20"/>
        <v>0</v>
      </c>
      <c r="M238" s="131"/>
      <c r="O238" s="93">
        <v>46127</v>
      </c>
    </row>
    <row r="239" spans="1:16" x14ac:dyDescent="0.2">
      <c r="A239" s="11">
        <f t="shared" ca="1" si="18"/>
        <v>24</v>
      </c>
      <c r="C239" s="11" t="s">
        <v>83</v>
      </c>
      <c r="D239" s="11" t="str">
        <f>VLOOKUP(VALUE(MID($C239,13,2)), codigos!$A$2:$B$60, 2, 1) &amp; " " &amp; VLOOKUP(VALUE(MID($C239,15,4)), codigos!$E$2:$F$102, 2, FALSE)</f>
        <v>TAZON 15.5</v>
      </c>
      <c r="E239" s="11" t="str">
        <f>VLOOKUP(VALUE(MID($C239,19,2)),codigos!$H$2:$I$62,2,1) &amp; " " &amp; VLOOKUP(VALUE(MID($C239,21,2)),codigos!$K$2:$L$12,2,FALSE)</f>
        <v>BLANCO  NEGRO</v>
      </c>
      <c r="F239" s="11" t="s">
        <v>1156</v>
      </c>
      <c r="G239" s="11" t="s">
        <v>34</v>
      </c>
      <c r="H239" s="52" t="s">
        <v>1553</v>
      </c>
      <c r="I239" s="20" t="s">
        <v>1512</v>
      </c>
      <c r="J239" s="11">
        <v>228</v>
      </c>
      <c r="K239" s="11">
        <v>0</v>
      </c>
      <c r="L239" s="11">
        <f t="shared" si="20"/>
        <v>228</v>
      </c>
      <c r="M239" s="131"/>
      <c r="O239" s="93">
        <v>46127</v>
      </c>
    </row>
    <row r="240" spans="1:16" x14ac:dyDescent="0.2">
      <c r="A240" s="11">
        <f t="shared" ref="A240:A262" ca="1" si="21">DAYS360(I240,$B$1)</f>
        <v>11</v>
      </c>
      <c r="C240" s="11" t="s">
        <v>954</v>
      </c>
      <c r="D240" s="11" t="str">
        <f>VLOOKUP(VALUE(MID($C240,13,2)), codigos!$A$2:$B$60, 2, 1) &amp; " " &amp; VLOOKUP(VALUE(MID($C240,15,4)), codigos!$E$2:$F$102, 2, FALSE)</f>
        <v>BUDINERA 24</v>
      </c>
      <c r="E240" s="11" t="str">
        <f>VLOOKUP(VALUE(MID($C240,19,2)),codigos!$H$2:$I$62,2,1) &amp; " " &amp; VLOOKUP(VALUE(MID($C240,21,2)),codigos!$K$2:$L$12,2,FALSE)</f>
        <v>NAVY S/I</v>
      </c>
      <c r="F240" s="11" t="s">
        <v>113</v>
      </c>
      <c r="G240" s="11" t="s">
        <v>114</v>
      </c>
      <c r="H240" s="52" t="s">
        <v>1562</v>
      </c>
      <c r="I240" s="20" t="s">
        <v>1563</v>
      </c>
      <c r="J240" s="11">
        <v>879</v>
      </c>
      <c r="K240" s="11">
        <f>269</f>
        <v>269</v>
      </c>
      <c r="L240" s="11">
        <f t="shared" si="20"/>
        <v>610</v>
      </c>
      <c r="M240" s="131">
        <f>(SUM(K240:K247))/(SUM(J240:J247))</f>
        <v>0.20332971407889974</v>
      </c>
      <c r="O240" s="93">
        <v>46156</v>
      </c>
      <c r="P240" s="93">
        <v>46157</v>
      </c>
    </row>
    <row r="241" spans="1:16" x14ac:dyDescent="0.2">
      <c r="A241" s="11">
        <f t="shared" ca="1" si="21"/>
        <v>11</v>
      </c>
      <c r="C241" s="11" t="s">
        <v>956</v>
      </c>
      <c r="D241" s="11" t="str">
        <f>VLOOKUP(VALUE(MID($C241,13,2)), codigos!$A$2:$B$60, 2, 1) &amp; " " &amp; VLOOKUP(VALUE(MID($C241,15,4)), codigos!$E$2:$F$102, 2, FALSE)</f>
        <v>CAZO 14</v>
      </c>
      <c r="E241" s="11" t="str">
        <f>VLOOKUP(VALUE(MID($C241,19,2)),codigos!$H$2:$I$62,2,1) &amp; " " &amp; VLOOKUP(VALUE(MID($C241,21,2)),codigos!$K$2:$L$12,2,FALSE)</f>
        <v>NAVY S/I</v>
      </c>
      <c r="F241" s="11" t="s">
        <v>113</v>
      </c>
      <c r="G241" s="11" t="s">
        <v>114</v>
      </c>
      <c r="H241" s="52" t="s">
        <v>1562</v>
      </c>
      <c r="I241" s="20" t="s">
        <v>1563</v>
      </c>
      <c r="J241" s="11">
        <v>4740</v>
      </c>
      <c r="K241" s="11">
        <f>1349</f>
        <v>1349</v>
      </c>
      <c r="L241" s="11">
        <f t="shared" si="20"/>
        <v>3391</v>
      </c>
      <c r="M241" s="131"/>
      <c r="O241" s="93">
        <v>46156</v>
      </c>
      <c r="P241" s="93">
        <v>46157</v>
      </c>
    </row>
    <row r="242" spans="1:16" x14ac:dyDescent="0.2">
      <c r="A242" s="11">
        <f t="shared" ca="1" si="21"/>
        <v>11</v>
      </c>
      <c r="C242" s="11" t="s">
        <v>957</v>
      </c>
      <c r="D242" s="11" t="str">
        <f>VLOOKUP(VALUE(MID($C242,13,2)), codigos!$A$2:$B$60, 2, 1) &amp; " " &amp; VLOOKUP(VALUE(MID($C242,15,4)), codigos!$E$2:$F$102, 2, FALSE)</f>
        <v>OLLA RECTA 24</v>
      </c>
      <c r="E242" s="11" t="str">
        <f>VLOOKUP(VALUE(MID($C242,19,2)),codigos!$H$2:$I$62,2,1) &amp; " " &amp; VLOOKUP(VALUE(MID($C242,21,2)),codigos!$K$2:$L$12,2,FALSE)</f>
        <v>NAVY S/I</v>
      </c>
      <c r="F242" s="11" t="s">
        <v>113</v>
      </c>
      <c r="G242" s="11" t="s">
        <v>114</v>
      </c>
      <c r="H242" s="52" t="s">
        <v>1562</v>
      </c>
      <c r="I242" s="20" t="s">
        <v>1563</v>
      </c>
      <c r="J242" s="11">
        <v>616</v>
      </c>
      <c r="K242" s="11">
        <f>31</f>
        <v>31</v>
      </c>
      <c r="L242" s="11">
        <f t="shared" si="20"/>
        <v>585</v>
      </c>
      <c r="M242" s="131"/>
      <c r="O242" s="93">
        <v>46156</v>
      </c>
      <c r="P242" s="93">
        <v>46157</v>
      </c>
    </row>
    <row r="243" spans="1:16" x14ac:dyDescent="0.2">
      <c r="A243" s="11">
        <f t="shared" ca="1" si="21"/>
        <v>11</v>
      </c>
      <c r="C243" s="11" t="s">
        <v>116</v>
      </c>
      <c r="D243" s="11" t="str">
        <f>VLOOKUP(VALUE(MID($C243,13,2)), codigos!$A$2:$B$60, 2, 1) &amp; " " &amp; VLOOKUP(VALUE(MID($C243,15,4)), codigos!$E$2:$F$102, 2, FALSE)</f>
        <v>OLLA RECTA 28</v>
      </c>
      <c r="E243" s="11" t="str">
        <f>VLOOKUP(VALUE(MID($C243,19,2)),codigos!$H$2:$I$62,2,1) &amp; " " &amp; VLOOKUP(VALUE(MID($C243,21,2)),codigos!$K$2:$L$12,2,FALSE)</f>
        <v>NAVY S/I</v>
      </c>
      <c r="F243" s="11" t="s">
        <v>113</v>
      </c>
      <c r="G243" s="11" t="s">
        <v>114</v>
      </c>
      <c r="H243" s="52" t="s">
        <v>1562</v>
      </c>
      <c r="I243" s="20" t="s">
        <v>1563</v>
      </c>
      <c r="J243" s="11">
        <v>1970</v>
      </c>
      <c r="K243" s="11">
        <f>467</f>
        <v>467</v>
      </c>
      <c r="L243" s="11">
        <f t="shared" si="20"/>
        <v>1503</v>
      </c>
      <c r="M243" s="131"/>
      <c r="O243" s="93">
        <v>46156</v>
      </c>
      <c r="P243" s="93">
        <v>46157</v>
      </c>
    </row>
    <row r="244" spans="1:16" x14ac:dyDescent="0.2">
      <c r="A244" s="11">
        <f t="shared" ca="1" si="21"/>
        <v>11</v>
      </c>
      <c r="C244" s="11" t="s">
        <v>117</v>
      </c>
      <c r="D244" s="11" t="str">
        <f>VLOOKUP(VALUE(MID($C244,13,2)), codigos!$A$2:$B$60, 2, 1) &amp; " " &amp; VLOOKUP(VALUE(MID($C244,15,4)), codigos!$E$2:$F$102, 2, FALSE)</f>
        <v>POCILLO 12</v>
      </c>
      <c r="E244" s="11" t="str">
        <f>VLOOKUP(VALUE(MID($C244,19,2)),codigos!$H$2:$I$62,2,1) &amp; " " &amp; VLOOKUP(VALUE(MID($C244,21,2)),codigos!$K$2:$L$12,2,FALSE)</f>
        <v>NAVY (WM) S/I</v>
      </c>
      <c r="F244" s="11" t="s">
        <v>113</v>
      </c>
      <c r="G244" s="11" t="s">
        <v>114</v>
      </c>
      <c r="H244" s="52" t="s">
        <v>1562</v>
      </c>
      <c r="I244" s="20" t="s">
        <v>1563</v>
      </c>
      <c r="J244" s="11">
        <v>474</v>
      </c>
      <c r="K244" s="11">
        <f>474</f>
        <v>474</v>
      </c>
      <c r="L244" s="11">
        <f t="shared" si="20"/>
        <v>0</v>
      </c>
      <c r="M244" s="131"/>
      <c r="O244" s="93">
        <v>46156</v>
      </c>
      <c r="P244" s="93">
        <v>46157</v>
      </c>
    </row>
    <row r="245" spans="1:16" x14ac:dyDescent="0.2">
      <c r="A245" s="11">
        <f t="shared" ca="1" si="21"/>
        <v>11</v>
      </c>
      <c r="C245" s="11" t="s">
        <v>118</v>
      </c>
      <c r="D245" s="11" t="str">
        <f>VLOOKUP(VALUE(MID($C245,13,2)), codigos!$A$2:$B$60, 2, 1) &amp; " " &amp; VLOOKUP(VALUE(MID($C245,15,4)), codigos!$E$2:$F$102, 2, FALSE)</f>
        <v>VAPORERA 30</v>
      </c>
      <c r="E245" s="11" t="str">
        <f>VLOOKUP(VALUE(MID($C245,19,2)),codigos!$H$2:$I$62,2,1) &amp; " " &amp; VLOOKUP(VALUE(MID($C245,21,2)),codigos!$K$2:$L$12,2,FALSE)</f>
        <v>NAVY S/I</v>
      </c>
      <c r="F245" s="11" t="s">
        <v>113</v>
      </c>
      <c r="G245" s="11" t="s">
        <v>114</v>
      </c>
      <c r="H245" s="52" t="s">
        <v>1562</v>
      </c>
      <c r="I245" s="20" t="s">
        <v>1563</v>
      </c>
      <c r="J245" s="11">
        <v>374</v>
      </c>
      <c r="K245" s="11">
        <f>106</f>
        <v>106</v>
      </c>
      <c r="L245" s="11">
        <f t="shared" si="20"/>
        <v>268</v>
      </c>
      <c r="M245" s="131"/>
      <c r="O245" s="93">
        <v>46156</v>
      </c>
      <c r="P245" s="93">
        <v>46157</v>
      </c>
    </row>
    <row r="246" spans="1:16" x14ac:dyDescent="0.2">
      <c r="A246" s="11">
        <f t="shared" ca="1" si="21"/>
        <v>11</v>
      </c>
      <c r="C246" s="11" t="s">
        <v>1564</v>
      </c>
      <c r="D246" s="11" t="str">
        <f>VLOOKUP(VALUE(MID($C246,13,2)), codigos!$A$2:$B$60, 2, 1) &amp; " " &amp; VLOOKUP(VALUE(MID($C246,15,4)), codigos!$E$2:$F$102, 2, FALSE)</f>
        <v>COMAL 28</v>
      </c>
      <c r="E246" s="11" t="str">
        <f>VLOOKUP(VALUE(MID($C246,19,2)),codigos!$H$2:$I$62,2,1) &amp; " " &amp; VLOOKUP(VALUE(MID($C246,21,2)),codigos!$K$2:$L$12,2,FALSE)</f>
        <v>NAVY S/I</v>
      </c>
      <c r="F246" s="11" t="s">
        <v>113</v>
      </c>
      <c r="G246" s="11" t="s">
        <v>114</v>
      </c>
      <c r="H246" s="52" t="s">
        <v>1562</v>
      </c>
      <c r="I246" s="20" t="s">
        <v>1563</v>
      </c>
      <c r="J246" s="11">
        <v>978</v>
      </c>
      <c r="K246" s="11">
        <v>0</v>
      </c>
      <c r="L246" s="11">
        <f t="shared" si="20"/>
        <v>978</v>
      </c>
      <c r="M246" s="131"/>
      <c r="O246" s="93">
        <v>46156</v>
      </c>
      <c r="P246" s="93">
        <v>46157</v>
      </c>
    </row>
    <row r="247" spans="1:16" x14ac:dyDescent="0.2">
      <c r="A247" s="11">
        <f t="shared" ca="1" si="21"/>
        <v>11</v>
      </c>
      <c r="C247" s="11" t="s">
        <v>119</v>
      </c>
      <c r="D247" s="11" t="str">
        <f>VLOOKUP(VALUE(MID($C247,13,2)), codigos!$A$2:$B$60, 2, 1) &amp; " " &amp; VLOOKUP(VALUE(MID($C247,15,4)), codigos!$E$2:$F$102, 2, FALSE)</f>
        <v>OLLA RECTA 20</v>
      </c>
      <c r="E247" s="11" t="str">
        <f>VLOOKUP(VALUE(MID($C247,19,2)),codigos!$H$2:$I$62,2,1) &amp; " " &amp; VLOOKUP(VALUE(MID($C247,21,2)),codigos!$K$2:$L$12,2,FALSE)</f>
        <v>NAVY S/I</v>
      </c>
      <c r="F247" s="11" t="s">
        <v>113</v>
      </c>
      <c r="G247" s="11" t="s">
        <v>114</v>
      </c>
      <c r="H247" s="52" t="s">
        <v>1562</v>
      </c>
      <c r="I247" s="20" t="s">
        <v>1563</v>
      </c>
      <c r="J247" s="11">
        <v>3784</v>
      </c>
      <c r="K247" s="11">
        <f>113</f>
        <v>113</v>
      </c>
      <c r="L247" s="11">
        <f t="shared" si="20"/>
        <v>3671</v>
      </c>
      <c r="M247" s="131"/>
      <c r="O247" s="93">
        <v>46156</v>
      </c>
      <c r="P247" s="93">
        <v>46157</v>
      </c>
    </row>
    <row r="248" spans="1:16" ht="15" customHeight="1" x14ac:dyDescent="0.2">
      <c r="A248" s="11">
        <f t="shared" ca="1" si="21"/>
        <v>42</v>
      </c>
      <c r="C248" s="11" t="s">
        <v>143</v>
      </c>
      <c r="D248" s="11" t="str">
        <f>VLOOKUP(VALUE(MID($C248,13,2)), codigos!$A$2:$B$60, 2, 1) &amp; " " &amp; VLOOKUP(VALUE(MID($C248,15,4)), codigos!$E$2:$F$102, 2, FALSE)</f>
        <v>BUDINERA 24</v>
      </c>
      <c r="E248" s="11" t="str">
        <f>VLOOKUP(VALUE(MID($C248,19,2)),codigos!$H$2:$I$62,2,1) &amp; " " &amp; VLOOKUP(VALUE(MID($C248,21,2)),codigos!$K$2:$L$12,2,FALSE)</f>
        <v>A/T S/I</v>
      </c>
      <c r="F248" s="11" t="s">
        <v>471</v>
      </c>
      <c r="G248" s="11" t="s">
        <v>34</v>
      </c>
      <c r="H248" s="52" t="s">
        <v>1567</v>
      </c>
      <c r="I248" s="20" t="s">
        <v>1387</v>
      </c>
      <c r="J248" s="11">
        <v>60</v>
      </c>
      <c r="K248" s="11">
        <f>2+48+10</f>
        <v>60</v>
      </c>
      <c r="L248" s="11">
        <f t="shared" si="20"/>
        <v>0</v>
      </c>
      <c r="M248" s="131">
        <f>(SUM(K248:K252))/(SUM(J248:J252))</f>
        <v>0.80769230769230771</v>
      </c>
    </row>
    <row r="249" spans="1:16" x14ac:dyDescent="0.2">
      <c r="A249" s="11">
        <f t="shared" ca="1" si="21"/>
        <v>42</v>
      </c>
      <c r="C249" s="11" t="s">
        <v>332</v>
      </c>
      <c r="D249" s="11" t="str">
        <f>VLOOKUP(VALUE(MID($C249,13,2)), codigos!$A$2:$B$60, 2, 1) &amp; " " &amp; VLOOKUP(VALUE(MID($C249,15,4)), codigos!$E$2:$F$102, 2, FALSE)</f>
        <v>BUDINERA 24</v>
      </c>
      <c r="E249" s="11" t="str">
        <f>VLOOKUP(VALUE(MID($C249,19,2)),codigos!$H$2:$I$62,2,1) &amp; " " &amp; VLOOKUP(VALUE(MID($C249,21,2)),codigos!$K$2:$L$12,2,FALSE)</f>
        <v>BICOLOR ROJO S/I</v>
      </c>
      <c r="F249" s="11" t="s">
        <v>471</v>
      </c>
      <c r="G249" s="11" t="s">
        <v>34</v>
      </c>
      <c r="H249" s="52" t="s">
        <v>1567</v>
      </c>
      <c r="I249" s="20" t="s">
        <v>1387</v>
      </c>
      <c r="J249" s="11">
        <v>4</v>
      </c>
      <c r="K249" s="11">
        <f>4</f>
        <v>4</v>
      </c>
      <c r="L249" s="11">
        <f t="shared" si="20"/>
        <v>0</v>
      </c>
      <c r="M249" s="131"/>
    </row>
    <row r="250" spans="1:16" x14ac:dyDescent="0.2">
      <c r="A250" s="11">
        <f t="shared" ca="1" si="21"/>
        <v>42</v>
      </c>
      <c r="C250" s="11" t="s">
        <v>173</v>
      </c>
      <c r="D250" s="11" t="str">
        <f>VLOOKUP(VALUE(MID($C250,13,2)), codigos!$A$2:$B$60, 2, 1) &amp; " " &amp; VLOOKUP(VALUE(MID($C250,15,4)), codigos!$E$2:$F$102, 2, FALSE)</f>
        <v>BUDINERA 34</v>
      </c>
      <c r="E250" s="11" t="str">
        <f>VLOOKUP(VALUE(MID($C250,19,2)),codigos!$H$2:$I$62,2,1) &amp; " " &amp; VLOOKUP(VALUE(MID($C250,21,2)),codigos!$K$2:$L$12,2,FALSE)</f>
        <v>A/T S/I</v>
      </c>
      <c r="F250" s="11" t="s">
        <v>471</v>
      </c>
      <c r="G250" s="11" t="s">
        <v>34</v>
      </c>
      <c r="H250" s="52" t="s">
        <v>1567</v>
      </c>
      <c r="I250" s="20" t="s">
        <v>1387</v>
      </c>
      <c r="J250" s="11">
        <v>20</v>
      </c>
      <c r="K250" s="11">
        <v>0</v>
      </c>
      <c r="L250" s="11">
        <f t="shared" si="20"/>
        <v>20</v>
      </c>
      <c r="M250" s="131"/>
    </row>
    <row r="251" spans="1:16" x14ac:dyDescent="0.2">
      <c r="A251" s="11">
        <f t="shared" ca="1" si="21"/>
        <v>42</v>
      </c>
      <c r="C251" s="11" t="s">
        <v>175</v>
      </c>
      <c r="D251" s="11" t="str">
        <f>VLOOKUP(VALUE(MID($C251,13,2)), codigos!$A$2:$B$60, 2, 1) &amp; " " &amp; VLOOKUP(VALUE(MID($C251,15,4)), codigos!$E$2:$F$102, 2, FALSE)</f>
        <v>JUEGO 3+3</v>
      </c>
      <c r="E251" s="11" t="str">
        <f>VLOOKUP(VALUE(MID($C251,19,2)),codigos!$H$2:$I$62,2,1) &amp; " " &amp; VLOOKUP(VALUE(MID($C251,21,2)),codigos!$K$2:$L$12,2,FALSE)</f>
        <v>S/I S/I</v>
      </c>
      <c r="F251" s="11" t="s">
        <v>471</v>
      </c>
      <c r="G251" s="11" t="s">
        <v>34</v>
      </c>
      <c r="H251" s="52" t="s">
        <v>1567</v>
      </c>
      <c r="I251" s="20" t="s">
        <v>1387</v>
      </c>
      <c r="J251" s="11">
        <v>10</v>
      </c>
      <c r="K251" s="11">
        <f>10</f>
        <v>10</v>
      </c>
      <c r="L251" s="11">
        <f t="shared" ref="L251:L314" si="22">+J251-K251</f>
        <v>0</v>
      </c>
      <c r="M251" s="131"/>
    </row>
    <row r="252" spans="1:16" x14ac:dyDescent="0.2">
      <c r="A252" s="11">
        <f t="shared" ca="1" si="21"/>
        <v>42</v>
      </c>
      <c r="C252" s="11" t="s">
        <v>394</v>
      </c>
      <c r="D252" s="11" t="str">
        <f>VLOOKUP(VALUE(MID($C252,13,2)), codigos!$A$2:$B$60, 2, 1) &amp; " " &amp; VLOOKUP(VALUE(MID($C252,15,4)), codigos!$E$2:$F$102, 2, FALSE)</f>
        <v>JUEGO 5+5</v>
      </c>
      <c r="E252" s="11" t="str">
        <f>VLOOKUP(VALUE(MID($C252,19,2)),codigos!$H$2:$I$62,2,1) &amp; " " &amp; VLOOKUP(VALUE(MID($C252,21,2)),codigos!$K$2:$L$12,2,FALSE)</f>
        <v>S/I S/I</v>
      </c>
      <c r="F252" s="11" t="s">
        <v>471</v>
      </c>
      <c r="G252" s="11" t="s">
        <v>34</v>
      </c>
      <c r="H252" s="52" t="s">
        <v>1567</v>
      </c>
      <c r="I252" s="20" t="s">
        <v>1387</v>
      </c>
      <c r="J252" s="11">
        <v>10</v>
      </c>
      <c r="K252" s="11">
        <f>10</f>
        <v>10</v>
      </c>
      <c r="L252" s="11">
        <f t="shared" si="22"/>
        <v>0</v>
      </c>
      <c r="M252" s="131"/>
    </row>
    <row r="253" spans="1:16" ht="15" customHeight="1" x14ac:dyDescent="0.2">
      <c r="A253" s="11">
        <f t="shared" ca="1" si="21"/>
        <v>42</v>
      </c>
      <c r="C253" s="11" t="s">
        <v>484</v>
      </c>
      <c r="D253" s="11" t="str">
        <f>VLOOKUP(VALUE(MID($C253,13,2)), codigos!$A$2:$B$60, 2, 1) &amp; " " &amp; VLOOKUP(VALUE(MID($C253,15,4)), codigos!$E$2:$F$102, 2, FALSE)</f>
        <v>BUDINERA 20</v>
      </c>
      <c r="E253" s="11" t="str">
        <f>VLOOKUP(VALUE(MID($C253,19,2)),codigos!$H$2:$I$62,2,1) &amp; " " &amp; VLOOKUP(VALUE(MID($C253,21,2)),codigos!$K$2:$L$12,2,FALSE)</f>
        <v>BICOLOR NARANJA S/I</v>
      </c>
      <c r="F253" s="11" t="s">
        <v>471</v>
      </c>
      <c r="G253" s="11" t="s">
        <v>34</v>
      </c>
      <c r="H253" s="52" t="s">
        <v>1565</v>
      </c>
      <c r="I253" s="18">
        <v>46069</v>
      </c>
      <c r="J253" s="11">
        <v>36</v>
      </c>
      <c r="K253" s="11">
        <v>0</v>
      </c>
      <c r="L253" s="11">
        <f t="shared" si="22"/>
        <v>36</v>
      </c>
      <c r="M253" s="132">
        <f>(SUM(K253:K348))/(SUM(J253:J348))</f>
        <v>0.54415622267560482</v>
      </c>
    </row>
    <row r="254" spans="1:16" x14ac:dyDescent="0.2">
      <c r="A254" s="11">
        <f t="shared" ca="1" si="21"/>
        <v>42</v>
      </c>
      <c r="C254" s="11" t="s">
        <v>151</v>
      </c>
      <c r="D254" s="11" t="str">
        <f>VLOOKUP(VALUE(MID($C254,13,2)), codigos!$A$2:$B$60, 2, 1) &amp; " " &amp; VLOOKUP(VALUE(MID($C254,15,4)), codigos!$E$2:$F$102, 2, FALSE)</f>
        <v>OLLA CONVEXA 20</v>
      </c>
      <c r="E254" s="11" t="str">
        <f>VLOOKUP(VALUE(MID($C254,19,2)),codigos!$H$2:$I$62,2,1) &amp; " " &amp; VLOOKUP(VALUE(MID($C254,21,2)),codigos!$K$2:$L$12,2,FALSE)</f>
        <v>A/T S/I</v>
      </c>
      <c r="F254" s="11" t="s">
        <v>471</v>
      </c>
      <c r="G254" s="11" t="s">
        <v>34</v>
      </c>
      <c r="H254" s="52" t="s">
        <v>1565</v>
      </c>
      <c r="I254" s="20" t="s">
        <v>1387</v>
      </c>
      <c r="J254" s="11">
        <v>60</v>
      </c>
      <c r="K254" s="11">
        <f>24+36</f>
        <v>60</v>
      </c>
      <c r="L254" s="11">
        <f t="shared" si="22"/>
        <v>0</v>
      </c>
      <c r="M254" s="133"/>
    </row>
    <row r="255" spans="1:16" x14ac:dyDescent="0.2">
      <c r="A255" s="11">
        <f t="shared" ca="1" si="21"/>
        <v>42</v>
      </c>
      <c r="C255" s="11" t="s">
        <v>153</v>
      </c>
      <c r="D255" s="11" t="str">
        <f>VLOOKUP(VALUE(MID($C255,13,2)), codigos!$A$2:$B$60, 2, 1) &amp; " " &amp; VLOOKUP(VALUE(MID($C255,15,4)), codigos!$E$2:$F$102, 2, FALSE)</f>
        <v>OLLA CONVEXA 26</v>
      </c>
      <c r="E255" s="11" t="str">
        <f>VLOOKUP(VALUE(MID($C255,19,2)),codigos!$H$2:$I$62,2,1) &amp; " " &amp; VLOOKUP(VALUE(MID($C255,21,2)),codigos!$K$2:$L$12,2,FALSE)</f>
        <v>A/T S/I</v>
      </c>
      <c r="F255" s="11" t="s">
        <v>471</v>
      </c>
      <c r="G255" s="11" t="s">
        <v>34</v>
      </c>
      <c r="H255" s="52" t="s">
        <v>1565</v>
      </c>
      <c r="I255" s="20" t="s">
        <v>1387</v>
      </c>
      <c r="J255" s="11">
        <v>30</v>
      </c>
      <c r="K255" s="11">
        <f>2+18+12</f>
        <v>32</v>
      </c>
      <c r="L255" s="11">
        <f t="shared" si="22"/>
        <v>-2</v>
      </c>
      <c r="M255" s="133"/>
    </row>
    <row r="256" spans="1:16" x14ac:dyDescent="0.2">
      <c r="A256" s="11">
        <f t="shared" ca="1" si="21"/>
        <v>42</v>
      </c>
      <c r="C256" s="11" t="s">
        <v>182</v>
      </c>
      <c r="D256" s="11" t="str">
        <f>VLOOKUP(VALUE(MID($C256,13,2)), codigos!$A$2:$B$60, 2, 1) &amp; " " &amp; VLOOKUP(VALUE(MID($C256,15,4)), codigos!$E$2:$F$102, 2, FALSE)</f>
        <v>POCILLO 14</v>
      </c>
      <c r="E256" s="11" t="str">
        <f>VLOOKUP(VALUE(MID($C256,19,2)),codigos!$H$2:$I$62,2,1) &amp; " " &amp; VLOOKUP(VALUE(MID($C256,21,2)),codigos!$K$2:$L$12,2,FALSE)</f>
        <v>A/T S/I</v>
      </c>
      <c r="F256" s="11" t="s">
        <v>471</v>
      </c>
      <c r="G256" s="11" t="s">
        <v>34</v>
      </c>
      <c r="H256" s="52" t="s">
        <v>1565</v>
      </c>
      <c r="I256" s="20" t="s">
        <v>1387</v>
      </c>
      <c r="J256" s="11">
        <v>78</v>
      </c>
      <c r="K256" s="11">
        <f>30+5+43</f>
        <v>78</v>
      </c>
      <c r="L256" s="11">
        <f t="shared" si="22"/>
        <v>0</v>
      </c>
      <c r="M256" s="133"/>
    </row>
    <row r="257" spans="1:13" x14ac:dyDescent="0.2">
      <c r="A257" s="11">
        <f t="shared" ca="1" si="21"/>
        <v>42</v>
      </c>
      <c r="C257" s="11" t="s">
        <v>44</v>
      </c>
      <c r="D257" s="11" t="str">
        <f>VLOOKUP(VALUE(MID($C257,13,2)), codigos!$A$2:$B$60, 2, 1) &amp; " " &amp; VLOOKUP(VALUE(MID($C257,15,4)), codigos!$E$2:$F$102, 2, FALSE)</f>
        <v>SARTEN 24</v>
      </c>
      <c r="E257" s="11" t="str">
        <f>VLOOKUP(VALUE(MID($C257,19,2)),codigos!$H$2:$I$62,2,1) &amp; " " &amp; VLOOKUP(VALUE(MID($C257,21,2)),codigos!$K$2:$L$12,2,FALSE)</f>
        <v>A/T S/I</v>
      </c>
      <c r="F257" s="11" t="s">
        <v>471</v>
      </c>
      <c r="G257" s="11" t="s">
        <v>34</v>
      </c>
      <c r="H257" s="52" t="s">
        <v>1565</v>
      </c>
      <c r="I257" s="20" t="s">
        <v>1387</v>
      </c>
      <c r="J257" s="11">
        <v>60</v>
      </c>
      <c r="K257" s="11">
        <v>0</v>
      </c>
      <c r="L257" s="11">
        <f t="shared" si="22"/>
        <v>60</v>
      </c>
      <c r="M257" s="133"/>
    </row>
    <row r="258" spans="1:13" x14ac:dyDescent="0.2">
      <c r="A258" s="11">
        <f t="shared" ca="1" si="21"/>
        <v>42</v>
      </c>
      <c r="C258" s="11" t="s">
        <v>188</v>
      </c>
      <c r="D258" s="11" t="str">
        <f>VLOOKUP(VALUE(MID($C258,13,2)), codigos!$A$2:$B$60, 2, 1) &amp; " " &amp; VLOOKUP(VALUE(MID($C258,15,4)), codigos!$E$2:$F$102, 2, FALSE)</f>
        <v>POCILLO 14</v>
      </c>
      <c r="E258" s="11" t="str">
        <f>VLOOKUP(VALUE(MID($C258,19,2)),codigos!$H$2:$I$62,2,1) &amp; " " &amp; VLOOKUP(VALUE(MID($C258,21,2)),codigos!$K$2:$L$12,2,FALSE)</f>
        <v>S/I S/I</v>
      </c>
      <c r="F258" s="11" t="s">
        <v>471</v>
      </c>
      <c r="G258" s="11" t="s">
        <v>34</v>
      </c>
      <c r="H258" s="52" t="s">
        <v>1565</v>
      </c>
      <c r="I258" s="20" t="s">
        <v>1387</v>
      </c>
      <c r="J258" s="11">
        <v>60</v>
      </c>
      <c r="K258" s="11">
        <f>60</f>
        <v>60</v>
      </c>
      <c r="L258" s="11">
        <f t="shared" si="22"/>
        <v>0</v>
      </c>
      <c r="M258" s="133"/>
    </row>
    <row r="259" spans="1:13" ht="15" customHeight="1" x14ac:dyDescent="0.2">
      <c r="A259" s="11">
        <f t="shared" ca="1" si="21"/>
        <v>10</v>
      </c>
      <c r="C259" s="11" t="s">
        <v>255</v>
      </c>
      <c r="D259" s="11" t="str">
        <f>VLOOKUP(VALUE(MID($C259,13,2)), codigos!$A$2:$B$60, 2, 1) &amp; " " &amp; VLOOKUP(VALUE(MID($C259,15,4)), codigos!$E$2:$F$102, 2, FALSE)</f>
        <v>BUDINERA 12</v>
      </c>
      <c r="E259" s="11" t="str">
        <f>VLOOKUP(VALUE(MID($C259,19,2)),codigos!$H$2:$I$62,2,1) &amp; " " &amp; VLOOKUP(VALUE(MID($C259,21,2)),codigos!$K$2:$L$12,2,FALSE)</f>
        <v>A/T S/I</v>
      </c>
      <c r="F259" s="11" t="s">
        <v>1234</v>
      </c>
      <c r="G259" s="11" t="s">
        <v>11</v>
      </c>
      <c r="H259" s="52" t="s">
        <v>1568</v>
      </c>
      <c r="I259" s="20" t="s">
        <v>1566</v>
      </c>
      <c r="J259" s="11">
        <v>36</v>
      </c>
      <c r="K259" s="11">
        <f>36</f>
        <v>36</v>
      </c>
      <c r="L259" s="11">
        <f t="shared" si="22"/>
        <v>0</v>
      </c>
      <c r="M259" s="128"/>
    </row>
    <row r="260" spans="1:13" ht="12.75" customHeight="1" x14ac:dyDescent="0.2">
      <c r="A260" s="11">
        <f t="shared" ca="1" si="21"/>
        <v>10</v>
      </c>
      <c r="C260" s="11" t="s">
        <v>256</v>
      </c>
      <c r="D260" s="11" t="str">
        <f>VLOOKUP(VALUE(MID($C260,13,2)), codigos!$A$2:$B$60, 2, 1) &amp; " " &amp; VLOOKUP(VALUE(MID($C260,15,4)), codigos!$E$2:$F$102, 2, FALSE)</f>
        <v>BUDINERA 14</v>
      </c>
      <c r="E260" s="11" t="str">
        <f>VLOOKUP(VALUE(MID($C260,19,2)),codigos!$H$2:$I$62,2,1) &amp; " " &amp; VLOOKUP(VALUE(MID($C260,21,2)),codigos!$K$2:$L$12,2,FALSE)</f>
        <v>A/T S/I</v>
      </c>
      <c r="F260" s="11" t="s">
        <v>1234</v>
      </c>
      <c r="G260" s="11" t="s">
        <v>11</v>
      </c>
      <c r="H260" s="52" t="s">
        <v>1568</v>
      </c>
      <c r="I260" s="20" t="s">
        <v>1566</v>
      </c>
      <c r="J260" s="11">
        <v>36</v>
      </c>
      <c r="K260" s="11">
        <f>36</f>
        <v>36</v>
      </c>
      <c r="L260" s="11">
        <f t="shared" si="22"/>
        <v>0</v>
      </c>
      <c r="M260" s="128"/>
    </row>
    <row r="261" spans="1:13" ht="12.75" customHeight="1" x14ac:dyDescent="0.2">
      <c r="A261" s="11">
        <f t="shared" ca="1" si="21"/>
        <v>10</v>
      </c>
      <c r="C261" s="11" t="s">
        <v>189</v>
      </c>
      <c r="D261" s="11" t="str">
        <f>VLOOKUP(VALUE(MID($C261,13,2)), codigos!$A$2:$B$60, 2, 1) &amp; " " &amp; VLOOKUP(VALUE(MID($C261,15,4)), codigos!$E$2:$F$102, 2, FALSE)</f>
        <v>BUDINERA 16</v>
      </c>
      <c r="E261" s="11" t="str">
        <f>VLOOKUP(VALUE(MID($C261,19,2)),codigos!$H$2:$I$62,2,1) &amp; " " &amp; VLOOKUP(VALUE(MID($C261,21,2)),codigos!$K$2:$L$12,2,FALSE)</f>
        <v>A/T S/I</v>
      </c>
      <c r="F261" s="11" t="s">
        <v>1234</v>
      </c>
      <c r="G261" s="11" t="s">
        <v>11</v>
      </c>
      <c r="H261" s="52" t="s">
        <v>1568</v>
      </c>
      <c r="I261" s="20" t="s">
        <v>1566</v>
      </c>
      <c r="J261" s="11">
        <v>18</v>
      </c>
      <c r="K261" s="11">
        <f>18</f>
        <v>18</v>
      </c>
      <c r="L261" s="11">
        <f t="shared" si="22"/>
        <v>0</v>
      </c>
      <c r="M261" s="128"/>
    </row>
    <row r="262" spans="1:13" ht="12.75" customHeight="1" x14ac:dyDescent="0.2">
      <c r="A262" s="11">
        <f t="shared" ca="1" si="21"/>
        <v>10</v>
      </c>
      <c r="C262" s="11" t="s">
        <v>344</v>
      </c>
      <c r="D262" s="11" t="str">
        <f>VLOOKUP(VALUE(MID($C262,13,2)), codigos!$A$2:$B$60, 2, 1) &amp; " " &amp; VLOOKUP(VALUE(MID($C262,15,4)), codigos!$E$2:$F$102, 2, FALSE)</f>
        <v>COMAL 36</v>
      </c>
      <c r="E262" s="11" t="str">
        <f>VLOOKUP(VALUE(MID($C262,19,2)),codigos!$H$2:$I$62,2,1) &amp; " " &amp; VLOOKUP(VALUE(MID($C262,21,2)),codigos!$K$2:$L$12,2,FALSE)</f>
        <v>NEGRO MOTAS S/I</v>
      </c>
      <c r="F262" s="11" t="s">
        <v>1234</v>
      </c>
      <c r="G262" s="11" t="s">
        <v>11</v>
      </c>
      <c r="H262" s="52" t="s">
        <v>1568</v>
      </c>
      <c r="I262" s="20" t="s">
        <v>1566</v>
      </c>
      <c r="J262" s="11">
        <v>12</v>
      </c>
      <c r="K262" s="11">
        <f>12</f>
        <v>12</v>
      </c>
      <c r="L262" s="11">
        <f t="shared" si="22"/>
        <v>0</v>
      </c>
      <c r="M262" s="128"/>
    </row>
    <row r="263" spans="1:13" ht="12.75" customHeight="1" x14ac:dyDescent="0.2">
      <c r="A263" s="11">
        <f t="shared" ref="A263:A326" ca="1" si="23">DAYS360(I263,$B$1)</f>
        <v>10</v>
      </c>
      <c r="C263" s="11" t="s">
        <v>187</v>
      </c>
      <c r="D263" s="11" t="str">
        <f>VLOOKUP(VALUE(MID($C263,13,2)), codigos!$A$2:$B$60, 2, 1) &amp; " " &amp; VLOOKUP(VALUE(MID($C263,15,4)), codigos!$E$2:$F$102, 2, FALSE)</f>
        <v>OLLA CONVEXA 12</v>
      </c>
      <c r="E263" s="11" t="str">
        <f>VLOOKUP(VALUE(MID($C263,19,2)),codigos!$H$2:$I$62,2,1) &amp; " " &amp; VLOOKUP(VALUE(MID($C263,21,2)),codigos!$K$2:$L$12,2,FALSE)</f>
        <v>A/T S/I</v>
      </c>
      <c r="F263" s="11" t="s">
        <v>1234</v>
      </c>
      <c r="G263" s="11" t="s">
        <v>11</v>
      </c>
      <c r="H263" s="52" t="s">
        <v>1568</v>
      </c>
      <c r="I263" s="20" t="s">
        <v>1566</v>
      </c>
      <c r="J263" s="11">
        <v>18</v>
      </c>
      <c r="K263" s="11">
        <v>0</v>
      </c>
      <c r="L263" s="11">
        <f t="shared" si="22"/>
        <v>18</v>
      </c>
      <c r="M263" s="128"/>
    </row>
    <row r="264" spans="1:13" ht="12.75" customHeight="1" x14ac:dyDescent="0.2">
      <c r="A264" s="11">
        <f t="shared" ca="1" si="23"/>
        <v>10</v>
      </c>
      <c r="C264" s="11" t="s">
        <v>333</v>
      </c>
      <c r="D264" s="11" t="str">
        <f>VLOOKUP(VALUE(MID($C264,13,2)), codigos!$A$2:$B$60, 2, 1) &amp; " " &amp; VLOOKUP(VALUE(MID($C264,15,4)), codigos!$E$2:$F$102, 2, FALSE)</f>
        <v>OLLA CONVEXA 14</v>
      </c>
      <c r="E264" s="11" t="str">
        <f>VLOOKUP(VALUE(MID($C264,19,2)),codigos!$H$2:$I$62,2,1) &amp; " " &amp; VLOOKUP(VALUE(MID($C264,21,2)),codigos!$K$2:$L$12,2,FALSE)</f>
        <v>A/T S/I</v>
      </c>
      <c r="F264" s="11" t="s">
        <v>1234</v>
      </c>
      <c r="G264" s="11" t="s">
        <v>11</v>
      </c>
      <c r="H264" s="52" t="s">
        <v>1568</v>
      </c>
      <c r="I264" s="20" t="s">
        <v>1566</v>
      </c>
      <c r="J264" s="11">
        <v>18</v>
      </c>
      <c r="K264" s="11">
        <f>17+1</f>
        <v>18</v>
      </c>
      <c r="L264" s="11">
        <f t="shared" si="22"/>
        <v>0</v>
      </c>
      <c r="M264" s="128"/>
    </row>
    <row r="265" spans="1:13" ht="12.75" customHeight="1" x14ac:dyDescent="0.2">
      <c r="A265" s="11">
        <f t="shared" ca="1" si="23"/>
        <v>10</v>
      </c>
      <c r="C265" s="11" t="s">
        <v>222</v>
      </c>
      <c r="D265" s="11" t="str">
        <f>VLOOKUP(VALUE(MID($C265,13,2)), codigos!$A$2:$B$60, 2, 1) &amp; " " &amp; VLOOKUP(VALUE(MID($C265,15,4)), codigos!$E$2:$F$102, 2, FALSE)</f>
        <v>OLLA RECTA 12</v>
      </c>
      <c r="E265" s="11" t="str">
        <f>VLOOKUP(VALUE(MID($C265,19,2)),codigos!$H$2:$I$62,2,1) &amp; " " &amp; VLOOKUP(VALUE(MID($C265,21,2)),codigos!$K$2:$L$12,2,FALSE)</f>
        <v>A/T S/I</v>
      </c>
      <c r="F265" s="11" t="s">
        <v>1234</v>
      </c>
      <c r="G265" s="11" t="s">
        <v>11</v>
      </c>
      <c r="H265" s="52" t="s">
        <v>1568</v>
      </c>
      <c r="I265" s="20" t="s">
        <v>1566</v>
      </c>
      <c r="J265" s="11">
        <v>18</v>
      </c>
      <c r="K265" s="11">
        <f>9+9</f>
        <v>18</v>
      </c>
      <c r="L265" s="11">
        <f t="shared" si="22"/>
        <v>0</v>
      </c>
      <c r="M265" s="128"/>
    </row>
    <row r="266" spans="1:13" ht="12.75" customHeight="1" x14ac:dyDescent="0.2">
      <c r="A266" s="11">
        <f t="shared" ca="1" si="23"/>
        <v>10</v>
      </c>
      <c r="C266" s="11" t="s">
        <v>257</v>
      </c>
      <c r="D266" s="11" t="str">
        <f>VLOOKUP(VALUE(MID($C266,13,2)), codigos!$A$2:$B$60, 2, 1) &amp; " " &amp; VLOOKUP(VALUE(MID($C266,15,4)), codigos!$E$2:$F$102, 2, FALSE)</f>
        <v>OLLA RECTA 14</v>
      </c>
      <c r="E266" s="11" t="str">
        <f>VLOOKUP(VALUE(MID($C266,19,2)),codigos!$H$2:$I$62,2,1) &amp; " " &amp; VLOOKUP(VALUE(MID($C266,21,2)),codigos!$K$2:$L$12,2,FALSE)</f>
        <v>A/T S/I</v>
      </c>
      <c r="F266" s="11" t="s">
        <v>1234</v>
      </c>
      <c r="G266" s="11" t="s">
        <v>11</v>
      </c>
      <c r="H266" s="52" t="s">
        <v>1568</v>
      </c>
      <c r="I266" s="20" t="s">
        <v>1566</v>
      </c>
      <c r="J266" s="11">
        <v>18</v>
      </c>
      <c r="K266" s="11">
        <v>0</v>
      </c>
      <c r="L266" s="11">
        <f t="shared" si="22"/>
        <v>18</v>
      </c>
      <c r="M266" s="128"/>
    </row>
    <row r="267" spans="1:13" ht="12.75" customHeight="1" x14ac:dyDescent="0.2">
      <c r="A267" s="11">
        <f t="shared" ca="1" si="23"/>
        <v>10</v>
      </c>
      <c r="C267" s="11" t="s">
        <v>258</v>
      </c>
      <c r="D267" s="11" t="str">
        <f>VLOOKUP(VALUE(MID($C267,13,2)), codigos!$A$2:$B$60, 2, 1) &amp; " " &amp; VLOOKUP(VALUE(MID($C267,15,4)), codigos!$E$2:$F$102, 2, FALSE)</f>
        <v>OLLA RECTA 16</v>
      </c>
      <c r="E267" s="11" t="str">
        <f>VLOOKUP(VALUE(MID($C267,19,2)),codigos!$H$2:$I$62,2,1) &amp; " " &amp; VLOOKUP(VALUE(MID($C267,21,2)),codigos!$K$2:$L$12,2,FALSE)</f>
        <v>A/T S/I</v>
      </c>
      <c r="F267" s="11" t="s">
        <v>1234</v>
      </c>
      <c r="G267" s="11" t="s">
        <v>11</v>
      </c>
      <c r="H267" s="52" t="s">
        <v>1568</v>
      </c>
      <c r="I267" s="20" t="s">
        <v>1566</v>
      </c>
      <c r="J267" s="11">
        <v>12</v>
      </c>
      <c r="K267" s="11">
        <f>12</f>
        <v>12</v>
      </c>
      <c r="L267" s="11">
        <f t="shared" si="22"/>
        <v>0</v>
      </c>
      <c r="M267" s="128"/>
    </row>
    <row r="268" spans="1:13" ht="12.75" customHeight="1" x14ac:dyDescent="0.2">
      <c r="A268" s="11">
        <f t="shared" ca="1" si="23"/>
        <v>10</v>
      </c>
      <c r="C268" s="11" t="s">
        <v>259</v>
      </c>
      <c r="D268" s="11" t="str">
        <f>VLOOKUP(VALUE(MID($C268,13,2)), codigos!$A$2:$B$60, 2, 1) &amp; " " &amp; VLOOKUP(VALUE(MID($C268,15,4)), codigos!$E$2:$F$102, 2, FALSE)</f>
        <v>OLLA RECTA 18</v>
      </c>
      <c r="E268" s="11" t="str">
        <f>VLOOKUP(VALUE(MID($C268,19,2)),codigos!$H$2:$I$62,2,1) &amp; " " &amp; VLOOKUP(VALUE(MID($C268,21,2)),codigos!$K$2:$L$12,2,FALSE)</f>
        <v>A/T S/I</v>
      </c>
      <c r="F268" s="11" t="s">
        <v>1234</v>
      </c>
      <c r="G268" s="11" t="s">
        <v>11</v>
      </c>
      <c r="H268" s="52" t="s">
        <v>1568</v>
      </c>
      <c r="I268" s="20" t="s">
        <v>1566</v>
      </c>
      <c r="J268" s="11">
        <v>12</v>
      </c>
      <c r="K268" s="11">
        <f>12</f>
        <v>12</v>
      </c>
      <c r="L268" s="11">
        <f t="shared" si="22"/>
        <v>0</v>
      </c>
      <c r="M268" s="128"/>
    </row>
    <row r="269" spans="1:13" ht="12.75" customHeight="1" x14ac:dyDescent="0.2">
      <c r="A269" s="11">
        <f t="shared" ca="1" si="23"/>
        <v>10</v>
      </c>
      <c r="C269" s="11" t="s">
        <v>260</v>
      </c>
      <c r="D269" s="11" t="str">
        <f>VLOOKUP(VALUE(MID($C269,13,2)), codigos!$A$2:$B$60, 2, 1) &amp; " " &amp; VLOOKUP(VALUE(MID($C269,15,4)), codigos!$E$2:$F$102, 2, FALSE)</f>
        <v>OLLA RECTA 20</v>
      </c>
      <c r="E269" s="11" t="str">
        <f>VLOOKUP(VALUE(MID($C269,19,2)),codigos!$H$2:$I$62,2,1) &amp; " " &amp; VLOOKUP(VALUE(MID($C269,21,2)),codigos!$K$2:$L$12,2,FALSE)</f>
        <v>A/T S/I</v>
      </c>
      <c r="F269" s="11" t="s">
        <v>1234</v>
      </c>
      <c r="G269" s="11" t="s">
        <v>11</v>
      </c>
      <c r="H269" s="52" t="s">
        <v>1568</v>
      </c>
      <c r="I269" s="20" t="s">
        <v>1566</v>
      </c>
      <c r="J269" s="11">
        <v>12</v>
      </c>
      <c r="K269" s="11">
        <f>7+5</f>
        <v>12</v>
      </c>
      <c r="L269" s="11">
        <f t="shared" si="22"/>
        <v>0</v>
      </c>
      <c r="M269" s="128"/>
    </row>
    <row r="270" spans="1:13" ht="12.75" customHeight="1" x14ac:dyDescent="0.2">
      <c r="A270" s="11">
        <f t="shared" ca="1" si="23"/>
        <v>10</v>
      </c>
      <c r="C270" s="11" t="s">
        <v>236</v>
      </c>
      <c r="D270" s="11" t="str">
        <f>VLOOKUP(VALUE(MID($C270,13,2)), codigos!$A$2:$B$60, 2, 1) &amp; " " &amp; VLOOKUP(VALUE(MID($C270,15,4)), codigos!$E$2:$F$102, 2, FALSE)</f>
        <v>OLLA RECTA 22</v>
      </c>
      <c r="E270" s="11" t="str">
        <f>VLOOKUP(VALUE(MID($C270,19,2)),codigos!$H$2:$I$62,2,1) &amp; " " &amp; VLOOKUP(VALUE(MID($C270,21,2)),codigos!$K$2:$L$12,2,FALSE)</f>
        <v>A/T S/I</v>
      </c>
      <c r="F270" s="11" t="s">
        <v>1234</v>
      </c>
      <c r="G270" s="11" t="s">
        <v>11</v>
      </c>
      <c r="H270" s="52" t="s">
        <v>1568</v>
      </c>
      <c r="I270" s="20" t="s">
        <v>1566</v>
      </c>
      <c r="J270" s="11">
        <v>6</v>
      </c>
      <c r="K270" s="11">
        <f>6</f>
        <v>6</v>
      </c>
      <c r="L270" s="11">
        <f t="shared" si="22"/>
        <v>0</v>
      </c>
      <c r="M270" s="128"/>
    </row>
    <row r="271" spans="1:13" ht="12.75" customHeight="1" x14ac:dyDescent="0.2">
      <c r="A271" s="11">
        <f t="shared" ca="1" si="23"/>
        <v>10</v>
      </c>
      <c r="C271" s="11" t="s">
        <v>237</v>
      </c>
      <c r="D271" s="11" t="str">
        <f>VLOOKUP(VALUE(MID($C271,13,2)), codigos!$A$2:$B$60, 2, 1) &amp; " " &amp; VLOOKUP(VALUE(MID($C271,15,4)), codigos!$E$2:$F$102, 2, FALSE)</f>
        <v>OLLA RECTA 24</v>
      </c>
      <c r="E271" s="11" t="str">
        <f>VLOOKUP(VALUE(MID($C271,19,2)),codigos!$H$2:$I$62,2,1) &amp; " " &amp; VLOOKUP(VALUE(MID($C271,21,2)),codigos!$K$2:$L$12,2,FALSE)</f>
        <v>A/T S/I</v>
      </c>
      <c r="F271" s="11" t="s">
        <v>1234</v>
      </c>
      <c r="G271" s="11" t="s">
        <v>11</v>
      </c>
      <c r="H271" s="52" t="s">
        <v>1568</v>
      </c>
      <c r="I271" s="20" t="s">
        <v>1566</v>
      </c>
      <c r="J271" s="11">
        <v>6</v>
      </c>
      <c r="K271" s="11">
        <f>6</f>
        <v>6</v>
      </c>
      <c r="L271" s="11">
        <f t="shared" si="22"/>
        <v>0</v>
      </c>
      <c r="M271" s="128"/>
    </row>
    <row r="272" spans="1:13" ht="12.75" customHeight="1" x14ac:dyDescent="0.2">
      <c r="A272" s="11">
        <f t="shared" ca="1" si="23"/>
        <v>10</v>
      </c>
      <c r="C272" s="11" t="s">
        <v>224</v>
      </c>
      <c r="D272" s="11" t="str">
        <f>VLOOKUP(VALUE(MID($C272,13,2)), codigos!$A$2:$B$60, 2, 1) &amp; " " &amp; VLOOKUP(VALUE(MID($C272,15,4)), codigos!$E$2:$F$102, 2, FALSE)</f>
        <v>OLLA RECTA 26</v>
      </c>
      <c r="E272" s="11" t="str">
        <f>VLOOKUP(VALUE(MID($C272,19,2)),codigos!$H$2:$I$62,2,1) &amp; " " &amp; VLOOKUP(VALUE(MID($C272,21,2)),codigos!$K$2:$L$12,2,FALSE)</f>
        <v>A/T S/I</v>
      </c>
      <c r="F272" s="11" t="s">
        <v>1234</v>
      </c>
      <c r="G272" s="11" t="s">
        <v>11</v>
      </c>
      <c r="H272" s="52" t="s">
        <v>1568</v>
      </c>
      <c r="I272" s="20" t="s">
        <v>1566</v>
      </c>
      <c r="J272" s="11">
        <v>6</v>
      </c>
      <c r="K272" s="11">
        <f>6</f>
        <v>6</v>
      </c>
      <c r="L272" s="11">
        <f t="shared" si="22"/>
        <v>0</v>
      </c>
      <c r="M272" s="128"/>
    </row>
    <row r="273" spans="1:13" ht="12.75" customHeight="1" x14ac:dyDescent="0.2">
      <c r="A273" s="11">
        <f t="shared" ca="1" si="23"/>
        <v>10</v>
      </c>
      <c r="C273" s="11" t="s">
        <v>336</v>
      </c>
      <c r="D273" s="11" t="str">
        <f>VLOOKUP(VALUE(MID($C273,13,2)), codigos!$A$2:$B$60, 2, 1) &amp; " " &amp; VLOOKUP(VALUE(MID($C273,15,4)), codigos!$E$2:$F$102, 2, FALSE)</f>
        <v>OLLA RECTA 28</v>
      </c>
      <c r="E273" s="11" t="str">
        <f>VLOOKUP(VALUE(MID($C273,19,2)),codigos!$H$2:$I$62,2,1) &amp; " " &amp; VLOOKUP(VALUE(MID($C273,21,2)),codigos!$K$2:$L$12,2,FALSE)</f>
        <v>A/T S/I</v>
      </c>
      <c r="F273" s="11" t="s">
        <v>1234</v>
      </c>
      <c r="G273" s="11" t="s">
        <v>11</v>
      </c>
      <c r="H273" s="52" t="s">
        <v>1568</v>
      </c>
      <c r="I273" s="20" t="s">
        <v>1566</v>
      </c>
      <c r="J273" s="11">
        <v>2</v>
      </c>
      <c r="K273" s="11">
        <f>2</f>
        <v>2</v>
      </c>
      <c r="L273" s="11">
        <f t="shared" si="22"/>
        <v>0</v>
      </c>
      <c r="M273" s="128"/>
    </row>
    <row r="274" spans="1:13" ht="12.75" customHeight="1" x14ac:dyDescent="0.2">
      <c r="A274" s="11">
        <f t="shared" ca="1" si="23"/>
        <v>10</v>
      </c>
      <c r="C274" s="11" t="s">
        <v>155</v>
      </c>
      <c r="D274" s="11" t="str">
        <f>VLOOKUP(VALUE(MID($C274,13,2)), codigos!$A$2:$B$60, 2, 1) &amp; " " &amp; VLOOKUP(VALUE(MID($C274,15,4)), codigos!$E$2:$F$102, 2, FALSE)</f>
        <v>OLLA RECTA 30</v>
      </c>
      <c r="E274" s="11" t="str">
        <f>VLOOKUP(VALUE(MID($C274,19,2)),codigos!$H$2:$I$62,2,1) &amp; " " &amp; VLOOKUP(VALUE(MID($C274,21,2)),codigos!$K$2:$L$12,2,FALSE)</f>
        <v>A/T S/I</v>
      </c>
      <c r="F274" s="11" t="s">
        <v>1234</v>
      </c>
      <c r="G274" s="11" t="s">
        <v>11</v>
      </c>
      <c r="H274" s="52" t="s">
        <v>1568</v>
      </c>
      <c r="I274" s="20" t="s">
        <v>1566</v>
      </c>
      <c r="J274" s="11">
        <v>2</v>
      </c>
      <c r="K274" s="11">
        <v>2</v>
      </c>
      <c r="L274" s="11">
        <f t="shared" si="22"/>
        <v>0</v>
      </c>
      <c r="M274" s="128"/>
    </row>
    <row r="275" spans="1:13" ht="12.75" customHeight="1" x14ac:dyDescent="0.2">
      <c r="A275" s="11">
        <f t="shared" ca="1" si="23"/>
        <v>10</v>
      </c>
      <c r="C275" s="11" t="s">
        <v>156</v>
      </c>
      <c r="D275" s="11" t="str">
        <f>VLOOKUP(VALUE(MID($C275,13,2)), codigos!$A$2:$B$60, 2, 1) &amp; " " &amp; VLOOKUP(VALUE(MID($C275,15,4)), codigos!$E$2:$F$102, 2, FALSE)</f>
        <v>OLLA RECTA 34</v>
      </c>
      <c r="E275" s="11" t="str">
        <f>VLOOKUP(VALUE(MID($C275,19,2)),codigos!$H$2:$I$62,2,1) &amp; " " &amp; VLOOKUP(VALUE(MID($C275,21,2)),codigos!$K$2:$L$12,2,FALSE)</f>
        <v>A/T S/I</v>
      </c>
      <c r="F275" s="11" t="s">
        <v>1234</v>
      </c>
      <c r="G275" s="11" t="s">
        <v>11</v>
      </c>
      <c r="H275" s="52" t="s">
        <v>1568</v>
      </c>
      <c r="I275" s="20" t="s">
        <v>1566</v>
      </c>
      <c r="J275" s="11">
        <v>2</v>
      </c>
      <c r="K275" s="11">
        <f>2</f>
        <v>2</v>
      </c>
      <c r="L275" s="11">
        <f t="shared" si="22"/>
        <v>0</v>
      </c>
      <c r="M275" s="128"/>
    </row>
    <row r="276" spans="1:13" ht="12.75" customHeight="1" x14ac:dyDescent="0.2">
      <c r="A276" s="11">
        <f t="shared" ca="1" si="23"/>
        <v>10</v>
      </c>
      <c r="C276" s="11" t="s">
        <v>157</v>
      </c>
      <c r="D276" s="11" t="str">
        <f>VLOOKUP(VALUE(MID($C276,13,2)), codigos!$A$2:$B$60, 2, 1) &amp; " " &amp; VLOOKUP(VALUE(MID($C276,15,4)), codigos!$E$2:$F$102, 2, FALSE)</f>
        <v>OLLA RECTA 42</v>
      </c>
      <c r="E276" s="11" t="str">
        <f>VLOOKUP(VALUE(MID($C276,19,2)),codigos!$H$2:$I$62,2,1) &amp; " " &amp; VLOOKUP(VALUE(MID($C276,21,2)),codigos!$K$2:$L$12,2,FALSE)</f>
        <v>A/T S/I</v>
      </c>
      <c r="F276" s="11" t="s">
        <v>1234</v>
      </c>
      <c r="G276" s="11" t="s">
        <v>11</v>
      </c>
      <c r="H276" s="52" t="s">
        <v>1568</v>
      </c>
      <c r="I276" s="20" t="s">
        <v>1566</v>
      </c>
      <c r="J276" s="11">
        <v>3</v>
      </c>
      <c r="K276" s="11">
        <v>0</v>
      </c>
      <c r="L276" s="11">
        <f t="shared" si="22"/>
        <v>3</v>
      </c>
      <c r="M276" s="128"/>
    </row>
    <row r="277" spans="1:13" ht="12.75" customHeight="1" x14ac:dyDescent="0.2">
      <c r="A277" s="11">
        <f t="shared" ca="1" si="23"/>
        <v>10</v>
      </c>
      <c r="C277" s="11" t="s">
        <v>283</v>
      </c>
      <c r="D277" s="11" t="str">
        <f>VLOOKUP(VALUE(MID($C277,13,2)), codigos!$A$2:$B$60, 2, 1) &amp; " " &amp; VLOOKUP(VALUE(MID($C277,15,4)), codigos!$E$2:$F$102, 2, FALSE)</f>
        <v>PLATO AVENERO 20</v>
      </c>
      <c r="E277" s="11" t="str">
        <f>VLOOKUP(VALUE(MID($C277,19,2)),codigos!$H$2:$I$62,2,1) &amp; " " &amp; VLOOKUP(VALUE(MID($C277,21,2)),codigos!$K$2:$L$12,2,FALSE)</f>
        <v>BLANCO  NEGRO</v>
      </c>
      <c r="F277" s="11" t="s">
        <v>1234</v>
      </c>
      <c r="G277" s="11" t="s">
        <v>11</v>
      </c>
      <c r="H277" s="52" t="s">
        <v>1568</v>
      </c>
      <c r="I277" s="20" t="s">
        <v>1566</v>
      </c>
      <c r="J277" s="11">
        <v>24</v>
      </c>
      <c r="K277" s="11">
        <v>0</v>
      </c>
      <c r="L277" s="11">
        <f t="shared" si="22"/>
        <v>24</v>
      </c>
      <c r="M277" s="128"/>
    </row>
    <row r="278" spans="1:13" ht="12.75" customHeight="1" x14ac:dyDescent="0.2">
      <c r="A278" s="11">
        <f t="shared" ca="1" si="23"/>
        <v>10</v>
      </c>
      <c r="C278" s="11" t="s">
        <v>238</v>
      </c>
      <c r="D278" s="11" t="str">
        <f>VLOOKUP(VALUE(MID($C278,13,2)), codigos!$A$2:$B$60, 2, 1) &amp; " " &amp; VLOOKUP(VALUE(MID($C278,15,4)), codigos!$E$2:$F$102, 2, FALSE)</f>
        <v>OLLA RECTA 38</v>
      </c>
      <c r="E278" s="11" t="str">
        <f>VLOOKUP(VALUE(MID($C278,19,2)),codigos!$H$2:$I$62,2,1) &amp; " " &amp; VLOOKUP(VALUE(MID($C278,21,2)),codigos!$K$2:$L$12,2,FALSE)</f>
        <v>A/T S/I</v>
      </c>
      <c r="F278" s="11" t="s">
        <v>1234</v>
      </c>
      <c r="G278" s="11" t="s">
        <v>11</v>
      </c>
      <c r="H278" s="52" t="s">
        <v>1568</v>
      </c>
      <c r="I278" s="20" t="s">
        <v>1566</v>
      </c>
      <c r="J278" s="11">
        <v>1</v>
      </c>
      <c r="K278" s="11">
        <f>1</f>
        <v>1</v>
      </c>
      <c r="L278" s="11">
        <f t="shared" si="22"/>
        <v>0</v>
      </c>
      <c r="M278" s="128"/>
    </row>
    <row r="279" spans="1:13" ht="15" customHeight="1" x14ac:dyDescent="0.2">
      <c r="A279" s="11">
        <f t="shared" ca="1" si="23"/>
        <v>10</v>
      </c>
      <c r="C279" s="11" t="s">
        <v>252</v>
      </c>
      <c r="D279" s="11" t="str">
        <f>VLOOKUP(VALUE(MID($C279,13,2)), codigos!$A$2:$B$60, 2, 1) &amp; " " &amp; VLOOKUP(VALUE(MID($C279,15,4)), codigos!$E$2:$F$102, 2, FALSE)</f>
        <v>BACINICA 20</v>
      </c>
      <c r="E279" s="11" t="str">
        <f>VLOOKUP(VALUE(MID($C279,19,2)),codigos!$H$2:$I$62,2,1) &amp; " " &amp; VLOOKUP(VALUE(MID($C279,21,2)),codigos!$K$2:$L$12,2,FALSE)</f>
        <v>BLANCO  NEGRO</v>
      </c>
      <c r="F279" s="11" t="s">
        <v>1195</v>
      </c>
      <c r="G279" s="11" t="s">
        <v>11</v>
      </c>
      <c r="H279" s="52" t="s">
        <v>1569</v>
      </c>
      <c r="I279" s="20" t="s">
        <v>1566</v>
      </c>
      <c r="J279" s="11">
        <v>12</v>
      </c>
      <c r="K279" s="11">
        <v>12</v>
      </c>
      <c r="L279" s="11">
        <f t="shared" si="22"/>
        <v>0</v>
      </c>
      <c r="M279" s="128"/>
    </row>
    <row r="280" spans="1:13" ht="12.75" customHeight="1" x14ac:dyDescent="0.2">
      <c r="A280" s="11">
        <f t="shared" ca="1" si="23"/>
        <v>10</v>
      </c>
      <c r="C280" s="11" t="s">
        <v>19</v>
      </c>
      <c r="D280" s="11" t="str">
        <f>VLOOKUP(VALUE(MID($C280,13,2)), codigos!$A$2:$B$60, 2, 1) &amp; " " &amp; VLOOKUP(VALUE(MID($C280,15,4)), codigos!$E$2:$F$102, 2, FALSE)</f>
        <v>BACINICA 24</v>
      </c>
      <c r="E280" s="11" t="str">
        <f>VLOOKUP(VALUE(MID($C280,19,2)),codigos!$H$2:$I$62,2,1) &amp; " " &amp; VLOOKUP(VALUE(MID($C280,21,2)),codigos!$K$2:$L$12,2,FALSE)</f>
        <v>BLANCO  NEGRO</v>
      </c>
      <c r="F280" s="11" t="s">
        <v>1195</v>
      </c>
      <c r="G280" s="11" t="s">
        <v>11</v>
      </c>
      <c r="H280" s="52" t="s">
        <v>1569</v>
      </c>
      <c r="I280" s="20" t="s">
        <v>1566</v>
      </c>
      <c r="J280" s="11">
        <v>12</v>
      </c>
      <c r="K280" s="11">
        <f>8+4</f>
        <v>12</v>
      </c>
      <c r="L280" s="11">
        <f t="shared" si="22"/>
        <v>0</v>
      </c>
      <c r="M280" s="128"/>
    </row>
    <row r="281" spans="1:13" ht="12.75" customHeight="1" x14ac:dyDescent="0.2">
      <c r="A281" s="11">
        <f t="shared" ca="1" si="23"/>
        <v>10</v>
      </c>
      <c r="C281" s="11" t="s">
        <v>241</v>
      </c>
      <c r="D281" s="11" t="str">
        <f>VLOOKUP(VALUE(MID($C281,13,2)), codigos!$A$2:$B$60, 2, 1) &amp; " " &amp; VLOOKUP(VALUE(MID($C281,15,4)), codigos!$E$2:$F$102, 2, FALSE)</f>
        <v>BUDINERA 22</v>
      </c>
      <c r="E281" s="11" t="str">
        <f>VLOOKUP(VALUE(MID($C281,19,2)),codigos!$H$2:$I$62,2,1) &amp; " " &amp; VLOOKUP(VALUE(MID($C281,21,2)),codigos!$K$2:$L$12,2,FALSE)</f>
        <v>A/T S/I</v>
      </c>
      <c r="F281" s="11" t="s">
        <v>1195</v>
      </c>
      <c r="G281" s="11" t="s">
        <v>11</v>
      </c>
      <c r="H281" s="52" t="s">
        <v>1569</v>
      </c>
      <c r="I281" s="20" t="s">
        <v>1566</v>
      </c>
      <c r="J281" s="11">
        <v>24</v>
      </c>
      <c r="K281" s="11">
        <f>24</f>
        <v>24</v>
      </c>
      <c r="L281" s="11">
        <f t="shared" si="22"/>
        <v>0</v>
      </c>
      <c r="M281" s="128"/>
    </row>
    <row r="282" spans="1:13" ht="12.75" customHeight="1" x14ac:dyDescent="0.2">
      <c r="A282" s="11">
        <f t="shared" ca="1" si="23"/>
        <v>10</v>
      </c>
      <c r="C282" s="11" t="s">
        <v>143</v>
      </c>
      <c r="D282" s="11" t="str">
        <f>VLOOKUP(VALUE(MID($C282,13,2)), codigos!$A$2:$B$60, 2, 1) &amp; " " &amp; VLOOKUP(VALUE(MID($C282,15,4)), codigos!$E$2:$F$102, 2, FALSE)</f>
        <v>BUDINERA 24</v>
      </c>
      <c r="E282" s="11" t="str">
        <f>VLOOKUP(VALUE(MID($C282,19,2)),codigos!$H$2:$I$62,2,1) &amp; " " &amp; VLOOKUP(VALUE(MID($C282,21,2)),codigos!$K$2:$L$12,2,FALSE)</f>
        <v>A/T S/I</v>
      </c>
      <c r="F282" s="11" t="s">
        <v>1195</v>
      </c>
      <c r="G282" s="11" t="s">
        <v>11</v>
      </c>
      <c r="H282" s="52" t="s">
        <v>1569</v>
      </c>
      <c r="I282" s="20" t="s">
        <v>1566</v>
      </c>
      <c r="J282" s="11">
        <v>24</v>
      </c>
      <c r="K282" s="11">
        <f>24</f>
        <v>24</v>
      </c>
      <c r="L282" s="11">
        <f t="shared" si="22"/>
        <v>0</v>
      </c>
      <c r="M282" s="128"/>
    </row>
    <row r="283" spans="1:13" ht="12.75" customHeight="1" x14ac:dyDescent="0.2">
      <c r="A283" s="11">
        <f t="shared" ca="1" si="23"/>
        <v>10</v>
      </c>
      <c r="C283" s="11" t="s">
        <v>148</v>
      </c>
      <c r="D283" s="11" t="str">
        <f>VLOOKUP(VALUE(MID($C283,13,2)), codigos!$A$2:$B$60, 2, 1) &amp; " " &amp; VLOOKUP(VALUE(MID($C283,15,4)), codigos!$E$2:$F$102, 2, FALSE)</f>
        <v>BUDINERA 26</v>
      </c>
      <c r="E283" s="11" t="str">
        <f>VLOOKUP(VALUE(MID($C283,19,2)),codigos!$H$2:$I$62,2,1) &amp; " " &amp; VLOOKUP(VALUE(MID($C283,21,2)),codigos!$K$2:$L$12,2,FALSE)</f>
        <v>A/T S/I</v>
      </c>
      <c r="F283" s="11" t="s">
        <v>1195</v>
      </c>
      <c r="G283" s="11" t="s">
        <v>11</v>
      </c>
      <c r="H283" s="52" t="s">
        <v>1569</v>
      </c>
      <c r="I283" s="20" t="s">
        <v>1566</v>
      </c>
      <c r="J283" s="11">
        <v>24</v>
      </c>
      <c r="K283" s="11">
        <f>24</f>
        <v>24</v>
      </c>
      <c r="L283" s="11">
        <f t="shared" si="22"/>
        <v>0</v>
      </c>
      <c r="M283" s="128"/>
    </row>
    <row r="284" spans="1:13" ht="12.75" customHeight="1" x14ac:dyDescent="0.2">
      <c r="A284" s="11">
        <f t="shared" ca="1" si="23"/>
        <v>10</v>
      </c>
      <c r="C284" s="11" t="s">
        <v>38</v>
      </c>
      <c r="D284" s="11" t="str">
        <f>VLOOKUP(VALUE(MID($C284,13,2)), codigos!$A$2:$B$60, 2, 1) &amp; " " &amp; VLOOKUP(VALUE(MID($C284,15,4)), codigos!$E$2:$F$102, 2, FALSE)</f>
        <v>BUDINERA 42</v>
      </c>
      <c r="E284" s="11" t="str">
        <f>VLOOKUP(VALUE(MID($C284,19,2)),codigos!$H$2:$I$62,2,1) &amp; " " &amp; VLOOKUP(VALUE(MID($C284,21,2)),codigos!$K$2:$L$12,2,FALSE)</f>
        <v>A/T S/I</v>
      </c>
      <c r="F284" s="11" t="s">
        <v>1195</v>
      </c>
      <c r="G284" s="11" t="s">
        <v>11</v>
      </c>
      <c r="H284" s="52" t="s">
        <v>1569</v>
      </c>
      <c r="I284" s="20" t="s">
        <v>1566</v>
      </c>
      <c r="J284" s="11">
        <v>4</v>
      </c>
      <c r="K284" s="11">
        <f>4</f>
        <v>4</v>
      </c>
      <c r="L284" s="11">
        <f t="shared" si="22"/>
        <v>0</v>
      </c>
      <c r="M284" s="128"/>
    </row>
    <row r="285" spans="1:13" ht="12.75" customHeight="1" x14ac:dyDescent="0.2">
      <c r="A285" s="11">
        <f t="shared" ca="1" si="23"/>
        <v>10</v>
      </c>
      <c r="C285" s="11" t="s">
        <v>150</v>
      </c>
      <c r="D285" s="11" t="str">
        <f>VLOOKUP(VALUE(MID($C285,13,2)), codigos!$A$2:$B$60, 2, 1) &amp; " " &amp; VLOOKUP(VALUE(MID($C285,15,4)), codigos!$E$2:$F$102, 2, FALSE)</f>
        <v>OLLA CONVEXA 18</v>
      </c>
      <c r="E285" s="11" t="str">
        <f>VLOOKUP(VALUE(MID($C285,19,2)),codigos!$H$2:$I$62,2,1) &amp; " " &amp; VLOOKUP(VALUE(MID($C285,21,2)),codigos!$K$2:$L$12,2,FALSE)</f>
        <v>A/T S/I</v>
      </c>
      <c r="F285" s="11" t="s">
        <v>1195</v>
      </c>
      <c r="G285" s="11" t="s">
        <v>11</v>
      </c>
      <c r="H285" s="52" t="s">
        <v>1569</v>
      </c>
      <c r="I285" s="20" t="s">
        <v>1566</v>
      </c>
      <c r="J285" s="11">
        <v>24</v>
      </c>
      <c r="K285" s="11">
        <f>12+11</f>
        <v>23</v>
      </c>
      <c r="L285" s="11">
        <f t="shared" si="22"/>
        <v>1</v>
      </c>
      <c r="M285" s="128"/>
    </row>
    <row r="286" spans="1:13" ht="12.75" customHeight="1" x14ac:dyDescent="0.2">
      <c r="A286" s="11">
        <f t="shared" ca="1" si="23"/>
        <v>10</v>
      </c>
      <c r="C286" s="11" t="s">
        <v>151</v>
      </c>
      <c r="D286" s="11" t="str">
        <f>VLOOKUP(VALUE(MID($C286,13,2)), codigos!$A$2:$B$60, 2, 1) &amp; " " &amp; VLOOKUP(VALUE(MID($C286,15,4)), codigos!$E$2:$F$102, 2, FALSE)</f>
        <v>OLLA CONVEXA 20</v>
      </c>
      <c r="E286" s="11" t="str">
        <f>VLOOKUP(VALUE(MID($C286,19,2)),codigos!$H$2:$I$62,2,1) &amp; " " &amp; VLOOKUP(VALUE(MID($C286,21,2)),codigos!$K$2:$L$12,2,FALSE)</f>
        <v>A/T S/I</v>
      </c>
      <c r="F286" s="11" t="s">
        <v>1195</v>
      </c>
      <c r="G286" s="11" t="s">
        <v>11</v>
      </c>
      <c r="H286" s="52" t="s">
        <v>1569</v>
      </c>
      <c r="I286" s="20" t="s">
        <v>1566</v>
      </c>
      <c r="J286" s="11">
        <v>24</v>
      </c>
      <c r="K286" s="11">
        <f>24</f>
        <v>24</v>
      </c>
      <c r="L286" s="11">
        <f t="shared" si="22"/>
        <v>0</v>
      </c>
      <c r="M286" s="128"/>
    </row>
    <row r="287" spans="1:13" ht="15" customHeight="1" x14ac:dyDescent="0.2">
      <c r="A287" s="11">
        <f t="shared" ca="1" si="23"/>
        <v>10</v>
      </c>
      <c r="C287" s="11" t="s">
        <v>43</v>
      </c>
      <c r="D287" s="11" t="str">
        <f>VLOOKUP(VALUE(MID($C287,13,2)), codigos!$A$2:$B$60, 2, 1) &amp; " " &amp; VLOOKUP(VALUE(MID($C287,15,4)), codigos!$E$2:$F$102, 2, FALSE)</f>
        <v>OLLA CONVEXA 22</v>
      </c>
      <c r="E287" s="11" t="str">
        <f>VLOOKUP(VALUE(MID($C287,19,2)),codigos!$H$2:$I$62,2,1) &amp; " " &amp; VLOOKUP(VALUE(MID($C287,21,2)),codigos!$K$2:$L$12,2,FALSE)</f>
        <v>A/T S/I</v>
      </c>
      <c r="F287" s="11" t="s">
        <v>1194</v>
      </c>
      <c r="G287" s="11" t="s">
        <v>11</v>
      </c>
      <c r="H287" s="52" t="s">
        <v>1570</v>
      </c>
      <c r="I287" s="20" t="s">
        <v>1566</v>
      </c>
      <c r="J287" s="11">
        <v>12</v>
      </c>
      <c r="K287" s="11">
        <f>12</f>
        <v>12</v>
      </c>
      <c r="L287" s="11">
        <f t="shared" si="22"/>
        <v>0</v>
      </c>
      <c r="M287" s="128"/>
    </row>
    <row r="288" spans="1:13" ht="12.75" customHeight="1" x14ac:dyDescent="0.2">
      <c r="A288" s="11">
        <f t="shared" ca="1" si="23"/>
        <v>10</v>
      </c>
      <c r="C288" s="11" t="s">
        <v>153</v>
      </c>
      <c r="D288" s="11" t="str">
        <f>VLOOKUP(VALUE(MID($C288,13,2)), codigos!$A$2:$B$60, 2, 1) &amp; " " &amp; VLOOKUP(VALUE(MID($C288,15,4)), codigos!$E$2:$F$102, 2, FALSE)</f>
        <v>OLLA CONVEXA 26</v>
      </c>
      <c r="E288" s="11" t="str">
        <f>VLOOKUP(VALUE(MID($C288,19,2)),codigos!$H$2:$I$62,2,1) &amp; " " &amp; VLOOKUP(VALUE(MID($C288,21,2)),codigos!$K$2:$L$12,2,FALSE)</f>
        <v>A/T S/I</v>
      </c>
      <c r="F288" s="11" t="s">
        <v>1194</v>
      </c>
      <c r="G288" s="11" t="s">
        <v>11</v>
      </c>
      <c r="H288" s="52" t="s">
        <v>1570</v>
      </c>
      <c r="I288" s="20" t="s">
        <v>1566</v>
      </c>
      <c r="J288" s="11">
        <v>12</v>
      </c>
      <c r="K288" s="11">
        <f>12-4+4</f>
        <v>12</v>
      </c>
      <c r="L288" s="11">
        <f t="shared" si="22"/>
        <v>0</v>
      </c>
      <c r="M288" s="128"/>
    </row>
    <row r="289" spans="1:13" ht="12.75" customHeight="1" x14ac:dyDescent="0.2">
      <c r="A289" s="11">
        <f t="shared" ca="1" si="23"/>
        <v>10</v>
      </c>
      <c r="C289" s="11" t="s">
        <v>257</v>
      </c>
      <c r="D289" s="11" t="str">
        <f>VLOOKUP(VALUE(MID($C289,13,2)), codigos!$A$2:$B$60, 2, 1) &amp; " " &amp; VLOOKUP(VALUE(MID($C289,15,4)), codigos!$E$2:$F$102, 2, FALSE)</f>
        <v>OLLA RECTA 14</v>
      </c>
      <c r="E289" s="11" t="str">
        <f>VLOOKUP(VALUE(MID($C289,19,2)),codigos!$H$2:$I$62,2,1) &amp; " " &amp; VLOOKUP(VALUE(MID($C289,21,2)),codigos!$K$2:$L$12,2,FALSE)</f>
        <v>A/T S/I</v>
      </c>
      <c r="F289" s="11" t="s">
        <v>1194</v>
      </c>
      <c r="G289" s="11" t="s">
        <v>11</v>
      </c>
      <c r="H289" s="52" t="s">
        <v>1570</v>
      </c>
      <c r="I289" s="20" t="s">
        <v>1566</v>
      </c>
      <c r="J289" s="11">
        <v>18</v>
      </c>
      <c r="K289" s="11">
        <v>0</v>
      </c>
      <c r="L289" s="11">
        <f t="shared" si="22"/>
        <v>18</v>
      </c>
      <c r="M289" s="128"/>
    </row>
    <row r="290" spans="1:13" ht="12.75" customHeight="1" x14ac:dyDescent="0.2">
      <c r="A290" s="11">
        <f t="shared" ca="1" si="23"/>
        <v>10</v>
      </c>
      <c r="C290" s="11" t="s">
        <v>258</v>
      </c>
      <c r="D290" s="11" t="str">
        <f>VLOOKUP(VALUE(MID($C290,13,2)), codigos!$A$2:$B$60, 2, 1) &amp; " " &amp; VLOOKUP(VALUE(MID($C290,15,4)), codigos!$E$2:$F$102, 2, FALSE)</f>
        <v>OLLA RECTA 16</v>
      </c>
      <c r="E290" s="11" t="str">
        <f>VLOOKUP(VALUE(MID($C290,19,2)),codigos!$H$2:$I$62,2,1) &amp; " " &amp; VLOOKUP(VALUE(MID($C290,21,2)),codigos!$K$2:$L$12,2,FALSE)</f>
        <v>A/T S/I</v>
      </c>
      <c r="F290" s="11" t="s">
        <v>1194</v>
      </c>
      <c r="G290" s="11" t="s">
        <v>11</v>
      </c>
      <c r="H290" s="52" t="s">
        <v>1570</v>
      </c>
      <c r="I290" s="20" t="s">
        <v>1566</v>
      </c>
      <c r="J290" s="11">
        <v>12</v>
      </c>
      <c r="K290" s="11">
        <f>12</f>
        <v>12</v>
      </c>
      <c r="L290" s="11">
        <f t="shared" si="22"/>
        <v>0</v>
      </c>
      <c r="M290" s="128"/>
    </row>
    <row r="291" spans="1:13" ht="12.75" customHeight="1" x14ac:dyDescent="0.2">
      <c r="A291" s="11">
        <f t="shared" ca="1" si="23"/>
        <v>10</v>
      </c>
      <c r="C291" s="11" t="s">
        <v>259</v>
      </c>
      <c r="D291" s="11" t="str">
        <f>VLOOKUP(VALUE(MID($C291,13,2)), codigos!$A$2:$B$60, 2, 1) &amp; " " &amp; VLOOKUP(VALUE(MID($C291,15,4)), codigos!$E$2:$F$102, 2, FALSE)</f>
        <v>OLLA RECTA 18</v>
      </c>
      <c r="E291" s="11" t="str">
        <f>VLOOKUP(VALUE(MID($C291,19,2)),codigos!$H$2:$I$62,2,1) &amp; " " &amp; VLOOKUP(VALUE(MID($C291,21,2)),codigos!$K$2:$L$12,2,FALSE)</f>
        <v>A/T S/I</v>
      </c>
      <c r="F291" s="11" t="s">
        <v>1194</v>
      </c>
      <c r="G291" s="11" t="s">
        <v>11</v>
      </c>
      <c r="H291" s="52" t="s">
        <v>1570</v>
      </c>
      <c r="I291" s="20" t="s">
        <v>1566</v>
      </c>
      <c r="J291" s="11">
        <v>12</v>
      </c>
      <c r="K291" s="11">
        <f>12</f>
        <v>12</v>
      </c>
      <c r="L291" s="11">
        <f t="shared" si="22"/>
        <v>0</v>
      </c>
      <c r="M291" s="128"/>
    </row>
    <row r="292" spans="1:13" ht="12.75" customHeight="1" x14ac:dyDescent="0.2">
      <c r="A292" s="11">
        <f t="shared" ca="1" si="23"/>
        <v>10</v>
      </c>
      <c r="C292" s="11" t="s">
        <v>224</v>
      </c>
      <c r="D292" s="11" t="str">
        <f>VLOOKUP(VALUE(MID($C292,13,2)), codigos!$A$2:$B$60, 2, 1) &amp; " " &amp; VLOOKUP(VALUE(MID($C292,15,4)), codigos!$E$2:$F$102, 2, FALSE)</f>
        <v>OLLA RECTA 26</v>
      </c>
      <c r="E292" s="11" t="str">
        <f>VLOOKUP(VALUE(MID($C292,19,2)),codigos!$H$2:$I$62,2,1) &amp; " " &amp; VLOOKUP(VALUE(MID($C292,21,2)),codigos!$K$2:$L$12,2,FALSE)</f>
        <v>A/T S/I</v>
      </c>
      <c r="F292" s="11" t="s">
        <v>1194</v>
      </c>
      <c r="G292" s="11" t="s">
        <v>11</v>
      </c>
      <c r="H292" s="52" t="s">
        <v>1570</v>
      </c>
      <c r="I292" s="20" t="s">
        <v>1566</v>
      </c>
      <c r="J292" s="11">
        <v>12</v>
      </c>
      <c r="K292" s="11">
        <f>12</f>
        <v>12</v>
      </c>
      <c r="L292" s="11">
        <f t="shared" si="22"/>
        <v>0</v>
      </c>
      <c r="M292" s="128"/>
    </row>
    <row r="293" spans="1:13" ht="12.75" customHeight="1" x14ac:dyDescent="0.2">
      <c r="A293" s="11">
        <f t="shared" ca="1" si="23"/>
        <v>10</v>
      </c>
      <c r="C293" s="11" t="s">
        <v>125</v>
      </c>
      <c r="D293" s="11" t="str">
        <f>VLOOKUP(VALUE(MID($C293,13,2)), codigos!$A$2:$B$60, 2, 1) &amp; " " &amp; VLOOKUP(VALUE(MID($C293,15,4)), codigos!$E$2:$F$102, 2, FALSE)</f>
        <v>POCILLO 14</v>
      </c>
      <c r="E293" s="11" t="str">
        <f>VLOOKUP(VALUE(MID($C293,19,2)),codigos!$H$2:$I$62,2,1) &amp; " " &amp; VLOOKUP(VALUE(MID($C293,21,2)),codigos!$K$2:$L$12,2,FALSE)</f>
        <v>BICOLOR AZUL S/I</v>
      </c>
      <c r="F293" s="11" t="s">
        <v>1194</v>
      </c>
      <c r="G293" s="11" t="s">
        <v>11</v>
      </c>
      <c r="H293" s="52" t="s">
        <v>1570</v>
      </c>
      <c r="I293" s="20" t="s">
        <v>1566</v>
      </c>
      <c r="J293" s="11">
        <v>12</v>
      </c>
      <c r="K293" s="11">
        <f>12</f>
        <v>12</v>
      </c>
      <c r="L293" s="11">
        <f t="shared" si="22"/>
        <v>0</v>
      </c>
      <c r="M293" s="128"/>
    </row>
    <row r="294" spans="1:13" ht="12.75" customHeight="1" x14ac:dyDescent="0.2">
      <c r="A294" s="11">
        <f t="shared" ca="1" si="23"/>
        <v>10</v>
      </c>
      <c r="C294" s="11" t="s">
        <v>129</v>
      </c>
      <c r="D294" s="11" t="str">
        <f>VLOOKUP(VALUE(MID($C294,13,2)), codigos!$A$2:$B$60, 2, 1) &amp; " " &amp; VLOOKUP(VALUE(MID($C294,15,4)), codigos!$E$2:$F$102, 2, FALSE)</f>
        <v>POCILLO 14</v>
      </c>
      <c r="E294" s="11" t="str">
        <f>VLOOKUP(VALUE(MID($C294,19,2)),codigos!$H$2:$I$62,2,1) &amp; " " &amp; VLOOKUP(VALUE(MID($C294,21,2)),codigos!$K$2:$L$12,2,FALSE)</f>
        <v>BICOLOR NARANJA S/I</v>
      </c>
      <c r="F294" s="11" t="s">
        <v>1194</v>
      </c>
      <c r="G294" s="11" t="s">
        <v>11</v>
      </c>
      <c r="H294" s="52" t="s">
        <v>1570</v>
      </c>
      <c r="I294" s="20" t="s">
        <v>1566</v>
      </c>
      <c r="J294" s="11">
        <v>12</v>
      </c>
      <c r="K294" s="11">
        <f>12</f>
        <v>12</v>
      </c>
      <c r="L294" s="11">
        <f t="shared" si="22"/>
        <v>0</v>
      </c>
      <c r="M294" s="128"/>
    </row>
    <row r="295" spans="1:13" ht="12.75" customHeight="1" x14ac:dyDescent="0.2">
      <c r="A295" s="11">
        <f t="shared" ca="1" si="23"/>
        <v>10</v>
      </c>
      <c r="C295" s="11" t="s">
        <v>130</v>
      </c>
      <c r="D295" s="11" t="str">
        <f>VLOOKUP(VALUE(MID($C295,13,2)), codigos!$A$2:$B$60, 2, 1) &amp; " " &amp; VLOOKUP(VALUE(MID($C295,15,4)), codigos!$E$2:$F$102, 2, FALSE)</f>
        <v>POCILLO 14</v>
      </c>
      <c r="E295" s="11" t="str">
        <f>VLOOKUP(VALUE(MID($C295,19,2)),codigos!$H$2:$I$62,2,1) &amp; " " &amp; VLOOKUP(VALUE(MID($C295,21,2)),codigos!$K$2:$L$12,2,FALSE)</f>
        <v>BICOLOR ROJO S/I</v>
      </c>
      <c r="F295" s="11" t="s">
        <v>1194</v>
      </c>
      <c r="G295" s="11" t="s">
        <v>11</v>
      </c>
      <c r="H295" s="52" t="s">
        <v>1570</v>
      </c>
      <c r="I295" s="20" t="s">
        <v>1566</v>
      </c>
      <c r="J295" s="11">
        <v>12</v>
      </c>
      <c r="K295" s="11">
        <f>12</f>
        <v>12</v>
      </c>
      <c r="L295" s="11">
        <f t="shared" si="22"/>
        <v>0</v>
      </c>
      <c r="M295" s="128"/>
    </row>
    <row r="296" spans="1:13" ht="12.75" customHeight="1" x14ac:dyDescent="0.2">
      <c r="A296" s="11">
        <f t="shared" ca="1" si="23"/>
        <v>10</v>
      </c>
      <c r="C296" s="11" t="s">
        <v>262</v>
      </c>
      <c r="D296" s="11" t="str">
        <f>VLOOKUP(VALUE(MID($C296,13,2)), codigos!$A$2:$B$60, 2, 1) &amp; " " &amp; VLOOKUP(VALUE(MID($C296,15,4)), codigos!$E$2:$F$102, 2, FALSE)</f>
        <v>SARTEN 20</v>
      </c>
      <c r="E296" s="11" t="str">
        <f>VLOOKUP(VALUE(MID($C296,19,2)),codigos!$H$2:$I$62,2,1) &amp; " " &amp; VLOOKUP(VALUE(MID($C296,21,2)),codigos!$K$2:$L$12,2,FALSE)</f>
        <v>A/T S/I</v>
      </c>
      <c r="F296" s="11" t="s">
        <v>1194</v>
      </c>
      <c r="G296" s="11" t="s">
        <v>11</v>
      </c>
      <c r="H296" s="52" t="s">
        <v>1570</v>
      </c>
      <c r="I296" s="20" t="s">
        <v>1566</v>
      </c>
      <c r="J296" s="11">
        <v>12</v>
      </c>
      <c r="K296" s="11">
        <f>12</f>
        <v>12</v>
      </c>
      <c r="L296" s="11">
        <f t="shared" si="22"/>
        <v>0</v>
      </c>
      <c r="M296" s="128"/>
    </row>
    <row r="297" spans="1:13" ht="12.75" customHeight="1" x14ac:dyDescent="0.2">
      <c r="A297" s="11">
        <f t="shared" ca="1" si="23"/>
        <v>10</v>
      </c>
      <c r="C297" s="11" t="s">
        <v>227</v>
      </c>
      <c r="D297" s="11" t="str">
        <f>VLOOKUP(VALUE(MID($C297,13,2)), codigos!$A$2:$B$60, 2, 1) &amp; " " &amp; VLOOKUP(VALUE(MID($C297,15,4)), codigos!$E$2:$F$102, 2, FALSE)</f>
        <v>SARTEN 22</v>
      </c>
      <c r="E297" s="11" t="str">
        <f>VLOOKUP(VALUE(MID($C297,19,2)),codigos!$H$2:$I$62,2,1) &amp; " " &amp; VLOOKUP(VALUE(MID($C297,21,2)),codigos!$K$2:$L$12,2,FALSE)</f>
        <v>A/T S/I</v>
      </c>
      <c r="F297" s="11" t="s">
        <v>1194</v>
      </c>
      <c r="G297" s="11" t="s">
        <v>11</v>
      </c>
      <c r="H297" s="52" t="s">
        <v>1570</v>
      </c>
      <c r="I297" s="20" t="s">
        <v>1566</v>
      </c>
      <c r="J297" s="11">
        <v>12</v>
      </c>
      <c r="K297" s="11">
        <f>2+6+4</f>
        <v>12</v>
      </c>
      <c r="L297" s="11">
        <f t="shared" si="22"/>
        <v>0</v>
      </c>
      <c r="M297" s="128"/>
    </row>
    <row r="298" spans="1:13" ht="12.75" customHeight="1" x14ac:dyDescent="0.2">
      <c r="A298" s="11">
        <f t="shared" ca="1" si="23"/>
        <v>10</v>
      </c>
      <c r="C298" s="11" t="s">
        <v>44</v>
      </c>
      <c r="D298" s="11" t="str">
        <f>VLOOKUP(VALUE(MID($C298,13,2)), codigos!$A$2:$B$60, 2, 1) &amp; " " &amp; VLOOKUP(VALUE(MID($C298,15,4)), codigos!$E$2:$F$102, 2, FALSE)</f>
        <v>SARTEN 24</v>
      </c>
      <c r="E298" s="11" t="str">
        <f>VLOOKUP(VALUE(MID($C298,19,2)),codigos!$H$2:$I$62,2,1) &amp; " " &amp; VLOOKUP(VALUE(MID($C298,21,2)),codigos!$K$2:$L$12,2,FALSE)</f>
        <v>A/T S/I</v>
      </c>
      <c r="F298" s="11" t="s">
        <v>1194</v>
      </c>
      <c r="G298" s="11" t="s">
        <v>11</v>
      </c>
      <c r="H298" s="52" t="s">
        <v>1570</v>
      </c>
      <c r="I298" s="20" t="s">
        <v>1566</v>
      </c>
      <c r="J298" s="11">
        <v>12</v>
      </c>
      <c r="K298" s="11">
        <v>0</v>
      </c>
      <c r="L298" s="11">
        <f t="shared" si="22"/>
        <v>12</v>
      </c>
      <c r="M298" s="128"/>
    </row>
    <row r="299" spans="1:13" ht="12.75" customHeight="1" x14ac:dyDescent="0.2">
      <c r="A299" s="11">
        <f t="shared" ca="1" si="23"/>
        <v>10</v>
      </c>
      <c r="C299" s="11" t="s">
        <v>239</v>
      </c>
      <c r="D299" s="11" t="str">
        <f>VLOOKUP(VALUE(MID($C299,13,2)), codigos!$A$2:$B$60, 2, 1) &amp; " " &amp; VLOOKUP(VALUE(MID($C299,15,4)), codigos!$E$2:$F$102, 2, FALSE)</f>
        <v>SARTEN 26</v>
      </c>
      <c r="E299" s="11" t="str">
        <f>VLOOKUP(VALUE(MID($C299,19,2)),codigos!$H$2:$I$62,2,1) &amp; " " &amp; VLOOKUP(VALUE(MID($C299,21,2)),codigos!$K$2:$L$12,2,FALSE)</f>
        <v>A/T S/I</v>
      </c>
      <c r="F299" s="11" t="s">
        <v>1194</v>
      </c>
      <c r="G299" s="11" t="s">
        <v>11</v>
      </c>
      <c r="H299" s="52" t="s">
        <v>1570</v>
      </c>
      <c r="I299" s="20" t="s">
        <v>1566</v>
      </c>
      <c r="J299" s="11">
        <v>12</v>
      </c>
      <c r="K299" s="11">
        <f>12</f>
        <v>12</v>
      </c>
      <c r="L299" s="11">
        <f t="shared" si="22"/>
        <v>0</v>
      </c>
      <c r="M299" s="128"/>
    </row>
    <row r="300" spans="1:13" ht="15" customHeight="1" x14ac:dyDescent="0.2">
      <c r="A300" s="11">
        <f t="shared" ca="1" si="23"/>
        <v>9</v>
      </c>
      <c r="C300" s="11" t="s">
        <v>211</v>
      </c>
      <c r="D300" s="11" t="str">
        <f>VLOOKUP(VALUE(MID($C300,13,2)), codigos!$A$2:$B$60, 2, 1) &amp; " " &amp; VLOOKUP(VALUE(MID($C300,15,4)), codigos!$E$2:$F$102, 2, FALSE)</f>
        <v>BAÑO 10</v>
      </c>
      <c r="E300" s="11" t="str">
        <f>VLOOKUP(VALUE(MID($C300,19,2)),codigos!$H$2:$I$62,2,1) &amp; " " &amp; VLOOKUP(VALUE(MID($C300,21,2)),codigos!$K$2:$L$12,2,FALSE)</f>
        <v>GALVANIZADO S/I</v>
      </c>
      <c r="F300" s="11" t="s">
        <v>1574</v>
      </c>
      <c r="G300" s="11" t="s">
        <v>11</v>
      </c>
      <c r="H300" s="52" t="s">
        <v>1571</v>
      </c>
      <c r="I300" s="20" t="s">
        <v>1572</v>
      </c>
      <c r="J300" s="11">
        <v>10</v>
      </c>
      <c r="K300" s="11">
        <f>10</f>
        <v>10</v>
      </c>
      <c r="L300" s="11">
        <f t="shared" si="22"/>
        <v>0</v>
      </c>
      <c r="M300" s="128"/>
    </row>
    <row r="301" spans="1:13" ht="12.75" customHeight="1" x14ac:dyDescent="0.2">
      <c r="A301" s="11">
        <f t="shared" ca="1" si="23"/>
        <v>9</v>
      </c>
      <c r="C301" s="11" t="s">
        <v>187</v>
      </c>
      <c r="D301" s="11" t="str">
        <f>VLOOKUP(VALUE(MID($C301,13,2)), codigos!$A$2:$B$60, 2, 1) &amp; " " &amp; VLOOKUP(VALUE(MID($C301,15,4)), codigos!$E$2:$F$102, 2, FALSE)</f>
        <v>OLLA CONVEXA 12</v>
      </c>
      <c r="E301" s="11" t="str">
        <f>VLOOKUP(VALUE(MID($C301,19,2)),codigos!$H$2:$I$62,2,1) &amp; " " &amp; VLOOKUP(VALUE(MID($C301,21,2)),codigos!$K$2:$L$12,2,FALSE)</f>
        <v>A/T S/I</v>
      </c>
      <c r="F301" s="11" t="s">
        <v>1574</v>
      </c>
      <c r="G301" s="11" t="s">
        <v>11</v>
      </c>
      <c r="H301" s="52" t="s">
        <v>1573</v>
      </c>
      <c r="I301" s="20" t="s">
        <v>1572</v>
      </c>
      <c r="J301" s="11">
        <v>54</v>
      </c>
      <c r="K301" s="11">
        <v>0</v>
      </c>
      <c r="L301" s="11">
        <f t="shared" si="22"/>
        <v>54</v>
      </c>
      <c r="M301" s="128"/>
    </row>
    <row r="302" spans="1:13" ht="12.75" customHeight="1" x14ac:dyDescent="0.2">
      <c r="A302" s="11">
        <f t="shared" ca="1" si="23"/>
        <v>9</v>
      </c>
      <c r="C302" s="11" t="s">
        <v>333</v>
      </c>
      <c r="D302" s="11" t="str">
        <f>VLOOKUP(VALUE(MID($C302,13,2)), codigos!$A$2:$B$60, 2, 1) &amp; " " &amp; VLOOKUP(VALUE(MID($C302,15,4)), codigos!$E$2:$F$102, 2, FALSE)</f>
        <v>OLLA CONVEXA 14</v>
      </c>
      <c r="E302" s="11" t="str">
        <f>VLOOKUP(VALUE(MID($C302,19,2)),codigos!$H$2:$I$62,2,1) &amp; " " &amp; VLOOKUP(VALUE(MID($C302,21,2)),codigos!$K$2:$L$12,2,FALSE)</f>
        <v>A/T S/I</v>
      </c>
      <c r="F302" s="11" t="s">
        <v>1574</v>
      </c>
      <c r="G302" s="11" t="s">
        <v>11</v>
      </c>
      <c r="H302" s="52" t="s">
        <v>1573</v>
      </c>
      <c r="I302" s="20" t="s">
        <v>1572</v>
      </c>
      <c r="J302" s="11">
        <v>54</v>
      </c>
      <c r="K302" s="11">
        <v>0</v>
      </c>
      <c r="L302" s="11">
        <f t="shared" si="22"/>
        <v>54</v>
      </c>
      <c r="M302" s="128"/>
    </row>
    <row r="303" spans="1:13" ht="12.75" customHeight="1" x14ac:dyDescent="0.2">
      <c r="A303" s="11">
        <f t="shared" ca="1" si="23"/>
        <v>9</v>
      </c>
      <c r="C303" s="11" t="s">
        <v>220</v>
      </c>
      <c r="D303" s="11" t="str">
        <f>VLOOKUP(VALUE(MID($C303,13,2)), codigos!$A$2:$B$60, 2, 1) &amp; " " &amp; VLOOKUP(VALUE(MID($C303,15,4)), codigos!$E$2:$F$102, 2, FALSE)</f>
        <v>OLLA CONVEXA 16</v>
      </c>
      <c r="E303" s="11" t="str">
        <f>VLOOKUP(VALUE(MID($C303,19,2)),codigos!$H$2:$I$62,2,1) &amp; " " &amp; VLOOKUP(VALUE(MID($C303,21,2)),codigos!$K$2:$L$12,2,FALSE)</f>
        <v>A/T S/I</v>
      </c>
      <c r="F303" s="11" t="s">
        <v>1574</v>
      </c>
      <c r="G303" s="11" t="s">
        <v>11</v>
      </c>
      <c r="H303" s="52" t="s">
        <v>1573</v>
      </c>
      <c r="I303" s="20" t="s">
        <v>1572</v>
      </c>
      <c r="J303" s="11">
        <v>36</v>
      </c>
      <c r="K303" s="11">
        <f>36</f>
        <v>36</v>
      </c>
      <c r="L303" s="11">
        <f t="shared" si="22"/>
        <v>0</v>
      </c>
      <c r="M303" s="128"/>
    </row>
    <row r="304" spans="1:13" ht="12.75" customHeight="1" x14ac:dyDescent="0.2">
      <c r="A304" s="11">
        <f t="shared" ca="1" si="23"/>
        <v>9</v>
      </c>
      <c r="C304" s="11" t="s">
        <v>154</v>
      </c>
      <c r="D304" s="11" t="str">
        <f>VLOOKUP(VALUE(MID($C304,13,2)), codigos!$A$2:$B$60, 2, 1) &amp; " " &amp; VLOOKUP(VALUE(MID($C304,15,4)), codigos!$E$2:$F$102, 2, FALSE)</f>
        <v>OLLA CONVEXA 30</v>
      </c>
      <c r="E304" s="11" t="str">
        <f>VLOOKUP(VALUE(MID($C304,19,2)),codigos!$H$2:$I$62,2,1) &amp; " " &amp; VLOOKUP(VALUE(MID($C304,21,2)),codigos!$K$2:$L$12,2,FALSE)</f>
        <v>A/T S/I</v>
      </c>
      <c r="F304" s="11" t="s">
        <v>1574</v>
      </c>
      <c r="G304" s="11" t="s">
        <v>11</v>
      </c>
      <c r="H304" s="52" t="s">
        <v>1573</v>
      </c>
      <c r="I304" s="20" t="s">
        <v>1572</v>
      </c>
      <c r="J304" s="11">
        <v>6</v>
      </c>
      <c r="K304" s="11">
        <f>6</f>
        <v>6</v>
      </c>
      <c r="L304" s="11">
        <f t="shared" si="22"/>
        <v>0</v>
      </c>
      <c r="M304" s="128"/>
    </row>
    <row r="305" spans="1:13" ht="12.75" customHeight="1" x14ac:dyDescent="0.2">
      <c r="A305" s="11">
        <f t="shared" ca="1" si="23"/>
        <v>9</v>
      </c>
      <c r="C305" s="11" t="s">
        <v>221</v>
      </c>
      <c r="D305" s="11" t="str">
        <f>VLOOKUP(VALUE(MID($C305,13,2)), codigos!$A$2:$B$60, 2, 1) &amp; " " &amp; VLOOKUP(VALUE(MID($C305,15,4)), codigos!$E$2:$F$102, 2, FALSE)</f>
        <v>OLLA CONVEXA 34</v>
      </c>
      <c r="E305" s="11" t="str">
        <f>VLOOKUP(VALUE(MID($C305,19,2)),codigos!$H$2:$I$62,2,1) &amp; " " &amp; VLOOKUP(VALUE(MID($C305,21,2)),codigos!$K$2:$L$12,2,FALSE)</f>
        <v>A/T S/I</v>
      </c>
      <c r="F305" s="11" t="s">
        <v>1574</v>
      </c>
      <c r="G305" s="11" t="s">
        <v>11</v>
      </c>
      <c r="H305" s="52" t="s">
        <v>1573</v>
      </c>
      <c r="I305" s="20" t="s">
        <v>1572</v>
      </c>
      <c r="J305" s="11">
        <v>6</v>
      </c>
      <c r="K305" s="11">
        <v>6</v>
      </c>
      <c r="L305" s="11">
        <f t="shared" si="22"/>
        <v>0</v>
      </c>
      <c r="M305" s="128"/>
    </row>
    <row r="306" spans="1:13" ht="15" customHeight="1" x14ac:dyDescent="0.2">
      <c r="A306" s="11">
        <f t="shared" ca="1" si="23"/>
        <v>9</v>
      </c>
      <c r="C306" s="11" t="s">
        <v>193</v>
      </c>
      <c r="D306" s="11" t="str">
        <f>VLOOKUP(VALUE(MID($C306,13,2)), codigos!$A$2:$B$60, 2, 1) &amp; " " &amp; VLOOKUP(VALUE(MID($C306,15,4)), codigos!$E$2:$F$102, 2, FALSE)</f>
        <v>BANDEJA 0</v>
      </c>
      <c r="E306" s="11" t="str">
        <f>VLOOKUP(VALUE(MID($C306,19,2)),codigos!$H$2:$I$62,2,1) &amp; " " &amp; VLOOKUP(VALUE(MID($C306,21,2)),codigos!$K$2:$L$12,2,FALSE)</f>
        <v>GALVANIZADO S/I</v>
      </c>
      <c r="F306" s="11" t="s">
        <v>1219</v>
      </c>
      <c r="G306" s="11" t="s">
        <v>11</v>
      </c>
      <c r="H306" s="52" t="s">
        <v>1575</v>
      </c>
      <c r="I306" s="20" t="s">
        <v>1572</v>
      </c>
      <c r="J306" s="11">
        <v>25</v>
      </c>
      <c r="K306" s="11">
        <f>25</f>
        <v>25</v>
      </c>
      <c r="L306" s="11">
        <f t="shared" si="22"/>
        <v>0</v>
      </c>
      <c r="M306" s="128"/>
    </row>
    <row r="307" spans="1:13" ht="12.75" customHeight="1" x14ac:dyDescent="0.2">
      <c r="A307" s="11">
        <f t="shared" ca="1" si="23"/>
        <v>9</v>
      </c>
      <c r="C307" s="11" t="s">
        <v>199</v>
      </c>
      <c r="D307" s="11" t="str">
        <f>VLOOKUP(VALUE(MID($C307,13,2)), codigos!$A$2:$B$60, 2, 1) &amp; " " &amp; VLOOKUP(VALUE(MID($C307,15,4)), codigos!$E$2:$F$102, 2, FALSE)</f>
        <v>BAÑO 0</v>
      </c>
      <c r="E307" s="11" t="str">
        <f>VLOOKUP(VALUE(MID($C307,19,2)),codigos!$H$2:$I$62,2,1) &amp; " " &amp; VLOOKUP(VALUE(MID($C307,21,2)),codigos!$K$2:$L$12,2,FALSE)</f>
        <v>GALVANIZADO S/I</v>
      </c>
      <c r="F307" s="11" t="s">
        <v>1219</v>
      </c>
      <c r="G307" s="11" t="s">
        <v>11</v>
      </c>
      <c r="H307" s="52" t="s">
        <v>1575</v>
      </c>
      <c r="I307" s="20" t="s">
        <v>1572</v>
      </c>
      <c r="J307" s="11">
        <v>20</v>
      </c>
      <c r="K307" s="11">
        <v>20</v>
      </c>
      <c r="L307" s="11">
        <f t="shared" si="22"/>
        <v>0</v>
      </c>
      <c r="M307" s="128"/>
    </row>
    <row r="308" spans="1:13" ht="12.75" customHeight="1" x14ac:dyDescent="0.2">
      <c r="A308" s="11">
        <f t="shared" ca="1" si="23"/>
        <v>9</v>
      </c>
      <c r="C308" s="11" t="s">
        <v>200</v>
      </c>
      <c r="D308" s="11" t="str">
        <f>VLOOKUP(VALUE(MID($C308,13,2)), codigos!$A$2:$B$60, 2, 1) &amp; " " &amp; VLOOKUP(VALUE(MID($C308,15,4)), codigos!$E$2:$F$102, 2, FALSE)</f>
        <v>BAÑO 0</v>
      </c>
      <c r="E308" s="11" t="str">
        <f>VLOOKUP(VALUE(MID($C308,19,2)),codigos!$H$2:$I$62,2,1) &amp; " " &amp; VLOOKUP(VALUE(MID($C308,21,2)),codigos!$K$2:$L$12,2,FALSE)</f>
        <v>GALVANIZADO S/I</v>
      </c>
      <c r="F308" s="11" t="s">
        <v>1219</v>
      </c>
      <c r="G308" s="11" t="s">
        <v>11</v>
      </c>
      <c r="H308" s="52" t="s">
        <v>1575</v>
      </c>
      <c r="I308" s="20" t="s">
        <v>1572</v>
      </c>
      <c r="J308" s="11">
        <v>20</v>
      </c>
      <c r="K308" s="11">
        <v>20</v>
      </c>
      <c r="L308" s="11">
        <f t="shared" si="22"/>
        <v>0</v>
      </c>
      <c r="M308" s="128"/>
    </row>
    <row r="309" spans="1:13" ht="12.75" customHeight="1" x14ac:dyDescent="0.2">
      <c r="A309" s="11">
        <f t="shared" ca="1" si="23"/>
        <v>9</v>
      </c>
      <c r="C309" s="11" t="s">
        <v>201</v>
      </c>
      <c r="D309" s="11" t="str">
        <f>VLOOKUP(VALUE(MID($C309,13,2)), codigos!$A$2:$B$60, 2, 1) &amp; " " &amp; VLOOKUP(VALUE(MID($C309,15,4)), codigos!$E$2:$F$102, 2, FALSE)</f>
        <v>BAÑO 0</v>
      </c>
      <c r="E309" s="11" t="str">
        <f>VLOOKUP(VALUE(MID($C309,19,2)),codigos!$H$2:$I$62,2,1) &amp; " " &amp; VLOOKUP(VALUE(MID($C309,21,2)),codigos!$K$2:$L$12,2,FALSE)</f>
        <v>GALVANIZADO S/I</v>
      </c>
      <c r="F309" s="11" t="s">
        <v>1219</v>
      </c>
      <c r="G309" s="11" t="s">
        <v>11</v>
      </c>
      <c r="H309" s="52" t="s">
        <v>1575</v>
      </c>
      <c r="I309" s="20" t="s">
        <v>1572</v>
      </c>
      <c r="J309" s="11">
        <v>20</v>
      </c>
      <c r="K309" s="11">
        <v>20</v>
      </c>
      <c r="L309" s="11">
        <f t="shared" si="22"/>
        <v>0</v>
      </c>
      <c r="M309" s="128"/>
    </row>
    <row r="310" spans="1:13" ht="12.75" customHeight="1" x14ac:dyDescent="0.2">
      <c r="A310" s="11">
        <f t="shared" ca="1" si="23"/>
        <v>9</v>
      </c>
      <c r="C310" s="11" t="s">
        <v>206</v>
      </c>
      <c r="D310" s="11" t="str">
        <f>VLOOKUP(VALUE(MID($C310,13,2)), codigos!$A$2:$B$60, 2, 1) &amp; " " &amp; VLOOKUP(VALUE(MID($C310,15,4)), codigos!$E$2:$F$102, 2, FALSE)</f>
        <v>BAÑO 1</v>
      </c>
      <c r="E310" s="11" t="str">
        <f>VLOOKUP(VALUE(MID($C310,19,2)),codigos!$H$2:$I$62,2,1) &amp; " " &amp; VLOOKUP(VALUE(MID($C310,21,2)),codigos!$K$2:$L$12,2,FALSE)</f>
        <v>GALVANIZADO S/I</v>
      </c>
      <c r="F310" s="11" t="s">
        <v>1219</v>
      </c>
      <c r="G310" s="11" t="s">
        <v>11</v>
      </c>
      <c r="H310" s="52" t="s">
        <v>1575</v>
      </c>
      <c r="I310" s="20" t="s">
        <v>1572</v>
      </c>
      <c r="J310" s="11">
        <v>20</v>
      </c>
      <c r="K310" s="11">
        <v>19</v>
      </c>
      <c r="L310" s="11">
        <f t="shared" si="22"/>
        <v>1</v>
      </c>
      <c r="M310" s="128"/>
    </row>
    <row r="311" spans="1:13" ht="12.75" customHeight="1" x14ac:dyDescent="0.2">
      <c r="A311" s="11">
        <f t="shared" ca="1" si="23"/>
        <v>9</v>
      </c>
      <c r="C311" s="11" t="s">
        <v>209</v>
      </c>
      <c r="D311" s="11" t="str">
        <f>VLOOKUP(VALUE(MID($C311,13,2)), codigos!$A$2:$B$60, 2, 1) &amp; " " &amp; VLOOKUP(VALUE(MID($C311,15,4)), codigos!$E$2:$F$102, 2, FALSE)</f>
        <v>BAÑO 2</v>
      </c>
      <c r="E311" s="11" t="str">
        <f>VLOOKUP(VALUE(MID($C311,19,2)),codigos!$H$2:$I$62,2,1) &amp; " " &amp; VLOOKUP(VALUE(MID($C311,21,2)),codigos!$K$2:$L$12,2,FALSE)</f>
        <v>GALVANIZADO S/I</v>
      </c>
      <c r="F311" s="11" t="s">
        <v>1219</v>
      </c>
      <c r="G311" s="11" t="s">
        <v>11</v>
      </c>
      <c r="H311" s="52" t="s">
        <v>1575</v>
      </c>
      <c r="I311" s="20" t="s">
        <v>1572</v>
      </c>
      <c r="J311" s="11">
        <v>20</v>
      </c>
      <c r="K311" s="11">
        <v>20</v>
      </c>
      <c r="L311" s="11">
        <f t="shared" si="22"/>
        <v>0</v>
      </c>
      <c r="M311" s="128"/>
    </row>
    <row r="312" spans="1:13" ht="12.75" customHeight="1" x14ac:dyDescent="0.2">
      <c r="A312" s="11">
        <f t="shared" ca="1" si="23"/>
        <v>9</v>
      </c>
      <c r="C312" s="11" t="s">
        <v>158</v>
      </c>
      <c r="D312" s="11" t="str">
        <f>VLOOKUP(VALUE(MID($C312,13,2)), codigos!$A$2:$B$60, 2, 1) &amp; " " &amp; VLOOKUP(VALUE(MID($C312,15,4)), codigos!$E$2:$F$102, 2, FALSE)</f>
        <v>BAÑO 3</v>
      </c>
      <c r="E312" s="11" t="str">
        <f>VLOOKUP(VALUE(MID($C312,19,2)),codigos!$H$2:$I$62,2,1) &amp; " " &amp; VLOOKUP(VALUE(MID($C312,21,2)),codigos!$K$2:$L$12,2,FALSE)</f>
        <v>GALVANIZADO S/I</v>
      </c>
      <c r="F312" s="11" t="s">
        <v>1219</v>
      </c>
      <c r="G312" s="11" t="s">
        <v>11</v>
      </c>
      <c r="H312" s="52" t="s">
        <v>1575</v>
      </c>
      <c r="I312" s="20" t="s">
        <v>1572</v>
      </c>
      <c r="J312" s="11">
        <v>20</v>
      </c>
      <c r="K312" s="11">
        <v>16</v>
      </c>
      <c r="L312" s="11">
        <f t="shared" si="22"/>
        <v>4</v>
      </c>
      <c r="M312" s="128"/>
    </row>
    <row r="313" spans="1:13" ht="12.75" customHeight="1" x14ac:dyDescent="0.2">
      <c r="A313" s="11">
        <f t="shared" ca="1" si="23"/>
        <v>9</v>
      </c>
      <c r="C313" s="11" t="s">
        <v>45</v>
      </c>
      <c r="D313" s="11" t="str">
        <f>VLOOKUP(VALUE(MID($C313,13,2)), codigos!$A$2:$B$60, 2, 1) &amp; " " &amp; VLOOKUP(VALUE(MID($C313,15,4)), codigos!$E$2:$F$102, 2, FALSE)</f>
        <v>BAÑO 4</v>
      </c>
      <c r="E313" s="11" t="str">
        <f>VLOOKUP(VALUE(MID($C313,19,2)),codigos!$H$2:$I$62,2,1) &amp; " " &amp; VLOOKUP(VALUE(MID($C313,21,2)),codigos!$K$2:$L$12,2,FALSE)</f>
        <v>GALVANIZADO S/I</v>
      </c>
      <c r="F313" s="11" t="s">
        <v>1219</v>
      </c>
      <c r="G313" s="11" t="s">
        <v>11</v>
      </c>
      <c r="H313" s="52" t="s">
        <v>1575</v>
      </c>
      <c r="I313" s="20" t="s">
        <v>1572</v>
      </c>
      <c r="J313" s="11">
        <v>20</v>
      </c>
      <c r="K313" s="11">
        <v>20</v>
      </c>
      <c r="L313" s="11">
        <f t="shared" si="22"/>
        <v>0</v>
      </c>
      <c r="M313" s="128"/>
    </row>
    <row r="314" spans="1:13" ht="12.75" customHeight="1" x14ac:dyDescent="0.2">
      <c r="A314" s="11">
        <f t="shared" ca="1" si="23"/>
        <v>9</v>
      </c>
      <c r="C314" s="11" t="s">
        <v>32</v>
      </c>
      <c r="D314" s="11" t="str">
        <f>VLOOKUP(VALUE(MID($C314,13,2)), codigos!$A$2:$B$60, 2, 1) &amp; " " &amp; VLOOKUP(VALUE(MID($C314,15,4)), codigos!$E$2:$F$102, 2, FALSE)</f>
        <v>BAÑO 5</v>
      </c>
      <c r="E314" s="11" t="str">
        <f>VLOOKUP(VALUE(MID($C314,19,2)),codigos!$H$2:$I$62,2,1) &amp; " " &amp; VLOOKUP(VALUE(MID($C314,21,2)),codigos!$K$2:$L$12,2,FALSE)</f>
        <v>GALVANIZADO S/I</v>
      </c>
      <c r="F314" s="11" t="s">
        <v>1219</v>
      </c>
      <c r="G314" s="11" t="s">
        <v>11</v>
      </c>
      <c r="H314" s="52" t="s">
        <v>1575</v>
      </c>
      <c r="I314" s="20" t="s">
        <v>1572</v>
      </c>
      <c r="J314" s="11">
        <v>15</v>
      </c>
      <c r="K314" s="11">
        <v>0</v>
      </c>
      <c r="L314" s="11">
        <f t="shared" si="22"/>
        <v>15</v>
      </c>
      <c r="M314" s="128"/>
    </row>
    <row r="315" spans="1:13" ht="12.75" customHeight="1" x14ac:dyDescent="0.2">
      <c r="A315" s="11">
        <f t="shared" ca="1" si="23"/>
        <v>9</v>
      </c>
      <c r="C315" s="11" t="s">
        <v>37</v>
      </c>
      <c r="D315" s="11" t="str">
        <f>VLOOKUP(VALUE(MID($C315,13,2)), codigos!$A$2:$B$60, 2, 1) &amp; " " &amp; VLOOKUP(VALUE(MID($C315,15,4)), codigos!$E$2:$F$102, 2, FALSE)</f>
        <v>BAÑO 6</v>
      </c>
      <c r="E315" s="11" t="str">
        <f>VLOOKUP(VALUE(MID($C315,19,2)),codigos!$H$2:$I$62,2,1) &amp; " " &amp; VLOOKUP(VALUE(MID($C315,21,2)),codigos!$K$2:$L$12,2,FALSE)</f>
        <v>GALVANIZADO S/I</v>
      </c>
      <c r="F315" s="11" t="s">
        <v>1219</v>
      </c>
      <c r="G315" s="11" t="s">
        <v>11</v>
      </c>
      <c r="H315" s="52" t="s">
        <v>1575</v>
      </c>
      <c r="I315" s="20" t="s">
        <v>1572</v>
      </c>
      <c r="J315" s="11">
        <v>10</v>
      </c>
      <c r="K315" s="11">
        <v>0</v>
      </c>
      <c r="L315" s="11">
        <f t="shared" ref="L315:L337" si="24">+J315-K315</f>
        <v>10</v>
      </c>
      <c r="M315" s="128"/>
    </row>
    <row r="316" spans="1:13" ht="12.75" customHeight="1" x14ac:dyDescent="0.2">
      <c r="A316" s="11">
        <f t="shared" ca="1" si="23"/>
        <v>9</v>
      </c>
      <c r="C316" s="11" t="s">
        <v>416</v>
      </c>
      <c r="D316" s="11" t="str">
        <f>VLOOKUP(VALUE(MID($C316,13,2)), codigos!$A$2:$B$60, 2, 1) &amp; " " &amp; VLOOKUP(VALUE(MID($C316,15,4)), codigos!$E$2:$F$102, 2, FALSE)</f>
        <v>BAÑO 7</v>
      </c>
      <c r="E316" s="11" t="str">
        <f>VLOOKUP(VALUE(MID($C316,19,2)),codigos!$H$2:$I$62,2,1) &amp; " " &amp; VLOOKUP(VALUE(MID($C316,21,2)),codigos!$K$2:$L$12,2,FALSE)</f>
        <v>GALVANIZADO S/I</v>
      </c>
      <c r="F316" s="11" t="s">
        <v>1219</v>
      </c>
      <c r="G316" s="11" t="s">
        <v>11</v>
      </c>
      <c r="H316" s="52" t="s">
        <v>1575</v>
      </c>
      <c r="I316" s="20" t="s">
        <v>1572</v>
      </c>
      <c r="J316" s="11">
        <v>10</v>
      </c>
      <c r="K316" s="11">
        <v>0</v>
      </c>
      <c r="L316" s="11">
        <f t="shared" si="24"/>
        <v>10</v>
      </c>
      <c r="M316" s="128"/>
    </row>
    <row r="317" spans="1:13" ht="12.75" customHeight="1" x14ac:dyDescent="0.2">
      <c r="A317" s="11">
        <f t="shared" ca="1" si="23"/>
        <v>9</v>
      </c>
      <c r="C317" s="11" t="s">
        <v>360</v>
      </c>
      <c r="D317" s="11" t="str">
        <f>VLOOKUP(VALUE(MID($C317,13,2)), codigos!$A$2:$B$60, 2, 1) &amp; " " &amp; VLOOKUP(VALUE(MID($C317,15,4)), codigos!$E$2:$F$102, 2, FALSE)</f>
        <v>CUBETA 4</v>
      </c>
      <c r="E317" s="11" t="str">
        <f>VLOOKUP(VALUE(MID($C317,19,2)),codigos!$H$2:$I$62,2,1) &amp; " " &amp; VLOOKUP(VALUE(MID($C317,21,2)),codigos!$K$2:$L$12,2,FALSE)</f>
        <v>GALVANIZADO S/I</v>
      </c>
      <c r="F317" s="11" t="s">
        <v>1219</v>
      </c>
      <c r="G317" s="11" t="s">
        <v>11</v>
      </c>
      <c r="H317" s="52" t="s">
        <v>1575</v>
      </c>
      <c r="I317" s="20" t="s">
        <v>1572</v>
      </c>
      <c r="J317" s="11">
        <v>100</v>
      </c>
      <c r="K317" s="11">
        <f>7</f>
        <v>7</v>
      </c>
      <c r="L317" s="11">
        <f t="shared" si="24"/>
        <v>93</v>
      </c>
      <c r="M317" s="128"/>
    </row>
    <row r="318" spans="1:13" ht="12.75" customHeight="1" x14ac:dyDescent="0.2">
      <c r="A318" s="11">
        <f t="shared" ca="1" si="23"/>
        <v>9</v>
      </c>
      <c r="C318" s="11" t="s">
        <v>202</v>
      </c>
      <c r="D318" s="11" t="str">
        <f>VLOOKUP(VALUE(MID($C318,13,2)), codigos!$A$2:$B$60, 2, 1) &amp; " " &amp; VLOOKUP(VALUE(MID($C318,15,4)), codigos!$E$2:$F$102, 2, FALSE)</f>
        <v>CUBETA 6</v>
      </c>
      <c r="E318" s="11" t="str">
        <f>VLOOKUP(VALUE(MID($C318,19,2)),codigos!$H$2:$I$62,2,1) &amp; " " &amp; VLOOKUP(VALUE(MID($C318,21,2)),codigos!$K$2:$L$12,2,FALSE)</f>
        <v>GALVANIZADO S/I</v>
      </c>
      <c r="F318" s="11" t="s">
        <v>1219</v>
      </c>
      <c r="G318" s="11" t="s">
        <v>11</v>
      </c>
      <c r="H318" s="52" t="s">
        <v>1575</v>
      </c>
      <c r="I318" s="20" t="s">
        <v>1572</v>
      </c>
      <c r="J318" s="11">
        <v>50</v>
      </c>
      <c r="K318" s="11">
        <f>19</f>
        <v>19</v>
      </c>
      <c r="L318" s="11">
        <f t="shared" si="24"/>
        <v>31</v>
      </c>
      <c r="M318" s="128"/>
    </row>
    <row r="319" spans="1:13" ht="12.75" customHeight="1" x14ac:dyDescent="0.2">
      <c r="A319" s="11">
        <f t="shared" ca="1" si="23"/>
        <v>9</v>
      </c>
      <c r="C319" s="11" t="s">
        <v>49</v>
      </c>
      <c r="D319" s="11" t="str">
        <f>VLOOKUP(VALUE(MID($C319,13,2)), codigos!$A$2:$B$60, 2, 1) &amp; " " &amp; VLOOKUP(VALUE(MID($C319,15,4)), codigos!$E$2:$F$102, 2, FALSE)</f>
        <v>CUBETA 8</v>
      </c>
      <c r="E319" s="11" t="str">
        <f>VLOOKUP(VALUE(MID($C319,19,2)),codigos!$H$2:$I$62,2,1) &amp; " " &amp; VLOOKUP(VALUE(MID($C319,21,2)),codigos!$K$2:$L$12,2,FALSE)</f>
        <v>GALVANIZADO S/I</v>
      </c>
      <c r="F319" s="11" t="s">
        <v>1219</v>
      </c>
      <c r="G319" s="11" t="s">
        <v>11</v>
      </c>
      <c r="H319" s="52" t="s">
        <v>1575</v>
      </c>
      <c r="I319" s="20" t="s">
        <v>1572</v>
      </c>
      <c r="J319" s="11">
        <v>50</v>
      </c>
      <c r="K319" s="11">
        <v>50</v>
      </c>
      <c r="L319" s="11">
        <f t="shared" si="24"/>
        <v>0</v>
      </c>
      <c r="M319" s="128"/>
    </row>
    <row r="320" spans="1:13" ht="12.75" customHeight="1" x14ac:dyDescent="0.2">
      <c r="A320" s="11">
        <f t="shared" ca="1" si="23"/>
        <v>9</v>
      </c>
      <c r="C320" s="11" t="s">
        <v>50</v>
      </c>
      <c r="D320" s="11" t="str">
        <f>VLOOKUP(VALUE(MID($C320,13,2)), codigos!$A$2:$B$60, 2, 1) &amp; " " &amp; VLOOKUP(VALUE(MID($C320,15,4)), codigos!$E$2:$F$102, 2, FALSE)</f>
        <v>CUBETA 12</v>
      </c>
      <c r="E320" s="11" t="str">
        <f>VLOOKUP(VALUE(MID($C320,19,2)),codigos!$H$2:$I$62,2,1) &amp; " " &amp; VLOOKUP(VALUE(MID($C320,21,2)),codigos!$K$2:$L$12,2,FALSE)</f>
        <v>GALVANIZADO S/I</v>
      </c>
      <c r="F320" s="11" t="s">
        <v>1219</v>
      </c>
      <c r="G320" s="11" t="s">
        <v>11</v>
      </c>
      <c r="H320" s="52" t="s">
        <v>1575</v>
      </c>
      <c r="I320" s="20" t="s">
        <v>1572</v>
      </c>
      <c r="J320" s="11">
        <v>25</v>
      </c>
      <c r="K320" s="11">
        <v>25</v>
      </c>
      <c r="L320" s="11">
        <f t="shared" si="24"/>
        <v>0</v>
      </c>
      <c r="M320" s="128"/>
    </row>
    <row r="321" spans="1:13" ht="12.75" customHeight="1" x14ac:dyDescent="0.2">
      <c r="A321" s="11">
        <f t="shared" ca="1" si="23"/>
        <v>9</v>
      </c>
      <c r="C321" s="11" t="s">
        <v>204</v>
      </c>
      <c r="D321" s="11" t="str">
        <f>VLOOKUP(VALUE(MID($C321,13,2)), codigos!$A$2:$B$60, 2, 1) &amp; " " &amp; VLOOKUP(VALUE(MID($C321,15,4)), codigos!$E$2:$F$102, 2, FALSE)</f>
        <v>CUBETA 14</v>
      </c>
      <c r="E321" s="11" t="str">
        <f>VLOOKUP(VALUE(MID($C321,19,2)),codigos!$H$2:$I$62,2,1) &amp; " " &amp; VLOOKUP(VALUE(MID($C321,21,2)),codigos!$K$2:$L$12,2,FALSE)</f>
        <v>GALVANIZADO S/I</v>
      </c>
      <c r="F321" s="11" t="s">
        <v>1219</v>
      </c>
      <c r="G321" s="11" t="s">
        <v>11</v>
      </c>
      <c r="H321" s="52" t="s">
        <v>1575</v>
      </c>
      <c r="I321" s="20" t="s">
        <v>1572</v>
      </c>
      <c r="J321" s="11">
        <v>25</v>
      </c>
      <c r="K321" s="11">
        <v>25</v>
      </c>
      <c r="L321" s="11">
        <f t="shared" si="24"/>
        <v>0</v>
      </c>
      <c r="M321" s="128"/>
    </row>
    <row r="322" spans="1:13" ht="12.75" customHeight="1" x14ac:dyDescent="0.2">
      <c r="A322" s="11">
        <f t="shared" ca="1" si="23"/>
        <v>9</v>
      </c>
      <c r="C322" s="11" t="s">
        <v>205</v>
      </c>
      <c r="D322" s="11" t="str">
        <f>VLOOKUP(VALUE(MID($C322,13,2)), codigos!$A$2:$B$60, 2, 1) &amp; " " &amp; VLOOKUP(VALUE(MID($C322,15,4)), codigos!$E$2:$F$102, 2, FALSE)</f>
        <v>CUBETA 16</v>
      </c>
      <c r="E322" s="11" t="str">
        <f>VLOOKUP(VALUE(MID($C322,19,2)),codigos!$H$2:$I$62,2,1) &amp; " " &amp; VLOOKUP(VALUE(MID($C322,21,2)),codigos!$K$2:$L$12,2,FALSE)</f>
        <v>GALVANIZADO S/I</v>
      </c>
      <c r="F322" s="11" t="s">
        <v>1219</v>
      </c>
      <c r="G322" s="11" t="s">
        <v>11</v>
      </c>
      <c r="H322" s="52" t="s">
        <v>1575</v>
      </c>
      <c r="I322" s="20" t="s">
        <v>1572</v>
      </c>
      <c r="J322" s="11">
        <v>25</v>
      </c>
      <c r="K322" s="11">
        <v>25</v>
      </c>
      <c r="L322" s="11">
        <f t="shared" si="24"/>
        <v>0</v>
      </c>
      <c r="M322" s="128"/>
    </row>
    <row r="323" spans="1:13" ht="15" customHeight="1" x14ac:dyDescent="0.2">
      <c r="A323" s="11">
        <f t="shared" ca="1" si="23"/>
        <v>9</v>
      </c>
      <c r="C323" s="11" t="s">
        <v>148</v>
      </c>
      <c r="D323" s="11" t="str">
        <f>VLOOKUP(VALUE(MID($C323,13,2)), codigos!$A$2:$B$60, 2, 1) &amp; " " &amp; VLOOKUP(VALUE(MID($C323,15,4)), codigos!$E$2:$F$102, 2, FALSE)</f>
        <v>BUDINERA 26</v>
      </c>
      <c r="E323" s="11" t="str">
        <f>VLOOKUP(VALUE(MID($C323,19,2)),codigos!$H$2:$I$62,2,1) &amp; " " &amp; VLOOKUP(VALUE(MID($C323,21,2)),codigos!$K$2:$L$12,2,FALSE)</f>
        <v>A/T S/I</v>
      </c>
      <c r="F323" s="11" t="s">
        <v>600</v>
      </c>
      <c r="G323" s="11" t="s">
        <v>11</v>
      </c>
      <c r="H323" s="52" t="s">
        <v>1578</v>
      </c>
      <c r="I323" s="20" t="s">
        <v>1572</v>
      </c>
      <c r="J323" s="11">
        <v>12</v>
      </c>
      <c r="K323" s="11">
        <v>0</v>
      </c>
      <c r="L323" s="11">
        <f t="shared" si="24"/>
        <v>12</v>
      </c>
      <c r="M323" s="128"/>
    </row>
    <row r="324" spans="1:13" ht="12.75" customHeight="1" x14ac:dyDescent="0.2">
      <c r="A324" s="11">
        <f t="shared" ca="1" si="23"/>
        <v>9</v>
      </c>
      <c r="C324" s="11" t="s">
        <v>169</v>
      </c>
      <c r="D324" s="11" t="str">
        <f>VLOOKUP(VALUE(MID($C324,13,2)), codigos!$A$2:$B$60, 2, 1) &amp; " " &amp; VLOOKUP(VALUE(MID($C324,15,4)), codigos!$E$2:$F$102, 2, FALSE)</f>
        <v>BUDINERA 30</v>
      </c>
      <c r="E324" s="11" t="str">
        <f>VLOOKUP(VALUE(MID($C324,19,2)),codigos!$H$2:$I$62,2,1) &amp; " " &amp; VLOOKUP(VALUE(MID($C324,21,2)),codigos!$K$2:$L$12,2,FALSE)</f>
        <v>A/T S/I</v>
      </c>
      <c r="F324" s="11" t="s">
        <v>600</v>
      </c>
      <c r="G324" s="11" t="s">
        <v>11</v>
      </c>
      <c r="H324" s="52" t="s">
        <v>1578</v>
      </c>
      <c r="I324" s="20" t="s">
        <v>1572</v>
      </c>
      <c r="J324" s="11">
        <v>12</v>
      </c>
      <c r="K324" s="11">
        <f>12</f>
        <v>12</v>
      </c>
      <c r="L324" s="11">
        <f t="shared" si="24"/>
        <v>0</v>
      </c>
      <c r="M324" s="128"/>
    </row>
    <row r="325" spans="1:13" ht="12.75" customHeight="1" x14ac:dyDescent="0.2">
      <c r="A325" s="11">
        <f t="shared" ca="1" si="23"/>
        <v>9</v>
      </c>
      <c r="C325" s="11" t="s">
        <v>173</v>
      </c>
      <c r="D325" s="11" t="str">
        <f>VLOOKUP(VALUE(MID($C325,13,2)), codigos!$A$2:$B$60, 2, 1) &amp; " " &amp; VLOOKUP(VALUE(MID($C325,15,4)), codigos!$E$2:$F$102, 2, FALSE)</f>
        <v>BUDINERA 34</v>
      </c>
      <c r="E325" s="11" t="str">
        <f>VLOOKUP(VALUE(MID($C325,19,2)),codigos!$H$2:$I$62,2,1) &amp; " " &amp; VLOOKUP(VALUE(MID($C325,21,2)),codigos!$K$2:$L$12,2,FALSE)</f>
        <v>A/T S/I</v>
      </c>
      <c r="F325" s="11" t="s">
        <v>600</v>
      </c>
      <c r="G325" s="11" t="s">
        <v>11</v>
      </c>
      <c r="H325" s="52" t="s">
        <v>1578</v>
      </c>
      <c r="I325" s="20" t="s">
        <v>1572</v>
      </c>
      <c r="J325" s="11">
        <v>12</v>
      </c>
      <c r="K325" s="11">
        <v>0</v>
      </c>
      <c r="L325" s="11">
        <f t="shared" si="24"/>
        <v>12</v>
      </c>
      <c r="M325" s="128"/>
    </row>
    <row r="326" spans="1:13" ht="12.75" customHeight="1" x14ac:dyDescent="0.2">
      <c r="A326" s="11">
        <f t="shared" ca="1" si="23"/>
        <v>9</v>
      </c>
      <c r="C326" s="11" t="s">
        <v>219</v>
      </c>
      <c r="D326" s="11" t="str">
        <f>VLOOKUP(VALUE(MID($C326,13,2)), codigos!$A$2:$B$60, 2, 1) &amp; " " &amp; VLOOKUP(VALUE(MID($C326,15,4)), codigos!$E$2:$F$102, 2, FALSE)</f>
        <v>CAZO 16</v>
      </c>
      <c r="E326" s="11" t="str">
        <f>VLOOKUP(VALUE(MID($C326,19,2)),codigos!$H$2:$I$62,2,1) &amp; " " &amp; VLOOKUP(VALUE(MID($C326,21,2)),codigos!$K$2:$L$12,2,FALSE)</f>
        <v>A/T S/I</v>
      </c>
      <c r="F326" s="11" t="s">
        <v>600</v>
      </c>
      <c r="G326" s="11" t="s">
        <v>11</v>
      </c>
      <c r="H326" s="52" t="s">
        <v>1578</v>
      </c>
      <c r="I326" s="20" t="s">
        <v>1572</v>
      </c>
      <c r="J326" s="11">
        <v>36</v>
      </c>
      <c r="K326" s="11">
        <v>0</v>
      </c>
      <c r="L326" s="11">
        <f t="shared" si="24"/>
        <v>36</v>
      </c>
      <c r="M326" s="128"/>
    </row>
    <row r="327" spans="1:13" ht="12.75" customHeight="1" x14ac:dyDescent="0.2">
      <c r="A327" s="11">
        <f t="shared" ref="A327:A348" ca="1" si="25">DAYS360(I327,$B$1)</f>
        <v>9</v>
      </c>
      <c r="C327" s="11" t="s">
        <v>395</v>
      </c>
      <c r="D327" s="11" t="str">
        <f>VLOOKUP(VALUE(MID($C327,13,2)), codigos!$A$2:$B$60, 2, 1) &amp; " " &amp; VLOOKUP(VALUE(MID($C327,15,4)), codigos!$E$2:$F$102, 2, FALSE)</f>
        <v>JUEGO BODEGON</v>
      </c>
      <c r="E327" s="11" t="str">
        <f>VLOOKUP(VALUE(MID($C327,19,2)),codigos!$H$2:$I$62,2,1) &amp; " " &amp; VLOOKUP(VALUE(MID($C327,21,2)),codigos!$K$2:$L$12,2,FALSE)</f>
        <v>S/I S/I</v>
      </c>
      <c r="F327" s="11" t="s">
        <v>600</v>
      </c>
      <c r="G327" s="11" t="s">
        <v>11</v>
      </c>
      <c r="H327" s="52" t="s">
        <v>1578</v>
      </c>
      <c r="I327" s="20" t="s">
        <v>1572</v>
      </c>
      <c r="J327" s="11">
        <v>2</v>
      </c>
      <c r="K327" s="11">
        <v>0</v>
      </c>
      <c r="L327" s="11">
        <f t="shared" si="24"/>
        <v>2</v>
      </c>
      <c r="M327" s="128"/>
    </row>
    <row r="328" spans="1:13" ht="12.75" customHeight="1" x14ac:dyDescent="0.2">
      <c r="A328" s="11">
        <f t="shared" ca="1" si="25"/>
        <v>9</v>
      </c>
      <c r="C328" s="11" t="s">
        <v>1529</v>
      </c>
      <c r="D328" s="11" t="str">
        <f>VLOOKUP(VALUE(MID($C328,13,2)), codigos!$A$2:$B$60, 2, 1) &amp; " " &amp; VLOOKUP(VALUE(MID($C328,15,4)), codigos!$E$2:$F$102, 2, FALSE)</f>
        <v>OLLA RECTA 20</v>
      </c>
      <c r="E328" s="11" t="str">
        <f>VLOOKUP(VALUE(MID($C328,19,2)),codigos!$H$2:$I$62,2,1) &amp; " " &amp; VLOOKUP(VALUE(MID($C328,21,2)),codigos!$K$2:$L$12,2,FALSE)</f>
        <v>BICOLOR AZUL S/I</v>
      </c>
      <c r="F328" s="11" t="s">
        <v>600</v>
      </c>
      <c r="G328" s="11" t="s">
        <v>11</v>
      </c>
      <c r="H328" s="52" t="s">
        <v>1578</v>
      </c>
      <c r="I328" s="20" t="s">
        <v>1572</v>
      </c>
      <c r="J328" s="11">
        <v>12</v>
      </c>
      <c r="K328" s="11">
        <f>12</f>
        <v>12</v>
      </c>
      <c r="L328" s="11">
        <f t="shared" si="24"/>
        <v>0</v>
      </c>
      <c r="M328" s="128"/>
    </row>
    <row r="329" spans="1:13" ht="12.75" customHeight="1" x14ac:dyDescent="0.2">
      <c r="A329" s="11">
        <f t="shared" ca="1" si="25"/>
        <v>9</v>
      </c>
      <c r="C329" s="11" t="s">
        <v>334</v>
      </c>
      <c r="D329" s="11" t="str">
        <f>VLOOKUP(VALUE(MID($C329,13,2)), codigos!$A$2:$B$60, 2, 1) &amp; " " &amp; VLOOKUP(VALUE(MID($C329,15,4)), codigos!$E$2:$F$102, 2, FALSE)</f>
        <v>OLLA RECTA 20</v>
      </c>
      <c r="E329" s="11" t="str">
        <f>VLOOKUP(VALUE(MID($C329,19,2)),codigos!$H$2:$I$62,2,1) &amp; " " &amp; VLOOKUP(VALUE(MID($C329,21,2)),codigos!$K$2:$L$12,2,FALSE)</f>
        <v>BICOLOR NARANJA S/I</v>
      </c>
      <c r="F329" s="11" t="s">
        <v>600</v>
      </c>
      <c r="G329" s="11" t="s">
        <v>11</v>
      </c>
      <c r="H329" s="52" t="s">
        <v>1578</v>
      </c>
      <c r="I329" s="20" t="s">
        <v>1572</v>
      </c>
      <c r="J329" s="11">
        <v>12</v>
      </c>
      <c r="K329" s="11">
        <f>12</f>
        <v>12</v>
      </c>
      <c r="L329" s="11">
        <f t="shared" si="24"/>
        <v>0</v>
      </c>
      <c r="M329" s="128"/>
    </row>
    <row r="330" spans="1:13" ht="12.75" customHeight="1" x14ac:dyDescent="0.2">
      <c r="A330" s="11">
        <f t="shared" ca="1" si="25"/>
        <v>9</v>
      </c>
      <c r="C330" s="11" t="s">
        <v>336</v>
      </c>
      <c r="D330" s="11" t="str">
        <f>VLOOKUP(VALUE(MID($C330,13,2)), codigos!$A$2:$B$60, 2, 1) &amp; " " &amp; VLOOKUP(VALUE(MID($C330,15,4)), codigos!$E$2:$F$102, 2, FALSE)</f>
        <v>OLLA RECTA 28</v>
      </c>
      <c r="E330" s="11" t="str">
        <f>VLOOKUP(VALUE(MID($C330,19,2)),codigos!$H$2:$I$62,2,1) &amp; " " &amp; VLOOKUP(VALUE(MID($C330,21,2)),codigos!$K$2:$L$12,2,FALSE)</f>
        <v>A/T S/I</v>
      </c>
      <c r="F330" s="11" t="s">
        <v>600</v>
      </c>
      <c r="G330" s="11" t="s">
        <v>11</v>
      </c>
      <c r="H330" s="52" t="s">
        <v>1578</v>
      </c>
      <c r="I330" s="20" t="s">
        <v>1572</v>
      </c>
      <c r="J330" s="11">
        <v>4</v>
      </c>
      <c r="K330" s="11">
        <f>4</f>
        <v>4</v>
      </c>
      <c r="L330" s="11">
        <f t="shared" si="24"/>
        <v>0</v>
      </c>
      <c r="M330" s="128"/>
    </row>
    <row r="331" spans="1:13" ht="12.75" customHeight="1" x14ac:dyDescent="0.2">
      <c r="A331" s="11">
        <f t="shared" ca="1" si="25"/>
        <v>9</v>
      </c>
      <c r="C331" s="11" t="s">
        <v>44</v>
      </c>
      <c r="D331" s="11" t="str">
        <f>VLOOKUP(VALUE(MID($C331,13,2)), codigos!$A$2:$B$60, 2, 1) &amp; " " &amp; VLOOKUP(VALUE(MID($C331,15,4)), codigos!$E$2:$F$102, 2, FALSE)</f>
        <v>SARTEN 24</v>
      </c>
      <c r="E331" s="11" t="str">
        <f>VLOOKUP(VALUE(MID($C331,19,2)),codigos!$H$2:$I$62,2,1) &amp; " " &amp; VLOOKUP(VALUE(MID($C331,21,2)),codigos!$K$2:$L$12,2,FALSE)</f>
        <v>A/T S/I</v>
      </c>
      <c r="F331" s="11" t="s">
        <v>600</v>
      </c>
      <c r="G331" s="11" t="s">
        <v>11</v>
      </c>
      <c r="H331" s="52" t="s">
        <v>1578</v>
      </c>
      <c r="I331" s="20" t="s">
        <v>1572</v>
      </c>
      <c r="J331" s="11">
        <v>36</v>
      </c>
      <c r="K331" s="11">
        <v>0</v>
      </c>
      <c r="L331" s="11">
        <f t="shared" si="24"/>
        <v>36</v>
      </c>
      <c r="M331" s="128"/>
    </row>
    <row r="332" spans="1:13" ht="12.75" customHeight="1" x14ac:dyDescent="0.2">
      <c r="A332" s="11">
        <f t="shared" ca="1" si="25"/>
        <v>9</v>
      </c>
      <c r="C332" s="11" t="s">
        <v>396</v>
      </c>
      <c r="D332" s="11" t="str">
        <f>VLOOKUP(VALUE(MID($C332,13,2)), codigos!$A$2:$B$60, 2, 1) &amp; " " &amp; VLOOKUP(VALUE(MID($C332,15,4)), codigos!$E$2:$F$102, 2, FALSE)</f>
        <v>JUEGO MARIMAR</v>
      </c>
      <c r="E332" s="11" t="str">
        <f>VLOOKUP(VALUE(MID($C332,19,2)),codigos!$H$2:$I$62,2,1) &amp; " " &amp; VLOOKUP(VALUE(MID($C332,21,2)),codigos!$K$2:$L$12,2,FALSE)</f>
        <v>S/I S/I</v>
      </c>
      <c r="F332" s="11" t="s">
        <v>600</v>
      </c>
      <c r="G332" s="11" t="s">
        <v>11</v>
      </c>
      <c r="H332" s="52" t="s">
        <v>1578</v>
      </c>
      <c r="I332" s="20" t="s">
        <v>1572</v>
      </c>
      <c r="J332" s="11">
        <v>6</v>
      </c>
      <c r="K332" s="11">
        <f>6</f>
        <v>6</v>
      </c>
      <c r="L332" s="11">
        <f t="shared" si="24"/>
        <v>0</v>
      </c>
      <c r="M332" s="128"/>
    </row>
    <row r="333" spans="1:13" ht="12.75" customHeight="1" x14ac:dyDescent="0.2">
      <c r="A333" s="11">
        <f t="shared" ca="1" si="25"/>
        <v>8</v>
      </c>
      <c r="C333" s="11" t="s">
        <v>110</v>
      </c>
      <c r="D333" s="11" t="str">
        <f>VLOOKUP(VALUE(MID($C333,13,2)), codigos!$A$2:$B$60, 2, 1) &amp; " " &amp; VLOOKUP(VALUE(MID($C333,15,4)), codigos!$E$2:$F$102, 2, FALSE)</f>
        <v>CUBETA 4</v>
      </c>
      <c r="E333" s="11" t="str">
        <f>VLOOKUP(VALUE(MID($C333,19,2)),codigos!$H$2:$I$62,2,1) &amp; " " &amp; VLOOKUP(VALUE(MID($C333,21,2)),codigos!$K$2:$L$12,2,FALSE)</f>
        <v>NEGRO MOTAS S/I</v>
      </c>
      <c r="F333" s="11" t="s">
        <v>1219</v>
      </c>
      <c r="G333" s="11" t="s">
        <v>11</v>
      </c>
      <c r="H333" s="52" t="s">
        <v>1579</v>
      </c>
      <c r="I333" s="20" t="s">
        <v>1580</v>
      </c>
      <c r="J333" s="11">
        <v>48</v>
      </c>
      <c r="K333" s="11">
        <f>3</f>
        <v>3</v>
      </c>
      <c r="L333" s="11">
        <f t="shared" si="24"/>
        <v>45</v>
      </c>
      <c r="M333" s="128"/>
    </row>
    <row r="334" spans="1:13" ht="12.75" customHeight="1" x14ac:dyDescent="0.2">
      <c r="A334" s="11">
        <f t="shared" ca="1" si="25"/>
        <v>62</v>
      </c>
      <c r="C334" s="11" t="s">
        <v>212</v>
      </c>
      <c r="D334" s="11" t="str">
        <f>VLOOKUP(VALUE(MID($C334,13,2)), codigos!$A$2:$B$60, 2, 1) &amp; " " &amp; VLOOKUP(VALUE(MID($C334,15,4)), codigos!$E$2:$F$102, 2, FALSE)</f>
        <v>BAÑO 12</v>
      </c>
      <c r="E334" s="11" t="str">
        <f>VLOOKUP(VALUE(MID($C334,19,2)),codigos!$H$2:$I$62,2,1) &amp; " " &amp; VLOOKUP(VALUE(MID($C334,21,2)),codigos!$K$2:$L$12,2,FALSE)</f>
        <v>GALVANIZADO S/I</v>
      </c>
      <c r="F334" s="11" t="s">
        <v>126</v>
      </c>
      <c r="G334" s="11" t="s">
        <v>34</v>
      </c>
      <c r="H334" s="52" t="s">
        <v>1581</v>
      </c>
      <c r="I334" s="20" t="s">
        <v>1280</v>
      </c>
      <c r="J334" s="11">
        <v>30</v>
      </c>
      <c r="K334" s="11">
        <v>0</v>
      </c>
      <c r="L334" s="11">
        <f t="shared" si="24"/>
        <v>30</v>
      </c>
      <c r="M334" s="128"/>
    </row>
    <row r="335" spans="1:13" ht="12.75" customHeight="1" x14ac:dyDescent="0.2">
      <c r="A335" s="11">
        <f t="shared" ca="1" si="25"/>
        <v>83</v>
      </c>
      <c r="C335" s="11" t="s">
        <v>210</v>
      </c>
      <c r="D335" s="11" t="str">
        <f>VLOOKUP(VALUE(MID($C335,13,2)), codigos!$A$2:$B$60, 2, 1) &amp; " " &amp; VLOOKUP(VALUE(MID($C335,15,4)), codigos!$E$2:$F$102, 2, FALSE)</f>
        <v>BAÑO 8</v>
      </c>
      <c r="E335" s="11" t="str">
        <f>VLOOKUP(VALUE(MID($C335,19,2)),codigos!$H$2:$I$62,2,1) &amp; " " &amp; VLOOKUP(VALUE(MID($C335,21,2)),codigos!$K$2:$L$12,2,FALSE)</f>
        <v>GALVANIZADO S/I</v>
      </c>
      <c r="F335" s="11" t="s">
        <v>988</v>
      </c>
      <c r="G335" s="11" t="s">
        <v>34</v>
      </c>
      <c r="H335" s="52" t="s">
        <v>1582</v>
      </c>
      <c r="I335" s="20" t="s">
        <v>990</v>
      </c>
      <c r="J335" s="11">
        <v>20</v>
      </c>
      <c r="K335" s="11">
        <v>0</v>
      </c>
      <c r="L335" s="11">
        <f t="shared" si="24"/>
        <v>20</v>
      </c>
      <c r="M335" s="128"/>
    </row>
    <row r="336" spans="1:13" ht="12.75" customHeight="1" x14ac:dyDescent="0.2">
      <c r="A336" s="11">
        <f t="shared" ca="1" si="25"/>
        <v>83</v>
      </c>
      <c r="C336" s="11" t="s">
        <v>212</v>
      </c>
      <c r="D336" s="11" t="str">
        <f>VLOOKUP(VALUE(MID($C336,13,2)), codigos!$A$2:$B$60, 2, 1) &amp; " " &amp; VLOOKUP(VALUE(MID($C336,15,4)), codigos!$E$2:$F$102, 2, FALSE)</f>
        <v>BAÑO 12</v>
      </c>
      <c r="E336" s="11" t="str">
        <f>VLOOKUP(VALUE(MID($C336,19,2)),codigos!$H$2:$I$62,2,1) &amp; " " &amp; VLOOKUP(VALUE(MID($C336,21,2)),codigos!$K$2:$L$12,2,FALSE)</f>
        <v>GALVANIZADO S/I</v>
      </c>
      <c r="F336" s="11" t="s">
        <v>988</v>
      </c>
      <c r="G336" s="11" t="s">
        <v>34</v>
      </c>
      <c r="H336" s="52" t="s">
        <v>1582</v>
      </c>
      <c r="I336" s="20" t="s">
        <v>990</v>
      </c>
      <c r="J336" s="11">
        <v>86</v>
      </c>
      <c r="K336" s="11">
        <v>0</v>
      </c>
      <c r="L336" s="11">
        <f t="shared" si="24"/>
        <v>86</v>
      </c>
      <c r="M336" s="128"/>
    </row>
    <row r="337" spans="1:13" ht="12.75" customHeight="1" x14ac:dyDescent="0.2">
      <c r="A337" s="11">
        <f t="shared" ca="1" si="25"/>
        <v>9</v>
      </c>
      <c r="C337" s="11" t="s">
        <v>72</v>
      </c>
      <c r="D337" s="11" t="str">
        <f>VLOOKUP(VALUE(MID($C337,13,2)), codigos!$A$2:$B$60, 2, 1) &amp; " " &amp; VLOOKUP(VALUE(MID($C337,15,4)), codigos!$E$2:$F$102, 2, FALSE)</f>
        <v>PLATO LISO 27</v>
      </c>
      <c r="E337" s="11" t="str">
        <f>VLOOKUP(VALUE(MID($C337,19,2)),codigos!$H$2:$I$62,2,1) &amp; " " &amp; VLOOKUP(VALUE(MID($C337,21,2)),codigos!$K$2:$L$12,2,FALSE)</f>
        <v>BLANCO  NEGRO</v>
      </c>
      <c r="F337" s="11" t="s">
        <v>1584</v>
      </c>
      <c r="G337" s="11" t="s">
        <v>16</v>
      </c>
      <c r="H337" s="52" t="s">
        <v>1583</v>
      </c>
      <c r="I337" s="20" t="s">
        <v>1572</v>
      </c>
      <c r="J337" s="11">
        <v>804</v>
      </c>
      <c r="K337" s="11">
        <f>257+96+84+6</f>
        <v>443</v>
      </c>
      <c r="L337" s="11">
        <f t="shared" si="24"/>
        <v>361</v>
      </c>
      <c r="M337" s="128"/>
    </row>
    <row r="338" spans="1:13" ht="15" customHeight="1" x14ac:dyDescent="0.2">
      <c r="A338" s="11">
        <f t="shared" ca="1" si="25"/>
        <v>226</v>
      </c>
      <c r="C338" s="11" t="s">
        <v>485</v>
      </c>
      <c r="D338" s="11" t="str">
        <f>VLOOKUP(VALUE(MID($C338,13,2)), codigos!$A$2:$B$60, 2, 1) &amp; " " &amp; VLOOKUP(VALUE(MID($C338,15,4)), codigos!$E$2:$F$102, 2, FALSE)</f>
        <v>BUDINERA 24</v>
      </c>
      <c r="E338" s="11" t="str">
        <f>VLOOKUP(VALUE(MID($C338,19,2)),codigos!$H$2:$I$62,2,1) &amp; " " &amp; VLOOKUP(VALUE(MID($C338,21,2)),codigos!$K$2:$L$12,2,FALSE)</f>
        <v>BICOLOR NARANJA S/I</v>
      </c>
      <c r="F338" s="11" t="s">
        <v>908</v>
      </c>
      <c r="G338" s="11" t="s">
        <v>34</v>
      </c>
      <c r="H338" s="52" t="s">
        <v>909</v>
      </c>
      <c r="I338" s="20" t="s">
        <v>836</v>
      </c>
      <c r="J338" s="11">
        <f>60+18</f>
        <v>78</v>
      </c>
      <c r="K338" s="11">
        <f>16+24+4+3</f>
        <v>47</v>
      </c>
      <c r="L338" s="11">
        <f>J338-K338</f>
        <v>31</v>
      </c>
      <c r="M338" s="128"/>
    </row>
    <row r="339" spans="1:13" ht="12.75" customHeight="1" x14ac:dyDescent="0.2">
      <c r="A339" s="11">
        <f t="shared" ca="1" si="25"/>
        <v>226</v>
      </c>
      <c r="C339" s="11" t="s">
        <v>154</v>
      </c>
      <c r="D339" s="11" t="str">
        <f>VLOOKUP(VALUE(MID($C339,13,2)), codigos!$A$2:$B$60, 2, 1) &amp; " " &amp; VLOOKUP(VALUE(MID($C339,15,4)), codigos!$E$2:$F$102, 2, FALSE)</f>
        <v>OLLA CONVEXA 30</v>
      </c>
      <c r="E339" s="11" t="str">
        <f>VLOOKUP(VALUE(MID($C339,19,2)),codigos!$H$2:$I$62,2,1) &amp; " " &amp; VLOOKUP(VALUE(MID($C339,21,2)),codigos!$K$2:$L$12,2,FALSE)</f>
        <v>A/T S/I</v>
      </c>
      <c r="F339" s="11" t="s">
        <v>908</v>
      </c>
      <c r="G339" s="11" t="s">
        <v>34</v>
      </c>
      <c r="H339" s="52" t="s">
        <v>909</v>
      </c>
      <c r="I339" s="20" t="s">
        <v>836</v>
      </c>
      <c r="J339" s="11">
        <v>10</v>
      </c>
      <c r="K339" s="11">
        <f>8+2</f>
        <v>10</v>
      </c>
      <c r="L339" s="11">
        <f t="shared" ref="L339:L348" si="26">J339-K339</f>
        <v>0</v>
      </c>
      <c r="M339" s="128"/>
    </row>
    <row r="340" spans="1:13" ht="12.75" customHeight="1" x14ac:dyDescent="0.2">
      <c r="A340" s="11">
        <f t="shared" ca="1" si="25"/>
        <v>226</v>
      </c>
      <c r="C340" s="11" t="s">
        <v>44</v>
      </c>
      <c r="D340" s="11" t="str">
        <f>VLOOKUP(VALUE(MID($C340,13,2)), codigos!$A$2:$B$60, 2, 1) &amp; " " &amp; VLOOKUP(VALUE(MID($C340,15,4)), codigos!$E$2:$F$102, 2, FALSE)</f>
        <v>SARTEN 24</v>
      </c>
      <c r="E340" s="11" t="str">
        <f>VLOOKUP(VALUE(MID($C340,19,2)),codigos!$H$2:$I$62,2,1) &amp; " " &amp; VLOOKUP(VALUE(MID($C340,21,2)),codigos!$K$2:$L$12,2,FALSE)</f>
        <v>A/T S/I</v>
      </c>
      <c r="F340" s="11" t="s">
        <v>908</v>
      </c>
      <c r="G340" s="11" t="s">
        <v>34</v>
      </c>
      <c r="H340" s="52" t="s">
        <v>909</v>
      </c>
      <c r="I340" s="20" t="s">
        <v>836</v>
      </c>
      <c r="J340" s="11">
        <v>108</v>
      </c>
      <c r="K340" s="11">
        <v>108</v>
      </c>
      <c r="L340" s="11">
        <f t="shared" si="26"/>
        <v>0</v>
      </c>
      <c r="M340" s="128"/>
    </row>
    <row r="341" spans="1:13" ht="12.75" customHeight="1" x14ac:dyDescent="0.2">
      <c r="A341" s="11">
        <f t="shared" ca="1" si="25"/>
        <v>143</v>
      </c>
      <c r="C341" s="11" t="s">
        <v>241</v>
      </c>
      <c r="D341" s="11" t="str">
        <f>VLOOKUP(VALUE(MID($C341,13,2)), codigos!$A$2:$B$60, 2, 1) &amp; " " &amp; VLOOKUP(VALUE(MID($C341,15,4)), codigos!$E$2:$F$102, 2, FALSE)</f>
        <v>BUDINERA 22</v>
      </c>
      <c r="E341" s="11" t="str">
        <f>VLOOKUP(VALUE(MID($C341,19,2)),codigos!$H$2:$I$62,2,1) &amp; " " &amp; VLOOKUP(VALUE(MID($C341,21,2)),codigos!$K$2:$L$12,2,FALSE)</f>
        <v>A/T S/I</v>
      </c>
      <c r="F341" s="11" t="s">
        <v>908</v>
      </c>
      <c r="G341" s="11" t="s">
        <v>34</v>
      </c>
      <c r="H341" s="52" t="s">
        <v>909</v>
      </c>
      <c r="I341" s="20" t="s">
        <v>873</v>
      </c>
      <c r="J341" s="11">
        <v>24</v>
      </c>
      <c r="K341" s="11">
        <v>24</v>
      </c>
      <c r="L341" s="11">
        <f t="shared" si="26"/>
        <v>0</v>
      </c>
      <c r="M341" s="128"/>
    </row>
    <row r="342" spans="1:13" ht="12.75" customHeight="1" x14ac:dyDescent="0.2">
      <c r="A342" s="11">
        <f t="shared" ca="1" si="25"/>
        <v>143</v>
      </c>
      <c r="C342" s="11" t="s">
        <v>332</v>
      </c>
      <c r="D342" s="11" t="str">
        <f>VLOOKUP(VALUE(MID($C342,13,2)), codigos!$A$2:$B$60, 2, 1) &amp; " " &amp; VLOOKUP(VALUE(MID($C342,15,4)), codigos!$E$2:$F$102, 2, FALSE)</f>
        <v>BUDINERA 24</v>
      </c>
      <c r="E342" s="11" t="str">
        <f>VLOOKUP(VALUE(MID($C342,19,2)),codigos!$H$2:$I$62,2,1) &amp; " " &amp; VLOOKUP(VALUE(MID($C342,21,2)),codigos!$K$2:$L$12,2,FALSE)</f>
        <v>BICOLOR ROJO S/I</v>
      </c>
      <c r="F342" s="11" t="s">
        <v>908</v>
      </c>
      <c r="G342" s="11" t="s">
        <v>34</v>
      </c>
      <c r="H342" s="52" t="s">
        <v>909</v>
      </c>
      <c r="I342" s="20" t="s">
        <v>873</v>
      </c>
      <c r="J342" s="11">
        <v>2</v>
      </c>
      <c r="K342" s="11">
        <v>2</v>
      </c>
      <c r="L342" s="11">
        <f t="shared" si="26"/>
        <v>0</v>
      </c>
      <c r="M342" s="128"/>
    </row>
    <row r="343" spans="1:13" ht="12.75" customHeight="1" x14ac:dyDescent="0.2">
      <c r="A343" s="11">
        <f t="shared" ca="1" si="25"/>
        <v>143</v>
      </c>
      <c r="C343" s="11" t="s">
        <v>169</v>
      </c>
      <c r="D343" s="11" t="str">
        <f>VLOOKUP(VALUE(MID($C343,13,2)), codigos!$A$2:$B$60, 2, 1) &amp; " " &amp; VLOOKUP(VALUE(MID($C343,15,4)), codigos!$E$2:$F$102, 2, FALSE)</f>
        <v>BUDINERA 30</v>
      </c>
      <c r="E343" s="11" t="str">
        <f>VLOOKUP(VALUE(MID($C343,19,2)),codigos!$H$2:$I$62,2,1) &amp; " " &amp; VLOOKUP(VALUE(MID($C343,21,2)),codigos!$K$2:$L$12,2,FALSE)</f>
        <v>A/T S/I</v>
      </c>
      <c r="F343" s="11" t="s">
        <v>908</v>
      </c>
      <c r="G343" s="11" t="s">
        <v>34</v>
      </c>
      <c r="H343" s="52" t="s">
        <v>909</v>
      </c>
      <c r="I343" s="20" t="s">
        <v>873</v>
      </c>
      <c r="J343" s="11">
        <v>12</v>
      </c>
      <c r="K343" s="11">
        <v>12</v>
      </c>
      <c r="L343" s="11">
        <f t="shared" si="26"/>
        <v>0</v>
      </c>
      <c r="M343" s="128"/>
    </row>
    <row r="344" spans="1:13" ht="12.75" customHeight="1" x14ac:dyDescent="0.2">
      <c r="A344" s="11">
        <f t="shared" ca="1" si="25"/>
        <v>143</v>
      </c>
      <c r="C344" s="11" t="s">
        <v>173</v>
      </c>
      <c r="D344" s="11" t="str">
        <f>VLOOKUP(VALUE(MID($C344,13,2)), codigos!$A$2:$B$60, 2, 1) &amp; " " &amp; VLOOKUP(VALUE(MID($C344,15,4)), codigos!$E$2:$F$102, 2, FALSE)</f>
        <v>BUDINERA 34</v>
      </c>
      <c r="E344" s="11" t="str">
        <f>VLOOKUP(VALUE(MID($C344,19,2)),codigos!$H$2:$I$62,2,1) &amp; " " &amp; VLOOKUP(VALUE(MID($C344,21,2)),codigos!$K$2:$L$12,2,FALSE)</f>
        <v>A/T S/I</v>
      </c>
      <c r="F344" s="11" t="s">
        <v>908</v>
      </c>
      <c r="G344" s="11" t="s">
        <v>34</v>
      </c>
      <c r="H344" s="52" t="s">
        <v>909</v>
      </c>
      <c r="I344" s="20" t="s">
        <v>873</v>
      </c>
      <c r="J344" s="11">
        <v>12</v>
      </c>
      <c r="K344" s="11">
        <v>0</v>
      </c>
      <c r="L344" s="11">
        <f t="shared" si="26"/>
        <v>12</v>
      </c>
      <c r="M344" s="128"/>
    </row>
    <row r="345" spans="1:13" ht="12.75" customHeight="1" x14ac:dyDescent="0.2">
      <c r="A345" s="11">
        <f t="shared" ca="1" si="25"/>
        <v>143</v>
      </c>
      <c r="C345" s="11" t="s">
        <v>155</v>
      </c>
      <c r="D345" s="11" t="str">
        <f>VLOOKUP(VALUE(MID($C345,13,2)), codigos!$A$2:$B$60, 2, 1) &amp; " " &amp; VLOOKUP(VALUE(MID($C345,15,4)), codigos!$E$2:$F$102, 2, FALSE)</f>
        <v>OLLA RECTA 30</v>
      </c>
      <c r="E345" s="11" t="str">
        <f>VLOOKUP(VALUE(MID($C345,19,2)),codigos!$H$2:$I$62,2,1) &amp; " " &amp; VLOOKUP(VALUE(MID($C345,21,2)),codigos!$K$2:$L$12,2,FALSE)</f>
        <v>A/T S/I</v>
      </c>
      <c r="F345" s="11" t="s">
        <v>908</v>
      </c>
      <c r="G345" s="11" t="s">
        <v>34</v>
      </c>
      <c r="H345" s="52" t="s">
        <v>909</v>
      </c>
      <c r="I345" s="20" t="s">
        <v>873</v>
      </c>
      <c r="J345" s="11">
        <v>6</v>
      </c>
      <c r="K345" s="11">
        <v>6</v>
      </c>
      <c r="L345" s="11">
        <f t="shared" si="26"/>
        <v>0</v>
      </c>
      <c r="M345" s="128"/>
    </row>
    <row r="346" spans="1:13" ht="12.75" customHeight="1" x14ac:dyDescent="0.2">
      <c r="A346" s="11">
        <f t="shared" ca="1" si="25"/>
        <v>143</v>
      </c>
      <c r="C346" s="11" t="s">
        <v>182</v>
      </c>
      <c r="D346" s="11" t="str">
        <f>VLOOKUP(VALUE(MID($C346,13,2)), codigos!$A$2:$B$60, 2, 1) &amp; " " &amp; VLOOKUP(VALUE(MID($C346,15,4)), codigos!$E$2:$F$102, 2, FALSE)</f>
        <v>POCILLO 14</v>
      </c>
      <c r="E346" s="11" t="str">
        <f>VLOOKUP(VALUE(MID($C346,19,2)),codigos!$H$2:$I$62,2,1) &amp; " " &amp; VLOOKUP(VALUE(MID($C346,21,2)),codigos!$K$2:$L$12,2,FALSE)</f>
        <v>A/T S/I</v>
      </c>
      <c r="F346" s="11" t="s">
        <v>908</v>
      </c>
      <c r="G346" s="11" t="s">
        <v>34</v>
      </c>
      <c r="H346" s="52" t="s">
        <v>909</v>
      </c>
      <c r="I346" s="20" t="s">
        <v>873</v>
      </c>
      <c r="J346" s="11">
        <v>60</v>
      </c>
      <c r="K346" s="11">
        <v>60</v>
      </c>
      <c r="L346" s="11">
        <f t="shared" si="26"/>
        <v>0</v>
      </c>
      <c r="M346" s="128"/>
    </row>
    <row r="347" spans="1:13" ht="15" customHeight="1" x14ac:dyDescent="0.2">
      <c r="A347" s="11">
        <f t="shared" ca="1" si="25"/>
        <v>5</v>
      </c>
      <c r="C347" s="11" t="s">
        <v>211</v>
      </c>
      <c r="D347" s="11" t="str">
        <f>VLOOKUP(VALUE(MID($C347,13,2)), codigos!$A$2:$B$60, 2, 1) &amp; " " &amp; VLOOKUP(VALUE(MID($C347,15,4)), codigos!$E$2:$F$102, 2, FALSE)</f>
        <v>BAÑO 10</v>
      </c>
      <c r="E347" s="11" t="str">
        <f>VLOOKUP(VALUE(MID($C347,19,2)),codigos!$H$2:$I$62,2,1) &amp; " " &amp; VLOOKUP(VALUE(MID($C347,21,2)),codigos!$K$2:$L$12,2,FALSE)</f>
        <v>GALVANIZADO S/I</v>
      </c>
      <c r="F347" s="11" t="s">
        <v>947</v>
      </c>
      <c r="G347" s="11" t="s">
        <v>145</v>
      </c>
      <c r="H347" s="52" t="s">
        <v>447</v>
      </c>
      <c r="I347" s="20" t="s">
        <v>1587</v>
      </c>
      <c r="J347" s="11">
        <v>150</v>
      </c>
      <c r="K347" s="11">
        <f>29</f>
        <v>29</v>
      </c>
      <c r="L347" s="11">
        <f t="shared" si="26"/>
        <v>121</v>
      </c>
      <c r="M347" s="128"/>
    </row>
    <row r="348" spans="1:13" ht="12.75" customHeight="1" x14ac:dyDescent="0.2">
      <c r="A348" s="11">
        <f t="shared" ca="1" si="25"/>
        <v>5</v>
      </c>
      <c r="C348" s="11" t="s">
        <v>212</v>
      </c>
      <c r="D348" s="11" t="str">
        <f>VLOOKUP(VALUE(MID($C348,13,2)), codigos!$A$2:$B$60, 2, 1) &amp; " " &amp; VLOOKUP(VALUE(MID($C348,15,4)), codigos!$E$2:$F$102, 2, FALSE)</f>
        <v>BAÑO 12</v>
      </c>
      <c r="E348" s="11" t="str">
        <f>VLOOKUP(VALUE(MID($C348,19,2)),codigos!$H$2:$I$62,2,1) &amp; " " &amp; VLOOKUP(VALUE(MID($C348,21,2)),codigos!$K$2:$L$12,2,FALSE)</f>
        <v>GALVANIZADO S/I</v>
      </c>
      <c r="F348" s="11" t="s">
        <v>947</v>
      </c>
      <c r="G348" s="11" t="s">
        <v>145</v>
      </c>
      <c r="H348" s="52" t="s">
        <v>447</v>
      </c>
      <c r="I348" s="20" t="s">
        <v>1587</v>
      </c>
      <c r="J348" s="11">
        <v>300</v>
      </c>
      <c r="K348" s="11">
        <v>0</v>
      </c>
      <c r="L348" s="11">
        <f t="shared" si="26"/>
        <v>300</v>
      </c>
      <c r="M348" s="128"/>
    </row>
    <row r="349" spans="1:13" ht="15" customHeight="1" x14ac:dyDescent="0.2">
      <c r="A349" s="11">
        <f t="shared" ref="A349:A408" ca="1" si="27">DAYS360(I349,$B$1)</f>
        <v>149</v>
      </c>
      <c r="C349" s="11" t="s">
        <v>175</v>
      </c>
      <c r="D349" s="11" t="str">
        <f>VLOOKUP(VALUE(MID($C349,13,2)), codigos!$A$2:$B$60, 2, 1) &amp; " " &amp; VLOOKUP(VALUE(MID($C349,15,4)), codigos!$E$2:$F$102, 2, FALSE)</f>
        <v>JUEGO 3+3</v>
      </c>
      <c r="E349" s="11" t="str">
        <f>VLOOKUP(VALUE(MID($C349,19,2)),codigos!$H$2:$I$62,2,1) &amp; " " &amp; VLOOKUP(VALUE(MID($C349,21,2)),codigos!$K$2:$L$12,2,FALSE)</f>
        <v>S/I S/I</v>
      </c>
      <c r="F349" s="11" t="s">
        <v>471</v>
      </c>
      <c r="G349" s="11" t="s">
        <v>34</v>
      </c>
      <c r="H349" s="52" t="s">
        <v>1567</v>
      </c>
      <c r="I349" s="20" t="s">
        <v>894</v>
      </c>
      <c r="J349" s="11">
        <v>10</v>
      </c>
      <c r="K349" s="11">
        <f>10</f>
        <v>10</v>
      </c>
      <c r="L349" s="11">
        <f t="shared" ref="L349:L411" si="28">+J349-K349</f>
        <v>0</v>
      </c>
      <c r="M349" s="131">
        <f>(SUM(K349:K350))/(SUM(J349:J350))</f>
        <v>1</v>
      </c>
    </row>
    <row r="350" spans="1:13" x14ac:dyDescent="0.2">
      <c r="A350" s="11">
        <f t="shared" ca="1" si="27"/>
        <v>149</v>
      </c>
      <c r="C350" s="11" t="s">
        <v>394</v>
      </c>
      <c r="D350" s="11" t="str">
        <f>VLOOKUP(VALUE(MID($C350,13,2)), codigos!$A$2:$B$60, 2, 1) &amp; " " &amp; VLOOKUP(VALUE(MID($C350,15,4)), codigos!$E$2:$F$102, 2, FALSE)</f>
        <v>JUEGO 5+5</v>
      </c>
      <c r="E350" s="11" t="str">
        <f>VLOOKUP(VALUE(MID($C350,19,2)),codigos!$H$2:$I$62,2,1) &amp; " " &amp; VLOOKUP(VALUE(MID($C350,21,2)),codigos!$K$2:$L$12,2,FALSE)</f>
        <v>S/I S/I</v>
      </c>
      <c r="F350" s="11" t="s">
        <v>471</v>
      </c>
      <c r="G350" s="11" t="s">
        <v>34</v>
      </c>
      <c r="H350" s="52" t="s">
        <v>1567</v>
      </c>
      <c r="I350" s="20" t="s">
        <v>894</v>
      </c>
      <c r="J350" s="11">
        <v>10</v>
      </c>
      <c r="K350" s="11">
        <f>10</f>
        <v>10</v>
      </c>
      <c r="L350" s="11">
        <f t="shared" si="28"/>
        <v>0</v>
      </c>
      <c r="M350" s="131"/>
    </row>
    <row r="351" spans="1:13" ht="15" customHeight="1" x14ac:dyDescent="0.2">
      <c r="A351" s="11">
        <f t="shared" ca="1" si="27"/>
        <v>4</v>
      </c>
      <c r="C351" s="11" t="s">
        <v>459</v>
      </c>
      <c r="D351" s="11" t="str">
        <f>VLOOKUP(VALUE(MID($C351,13,2)), codigos!$A$2:$B$60, 2, 1) &amp; " " &amp; VLOOKUP(VALUE(MID($C351,15,4)), codigos!$E$2:$F$102, 2, FALSE)</f>
        <v>PLATO LISO 20</v>
      </c>
      <c r="E351" s="11" t="str">
        <f>VLOOKUP(VALUE(MID($C351,19,2)),codigos!$H$2:$I$62,2,1) &amp; " " &amp; VLOOKUP(VALUE(MID($C351,21,2)),codigos!$K$2:$L$12,2,FALSE)</f>
        <v>NEGRO MOTAS S/I</v>
      </c>
      <c r="F351" s="11" t="s">
        <v>1217</v>
      </c>
      <c r="G351" s="11" t="s">
        <v>16</v>
      </c>
      <c r="H351" s="52" t="s">
        <v>1590</v>
      </c>
      <c r="I351" s="20" t="s">
        <v>1591</v>
      </c>
      <c r="J351" s="11">
        <v>402</v>
      </c>
      <c r="K351" s="11">
        <v>0</v>
      </c>
      <c r="L351" s="11">
        <f t="shared" si="28"/>
        <v>402</v>
      </c>
      <c r="M351" s="131">
        <f>(SUM(K351:K355))/(SUM(J351:J355))</f>
        <v>0</v>
      </c>
    </row>
    <row r="352" spans="1:13" x14ac:dyDescent="0.2">
      <c r="A352" s="11">
        <f t="shared" ca="1" si="27"/>
        <v>4</v>
      </c>
      <c r="C352" s="11" t="s">
        <v>270</v>
      </c>
      <c r="D352" s="11" t="str">
        <f>VLOOKUP(VALUE(MID($C352,13,2)), codigos!$A$2:$B$60, 2, 1) &amp; " " &amp; VLOOKUP(VALUE(MID($C352,15,4)), codigos!$E$2:$F$102, 2, FALSE)</f>
        <v>PLATO LISO 27</v>
      </c>
      <c r="E352" s="11" t="str">
        <f>VLOOKUP(VALUE(MID($C352,19,2)),codigos!$H$2:$I$62,2,1) &amp; " " &amp; VLOOKUP(VALUE(MID($C352,21,2)),codigos!$K$2:$L$12,2,FALSE)</f>
        <v>NEGRO MOTAS S/I</v>
      </c>
      <c r="F352" s="11" t="s">
        <v>1217</v>
      </c>
      <c r="G352" s="11" t="s">
        <v>16</v>
      </c>
      <c r="H352" s="52" t="s">
        <v>1590</v>
      </c>
      <c r="I352" s="20" t="s">
        <v>1591</v>
      </c>
      <c r="J352" s="11">
        <v>300</v>
      </c>
      <c r="K352" s="11">
        <v>0</v>
      </c>
      <c r="L352" s="11">
        <f t="shared" si="28"/>
        <v>300</v>
      </c>
      <c r="M352" s="131"/>
    </row>
    <row r="353" spans="1:13" x14ac:dyDescent="0.2">
      <c r="A353" s="11">
        <f t="shared" ca="1" si="27"/>
        <v>4</v>
      </c>
      <c r="C353" s="11" t="s">
        <v>1592</v>
      </c>
      <c r="D353" s="11" t="str">
        <f>VLOOKUP(VALUE(MID($C353,13,2)), codigos!$A$2:$B$60, 2, 1) &amp; " " &amp; VLOOKUP(VALUE(MID($C353,15,4)), codigos!$E$2:$F$102, 2, FALSE)</f>
        <v>TAZON 15.5</v>
      </c>
      <c r="E353" s="11" t="str">
        <f>VLOOKUP(VALUE(MID($C353,19,2)),codigos!$H$2:$I$62,2,1) &amp; " " &amp; VLOOKUP(VALUE(MID($C353,21,2)),codigos!$K$2:$L$12,2,FALSE)</f>
        <v>NEGRO MOTAS S/I</v>
      </c>
      <c r="F353" s="11" t="s">
        <v>1217</v>
      </c>
      <c r="G353" s="11" t="s">
        <v>16</v>
      </c>
      <c r="H353" s="52" t="s">
        <v>1590</v>
      </c>
      <c r="I353" s="20" t="s">
        <v>1591</v>
      </c>
      <c r="J353" s="11">
        <v>204</v>
      </c>
      <c r="K353" s="11">
        <v>0</v>
      </c>
      <c r="L353" s="11">
        <f t="shared" si="28"/>
        <v>204</v>
      </c>
      <c r="M353" s="131"/>
    </row>
    <row r="354" spans="1:13" x14ac:dyDescent="0.2">
      <c r="A354" s="11">
        <f t="shared" ca="1" si="27"/>
        <v>4</v>
      </c>
      <c r="C354" s="11" t="s">
        <v>1053</v>
      </c>
      <c r="D354" s="11" t="str">
        <f>VLOOKUP(VALUE(MID($C354,13,2)), codigos!$A$2:$B$60, 2, 1) &amp; " " &amp; VLOOKUP(VALUE(MID($C354,15,4)), codigos!$E$2:$F$102, 2, FALSE)</f>
        <v>VASO 8</v>
      </c>
      <c r="E354" s="11" t="str">
        <f>VLOOKUP(VALUE(MID($C354,19,2)),codigos!$H$2:$I$62,2,1) &amp; " " &amp; VLOOKUP(VALUE(MID($C354,21,2)),codigos!$K$2:$L$12,2,FALSE)</f>
        <v>NEGRO MOTAS S/I</v>
      </c>
      <c r="F354" s="11" t="s">
        <v>1217</v>
      </c>
      <c r="G354" s="11" t="s">
        <v>16</v>
      </c>
      <c r="H354" s="52" t="s">
        <v>1590</v>
      </c>
      <c r="I354" s="20" t="s">
        <v>1591</v>
      </c>
      <c r="J354" s="11">
        <v>216</v>
      </c>
      <c r="K354" s="11">
        <v>0</v>
      </c>
      <c r="L354" s="11">
        <f t="shared" si="28"/>
        <v>216</v>
      </c>
      <c r="M354" s="131"/>
    </row>
    <row r="355" spans="1:13" x14ac:dyDescent="0.2">
      <c r="A355" s="11">
        <f t="shared" ca="1" si="27"/>
        <v>4</v>
      </c>
      <c r="C355" s="11" t="s">
        <v>1593</v>
      </c>
      <c r="D355" s="11" t="str">
        <f>VLOOKUP(VALUE(MID($C355,13,2)), codigos!$A$2:$B$60, 2, 1) &amp; " " &amp; VLOOKUP(VALUE(MID($C355,15,4)), codigos!$E$2:$F$102, 2, FALSE)</f>
        <v>BUDINERA 16</v>
      </c>
      <c r="E355" s="11" t="str">
        <f>VLOOKUP(VALUE(MID($C355,19,2)),codigos!$H$2:$I$62,2,1) &amp; " " &amp; VLOOKUP(VALUE(MID($C355,21,2)),codigos!$K$2:$L$12,2,FALSE)</f>
        <v>NEGRO MOTAS S/I</v>
      </c>
      <c r="F355" s="11" t="s">
        <v>1217</v>
      </c>
      <c r="G355" s="11" t="s">
        <v>16</v>
      </c>
      <c r="H355" s="52" t="s">
        <v>1590</v>
      </c>
      <c r="I355" s="20" t="s">
        <v>1591</v>
      </c>
      <c r="J355" s="11">
        <v>72</v>
      </c>
      <c r="K355" s="11">
        <v>0</v>
      </c>
      <c r="L355" s="11">
        <f t="shared" si="28"/>
        <v>72</v>
      </c>
      <c r="M355" s="131"/>
    </row>
    <row r="356" spans="1:13" ht="15" customHeight="1" x14ac:dyDescent="0.2">
      <c r="A356" s="11">
        <f t="shared" ca="1" si="27"/>
        <v>42</v>
      </c>
      <c r="C356" s="11" t="s">
        <v>148</v>
      </c>
      <c r="D356" s="11" t="str">
        <f>VLOOKUP(VALUE(MID($C356,13,2)), codigos!$A$2:$B$60, 2, 1) &amp; " " &amp; VLOOKUP(VALUE(MID($C356,15,4)), codigos!$E$2:$F$102, 2, FALSE)</f>
        <v>BUDINERA 26</v>
      </c>
      <c r="E356" s="11" t="str">
        <f>VLOOKUP(VALUE(MID($C356,19,2)),codigos!$H$2:$I$62,2,1) &amp; " " &amp; VLOOKUP(VALUE(MID($C356,21,2)),codigos!$K$2:$L$12,2,FALSE)</f>
        <v>A/T S/I</v>
      </c>
      <c r="F356" s="11" t="s">
        <v>539</v>
      </c>
      <c r="G356" s="11" t="s">
        <v>11</v>
      </c>
      <c r="H356" s="52" t="s">
        <v>1594</v>
      </c>
      <c r="I356" s="20" t="s">
        <v>1387</v>
      </c>
      <c r="J356" s="11">
        <v>12</v>
      </c>
      <c r="K356" s="11">
        <v>0</v>
      </c>
      <c r="L356" s="11">
        <f t="shared" si="28"/>
        <v>12</v>
      </c>
      <c r="M356" s="131">
        <f>(SUM(K356:K360))/(SUM(J356:J360))</f>
        <v>0.37320916905444124</v>
      </c>
    </row>
    <row r="357" spans="1:13" x14ac:dyDescent="0.2">
      <c r="A357" s="11">
        <f t="shared" ca="1" si="27"/>
        <v>42</v>
      </c>
      <c r="C357" s="11" t="s">
        <v>149</v>
      </c>
      <c r="D357" s="11" t="str">
        <f>VLOOKUP(VALUE(MID($C357,13,2)), codigos!$A$2:$B$60, 2, 1) &amp; " " &amp; VLOOKUP(VALUE(MID($C357,15,4)), codigos!$E$2:$F$102, 2, FALSE)</f>
        <v>COMAL 28</v>
      </c>
      <c r="E357" s="11" t="str">
        <f>VLOOKUP(VALUE(MID($C357,19,2)),codigos!$H$2:$I$62,2,1) &amp; " " &amp; VLOOKUP(VALUE(MID($C357,21,2)),codigos!$K$2:$L$12,2,FALSE)</f>
        <v>NEGRO MOTAS S/I</v>
      </c>
      <c r="F357" s="11" t="s">
        <v>539</v>
      </c>
      <c r="G357" s="11" t="s">
        <v>11</v>
      </c>
      <c r="H357" s="52" t="s">
        <v>1594</v>
      </c>
      <c r="I357" s="20" t="s">
        <v>1387</v>
      </c>
      <c r="J357" s="11">
        <v>1140</v>
      </c>
      <c r="K357" s="11">
        <f>366</f>
        <v>366</v>
      </c>
      <c r="L357" s="11">
        <f t="shared" si="28"/>
        <v>774</v>
      </c>
      <c r="M357" s="131"/>
    </row>
    <row r="358" spans="1:13" x14ac:dyDescent="0.2">
      <c r="A358" s="11">
        <f t="shared" ca="1" si="27"/>
        <v>42</v>
      </c>
      <c r="C358" s="11" t="s">
        <v>344</v>
      </c>
      <c r="D358" s="11" t="str">
        <f>VLOOKUP(VALUE(MID($C358,13,2)), codigos!$A$2:$B$60, 2, 1) &amp; " " &amp; VLOOKUP(VALUE(MID($C358,15,4)), codigos!$E$2:$F$102, 2, FALSE)</f>
        <v>COMAL 36</v>
      </c>
      <c r="E358" s="11" t="str">
        <f>VLOOKUP(VALUE(MID($C358,19,2)),codigos!$H$2:$I$62,2,1) &amp; " " &amp; VLOOKUP(VALUE(MID($C358,21,2)),codigos!$K$2:$L$12,2,FALSE)</f>
        <v>NEGRO MOTAS S/I</v>
      </c>
      <c r="F358" s="11" t="s">
        <v>539</v>
      </c>
      <c r="G358" s="11" t="s">
        <v>11</v>
      </c>
      <c r="H358" s="52" t="s">
        <v>1594</v>
      </c>
      <c r="I358" s="20" t="s">
        <v>1387</v>
      </c>
      <c r="J358" s="11">
        <v>120</v>
      </c>
      <c r="K358" s="11">
        <f>95</f>
        <v>95</v>
      </c>
      <c r="L358" s="11">
        <f t="shared" si="28"/>
        <v>25</v>
      </c>
      <c r="M358" s="131"/>
    </row>
    <row r="359" spans="1:13" x14ac:dyDescent="0.2">
      <c r="A359" s="11">
        <f t="shared" ca="1" si="27"/>
        <v>42</v>
      </c>
      <c r="C359" s="11" t="s">
        <v>180</v>
      </c>
      <c r="D359" s="11" t="str">
        <f>VLOOKUP(VALUE(MID($C359,13,2)), codigos!$A$2:$B$60, 2, 1) &amp; " " &amp; VLOOKUP(VALUE(MID($C359,15,4)), codigos!$E$2:$F$102, 2, FALSE)</f>
        <v>POCILLO 12</v>
      </c>
      <c r="E359" s="11" t="str">
        <f>VLOOKUP(VALUE(MID($C359,19,2)),codigos!$H$2:$I$62,2,1) &amp; " " &amp; VLOOKUP(VALUE(MID($C359,21,2)),codigos!$K$2:$L$12,2,FALSE)</f>
        <v>A/T S/I</v>
      </c>
      <c r="F359" s="11" t="s">
        <v>539</v>
      </c>
      <c r="G359" s="11" t="s">
        <v>11</v>
      </c>
      <c r="H359" s="52" t="s">
        <v>1594</v>
      </c>
      <c r="I359" s="20" t="s">
        <v>1387</v>
      </c>
      <c r="J359" s="11">
        <v>60</v>
      </c>
      <c r="K359" s="11">
        <f>60</f>
        <v>60</v>
      </c>
      <c r="L359" s="11">
        <f t="shared" si="28"/>
        <v>0</v>
      </c>
      <c r="M359" s="131"/>
    </row>
    <row r="360" spans="1:13" x14ac:dyDescent="0.2">
      <c r="A360" s="11">
        <f t="shared" ca="1" si="27"/>
        <v>42</v>
      </c>
      <c r="C360" s="11" t="s">
        <v>83</v>
      </c>
      <c r="D360" s="11" t="str">
        <f>VLOOKUP(VALUE(MID($C360,13,2)), codigos!$A$2:$B$60, 2, 1) &amp; " " &amp; VLOOKUP(VALUE(MID($C360,15,4)), codigos!$E$2:$F$102, 2, FALSE)</f>
        <v>TAZON 15.5</v>
      </c>
      <c r="E360" s="11" t="str">
        <f>VLOOKUP(VALUE(MID($C360,19,2)),codigos!$H$2:$I$62,2,1) &amp; " " &amp; VLOOKUP(VALUE(MID($C360,21,2)),codigos!$K$2:$L$12,2,FALSE)</f>
        <v>BLANCO  NEGRO</v>
      </c>
      <c r="F360" s="11" t="s">
        <v>539</v>
      </c>
      <c r="G360" s="11" t="s">
        <v>11</v>
      </c>
      <c r="H360" s="52" t="s">
        <v>1594</v>
      </c>
      <c r="I360" s="20" t="s">
        <v>1387</v>
      </c>
      <c r="J360" s="11">
        <v>64</v>
      </c>
      <c r="K360" s="11">
        <v>0</v>
      </c>
      <c r="L360" s="11">
        <f t="shared" si="28"/>
        <v>64</v>
      </c>
      <c r="M360" s="131"/>
    </row>
    <row r="361" spans="1:13" x14ac:dyDescent="0.2">
      <c r="A361" s="11">
        <f t="shared" ca="1" si="27"/>
        <v>1</v>
      </c>
      <c r="C361" s="11" t="s">
        <v>572</v>
      </c>
      <c r="D361" s="11" t="str">
        <f>VLOOKUP(VALUE(MID($C361,13,2)), codigos!$A$2:$B$60, 2, 1) &amp; " " &amp; VLOOKUP(VALUE(MID($C361,15,4)), codigos!$E$2:$F$102, 2, FALSE)</f>
        <v>BUDINERA 18</v>
      </c>
      <c r="E361" s="11" t="str">
        <f>VLOOKUP(VALUE(MID($C361,19,2)),codigos!$H$2:$I$62,2,1) &amp; " " &amp; VLOOKUP(VALUE(MID($C361,21,2)),codigos!$K$2:$L$12,2,FALSE)</f>
        <v>A/T S/I</v>
      </c>
      <c r="F361" s="11" t="s">
        <v>573</v>
      </c>
      <c r="G361" s="11" t="s">
        <v>11</v>
      </c>
      <c r="H361" s="52" t="s">
        <v>1603</v>
      </c>
      <c r="I361" s="20" t="s">
        <v>1604</v>
      </c>
      <c r="J361" s="11">
        <v>7</v>
      </c>
      <c r="K361" s="11">
        <v>0</v>
      </c>
      <c r="L361" s="11">
        <f t="shared" si="28"/>
        <v>7</v>
      </c>
      <c r="M361" s="132">
        <f>(SUM(K361:K375))/(SUM(J361:J375))</f>
        <v>0.15517241379310345</v>
      </c>
    </row>
    <row r="362" spans="1:13" x14ac:dyDescent="0.2">
      <c r="A362" s="11">
        <f t="shared" ca="1" si="27"/>
        <v>1</v>
      </c>
      <c r="C362" s="11" t="s">
        <v>576</v>
      </c>
      <c r="D362" s="11" t="str">
        <f>VLOOKUP(VALUE(MID($C362,13,2)), codigos!$A$2:$B$60, 2, 1) &amp; " " &amp; VLOOKUP(VALUE(MID($C362,15,4)), codigos!$E$2:$F$102, 2, FALSE)</f>
        <v>BUDINERA 24</v>
      </c>
      <c r="E362" s="11" t="str">
        <f>VLOOKUP(VALUE(MID($C362,19,2)),codigos!$H$2:$I$62,2,1) &amp; " " &amp; VLOOKUP(VALUE(MID($C362,21,2)),codigos!$K$2:$L$12,2,FALSE)</f>
        <v>A/T S/I</v>
      </c>
      <c r="F362" s="11" t="s">
        <v>573</v>
      </c>
      <c r="G362" s="11" t="s">
        <v>11</v>
      </c>
      <c r="H362" s="52" t="s">
        <v>1603</v>
      </c>
      <c r="I362" s="20" t="s">
        <v>1604</v>
      </c>
      <c r="J362" s="11">
        <v>5</v>
      </c>
      <c r="K362" s="11">
        <v>0</v>
      </c>
      <c r="L362" s="11">
        <f t="shared" si="28"/>
        <v>5</v>
      </c>
      <c r="M362" s="133"/>
    </row>
    <row r="363" spans="1:13" x14ac:dyDescent="0.2">
      <c r="A363" s="11">
        <f t="shared" ca="1" si="27"/>
        <v>1</v>
      </c>
      <c r="C363" s="11" t="s">
        <v>578</v>
      </c>
      <c r="D363" s="11" t="str">
        <f>VLOOKUP(VALUE(MID($C363,13,2)), codigos!$A$2:$B$60, 2, 1) &amp; " " &amp; VLOOKUP(VALUE(MID($C363,15,4)), codigos!$E$2:$F$102, 2, FALSE)</f>
        <v>COMAL 28</v>
      </c>
      <c r="E363" s="11" t="str">
        <f>VLOOKUP(VALUE(MID($C363,19,2)),codigos!$H$2:$I$62,2,1) &amp; " " &amp; VLOOKUP(VALUE(MID($C363,21,2)),codigos!$K$2:$L$12,2,FALSE)</f>
        <v>NEGRO S/I</v>
      </c>
      <c r="F363" s="11" t="s">
        <v>573</v>
      </c>
      <c r="G363" s="11" t="s">
        <v>11</v>
      </c>
      <c r="H363" s="52" t="s">
        <v>1603</v>
      </c>
      <c r="I363" s="20" t="s">
        <v>1604</v>
      </c>
      <c r="J363" s="11">
        <v>8</v>
      </c>
      <c r="K363" s="11">
        <v>0</v>
      </c>
      <c r="L363" s="11">
        <f t="shared" si="28"/>
        <v>8</v>
      </c>
      <c r="M363" s="133"/>
    </row>
    <row r="364" spans="1:13" x14ac:dyDescent="0.2">
      <c r="A364" s="11">
        <f t="shared" ca="1" si="27"/>
        <v>1</v>
      </c>
      <c r="C364" s="11" t="s">
        <v>580</v>
      </c>
      <c r="D364" s="11" t="str">
        <f>VLOOKUP(VALUE(MID($C364,13,2)), codigos!$A$2:$B$60, 2, 1) &amp; " " &amp; VLOOKUP(VALUE(MID($C364,15,4)), codigos!$E$2:$F$102, 2, FALSE)</f>
        <v>OLLA CONVEXA 22</v>
      </c>
      <c r="E364" s="11" t="str">
        <f>VLOOKUP(VALUE(MID($C364,19,2)),codigos!$H$2:$I$62,2,1) &amp; " " &amp; VLOOKUP(VALUE(MID($C364,21,2)),codigos!$K$2:$L$12,2,FALSE)</f>
        <v>A/T S/I</v>
      </c>
      <c r="F364" s="11" t="s">
        <v>573</v>
      </c>
      <c r="G364" s="11" t="s">
        <v>11</v>
      </c>
      <c r="H364" s="52" t="s">
        <v>1603</v>
      </c>
      <c r="I364" s="20" t="s">
        <v>1604</v>
      </c>
      <c r="J364" s="11">
        <v>1</v>
      </c>
      <c r="K364" s="11">
        <v>0</v>
      </c>
      <c r="L364" s="11">
        <f t="shared" si="28"/>
        <v>1</v>
      </c>
      <c r="M364" s="133"/>
    </row>
    <row r="365" spans="1:13" x14ac:dyDescent="0.2">
      <c r="A365" s="11">
        <f t="shared" ca="1" si="27"/>
        <v>1</v>
      </c>
      <c r="C365" s="11" t="s">
        <v>581</v>
      </c>
      <c r="D365" s="11" t="str">
        <f>VLOOKUP(VALUE(MID($C365,13,2)), codigos!$A$2:$B$60, 2, 1) &amp; " " &amp; VLOOKUP(VALUE(MID($C365,15,4)), codigos!$E$2:$F$102, 2, FALSE)</f>
        <v>OLLA RECTA 20</v>
      </c>
      <c r="E365" s="11" t="str">
        <f>VLOOKUP(VALUE(MID($C365,19,2)),codigos!$H$2:$I$62,2,1) &amp; " " &amp; VLOOKUP(VALUE(MID($C365,21,2)),codigos!$K$2:$L$12,2,FALSE)</f>
        <v>A/T S/I</v>
      </c>
      <c r="F365" s="11" t="s">
        <v>573</v>
      </c>
      <c r="G365" s="11" t="s">
        <v>11</v>
      </c>
      <c r="H365" s="52" t="s">
        <v>1603</v>
      </c>
      <c r="I365" s="20" t="s">
        <v>1604</v>
      </c>
      <c r="J365" s="11">
        <v>2</v>
      </c>
      <c r="K365" s="11">
        <v>0</v>
      </c>
      <c r="L365" s="11">
        <f t="shared" si="28"/>
        <v>2</v>
      </c>
      <c r="M365" s="133"/>
    </row>
    <row r="366" spans="1:13" x14ac:dyDescent="0.2">
      <c r="A366" s="11">
        <f t="shared" ca="1" si="27"/>
        <v>1</v>
      </c>
      <c r="C366" s="11" t="s">
        <v>582</v>
      </c>
      <c r="D366" s="11" t="str">
        <f>VLOOKUP(VALUE(MID($C366,13,2)), codigos!$A$2:$B$60, 2, 1) &amp; " " &amp; VLOOKUP(VALUE(MID($C366,15,4)), codigos!$E$2:$F$102, 2, FALSE)</f>
        <v>OLLA RECTA 20</v>
      </c>
      <c r="E366" s="11" t="str">
        <f>VLOOKUP(VALUE(MID($C366,19,2)),codigos!$H$2:$I$62,2,1) &amp; " " &amp; VLOOKUP(VALUE(MID($C366,21,2)),codigos!$K$2:$L$12,2,FALSE)</f>
        <v>BICOLOR AZUL S/I</v>
      </c>
      <c r="F366" s="11" t="s">
        <v>573</v>
      </c>
      <c r="G366" s="11" t="s">
        <v>11</v>
      </c>
      <c r="H366" s="52" t="s">
        <v>1603</v>
      </c>
      <c r="I366" s="20" t="s">
        <v>1604</v>
      </c>
      <c r="J366" s="11">
        <v>1</v>
      </c>
      <c r="K366" s="11">
        <v>1</v>
      </c>
      <c r="L366" s="11">
        <f t="shared" si="28"/>
        <v>0</v>
      </c>
      <c r="M366" s="133"/>
    </row>
    <row r="367" spans="1:13" x14ac:dyDescent="0.2">
      <c r="A367" s="11">
        <f t="shared" ca="1" si="27"/>
        <v>1</v>
      </c>
      <c r="C367" s="11" t="s">
        <v>584</v>
      </c>
      <c r="D367" s="11" t="str">
        <f>VLOOKUP(VALUE(MID($C367,13,2)), codigos!$A$2:$B$60, 2, 1) &amp; " " &amp; VLOOKUP(VALUE(MID($C367,15,4)), codigos!$E$2:$F$102, 2, FALSE)</f>
        <v>OLLA RECTA 20</v>
      </c>
      <c r="E367" s="11" t="str">
        <f>VLOOKUP(VALUE(MID($C367,19,2)),codigos!$H$2:$I$62,2,1) &amp; " " &amp; VLOOKUP(VALUE(MID($C367,21,2)),codigos!$K$2:$L$12,2,FALSE)</f>
        <v>BICOLOR ROJO S/I</v>
      </c>
      <c r="F367" s="11" t="s">
        <v>573</v>
      </c>
      <c r="G367" s="11" t="s">
        <v>11</v>
      </c>
      <c r="H367" s="52" t="s">
        <v>1603</v>
      </c>
      <c r="I367" s="20" t="s">
        <v>1604</v>
      </c>
      <c r="J367" s="11">
        <v>3</v>
      </c>
      <c r="K367" s="11">
        <v>0</v>
      </c>
      <c r="L367" s="11">
        <f t="shared" si="28"/>
        <v>3</v>
      </c>
      <c r="M367" s="133"/>
    </row>
    <row r="368" spans="1:13" x14ac:dyDescent="0.2">
      <c r="A368" s="11">
        <f t="shared" ca="1" si="27"/>
        <v>1</v>
      </c>
      <c r="C368" s="11" t="s">
        <v>586</v>
      </c>
      <c r="D368" s="11" t="str">
        <f>VLOOKUP(VALUE(MID($C368,13,2)), codigos!$A$2:$B$60, 2, 1) &amp; " " &amp; VLOOKUP(VALUE(MID($C368,15,4)), codigos!$E$2:$F$102, 2, FALSE)</f>
        <v>OLLA RECTA 24</v>
      </c>
      <c r="E368" s="11" t="str">
        <f>VLOOKUP(VALUE(MID($C368,19,2)),codigos!$H$2:$I$62,2,1) &amp; " " &amp; VLOOKUP(VALUE(MID($C368,21,2)),codigos!$K$2:$L$12,2,FALSE)</f>
        <v>BICOLOR NARANJA S/I</v>
      </c>
      <c r="F368" s="11" t="s">
        <v>573</v>
      </c>
      <c r="G368" s="11" t="s">
        <v>11</v>
      </c>
      <c r="H368" s="52" t="s">
        <v>1603</v>
      </c>
      <c r="I368" s="20" t="s">
        <v>1604</v>
      </c>
      <c r="J368" s="11">
        <v>1</v>
      </c>
      <c r="K368" s="11">
        <v>0</v>
      </c>
      <c r="L368" s="11">
        <f t="shared" si="28"/>
        <v>1</v>
      </c>
      <c r="M368" s="133"/>
    </row>
    <row r="369" spans="1:13" x14ac:dyDescent="0.2">
      <c r="A369" s="11">
        <f t="shared" ca="1" si="27"/>
        <v>1</v>
      </c>
      <c r="C369" s="11" t="s">
        <v>587</v>
      </c>
      <c r="D369" s="11" t="str">
        <f>VLOOKUP(VALUE(MID($C369,13,2)), codigos!$A$2:$B$60, 2, 1) &amp; " " &amp; VLOOKUP(VALUE(MID($C369,15,4)), codigos!$E$2:$F$102, 2, FALSE)</f>
        <v>OLLA RECTA 24</v>
      </c>
      <c r="E369" s="11" t="str">
        <f>VLOOKUP(VALUE(MID($C369,19,2)),codigos!$H$2:$I$62,2,1) &amp; " " &amp; VLOOKUP(VALUE(MID($C369,21,2)),codigos!$K$2:$L$12,2,FALSE)</f>
        <v>BICOLOR ROJO S/I</v>
      </c>
      <c r="F369" s="11" t="s">
        <v>573</v>
      </c>
      <c r="G369" s="11" t="s">
        <v>11</v>
      </c>
      <c r="H369" s="52" t="s">
        <v>1603</v>
      </c>
      <c r="I369" s="20" t="s">
        <v>1604</v>
      </c>
      <c r="J369" s="11">
        <v>1</v>
      </c>
      <c r="K369" s="11">
        <v>0</v>
      </c>
      <c r="L369" s="11">
        <f t="shared" si="28"/>
        <v>1</v>
      </c>
      <c r="M369" s="133"/>
    </row>
    <row r="370" spans="1:13" x14ac:dyDescent="0.2">
      <c r="A370" s="11">
        <f t="shared" ca="1" si="27"/>
        <v>1</v>
      </c>
      <c r="C370" s="11" t="s">
        <v>588</v>
      </c>
      <c r="D370" s="11" t="str">
        <f>VLOOKUP(VALUE(MID($C370,13,2)), codigos!$A$2:$B$60, 2, 1) &amp; " " &amp; VLOOKUP(VALUE(MID($C370,15,4)), codigos!$E$2:$F$102, 2, FALSE)</f>
        <v>OLLA RECTA 28</v>
      </c>
      <c r="E370" s="11" t="str">
        <f>VLOOKUP(VALUE(MID($C370,19,2)),codigos!$H$2:$I$62,2,1) &amp; " " &amp; VLOOKUP(VALUE(MID($C370,21,2)),codigos!$K$2:$L$12,2,FALSE)</f>
        <v>A/T S/I</v>
      </c>
      <c r="F370" s="11" t="s">
        <v>573</v>
      </c>
      <c r="G370" s="11" t="s">
        <v>11</v>
      </c>
      <c r="H370" s="52" t="s">
        <v>1603</v>
      </c>
      <c r="I370" s="20" t="s">
        <v>1604</v>
      </c>
      <c r="J370" s="11">
        <v>8</v>
      </c>
      <c r="K370" s="11">
        <v>0</v>
      </c>
      <c r="L370" s="11">
        <f t="shared" si="28"/>
        <v>8</v>
      </c>
      <c r="M370" s="133"/>
    </row>
    <row r="371" spans="1:13" x14ac:dyDescent="0.2">
      <c r="A371" s="11">
        <f t="shared" ca="1" si="27"/>
        <v>1</v>
      </c>
      <c r="C371" s="11" t="s">
        <v>589</v>
      </c>
      <c r="D371" s="11" t="str">
        <f>VLOOKUP(VALUE(MID($C371,13,2)), codigos!$A$2:$B$60, 2, 1) &amp; " " &amp; VLOOKUP(VALUE(MID($C371,15,4)), codigos!$E$2:$F$102, 2, FALSE)</f>
        <v>POCILLO 14</v>
      </c>
      <c r="E371" s="11" t="str">
        <f>VLOOKUP(VALUE(MID($C371,19,2)),codigos!$H$2:$I$62,2,1) &amp; " " &amp; VLOOKUP(VALUE(MID($C371,21,2)),codigos!$K$2:$L$12,2,FALSE)</f>
        <v>S/I S/I</v>
      </c>
      <c r="F371" s="11" t="s">
        <v>573</v>
      </c>
      <c r="G371" s="11" t="s">
        <v>11</v>
      </c>
      <c r="H371" s="52" t="s">
        <v>1603</v>
      </c>
      <c r="I371" s="20" t="s">
        <v>1604</v>
      </c>
      <c r="J371" s="11">
        <v>3</v>
      </c>
      <c r="K371" s="11">
        <v>3</v>
      </c>
      <c r="L371" s="11">
        <f t="shared" si="28"/>
        <v>0</v>
      </c>
      <c r="M371" s="133"/>
    </row>
    <row r="372" spans="1:13" x14ac:dyDescent="0.2">
      <c r="A372" s="11">
        <f t="shared" ca="1" si="27"/>
        <v>1</v>
      </c>
      <c r="C372" s="11" t="s">
        <v>590</v>
      </c>
      <c r="D372" s="11" t="str">
        <f>VLOOKUP(VALUE(MID($C372,13,2)), codigos!$A$2:$B$60, 2, 1) &amp; " " &amp; VLOOKUP(VALUE(MID($C372,15,4)), codigos!$E$2:$F$102, 2, FALSE)</f>
        <v>POCILLO 14</v>
      </c>
      <c r="E372" s="11" t="str">
        <f>VLOOKUP(VALUE(MID($C372,19,2)),codigos!$H$2:$I$62,2,1) &amp; " " &amp; VLOOKUP(VALUE(MID($C372,21,2)),codigos!$K$2:$L$12,2,FALSE)</f>
        <v>A/T S/I</v>
      </c>
      <c r="F372" s="11" t="s">
        <v>573</v>
      </c>
      <c r="G372" s="11" t="s">
        <v>11</v>
      </c>
      <c r="H372" s="52" t="s">
        <v>1603</v>
      </c>
      <c r="I372" s="20" t="s">
        <v>1604</v>
      </c>
      <c r="J372" s="11">
        <v>5</v>
      </c>
      <c r="K372" s="11">
        <v>0</v>
      </c>
      <c r="L372" s="11">
        <f t="shared" si="28"/>
        <v>5</v>
      </c>
      <c r="M372" s="133"/>
    </row>
    <row r="373" spans="1:13" x14ac:dyDescent="0.2">
      <c r="A373" s="11">
        <f t="shared" ca="1" si="27"/>
        <v>1</v>
      </c>
      <c r="C373" s="11" t="s">
        <v>591</v>
      </c>
      <c r="D373" s="11" t="str">
        <f>VLOOKUP(VALUE(MID($C373,13,2)), codigos!$A$2:$B$60, 2, 1) &amp; " " &amp; VLOOKUP(VALUE(MID($C373,15,4)), codigos!$E$2:$F$102, 2, FALSE)</f>
        <v>POCILLO 14</v>
      </c>
      <c r="E373" s="11" t="str">
        <f>VLOOKUP(VALUE(MID($C373,19,2)),codigos!$H$2:$I$62,2,1) &amp; " " &amp; VLOOKUP(VALUE(MID($C373,21,2)),codigos!$K$2:$L$12,2,FALSE)</f>
        <v>BICOLOR AZUL S/I</v>
      </c>
      <c r="F373" s="11" t="s">
        <v>573</v>
      </c>
      <c r="G373" s="11" t="s">
        <v>11</v>
      </c>
      <c r="H373" s="52" t="s">
        <v>1603</v>
      </c>
      <c r="I373" s="20" t="s">
        <v>1604</v>
      </c>
      <c r="J373" s="11">
        <v>6</v>
      </c>
      <c r="K373" s="11">
        <v>0</v>
      </c>
      <c r="L373" s="11">
        <f t="shared" si="28"/>
        <v>6</v>
      </c>
      <c r="M373" s="133"/>
    </row>
    <row r="374" spans="1:13" x14ac:dyDescent="0.2">
      <c r="A374" s="11">
        <f t="shared" ca="1" si="27"/>
        <v>1</v>
      </c>
      <c r="C374" s="11" t="s">
        <v>592</v>
      </c>
      <c r="D374" s="11" t="str">
        <f>VLOOKUP(VALUE(MID($C374,13,2)), codigos!$A$2:$B$60, 2, 1) &amp; " " &amp; VLOOKUP(VALUE(MID($C374,15,4)), codigos!$E$2:$F$102, 2, FALSE)</f>
        <v>POCILLO 14</v>
      </c>
      <c r="E374" s="11" t="str">
        <f>VLOOKUP(VALUE(MID($C374,19,2)),codigos!$H$2:$I$62,2,1) &amp; " " &amp; VLOOKUP(VALUE(MID($C374,21,2)),codigos!$K$2:$L$12,2,FALSE)</f>
        <v>BICOLOR NARANJA S/I</v>
      </c>
      <c r="F374" s="11" t="s">
        <v>573</v>
      </c>
      <c r="G374" s="11" t="s">
        <v>11</v>
      </c>
      <c r="H374" s="52" t="s">
        <v>1603</v>
      </c>
      <c r="I374" s="20" t="s">
        <v>1604</v>
      </c>
      <c r="J374" s="11">
        <v>3</v>
      </c>
      <c r="K374" s="11">
        <v>1</v>
      </c>
      <c r="L374" s="11">
        <f t="shared" si="28"/>
        <v>2</v>
      </c>
      <c r="M374" s="133"/>
    </row>
    <row r="375" spans="1:13" x14ac:dyDescent="0.2">
      <c r="A375" s="11">
        <f t="shared" ca="1" si="27"/>
        <v>1</v>
      </c>
      <c r="C375" s="11" t="s">
        <v>593</v>
      </c>
      <c r="D375" s="11" t="str">
        <f>VLOOKUP(VALUE(MID($C375,13,2)), codigos!$A$2:$B$60, 2, 1) &amp; " " &amp; VLOOKUP(VALUE(MID($C375,15,4)), codigos!$E$2:$F$102, 2, FALSE)</f>
        <v>POCILLO 14</v>
      </c>
      <c r="E375" s="11" t="str">
        <f>VLOOKUP(VALUE(MID($C375,19,2)),codigos!$H$2:$I$62,2,1) &amp; " " &amp; VLOOKUP(VALUE(MID($C375,21,2)),codigos!$K$2:$L$12,2,FALSE)</f>
        <v>BICOLOR ROJO S/I</v>
      </c>
      <c r="F375" s="11" t="s">
        <v>573</v>
      </c>
      <c r="G375" s="11" t="s">
        <v>11</v>
      </c>
      <c r="H375" s="52" t="s">
        <v>1603</v>
      </c>
      <c r="I375" s="20" t="s">
        <v>1604</v>
      </c>
      <c r="J375" s="11">
        <v>4</v>
      </c>
      <c r="K375" s="11">
        <v>4</v>
      </c>
      <c r="L375" s="11">
        <f t="shared" si="28"/>
        <v>0</v>
      </c>
      <c r="M375" s="130"/>
    </row>
    <row r="376" spans="1:13" x14ac:dyDescent="0.2">
      <c r="A376" s="11">
        <f t="shared" ca="1" si="27"/>
        <v>1</v>
      </c>
      <c r="C376" s="11" t="s">
        <v>969</v>
      </c>
      <c r="D376" s="11" t="str">
        <f>VLOOKUP(VALUE(MID($C376,13,2)), codigos!$A$2:$B$60, 2, 1) &amp; " " &amp; VLOOKUP(VALUE(MID($C376,15,4)), codigos!$E$2:$F$102, 2, FALSE)</f>
        <v>CHAROLA DE SERVICIO 45</v>
      </c>
      <c r="E376" s="11" t="str">
        <f>VLOOKUP(VALUE(MID($C376,19,2)),codigos!$H$2:$I$62,2,1) &amp; " " &amp; VLOOKUP(VALUE(MID($C376,21,2)),codigos!$K$2:$L$12,2,FALSE)</f>
        <v>BLANCO  S/I</v>
      </c>
      <c r="F376" s="11" t="s">
        <v>553</v>
      </c>
      <c r="G376" s="11" t="s">
        <v>16</v>
      </c>
      <c r="H376" s="52" t="s">
        <v>1605</v>
      </c>
      <c r="I376" s="20" t="s">
        <v>1604</v>
      </c>
      <c r="J376" s="11">
        <v>7</v>
      </c>
      <c r="K376" s="11">
        <v>0</v>
      </c>
      <c r="L376" s="11">
        <f t="shared" si="28"/>
        <v>7</v>
      </c>
      <c r="M376" s="132">
        <f>(SUM(K376:K394))/(SUM(J376:J394))</f>
        <v>0</v>
      </c>
    </row>
    <row r="377" spans="1:13" x14ac:dyDescent="0.2">
      <c r="A377" s="11">
        <f t="shared" ca="1" si="27"/>
        <v>1</v>
      </c>
      <c r="C377" s="11" t="s">
        <v>337</v>
      </c>
      <c r="D377" s="11" t="str">
        <f>VLOOKUP(VALUE(MID($C377,13,2)), codigos!$A$2:$B$60, 2, 1) &amp; " " &amp; VLOOKUP(VALUE(MID($C377,15,4)), codigos!$E$2:$F$102, 2, FALSE)</f>
        <v>VAJILLA LE COQ</v>
      </c>
      <c r="E377" s="11" t="str">
        <f>VLOOKUP(VALUE(MID($C377,19,2)),codigos!$H$2:$I$62,2,1) &amp; " " &amp; VLOOKUP(VALUE(MID($C377,21,2)),codigos!$K$2:$L$12,2,FALSE)</f>
        <v>S/I S/I</v>
      </c>
      <c r="F377" s="11" t="s">
        <v>553</v>
      </c>
      <c r="G377" s="11" t="s">
        <v>16</v>
      </c>
      <c r="H377" s="52" t="s">
        <v>1605</v>
      </c>
      <c r="I377" s="20" t="s">
        <v>1604</v>
      </c>
      <c r="J377" s="11">
        <v>1</v>
      </c>
      <c r="K377" s="11">
        <v>0</v>
      </c>
      <c r="L377" s="11">
        <f t="shared" si="28"/>
        <v>1</v>
      </c>
      <c r="M377" s="133"/>
    </row>
    <row r="378" spans="1:13" x14ac:dyDescent="0.2">
      <c r="A378" s="11">
        <f t="shared" ca="1" si="27"/>
        <v>1</v>
      </c>
      <c r="C378" s="11" t="s">
        <v>967</v>
      </c>
      <c r="D378" s="11" t="str">
        <f>VLOOKUP(VALUE(MID($C378,13,2)), codigos!$A$2:$B$60, 2, 1) &amp; " " &amp; VLOOKUP(VALUE(MID($C378,15,4)), codigos!$E$2:$F$102, 2, FALSE)</f>
        <v>JARRA RECTA 2.5 LTS</v>
      </c>
      <c r="E378" s="11" t="str">
        <f>VLOOKUP(VALUE(MID($C378,19,2)),codigos!$H$2:$I$62,2,1) &amp; " " &amp; VLOOKUP(VALUE(MID($C378,21,2)),codigos!$K$2:$L$12,2,FALSE)</f>
        <v>NEGRO MOTAS S/I</v>
      </c>
      <c r="F378" s="11" t="s">
        <v>553</v>
      </c>
      <c r="G378" s="11" t="s">
        <v>16</v>
      </c>
      <c r="H378" s="52" t="s">
        <v>1605</v>
      </c>
      <c r="I378" s="20" t="s">
        <v>1604</v>
      </c>
      <c r="J378" s="11">
        <v>1</v>
      </c>
      <c r="K378" s="11">
        <v>0</v>
      </c>
      <c r="L378" s="11">
        <f t="shared" si="28"/>
        <v>1</v>
      </c>
      <c r="M378" s="133"/>
    </row>
    <row r="379" spans="1:13" x14ac:dyDescent="0.2">
      <c r="A379" s="11">
        <f t="shared" ca="1" si="27"/>
        <v>1</v>
      </c>
      <c r="C379" s="11" t="s">
        <v>971</v>
      </c>
      <c r="D379" s="11" t="str">
        <f>VLOOKUP(VALUE(MID($C379,13,2)), codigos!$A$2:$B$60, 2, 1) &amp; " " &amp; VLOOKUP(VALUE(MID($C379,15,4)), codigos!$E$2:$F$102, 2, FALSE)</f>
        <v>PLATO LISO 20</v>
      </c>
      <c r="E379" s="11" t="str">
        <f>VLOOKUP(VALUE(MID($C379,19,2)),codigos!$H$2:$I$62,2,1) &amp; " " &amp; VLOOKUP(VALUE(MID($C379,21,2)),codigos!$K$2:$L$12,2,FALSE)</f>
        <v>BLANCO  NEGRO</v>
      </c>
      <c r="F379" s="11" t="s">
        <v>553</v>
      </c>
      <c r="G379" s="11" t="s">
        <v>16</v>
      </c>
      <c r="H379" s="52" t="s">
        <v>1605</v>
      </c>
      <c r="I379" s="20" t="s">
        <v>1604</v>
      </c>
      <c r="J379" s="11">
        <v>1</v>
      </c>
      <c r="K379" s="11">
        <v>0</v>
      </c>
      <c r="L379" s="11">
        <f t="shared" si="28"/>
        <v>1</v>
      </c>
      <c r="M379" s="133"/>
    </row>
    <row r="380" spans="1:13" x14ac:dyDescent="0.2">
      <c r="A380" s="11">
        <f t="shared" ca="1" si="27"/>
        <v>1</v>
      </c>
      <c r="C380" s="11" t="s">
        <v>1320</v>
      </c>
      <c r="D380" s="11" t="str">
        <f>VLOOKUP(VALUE(MID($C380,13,2)), codigos!$A$2:$B$60, 2, 1) &amp; " " &amp; VLOOKUP(VALUE(MID($C380,15,4)), codigos!$E$2:$F$102, 2, FALSE)</f>
        <v>PLATO LISO 24</v>
      </c>
      <c r="E380" s="11" t="str">
        <f>VLOOKUP(VALUE(MID($C380,19,2)),codigos!$H$2:$I$62,2,1) &amp; " " &amp; VLOOKUP(VALUE(MID($C380,21,2)),codigos!$K$2:$L$12,2,FALSE)</f>
        <v>NEGRO MOTAS S/I</v>
      </c>
      <c r="F380" s="11" t="s">
        <v>553</v>
      </c>
      <c r="G380" s="11" t="s">
        <v>16</v>
      </c>
      <c r="H380" s="52" t="s">
        <v>1605</v>
      </c>
      <c r="I380" s="20" t="s">
        <v>1604</v>
      </c>
      <c r="J380" s="11">
        <v>3</v>
      </c>
      <c r="K380" s="11">
        <v>0</v>
      </c>
      <c r="L380" s="11">
        <f t="shared" si="28"/>
        <v>3</v>
      </c>
      <c r="M380" s="133"/>
    </row>
    <row r="381" spans="1:13" x14ac:dyDescent="0.2">
      <c r="A381" s="11">
        <f t="shared" ca="1" si="27"/>
        <v>1</v>
      </c>
      <c r="C381" s="11" t="s">
        <v>1321</v>
      </c>
      <c r="D381" s="11" t="str">
        <f>VLOOKUP(VALUE(MID($C381,13,2)), codigos!$A$2:$B$60, 2, 1) &amp; " " &amp; VLOOKUP(VALUE(MID($C381,15,4)), codigos!$E$2:$F$102, 2, FALSE)</f>
        <v>PLATO HONDO 27</v>
      </c>
      <c r="E381" s="11" t="str">
        <f>VLOOKUP(VALUE(MID($C381,19,2)),codigos!$H$2:$I$62,2,1) &amp; " " &amp; VLOOKUP(VALUE(MID($C381,21,2)),codigos!$K$2:$L$12,2,FALSE)</f>
        <v>NEGRO MOTAS S/I</v>
      </c>
      <c r="F381" s="11" t="s">
        <v>553</v>
      </c>
      <c r="G381" s="11" t="s">
        <v>16</v>
      </c>
      <c r="H381" s="52" t="s">
        <v>1605</v>
      </c>
      <c r="I381" s="20" t="s">
        <v>1604</v>
      </c>
      <c r="J381" s="11">
        <v>2</v>
      </c>
      <c r="K381" s="11">
        <v>0</v>
      </c>
      <c r="L381" s="11">
        <f t="shared" si="28"/>
        <v>2</v>
      </c>
      <c r="M381" s="133"/>
    </row>
    <row r="382" spans="1:13" x14ac:dyDescent="0.2">
      <c r="A382" s="11">
        <f t="shared" ca="1" si="27"/>
        <v>1</v>
      </c>
      <c r="C382" s="11" t="s">
        <v>972</v>
      </c>
      <c r="D382" s="11" t="str">
        <f>VLOOKUP(VALUE(MID($C382,13,2)), codigos!$A$2:$B$60, 2, 1) &amp; " " &amp; VLOOKUP(VALUE(MID($C382,15,4)), codigos!$E$2:$F$102, 2, FALSE)</f>
        <v>BUDINERA 12</v>
      </c>
      <c r="E382" s="11" t="str">
        <f>VLOOKUP(VALUE(MID($C382,19,2)),codigos!$H$2:$I$62,2,1) &amp; " " &amp; VLOOKUP(VALUE(MID($C382,21,2)),codigos!$K$2:$L$12,2,FALSE)</f>
        <v>BLANCO  GRIS</v>
      </c>
      <c r="F382" s="11" t="s">
        <v>553</v>
      </c>
      <c r="G382" s="11" t="s">
        <v>16</v>
      </c>
      <c r="H382" s="52" t="s">
        <v>1605</v>
      </c>
      <c r="I382" s="20" t="s">
        <v>1604</v>
      </c>
      <c r="J382" s="11">
        <v>1</v>
      </c>
      <c r="K382" s="11">
        <v>0</v>
      </c>
      <c r="L382" s="11">
        <f t="shared" si="28"/>
        <v>1</v>
      </c>
      <c r="M382" s="133"/>
    </row>
    <row r="383" spans="1:13" x14ac:dyDescent="0.2">
      <c r="A383" s="11">
        <f t="shared" ca="1" si="27"/>
        <v>1</v>
      </c>
      <c r="C383" s="11" t="s">
        <v>562</v>
      </c>
      <c r="D383" s="11" t="str">
        <f>VLOOKUP(VALUE(MID($C383,13,2)), codigos!$A$2:$B$60, 2, 1) &amp; " " &amp; VLOOKUP(VALUE(MID($C383,15,4)), codigos!$E$2:$F$102, 2, FALSE)</f>
        <v>MULTIUSOS S/I</v>
      </c>
      <c r="E383" s="11" t="str">
        <f>VLOOKUP(VALUE(MID($C383,19,2)),codigos!$H$2:$I$62,2,1) &amp; " " &amp; VLOOKUP(VALUE(MID($C383,21,2)),codigos!$K$2:$L$12,2,FALSE)</f>
        <v>BLANCO  GRIS</v>
      </c>
      <c r="F383" s="11" t="s">
        <v>553</v>
      </c>
      <c r="G383" s="11" t="s">
        <v>16</v>
      </c>
      <c r="H383" s="52" t="s">
        <v>1605</v>
      </c>
      <c r="I383" s="20" t="s">
        <v>1604</v>
      </c>
      <c r="J383" s="11">
        <v>4</v>
      </c>
      <c r="K383" s="11">
        <v>0</v>
      </c>
      <c r="L383" s="11">
        <f t="shared" si="28"/>
        <v>4</v>
      </c>
      <c r="M383" s="133"/>
    </row>
    <row r="384" spans="1:13" x14ac:dyDescent="0.2">
      <c r="A384" s="11">
        <f t="shared" ca="1" si="27"/>
        <v>1</v>
      </c>
      <c r="C384" s="11" t="s">
        <v>973</v>
      </c>
      <c r="D384" s="11" t="str">
        <f>VLOOKUP(VALUE(MID($C384,13,2)), codigos!$A$2:$B$60, 2, 1) &amp; " " &amp; VLOOKUP(VALUE(MID($C384,15,4)), codigos!$E$2:$F$102, 2, FALSE)</f>
        <v>MULTIUSOS S/I</v>
      </c>
      <c r="E384" s="11" t="str">
        <f>VLOOKUP(VALUE(MID($C384,19,2)),codigos!$H$2:$I$62,2,1) &amp; " " &amp; VLOOKUP(VALUE(MID($C384,21,2)),codigos!$K$2:$L$12,2,FALSE)</f>
        <v>GRIS S/I</v>
      </c>
      <c r="F384" s="11" t="s">
        <v>553</v>
      </c>
      <c r="G384" s="11" t="s">
        <v>16</v>
      </c>
      <c r="H384" s="52" t="s">
        <v>1605</v>
      </c>
      <c r="I384" s="20" t="s">
        <v>1604</v>
      </c>
      <c r="J384" s="11">
        <v>1</v>
      </c>
      <c r="K384" s="11">
        <v>0</v>
      </c>
      <c r="L384" s="11">
        <f t="shared" si="28"/>
        <v>1</v>
      </c>
      <c r="M384" s="133"/>
    </row>
    <row r="385" spans="1:13" x14ac:dyDescent="0.2">
      <c r="A385" s="11">
        <f t="shared" ca="1" si="27"/>
        <v>1</v>
      </c>
      <c r="C385" s="11" t="s">
        <v>974</v>
      </c>
      <c r="D385" s="11" t="str">
        <f>VLOOKUP(VALUE(MID($C385,13,2)), codigos!$A$2:$B$60, 2, 1) &amp; " " &amp; VLOOKUP(VALUE(MID($C385,15,4)), codigos!$E$2:$F$102, 2, FALSE)</f>
        <v>TAZON 15.5</v>
      </c>
      <c r="E385" s="11" t="str">
        <f>VLOOKUP(VALUE(MID($C385,19,2)),codigos!$H$2:$I$62,2,1) &amp; " " &amp; VLOOKUP(VALUE(MID($C385,21,2)),codigos!$K$2:$L$12,2,FALSE)</f>
        <v>NEGRO MOTAS S/I</v>
      </c>
      <c r="F385" s="11" t="s">
        <v>553</v>
      </c>
      <c r="G385" s="11" t="s">
        <v>16</v>
      </c>
      <c r="H385" s="52" t="s">
        <v>1605</v>
      </c>
      <c r="I385" s="20" t="s">
        <v>1604</v>
      </c>
      <c r="J385" s="11">
        <v>3</v>
      </c>
      <c r="K385" s="11">
        <v>0</v>
      </c>
      <c r="L385" s="11">
        <f t="shared" si="28"/>
        <v>3</v>
      </c>
      <c r="M385" s="133"/>
    </row>
    <row r="386" spans="1:13" x14ac:dyDescent="0.2">
      <c r="A386" s="11">
        <f t="shared" ca="1" si="27"/>
        <v>1</v>
      </c>
      <c r="C386" s="11" t="s">
        <v>552</v>
      </c>
      <c r="D386" s="11" t="str">
        <f>VLOOKUP(VALUE(MID($C386,13,2)), codigos!$A$2:$B$60, 2, 1) &amp; " " &amp; VLOOKUP(VALUE(MID($C386,15,4)), codigos!$E$2:$F$102, 2, FALSE)</f>
        <v>TAZON 8</v>
      </c>
      <c r="E386" s="11" t="str">
        <f>VLOOKUP(VALUE(MID($C386,19,2)),codigos!$H$2:$I$62,2,1) &amp; " " &amp; VLOOKUP(VALUE(MID($C386,21,2)),codigos!$K$2:$L$12,2,FALSE)</f>
        <v>NEGRO MOTAS S/I</v>
      </c>
      <c r="F386" s="11" t="s">
        <v>553</v>
      </c>
      <c r="G386" s="11" t="s">
        <v>16</v>
      </c>
      <c r="H386" s="52" t="s">
        <v>1605</v>
      </c>
      <c r="I386" s="20" t="s">
        <v>1604</v>
      </c>
      <c r="J386" s="11">
        <v>4</v>
      </c>
      <c r="K386" s="11">
        <v>0</v>
      </c>
      <c r="L386" s="11">
        <f t="shared" si="28"/>
        <v>4</v>
      </c>
      <c r="M386" s="133"/>
    </row>
    <row r="387" spans="1:13" x14ac:dyDescent="0.2">
      <c r="A387" s="11">
        <f t="shared" ca="1" si="27"/>
        <v>1</v>
      </c>
      <c r="C387" s="11" t="s">
        <v>564</v>
      </c>
      <c r="D387" s="11" t="str">
        <f>VLOOKUP(VALUE(MID($C387,13,2)), codigos!$A$2:$B$60, 2, 1) &amp; " " &amp; VLOOKUP(VALUE(MID($C387,15,4)), codigos!$E$2:$F$102, 2, FALSE)</f>
        <v>POCILLO 5</v>
      </c>
      <c r="E387" s="11" t="str">
        <f>VLOOKUP(VALUE(MID($C387,19,2)),codigos!$H$2:$I$62,2,1) &amp; " " &amp; VLOOKUP(VALUE(MID($C387,21,2)),codigos!$K$2:$L$12,2,FALSE)</f>
        <v>NEGRO MOTAS S/I</v>
      </c>
      <c r="F387" s="11" t="s">
        <v>553</v>
      </c>
      <c r="G387" s="11" t="s">
        <v>16</v>
      </c>
      <c r="H387" s="52" t="s">
        <v>1605</v>
      </c>
      <c r="I387" s="20" t="s">
        <v>1604</v>
      </c>
      <c r="J387" s="11">
        <v>6</v>
      </c>
      <c r="K387" s="11">
        <v>0</v>
      </c>
      <c r="L387" s="11">
        <f t="shared" si="28"/>
        <v>6</v>
      </c>
      <c r="M387" s="133"/>
    </row>
    <row r="388" spans="1:13" x14ac:dyDescent="0.2">
      <c r="A388" s="11">
        <f t="shared" ca="1" si="27"/>
        <v>1</v>
      </c>
      <c r="C388" s="11" t="s">
        <v>968</v>
      </c>
      <c r="D388" s="11" t="str">
        <f>VLOOKUP(VALUE(MID($C388,13,2)), codigos!$A$2:$B$60, 2, 1) &amp; " " &amp; VLOOKUP(VALUE(MID($C388,15,4)), codigos!$E$2:$F$102, 2, FALSE)</f>
        <v>POCILLO 8</v>
      </c>
      <c r="E388" s="11" t="str">
        <f>VLOOKUP(VALUE(MID($C388,19,2)),codigos!$H$2:$I$62,2,1) &amp; " " &amp; VLOOKUP(VALUE(MID($C388,21,2)),codigos!$K$2:$L$12,2,FALSE)</f>
        <v>BLANCO  NEGRO</v>
      </c>
      <c r="F388" s="11" t="s">
        <v>553</v>
      </c>
      <c r="G388" s="11" t="s">
        <v>16</v>
      </c>
      <c r="H388" s="52" t="s">
        <v>1605</v>
      </c>
      <c r="I388" s="20" t="s">
        <v>1604</v>
      </c>
      <c r="J388" s="11">
        <v>5</v>
      </c>
      <c r="K388" s="11">
        <v>0</v>
      </c>
      <c r="L388" s="11">
        <f t="shared" si="28"/>
        <v>5</v>
      </c>
      <c r="M388" s="133"/>
    </row>
    <row r="389" spans="1:13" x14ac:dyDescent="0.2">
      <c r="A389" s="11">
        <f t="shared" ca="1" si="27"/>
        <v>1</v>
      </c>
      <c r="C389" s="11" t="s">
        <v>565</v>
      </c>
      <c r="D389" s="11" t="str">
        <f>VLOOKUP(VALUE(MID($C389,13,2)), codigos!$A$2:$B$60, 2, 1) &amp; " " &amp; VLOOKUP(VALUE(MID($C389,15,4)), codigos!$E$2:$F$102, 2, FALSE)</f>
        <v>POCILLO 8</v>
      </c>
      <c r="E389" s="11" t="str">
        <f>VLOOKUP(VALUE(MID($C389,19,2)),codigos!$H$2:$I$62,2,1) &amp; " " &amp; VLOOKUP(VALUE(MID($C389,21,2)),codigos!$K$2:$L$12,2,FALSE)</f>
        <v>NEGRO MOTAS S/I</v>
      </c>
      <c r="F389" s="11" t="s">
        <v>553</v>
      </c>
      <c r="G389" s="11" t="s">
        <v>16</v>
      </c>
      <c r="H389" s="52" t="s">
        <v>1605</v>
      </c>
      <c r="I389" s="20" t="s">
        <v>1604</v>
      </c>
      <c r="J389" s="11">
        <v>6</v>
      </c>
      <c r="K389" s="11">
        <v>0</v>
      </c>
      <c r="L389" s="11">
        <f t="shared" si="28"/>
        <v>6</v>
      </c>
      <c r="M389" s="133"/>
    </row>
    <row r="390" spans="1:13" x14ac:dyDescent="0.2">
      <c r="A390" s="11">
        <f t="shared" ca="1" si="27"/>
        <v>1</v>
      </c>
      <c r="C390" s="11" t="s">
        <v>963</v>
      </c>
      <c r="D390" s="11" t="str">
        <f>VLOOKUP(VALUE(MID($C390,13,2)), codigos!$A$2:$B$60, 2, 1) &amp; " " &amp; VLOOKUP(VALUE(MID($C390,15,4)), codigos!$E$2:$F$102, 2, FALSE)</f>
        <v>TORTILLERO  18</v>
      </c>
      <c r="E390" s="11" t="str">
        <f>VLOOKUP(VALUE(MID($C390,19,2)),codigos!$H$2:$I$62,2,1) &amp; " " &amp; VLOOKUP(VALUE(MID($C390,21,2)),codigos!$K$2:$L$12,2,FALSE)</f>
        <v>GRIS S/I</v>
      </c>
      <c r="F390" s="11" t="s">
        <v>553</v>
      </c>
      <c r="G390" s="11" t="s">
        <v>16</v>
      </c>
      <c r="H390" s="52" t="s">
        <v>1605</v>
      </c>
      <c r="I390" s="20" t="s">
        <v>1604</v>
      </c>
      <c r="J390" s="11">
        <v>2</v>
      </c>
      <c r="K390" s="11">
        <v>0</v>
      </c>
      <c r="L390" s="11">
        <f t="shared" si="28"/>
        <v>2</v>
      </c>
      <c r="M390" s="133"/>
    </row>
    <row r="391" spans="1:13" x14ac:dyDescent="0.2">
      <c r="A391" s="11">
        <f t="shared" ca="1" si="27"/>
        <v>1</v>
      </c>
      <c r="C391" s="11" t="s">
        <v>557</v>
      </c>
      <c r="D391" s="11" t="str">
        <f>VLOOKUP(VALUE(MID($C391,13,2)), codigos!$A$2:$B$60, 2, 1) &amp; " " &amp; VLOOKUP(VALUE(MID($C391,15,4)), codigos!$E$2:$F$102, 2, FALSE)</f>
        <v>TORTILLERO  18</v>
      </c>
      <c r="E391" s="11" t="str">
        <f>VLOOKUP(VALUE(MID($C391,19,2)),codigos!$H$2:$I$62,2,1) &amp; " " &amp; VLOOKUP(VALUE(MID($C391,21,2)),codigos!$K$2:$L$12,2,FALSE)</f>
        <v>NEGRO MOTAS S/I</v>
      </c>
      <c r="F391" s="11" t="s">
        <v>553</v>
      </c>
      <c r="G391" s="11" t="s">
        <v>16</v>
      </c>
      <c r="H391" s="52" t="s">
        <v>1605</v>
      </c>
      <c r="I391" s="20" t="s">
        <v>1604</v>
      </c>
      <c r="J391" s="11">
        <v>7</v>
      </c>
      <c r="K391" s="11">
        <v>0</v>
      </c>
      <c r="L391" s="11">
        <f t="shared" si="28"/>
        <v>7</v>
      </c>
      <c r="M391" s="133"/>
    </row>
    <row r="392" spans="1:13" x14ac:dyDescent="0.2">
      <c r="A392" s="11">
        <f t="shared" ca="1" si="27"/>
        <v>1</v>
      </c>
      <c r="C392" s="11" t="s">
        <v>555</v>
      </c>
      <c r="D392" s="11" t="str">
        <f>VLOOKUP(VALUE(MID($C392,13,2)), codigos!$A$2:$B$60, 2, 1) &amp; " " &amp; VLOOKUP(VALUE(MID($C392,15,4)), codigos!$E$2:$F$102, 2, FALSE)</f>
        <v>COMAL 28</v>
      </c>
      <c r="E392" s="11" t="str">
        <f>VLOOKUP(VALUE(MID($C392,19,2)),codigos!$H$2:$I$62,2,1) &amp; " " &amp; VLOOKUP(VALUE(MID($C392,21,2)),codigos!$K$2:$L$12,2,FALSE)</f>
        <v>NEGRO MOTAS S/I</v>
      </c>
      <c r="F392" s="11" t="s">
        <v>553</v>
      </c>
      <c r="G392" s="11" t="s">
        <v>16</v>
      </c>
      <c r="H392" s="52" t="s">
        <v>1605</v>
      </c>
      <c r="I392" s="20" t="s">
        <v>1604</v>
      </c>
      <c r="J392" s="11">
        <v>10</v>
      </c>
      <c r="K392" s="11">
        <v>0</v>
      </c>
      <c r="L392" s="11">
        <f t="shared" si="28"/>
        <v>10</v>
      </c>
      <c r="M392" s="133"/>
    </row>
    <row r="393" spans="1:13" x14ac:dyDescent="0.2">
      <c r="A393" s="11">
        <f t="shared" ca="1" si="27"/>
        <v>1</v>
      </c>
      <c r="C393" s="11" t="s">
        <v>566</v>
      </c>
      <c r="D393" s="11" t="str">
        <f>VLOOKUP(VALUE(MID($C393,13,2)), codigos!$A$2:$B$60, 2, 1) &amp; " " &amp; VLOOKUP(VALUE(MID($C393,15,4)), codigos!$E$2:$F$102, 2, FALSE)</f>
        <v>PLATO LISO 16</v>
      </c>
      <c r="E393" s="11" t="str">
        <f>VLOOKUP(VALUE(MID($C393,19,2)),codigos!$H$2:$I$62,2,1) &amp; " " &amp; VLOOKUP(VALUE(MID($C393,21,2)),codigos!$K$2:$L$12,2,FALSE)</f>
        <v>NEGRO MOTAS S/I</v>
      </c>
      <c r="F393" s="11" t="s">
        <v>553</v>
      </c>
      <c r="G393" s="11" t="s">
        <v>16</v>
      </c>
      <c r="H393" s="52" t="s">
        <v>1605</v>
      </c>
      <c r="I393" s="20" t="s">
        <v>1604</v>
      </c>
      <c r="J393" s="11">
        <v>4</v>
      </c>
      <c r="K393" s="11">
        <v>0</v>
      </c>
      <c r="L393" s="11">
        <f t="shared" si="28"/>
        <v>4</v>
      </c>
      <c r="M393" s="133"/>
    </row>
    <row r="394" spans="1:13" x14ac:dyDescent="0.2">
      <c r="A394" s="11">
        <f t="shared" ca="1" si="27"/>
        <v>1</v>
      </c>
      <c r="C394" s="11" t="s">
        <v>975</v>
      </c>
      <c r="D394" s="11" t="str">
        <f>VLOOKUP(VALUE(MID($C394,13,2)), codigos!$A$2:$B$60, 2, 1) &amp; " " &amp; VLOOKUP(VALUE(MID($C394,15,4)), codigos!$E$2:$F$102, 2, FALSE)</f>
        <v>PLATO LISO 16</v>
      </c>
      <c r="E394" s="11" t="str">
        <f>VLOOKUP(VALUE(MID($C394,19,2)),codigos!$H$2:$I$62,2,1) &amp; " " &amp; VLOOKUP(VALUE(MID($C394,21,2)),codigos!$K$2:$L$12,2,FALSE)</f>
        <v>BLANCO  NEGRO</v>
      </c>
      <c r="F394" s="11" t="s">
        <v>553</v>
      </c>
      <c r="G394" s="11" t="s">
        <v>16</v>
      </c>
      <c r="H394" s="52" t="s">
        <v>1605</v>
      </c>
      <c r="I394" s="20" t="s">
        <v>1604</v>
      </c>
      <c r="J394" s="11">
        <v>4</v>
      </c>
      <c r="K394" s="11">
        <v>0</v>
      </c>
      <c r="L394" s="11">
        <f t="shared" si="28"/>
        <v>4</v>
      </c>
      <c r="M394" s="130"/>
    </row>
    <row r="395" spans="1:13" ht="15" customHeight="1" x14ac:dyDescent="0.2">
      <c r="A395" s="11">
        <f t="shared" ca="1" si="27"/>
        <v>1</v>
      </c>
      <c r="C395" s="11" t="s">
        <v>555</v>
      </c>
      <c r="D395" s="11" t="str">
        <f>VLOOKUP(VALUE(MID($C395,13,2)), codigos!$A$2:$B$60, 2, 1) &amp; " " &amp; VLOOKUP(VALUE(MID($C395,15,4)), codigos!$E$2:$F$102, 2, FALSE)</f>
        <v>COMAL 28</v>
      </c>
      <c r="E395" s="11" t="str">
        <f>VLOOKUP(VALUE(MID($C395,19,2)),codigos!$H$2:$I$62,2,1) &amp; " " &amp; VLOOKUP(VALUE(MID($C395,21,2)),codigos!$K$2:$L$12,2,FALSE)</f>
        <v>NEGRO MOTAS S/I</v>
      </c>
      <c r="F395" s="11" t="s">
        <v>553</v>
      </c>
      <c r="G395" s="11" t="s">
        <v>16</v>
      </c>
      <c r="H395" s="52" t="s">
        <v>1606</v>
      </c>
      <c r="I395" s="20" t="s">
        <v>1604</v>
      </c>
      <c r="J395" s="11">
        <v>4</v>
      </c>
      <c r="K395" s="11">
        <v>0</v>
      </c>
      <c r="L395" s="11">
        <f t="shared" si="28"/>
        <v>4</v>
      </c>
      <c r="M395" s="132">
        <f>(SUM(K395:K396))/(SUM(J395:J396))</f>
        <v>0</v>
      </c>
    </row>
    <row r="396" spans="1:13" x14ac:dyDescent="0.2">
      <c r="A396" s="11">
        <f t="shared" ca="1" si="27"/>
        <v>1</v>
      </c>
      <c r="C396" s="11" t="s">
        <v>566</v>
      </c>
      <c r="D396" s="11" t="str">
        <f>VLOOKUP(VALUE(MID($C396,13,2)), codigos!$A$2:$B$60, 2, 1) &amp; " " &amp; VLOOKUP(VALUE(MID($C396,15,4)), codigos!$E$2:$F$102, 2, FALSE)</f>
        <v>PLATO LISO 16</v>
      </c>
      <c r="E396" s="11" t="str">
        <f>VLOOKUP(VALUE(MID($C396,19,2)),codigos!$H$2:$I$62,2,1) &amp; " " &amp; VLOOKUP(VALUE(MID($C396,21,2)),codigos!$K$2:$L$12,2,FALSE)</f>
        <v>NEGRO MOTAS S/I</v>
      </c>
      <c r="F396" s="11" t="s">
        <v>553</v>
      </c>
      <c r="G396" s="11" t="s">
        <v>16</v>
      </c>
      <c r="H396" s="52" t="s">
        <v>1606</v>
      </c>
      <c r="I396" s="20" t="s">
        <v>1604</v>
      </c>
      <c r="J396" s="11">
        <v>1</v>
      </c>
      <c r="K396" s="11">
        <v>0</v>
      </c>
      <c r="L396" s="11">
        <f t="shared" si="28"/>
        <v>1</v>
      </c>
      <c r="M396" s="130"/>
    </row>
    <row r="397" spans="1:13" ht="15" customHeight="1" x14ac:dyDescent="0.2">
      <c r="A397" s="11">
        <f t="shared" ca="1" si="27"/>
        <v>1</v>
      </c>
      <c r="C397" s="11" t="s">
        <v>169</v>
      </c>
      <c r="D397" s="11" t="str">
        <f>VLOOKUP(VALUE(MID($C397,13,2)), codigos!$A$2:$B$60, 2, 1) &amp; " " &amp; VLOOKUP(VALUE(MID($C397,15,4)), codigos!$E$2:$F$102, 2, FALSE)</f>
        <v>BUDINERA 30</v>
      </c>
      <c r="E397" s="11" t="str">
        <f>VLOOKUP(VALUE(MID($C397,19,2)),codigos!$H$2:$I$62,2,1) &amp; " " &amp; VLOOKUP(VALUE(MID($C397,21,2)),codigos!$K$2:$L$12,2,FALSE)</f>
        <v>A/T S/I</v>
      </c>
      <c r="F397" s="11" t="s">
        <v>507</v>
      </c>
      <c r="G397" s="11" t="s">
        <v>145</v>
      </c>
      <c r="H397" s="52" t="s">
        <v>453</v>
      </c>
      <c r="I397" s="20" t="s">
        <v>1604</v>
      </c>
      <c r="J397" s="11">
        <v>20</v>
      </c>
      <c r="K397" s="11">
        <v>0</v>
      </c>
      <c r="L397" s="11">
        <f t="shared" si="28"/>
        <v>20</v>
      </c>
      <c r="M397" s="131">
        <f>(SUM(K397:K403))/(SUM(J397:J403))</f>
        <v>0</v>
      </c>
    </row>
    <row r="398" spans="1:13" x14ac:dyDescent="0.2">
      <c r="A398" s="11">
        <f t="shared" ca="1" si="27"/>
        <v>1</v>
      </c>
      <c r="C398" s="11" t="s">
        <v>152</v>
      </c>
      <c r="D398" s="11" t="str">
        <f>VLOOKUP(VALUE(MID($C398,13,2)), codigos!$A$2:$B$60, 2, 1) &amp; " " &amp; VLOOKUP(VALUE(MID($C398,15,4)), codigos!$E$2:$F$102, 2, FALSE)</f>
        <v>OLLA CONVEXA 24</v>
      </c>
      <c r="E398" s="11" t="str">
        <f>VLOOKUP(VALUE(MID($C398,19,2)),codigos!$H$2:$I$62,2,1) &amp; " " &amp; VLOOKUP(VALUE(MID($C398,21,2)),codigos!$K$2:$L$12,2,FALSE)</f>
        <v>A/T S/I</v>
      </c>
      <c r="F398" s="11" t="s">
        <v>507</v>
      </c>
      <c r="G398" s="11" t="s">
        <v>145</v>
      </c>
      <c r="H398" s="52" t="s">
        <v>453</v>
      </c>
      <c r="I398" s="20" t="s">
        <v>1604</v>
      </c>
      <c r="J398" s="11">
        <v>18</v>
      </c>
      <c r="K398" s="11">
        <v>0</v>
      </c>
      <c r="L398" s="11">
        <f t="shared" si="28"/>
        <v>18</v>
      </c>
      <c r="M398" s="131"/>
    </row>
    <row r="399" spans="1:13" x14ac:dyDescent="0.2">
      <c r="A399" s="11">
        <f t="shared" ca="1" si="27"/>
        <v>1</v>
      </c>
      <c r="C399" s="11" t="s">
        <v>153</v>
      </c>
      <c r="D399" s="11" t="str">
        <f>VLOOKUP(VALUE(MID($C399,13,2)), codigos!$A$2:$B$60, 2, 1) &amp; " " &amp; VLOOKUP(VALUE(MID($C399,15,4)), codigos!$E$2:$F$102, 2, FALSE)</f>
        <v>OLLA CONVEXA 26</v>
      </c>
      <c r="E399" s="11" t="str">
        <f>VLOOKUP(VALUE(MID($C399,19,2)),codigos!$H$2:$I$62,2,1) &amp; " " &amp; VLOOKUP(VALUE(MID($C399,21,2)),codigos!$K$2:$L$12,2,FALSE)</f>
        <v>A/T S/I</v>
      </c>
      <c r="F399" s="11" t="s">
        <v>507</v>
      </c>
      <c r="G399" s="11" t="s">
        <v>145</v>
      </c>
      <c r="H399" s="52" t="s">
        <v>453</v>
      </c>
      <c r="I399" s="20" t="s">
        <v>1604</v>
      </c>
      <c r="J399" s="11">
        <v>24</v>
      </c>
      <c r="K399" s="11">
        <v>0</v>
      </c>
      <c r="L399" s="11">
        <f t="shared" si="28"/>
        <v>24</v>
      </c>
      <c r="M399" s="131"/>
    </row>
    <row r="400" spans="1:13" x14ac:dyDescent="0.2">
      <c r="A400" s="11">
        <f t="shared" ca="1" si="27"/>
        <v>1</v>
      </c>
      <c r="C400" s="11" t="s">
        <v>224</v>
      </c>
      <c r="D400" s="11" t="str">
        <f>VLOOKUP(VALUE(MID($C400,13,2)), codigos!$A$2:$B$60, 2, 1) &amp; " " &amp; VLOOKUP(VALUE(MID($C400,15,4)), codigos!$E$2:$F$102, 2, FALSE)</f>
        <v>OLLA RECTA 26</v>
      </c>
      <c r="E400" s="11" t="str">
        <f>VLOOKUP(VALUE(MID($C400,19,2)),codigos!$H$2:$I$62,2,1) &amp; " " &amp; VLOOKUP(VALUE(MID($C400,21,2)),codigos!$K$2:$L$12,2,FALSE)</f>
        <v>A/T S/I</v>
      </c>
      <c r="F400" s="11" t="s">
        <v>507</v>
      </c>
      <c r="G400" s="11" t="s">
        <v>145</v>
      </c>
      <c r="H400" s="52" t="s">
        <v>453</v>
      </c>
      <c r="I400" s="20" t="s">
        <v>1604</v>
      </c>
      <c r="J400" s="11">
        <v>18</v>
      </c>
      <c r="K400" s="11">
        <v>0</v>
      </c>
      <c r="L400" s="11">
        <f t="shared" si="28"/>
        <v>18</v>
      </c>
      <c r="M400" s="131"/>
    </row>
    <row r="401" spans="1:13" x14ac:dyDescent="0.2">
      <c r="A401" s="11">
        <f t="shared" ca="1" si="27"/>
        <v>1</v>
      </c>
      <c r="C401" s="11" t="s">
        <v>180</v>
      </c>
      <c r="D401" s="11" t="str">
        <f>VLOOKUP(VALUE(MID($C401,13,2)), codigos!$A$2:$B$60, 2, 1) &amp; " " &amp; VLOOKUP(VALUE(MID($C401,15,4)), codigos!$E$2:$F$102, 2, FALSE)</f>
        <v>POCILLO 12</v>
      </c>
      <c r="E401" s="11" t="str">
        <f>VLOOKUP(VALUE(MID($C401,19,2)),codigos!$H$2:$I$62,2,1) &amp; " " &amp; VLOOKUP(VALUE(MID($C401,21,2)),codigos!$K$2:$L$12,2,FALSE)</f>
        <v>A/T S/I</v>
      </c>
      <c r="F401" s="11" t="s">
        <v>507</v>
      </c>
      <c r="G401" s="11" t="s">
        <v>145</v>
      </c>
      <c r="H401" s="52" t="s">
        <v>453</v>
      </c>
      <c r="I401" s="20" t="s">
        <v>1604</v>
      </c>
      <c r="J401" s="11">
        <v>36</v>
      </c>
      <c r="K401" s="11">
        <v>0</v>
      </c>
      <c r="L401" s="11">
        <f t="shared" si="28"/>
        <v>36</v>
      </c>
      <c r="M401" s="131"/>
    </row>
    <row r="402" spans="1:13" x14ac:dyDescent="0.2">
      <c r="A402" s="11">
        <f t="shared" ca="1" si="27"/>
        <v>1</v>
      </c>
      <c r="C402" s="11" t="s">
        <v>125</v>
      </c>
      <c r="D402" s="11" t="str">
        <f>VLOOKUP(VALUE(MID($C402,13,2)), codigos!$A$2:$B$60, 2, 1) &amp; " " &amp; VLOOKUP(VALUE(MID($C402,15,4)), codigos!$E$2:$F$102, 2, FALSE)</f>
        <v>POCILLO 14</v>
      </c>
      <c r="E402" s="11" t="str">
        <f>VLOOKUP(VALUE(MID($C402,19,2)),codigos!$H$2:$I$62,2,1) &amp; " " &amp; VLOOKUP(VALUE(MID($C402,21,2)),codigos!$K$2:$L$12,2,FALSE)</f>
        <v>BICOLOR AZUL S/I</v>
      </c>
      <c r="F402" s="11" t="s">
        <v>507</v>
      </c>
      <c r="G402" s="11" t="s">
        <v>145</v>
      </c>
      <c r="H402" s="52" t="s">
        <v>453</v>
      </c>
      <c r="I402" s="20" t="s">
        <v>1604</v>
      </c>
      <c r="J402" s="11">
        <v>42</v>
      </c>
      <c r="K402" s="11">
        <v>0</v>
      </c>
      <c r="L402" s="11">
        <f t="shared" si="28"/>
        <v>42</v>
      </c>
      <c r="M402" s="131"/>
    </row>
    <row r="403" spans="1:13" x14ac:dyDescent="0.2">
      <c r="A403" s="11">
        <f t="shared" ca="1" si="27"/>
        <v>1</v>
      </c>
      <c r="C403" s="11" t="s">
        <v>129</v>
      </c>
      <c r="D403" s="11" t="str">
        <f>VLOOKUP(VALUE(MID($C403,13,2)), codigos!$A$2:$B$60, 2, 1) &amp; " " &amp; VLOOKUP(VALUE(MID($C403,15,4)), codigos!$E$2:$F$102, 2, FALSE)</f>
        <v>POCILLO 14</v>
      </c>
      <c r="E403" s="11" t="str">
        <f>VLOOKUP(VALUE(MID($C403,19,2)),codigos!$H$2:$I$62,2,1) &amp; " " &amp; VLOOKUP(VALUE(MID($C403,21,2)),codigos!$K$2:$L$12,2,FALSE)</f>
        <v>BICOLOR NARANJA S/I</v>
      </c>
      <c r="F403" s="11" t="s">
        <v>507</v>
      </c>
      <c r="G403" s="11" t="s">
        <v>145</v>
      </c>
      <c r="H403" s="52" t="s">
        <v>453</v>
      </c>
      <c r="I403" s="20" t="s">
        <v>1604</v>
      </c>
      <c r="J403" s="11">
        <v>42</v>
      </c>
      <c r="K403" s="11">
        <v>0</v>
      </c>
      <c r="L403" s="11">
        <f t="shared" si="28"/>
        <v>42</v>
      </c>
      <c r="M403" s="131"/>
    </row>
    <row r="404" spans="1:13" ht="15" customHeight="1" x14ac:dyDescent="0.2">
      <c r="A404" s="11">
        <f t="shared" ca="1" si="27"/>
        <v>1</v>
      </c>
      <c r="C404" s="11" t="s">
        <v>214</v>
      </c>
      <c r="D404" s="11" t="str">
        <f>VLOOKUP(VALUE(MID($C404,13,2)), codigos!$A$2:$B$60, 2, 1) &amp; " " &amp; VLOOKUP(VALUE(MID($C404,15,4)), codigos!$E$2:$F$102, 2, FALSE)</f>
        <v>BUDINERA 18</v>
      </c>
      <c r="E404" s="11" t="str">
        <f>VLOOKUP(VALUE(MID($C404,19,2)),codigos!$H$2:$I$62,2,1) &amp; " " &amp; VLOOKUP(VALUE(MID($C404,21,2)),codigos!$K$2:$L$12,2,FALSE)</f>
        <v>A/T S/I</v>
      </c>
      <c r="F404" s="11" t="s">
        <v>507</v>
      </c>
      <c r="G404" s="11" t="s">
        <v>145</v>
      </c>
      <c r="H404" s="52" t="s">
        <v>465</v>
      </c>
      <c r="I404" s="20" t="s">
        <v>1604</v>
      </c>
      <c r="J404" s="11">
        <v>36</v>
      </c>
      <c r="K404" s="11">
        <f>36</f>
        <v>36</v>
      </c>
      <c r="L404" s="11">
        <f t="shared" si="28"/>
        <v>0</v>
      </c>
      <c r="M404" s="131">
        <f>(SUM(K404:K411))/(SUM(J404:J411))</f>
        <v>0.18877551020408162</v>
      </c>
    </row>
    <row r="405" spans="1:13" x14ac:dyDescent="0.2">
      <c r="A405" s="11">
        <f t="shared" ca="1" si="27"/>
        <v>1</v>
      </c>
      <c r="C405" s="11" t="s">
        <v>215</v>
      </c>
      <c r="D405" s="11" t="str">
        <f>VLOOKUP(VALUE(MID($C405,13,2)), codigos!$A$2:$B$60, 2, 1) &amp; " " &amp; VLOOKUP(VALUE(MID($C405,15,4)), codigos!$E$2:$F$102, 2, FALSE)</f>
        <v>BUDINERA 20</v>
      </c>
      <c r="E405" s="11" t="str">
        <f>VLOOKUP(VALUE(MID($C405,19,2)),codigos!$H$2:$I$62,2,1) &amp; " " &amp; VLOOKUP(VALUE(MID($C405,21,2)),codigos!$K$2:$L$12,2,FALSE)</f>
        <v>A/T S/I</v>
      </c>
      <c r="F405" s="11" t="s">
        <v>507</v>
      </c>
      <c r="G405" s="11" t="s">
        <v>145</v>
      </c>
      <c r="H405" s="52" t="s">
        <v>465</v>
      </c>
      <c r="I405" s="20" t="s">
        <v>1604</v>
      </c>
      <c r="J405" s="11">
        <v>36</v>
      </c>
      <c r="K405" s="11">
        <v>0</v>
      </c>
      <c r="L405" s="11">
        <f t="shared" si="28"/>
        <v>36</v>
      </c>
      <c r="M405" s="131"/>
    </row>
    <row r="406" spans="1:13" x14ac:dyDescent="0.2">
      <c r="A406" s="11">
        <f t="shared" ca="1" si="27"/>
        <v>1</v>
      </c>
      <c r="C406" s="11" t="s">
        <v>148</v>
      </c>
      <c r="D406" s="11" t="str">
        <f>VLOOKUP(VALUE(MID($C406,13,2)), codigos!$A$2:$B$60, 2, 1) &amp; " " &amp; VLOOKUP(VALUE(MID($C406,15,4)), codigos!$E$2:$F$102, 2, FALSE)</f>
        <v>BUDINERA 26</v>
      </c>
      <c r="E406" s="11" t="str">
        <f>VLOOKUP(VALUE(MID($C406,19,2)),codigos!$H$2:$I$62,2,1) &amp; " " &amp; VLOOKUP(VALUE(MID($C406,21,2)),codigos!$K$2:$L$12,2,FALSE)</f>
        <v>A/T S/I</v>
      </c>
      <c r="F406" s="11" t="s">
        <v>507</v>
      </c>
      <c r="G406" s="11" t="s">
        <v>145</v>
      </c>
      <c r="H406" s="52" t="s">
        <v>465</v>
      </c>
      <c r="I406" s="20" t="s">
        <v>1604</v>
      </c>
      <c r="J406" s="11">
        <v>24</v>
      </c>
      <c r="K406" s="11">
        <v>0</v>
      </c>
      <c r="L406" s="11">
        <f t="shared" si="28"/>
        <v>24</v>
      </c>
      <c r="M406" s="131"/>
    </row>
    <row r="407" spans="1:13" x14ac:dyDescent="0.2">
      <c r="A407" s="11">
        <f t="shared" ca="1" si="27"/>
        <v>1</v>
      </c>
      <c r="C407" s="11" t="s">
        <v>169</v>
      </c>
      <c r="D407" s="11" t="str">
        <f>VLOOKUP(VALUE(MID($C407,13,2)), codigos!$A$2:$B$60, 2, 1) &amp; " " &amp; VLOOKUP(VALUE(MID($C407,15,4)), codigos!$E$2:$F$102, 2, FALSE)</f>
        <v>BUDINERA 30</v>
      </c>
      <c r="E407" s="11" t="str">
        <f>VLOOKUP(VALUE(MID($C407,19,2)),codigos!$H$2:$I$62,2,1) &amp; " " &amp; VLOOKUP(VALUE(MID($C407,21,2)),codigos!$K$2:$L$12,2,FALSE)</f>
        <v>A/T S/I</v>
      </c>
      <c r="F407" s="11" t="s">
        <v>507</v>
      </c>
      <c r="G407" s="11" t="s">
        <v>145</v>
      </c>
      <c r="H407" s="52" t="s">
        <v>465</v>
      </c>
      <c r="I407" s="20" t="s">
        <v>1604</v>
      </c>
      <c r="J407" s="11">
        <v>28</v>
      </c>
      <c r="K407" s="11">
        <v>0</v>
      </c>
      <c r="L407" s="11">
        <f t="shared" si="28"/>
        <v>28</v>
      </c>
      <c r="M407" s="131"/>
    </row>
    <row r="408" spans="1:13" x14ac:dyDescent="0.2">
      <c r="A408" s="11">
        <f t="shared" ca="1" si="27"/>
        <v>1</v>
      </c>
      <c r="C408" s="11" t="s">
        <v>237</v>
      </c>
      <c r="D408" s="11" t="str">
        <f>VLOOKUP(VALUE(MID($C408,13,2)), codigos!$A$2:$B$60, 2, 1) &amp; " " &amp; VLOOKUP(VALUE(MID($C408,15,4)), codigos!$E$2:$F$102, 2, FALSE)</f>
        <v>OLLA RECTA 24</v>
      </c>
      <c r="E408" s="11" t="str">
        <f>VLOOKUP(VALUE(MID($C408,19,2)),codigos!$H$2:$I$62,2,1) &amp; " " &amp; VLOOKUP(VALUE(MID($C408,21,2)),codigos!$K$2:$L$12,2,FALSE)</f>
        <v>A/T S/I</v>
      </c>
      <c r="F408" s="11" t="s">
        <v>507</v>
      </c>
      <c r="G408" s="11" t="s">
        <v>145</v>
      </c>
      <c r="H408" s="52" t="s">
        <v>465</v>
      </c>
      <c r="I408" s="20" t="s">
        <v>1604</v>
      </c>
      <c r="J408" s="11">
        <v>30</v>
      </c>
      <c r="K408" s="11">
        <f>1</f>
        <v>1</v>
      </c>
      <c r="L408" s="11">
        <f t="shared" si="28"/>
        <v>29</v>
      </c>
      <c r="M408" s="131"/>
    </row>
    <row r="409" spans="1:13" x14ac:dyDescent="0.2">
      <c r="A409" s="11">
        <f ca="1">DAYS360(I409,$B$1)</f>
        <v>1</v>
      </c>
      <c r="C409" s="11" t="s">
        <v>224</v>
      </c>
      <c r="D409" s="11" t="str">
        <f>VLOOKUP(VALUE(MID($C409,13,2)), codigos!$A$2:$B$60, 2, 1) &amp; " " &amp; VLOOKUP(VALUE(MID($C409,15,4)), codigos!$E$2:$F$102, 2, FALSE)</f>
        <v>OLLA RECTA 26</v>
      </c>
      <c r="E409" s="11" t="str">
        <f>VLOOKUP(VALUE(MID($C409,19,2)),codigos!$H$2:$I$62,2,1) &amp; " " &amp; VLOOKUP(VALUE(MID($C409,21,2)),codigos!$K$2:$L$12,2,FALSE)</f>
        <v>A/T S/I</v>
      </c>
      <c r="F409" s="11" t="s">
        <v>507</v>
      </c>
      <c r="G409" s="11" t="s">
        <v>145</v>
      </c>
      <c r="H409" s="52" t="s">
        <v>465</v>
      </c>
      <c r="I409" s="20" t="s">
        <v>1604</v>
      </c>
      <c r="J409" s="11">
        <v>30</v>
      </c>
      <c r="K409" s="11">
        <v>0</v>
      </c>
      <c r="L409" s="11">
        <f t="shared" si="28"/>
        <v>30</v>
      </c>
      <c r="M409" s="131"/>
    </row>
    <row r="410" spans="1:13" x14ac:dyDescent="0.2">
      <c r="A410" s="11">
        <f ca="1">DAYS360(I410,$B$1)</f>
        <v>1</v>
      </c>
      <c r="C410" s="11" t="s">
        <v>336</v>
      </c>
      <c r="D410" s="11" t="str">
        <f>VLOOKUP(VALUE(MID($C410,13,2)), codigos!$A$2:$B$60, 2, 1) &amp; " " &amp; VLOOKUP(VALUE(MID($C410,15,4)), codigos!$E$2:$F$102, 2, FALSE)</f>
        <v>OLLA RECTA 28</v>
      </c>
      <c r="E410" s="11" t="str">
        <f>VLOOKUP(VALUE(MID($C410,19,2)),codigos!$H$2:$I$62,2,1) &amp; " " &amp; VLOOKUP(VALUE(MID($C410,21,2)),codigos!$K$2:$L$12,2,FALSE)</f>
        <v>A/T S/I</v>
      </c>
      <c r="F410" s="11" t="s">
        <v>507</v>
      </c>
      <c r="G410" s="11" t="s">
        <v>145</v>
      </c>
      <c r="H410" s="52" t="s">
        <v>465</v>
      </c>
      <c r="I410" s="20" t="s">
        <v>1604</v>
      </c>
      <c r="J410" s="11">
        <v>6</v>
      </c>
      <c r="K410" s="11">
        <v>0</v>
      </c>
      <c r="L410" s="11">
        <f t="shared" si="28"/>
        <v>6</v>
      </c>
      <c r="M410" s="131"/>
    </row>
    <row r="411" spans="1:13" x14ac:dyDescent="0.2">
      <c r="A411" s="11">
        <f ca="1">DAYS360(I411,$B$1)</f>
        <v>1</v>
      </c>
      <c r="C411" s="11" t="s">
        <v>155</v>
      </c>
      <c r="D411" s="11" t="str">
        <f>VLOOKUP(VALUE(MID($C411,13,2)), codigos!$A$2:$B$60, 2, 1) &amp; " " &amp; VLOOKUP(VALUE(MID($C411,15,4)), codigos!$E$2:$F$102, 2, FALSE)</f>
        <v>OLLA RECTA 30</v>
      </c>
      <c r="E411" s="11" t="str">
        <f>VLOOKUP(VALUE(MID($C411,19,2)),codigos!$H$2:$I$62,2,1) &amp; " " &amp; VLOOKUP(VALUE(MID($C411,21,2)),codigos!$K$2:$L$12,2,FALSE)</f>
        <v>A/T S/I</v>
      </c>
      <c r="F411" s="11" t="s">
        <v>507</v>
      </c>
      <c r="G411" s="11" t="s">
        <v>145</v>
      </c>
      <c r="H411" s="52" t="s">
        <v>465</v>
      </c>
      <c r="I411" s="20" t="s">
        <v>1604</v>
      </c>
      <c r="J411" s="11">
        <v>6</v>
      </c>
      <c r="K411" s="11">
        <v>0</v>
      </c>
      <c r="L411" s="11">
        <f t="shared" si="28"/>
        <v>6</v>
      </c>
      <c r="M411" s="131"/>
    </row>
  </sheetData>
  <sheetProtection algorithmName="SHA-512" hashValue="DAog6lQNqA0nK/v7wmwjfNAzWraUKDX2m5WiPqCMm9wjIj83yf2RwOw7ndj/wGyl5TPivKBskfBi1XdOaWkusQ==" saltValue="+X+EHW66SghFVyL4Rn6OjA==" spinCount="100000" sheet="1" formatRows="0" autoFilter="0"/>
  <autoFilter ref="A1:V411" xr:uid="{00000000-0009-0000-0000-000002000000}"/>
  <mergeCells count="35">
    <mergeCell ref="M397:M403"/>
    <mergeCell ref="M404:M411"/>
    <mergeCell ref="M361:M375"/>
    <mergeCell ref="M65:M66"/>
    <mergeCell ref="M76:M112"/>
    <mergeCell ref="M124:M163"/>
    <mergeCell ref="M120:M123"/>
    <mergeCell ref="M68:M73"/>
    <mergeCell ref="M167:M180"/>
    <mergeCell ref="M115:M119"/>
    <mergeCell ref="M165:M166"/>
    <mergeCell ref="M190:M192"/>
    <mergeCell ref="M212:M229"/>
    <mergeCell ref="M196:M211"/>
    <mergeCell ref="M376:M394"/>
    <mergeCell ref="M395:M396"/>
    <mergeCell ref="M2:M5"/>
    <mergeCell ref="M6:M24"/>
    <mergeCell ref="M25:M29"/>
    <mergeCell ref="M45:M55"/>
    <mergeCell ref="M42:M43"/>
    <mergeCell ref="M30:M34"/>
    <mergeCell ref="M35:M41"/>
    <mergeCell ref="M56:M64"/>
    <mergeCell ref="M74:M75"/>
    <mergeCell ref="M181:M183"/>
    <mergeCell ref="M356:M360"/>
    <mergeCell ref="M230:M232"/>
    <mergeCell ref="M233:M239"/>
    <mergeCell ref="M248:M252"/>
    <mergeCell ref="M253:M258"/>
    <mergeCell ref="M349:M350"/>
    <mergeCell ref="M240:M247"/>
    <mergeCell ref="M187:M189"/>
    <mergeCell ref="M351:M355"/>
  </mergeCells>
  <phoneticPr fontId="7" type="noConversion"/>
  <conditionalFormatting sqref="C3 F3:G3 I3:L3 D3:E4 H3:H4 H8 C46:F46 I46:L46 F91:F95 C91:C101 I91:K101 D91:E108 H92 H99:H112 D162:E163 I169:I171 H184:I184 D193:E201 H193:H201 D327:E330">
    <cfRule type="expression" dxfId="1792" priority="84712">
      <formula>$L3:$L24&lt;=0</formula>
    </cfRule>
  </conditionalFormatting>
  <conditionalFormatting sqref="C4 F4 I4:K4 L4:L5 D5:E9 H9 C47 F47 I47:K47 I47:I48 L47:L48 D47:E53 H53:H67 G68:G73 H93:H95 D164:E165 I172 C193:C202 F193:F202 I193:I202 D349:E411">
    <cfRule type="expression" dxfId="1791" priority="170">
      <formula>$L4:$L24&lt;=0</formula>
    </cfRule>
  </conditionalFormatting>
  <conditionalFormatting sqref="C7:C9 F7:F9 J7:K9 H13 I17 G50 L50 H56:H66 I96 H102:H111 C119 F119 I119:K119 C149:C156 F149:F156 I149:K156 I149:I159 L149:L159 H166 L172:L173 D173:E175 I175:I183 L194:L205 D212:E215 C212:C216 F212:F216 I212:I216 H212:H217 L212:L219 J222:K222 D343:E344">
    <cfRule type="expression" dxfId="1790" priority="85001">
      <formula>$L7:$L24&lt;=0</formula>
    </cfRule>
  </conditionalFormatting>
  <conditionalFormatting sqref="C12 F12 J12:L12 I22 I55 L55 C68:C73 I68:K73 I113 L177 H177:H178 C182 F182 H182:K182 I184 C217:C218 F217:F218 I217:I218 D218:E227 H218:H227 L337:L348">
    <cfRule type="expression" dxfId="1789" priority="83388">
      <formula>$L12:$L24&lt;=0</formula>
    </cfRule>
  </conditionalFormatting>
  <conditionalFormatting sqref="C13 F13 J13:K13 L13:L14 H18:H23 I23 C56 F56 I56:L56 C102 I102:K102 L178 H179:H181 C183 F183 H183:K183 J185:K189 H218:H219 C219:C228 F219:F228 I219:I228 D228:E228 H228 H338:H348">
    <cfRule type="expression" dxfId="1788" priority="87744">
      <formula>$L13:$L24&lt;=0</formula>
    </cfRule>
  </conditionalFormatting>
  <conditionalFormatting sqref="C14:C15 F14:F15 H14:H15 J14:K15 H24:I24 J31 C57 F57 I57:L57 C103:C105 I103:K105 H154:H156 L179:L180 H182 J184:K184 D185:E187 L185:L189 D202:E211 H202:H211 H220:H229 C229:F229 I229">
    <cfRule type="expression" dxfId="1787" priority="82656">
      <formula>$L14:$L24&lt;=0</formula>
    </cfRule>
  </conditionalFormatting>
  <conditionalFormatting sqref="C24 F24 J24:L24 B34:C34 F34:L34 G41:H41 J43:K43 C67 F67 I67:K67 G119:G189 H166 L166 H189 I190:I192 G193:G355 H211 H229 H239">
    <cfRule type="expression" dxfId="1786" priority="90546">
      <formula>$L24:$L24&lt;=0</formula>
    </cfRule>
  </conditionalFormatting>
  <conditionalFormatting sqref="C44 F44 I44:K44 L44:L45 H44:H47 G44:G49 F89 H185:I186">
    <cfRule type="expression" dxfId="1785" priority="775">
      <formula>$L44:$L67&lt;=0</formula>
    </cfRule>
  </conditionalFormatting>
  <conditionalFormatting sqref="C79 I79:K79 L86:L95 I316:I327">
    <cfRule type="expression" dxfId="1784" priority="84165">
      <formula>$L79:$L112&lt;=0</formula>
    </cfRule>
  </conditionalFormatting>
  <conditionalFormatting sqref="C113 I113:K113 H319:H320 J349:K350 C349:C355 F349:F355 H349:H411 K351:K411">
    <cfRule type="expression" dxfId="1783" priority="198">
      <formula>$L113:$L154&lt;=0</formula>
    </cfRule>
  </conditionalFormatting>
  <conditionalFormatting sqref="C114 F114 I114:K114">
    <cfRule type="expression" dxfId="1782" priority="84789">
      <formula>$L114:$L134&lt;=0</formula>
    </cfRule>
  </conditionalFormatting>
  <conditionalFormatting sqref="C120:C122 F120:F122 I120:K122 H349:H411">
    <cfRule type="expression" dxfId="1781" priority="97046">
      <formula>$L120:$L164&lt;=0</formula>
    </cfRule>
  </conditionalFormatting>
  <conditionalFormatting sqref="C123 F123 I123:K123">
    <cfRule type="expression" dxfId="1780" priority="100110">
      <formula>$L123:$L146&lt;=0</formula>
    </cfRule>
  </conditionalFormatting>
  <conditionalFormatting sqref="C127:C135 F127:F135 I127:K135 C310:C321 F310:F321 H310:K321">
    <cfRule type="expression" dxfId="1779" priority="100449">
      <formula>$L127:$L166&lt;=0</formula>
    </cfRule>
  </conditionalFormatting>
  <conditionalFormatting sqref="C136:C138 F136:F138 I136:L138">
    <cfRule type="expression" dxfId="1778" priority="84404">
      <formula>$L136:$L164&lt;=0</formula>
    </cfRule>
  </conditionalFormatting>
  <conditionalFormatting sqref="C360:C411 I360:I411">
    <cfRule type="expression" dxfId="1777" priority="87739">
      <formula>$L360:$L415&lt;=0</formula>
    </cfRule>
  </conditionalFormatting>
  <conditionalFormatting sqref="C25:F25 H25:L25 D30:E34 I352:I355">
    <cfRule type="expression" dxfId="1776" priority="105178">
      <formula>$L25:$L34&lt;=0</formula>
    </cfRule>
  </conditionalFormatting>
  <conditionalFormatting sqref="C2:L2 H7 D44:E45 C45 F45 I45:K45 I45:I46 H68:H73 D74:E90 F90 L97:L112 D113:E161 I167:I168 D240:E326">
    <cfRule type="expression" dxfId="1775" priority="84638">
      <formula>$L2:$L24&lt;=0</formula>
    </cfRule>
  </conditionalFormatting>
  <conditionalFormatting sqref="D16:E24 H49:H55 I68:I73 L167:L171 D171:E172 H174:H176 L193 D331:E342 I349:I355">
    <cfRule type="expression" dxfId="1774" priority="105177">
      <formula>$L16:$L34&lt;=0</formula>
    </cfRule>
  </conditionalFormatting>
  <conditionalFormatting sqref="G4">
    <cfRule type="expression" dxfId="1773" priority="99612">
      <formula>$L2:$L24&lt;=0</formula>
    </cfRule>
  </conditionalFormatting>
  <conditionalFormatting sqref="G5">
    <cfRule type="expression" dxfId="1772" priority="102207">
      <formula>$L3:$L24&lt;=0</formula>
    </cfRule>
  </conditionalFormatting>
  <conditionalFormatting sqref="G6:G7">
    <cfRule type="expression" dxfId="1771" priority="103744">
      <formula>$L4:$L24&lt;=0</formula>
    </cfRule>
  </conditionalFormatting>
  <conditionalFormatting sqref="G8">
    <cfRule type="expression" dxfId="1770" priority="104410">
      <formula>$L6:$L24&lt;=0</formula>
    </cfRule>
  </conditionalFormatting>
  <conditionalFormatting sqref="G9">
    <cfRule type="expression" dxfId="1769" priority="99613">
      <formula>$L2:$L24&lt;=0</formula>
    </cfRule>
  </conditionalFormatting>
  <conditionalFormatting sqref="G10">
    <cfRule type="expression" dxfId="1768" priority="99614">
      <formula>$L3:$L24&lt;=0</formula>
    </cfRule>
  </conditionalFormatting>
  <conditionalFormatting sqref="G11">
    <cfRule type="expression" dxfId="1767" priority="99615">
      <formula>$L2:$L24&lt;=0</formula>
    </cfRule>
  </conditionalFormatting>
  <conditionalFormatting sqref="G12">
    <cfRule type="expression" dxfId="1766" priority="102209">
      <formula>$L3:$L24&lt;=0</formula>
    </cfRule>
  </conditionalFormatting>
  <conditionalFormatting sqref="G13:G14">
    <cfRule type="expression" dxfId="1765" priority="103746">
      <formula>$L4:$L24&lt;=0</formula>
    </cfRule>
  </conditionalFormatting>
  <conditionalFormatting sqref="G15:G17">
    <cfRule type="expression" dxfId="1764" priority="104413">
      <formula>$L6:$L24&lt;=0</formula>
    </cfRule>
  </conditionalFormatting>
  <conditionalFormatting sqref="G19">
    <cfRule type="expression" dxfId="1763" priority="99618">
      <formula>$L10:$L24&lt;=0</formula>
    </cfRule>
  </conditionalFormatting>
  <conditionalFormatting sqref="G20">
    <cfRule type="expression" dxfId="1762" priority="102217">
      <formula>$L11:$L24&lt;=0</formula>
    </cfRule>
  </conditionalFormatting>
  <conditionalFormatting sqref="G21:G22">
    <cfRule type="expression" dxfId="1761" priority="103753">
      <formula>$L12:$L24&lt;=0</formula>
    </cfRule>
  </conditionalFormatting>
  <conditionalFormatting sqref="G23:G24">
    <cfRule type="expression" dxfId="1760" priority="104420">
      <formula>$L14:$L24&lt;=0</formula>
    </cfRule>
  </conditionalFormatting>
  <conditionalFormatting sqref="G25 B30:C30 F30:L30 H37 G37:G38 C38:C39 F38:F39 I38:L39 C63 F63 I63:L63 F108:F112 D109:E112 I115 H180:H181 H184 C188 F188 I188 C190 G190 J190:L190 H190:H192 F191:F192 G207:G211 G225:G229 G235 H344:H347">
    <cfRule type="expression" dxfId="1759" priority="90535">
      <formula>$L25:$L29&lt;=0</formula>
    </cfRule>
  </conditionalFormatting>
  <conditionalFormatting sqref="G74:G82 C124:C126 F124:F126 I124:K126 L153:L154 H321:H348 F356:F411">
    <cfRule type="expression" dxfId="1758" priority="89556">
      <formula>$L74:$L114&lt;=0</formula>
    </cfRule>
  </conditionalFormatting>
  <conditionalFormatting sqref="G113 H152:H162">
    <cfRule type="expression" dxfId="1757" priority="85121">
      <formula>$L113:$L127&lt;=0</formula>
    </cfRule>
  </conditionalFormatting>
  <conditionalFormatting sqref="G118">
    <cfRule type="expression" dxfId="1756" priority="89304">
      <formula>$L118:$L156&lt;=0</formula>
    </cfRule>
  </conditionalFormatting>
  <conditionalFormatting sqref="G359">
    <cfRule type="expression" dxfId="1755" priority="12">
      <formula>$L359:$L421&lt;=0</formula>
    </cfRule>
  </conditionalFormatting>
  <conditionalFormatting sqref="G18:H18 L18 C19:C23 F19:F23 J19:K23 H28:I28 L28 C35 F35:L35 I61 H114:H158 I119 C160 F160 H160:K160 I160:I164 L160:L164 H167:H177 D178:E179 H184:H186 H188:H189 L206:L211 H233:H237">
    <cfRule type="expression" dxfId="1754" priority="84171">
      <formula>$L18:$L24&lt;=0</formula>
    </cfRule>
  </conditionalFormatting>
  <conditionalFormatting sqref="H2 I7:I16 I85:I95 C139:C145 F139:F145 I139:L145 H184 J193:K195">
    <cfRule type="expression" dxfId="1753" priority="84483">
      <formula>$L2:$L29&lt;=0</formula>
    </cfRule>
  </conditionalFormatting>
  <conditionalFormatting sqref="H3 I17:I19 I114 C185:C186 F185:F186">
    <cfRule type="expression" dxfId="1752" priority="84566">
      <formula>$L3:$L29&lt;=0</formula>
    </cfRule>
  </conditionalFormatting>
  <conditionalFormatting sqref="H4 H42:H43 F113 C167:C176 F167:F176 H167:K176 C184 F184">
    <cfRule type="expression" dxfId="1751" priority="89693">
      <formula>$L4:$L29&lt;=0</formula>
    </cfRule>
  </conditionalFormatting>
  <conditionalFormatting sqref="H5:H6 H43">
    <cfRule type="expression" dxfId="1750" priority="371">
      <formula>$L5:$L29&lt;=0</formula>
    </cfRule>
  </conditionalFormatting>
  <conditionalFormatting sqref="H8 L9:L10 I18 L18 D42:E43 C51 F51 I51:K51 L51:L52 G51:G57 F96 I97:I99 G98:G103 H113 H119:H148 H167 D176:E176 H177:H178 J196:K211 J223:K229 L240:L332 D345:E348">
    <cfRule type="expression" dxfId="1749" priority="85312">
      <formula>$L8:$L24&lt;=0</formula>
    </cfRule>
  </conditionalFormatting>
  <conditionalFormatting sqref="H9:H10 C10:C11 F10:F11 J10:K11 H14 I19 L19 C52 F52 I52:K52 I52:I53 G58:G67 F97:F107 G104:G112 H149:H151 C165:C166 F165:F166 H165:K166 H168:H169 L174 C177:C179 F177:F179 H177:K179 H240:H333 L333:L336">
    <cfRule type="expression" dxfId="1748" priority="101136">
      <formula>$L9:$L24&lt;=0</formula>
    </cfRule>
  </conditionalFormatting>
  <conditionalFormatting sqref="H10:H12 D10:E15 C48 F48 H48:K48 D54:E59 G94 C115 F115 I115:K115 D166:E170 I173:I174 H193:H203">
    <cfRule type="expression" dxfId="1747" priority="84174">
      <formula>$L10:$L29&lt;=0</formula>
    </cfRule>
  </conditionalFormatting>
  <conditionalFormatting sqref="H11:H13 I21:I24 L21:L24 L54 C54:C55 F54:F55 I54:K55 I106:I112 H172:H176 L176 C180:C181 F180:F181 H180:K181 H182:H183 D216:E217 H216:H217 H349:H411">
    <cfRule type="expression" dxfId="1746" priority="273">
      <formula>$L11:$L24&lt;=0</formula>
    </cfRule>
  </conditionalFormatting>
  <conditionalFormatting sqref="H15:H17 I20 L20 D35:E41 C53 F53 I53:L53 I100:I105 H170:H171 L175 H180:H181 I185:I186 H334:H337 L349:L411">
    <cfRule type="expression" dxfId="1745" priority="76">
      <formula>$L15:$L29&lt;=0</formula>
    </cfRule>
  </conditionalFormatting>
  <conditionalFormatting sqref="H16 C16:C18 F16:F18 J16:K18 C26 F26 H26:L26 D26:E29 H26:H29 J33 H35 I59 L59 D60:E64 C106:C111 I106:K111 H158:H164 L181:L184 D184:E184 H193:H221 L222:L229 H230:H231">
    <cfRule type="expression" dxfId="1744" priority="87881">
      <formula>$L16:$L24&lt;=0</formula>
    </cfRule>
  </conditionalFormatting>
  <conditionalFormatting sqref="H17 H27:I27 L27:L29 H36:H41 I60 L60 D68:E73 C112 I112:K112 C157:C159 F157:F159 H157:K159 D177:E177 H187 D190:E192 H204:H211 H222:H229 H232">
    <cfRule type="expression" dxfId="1743" priority="84016">
      <formula>$L17:$L24&lt;=0</formula>
    </cfRule>
  </conditionalFormatting>
  <conditionalFormatting sqref="H19 L19:L20">
    <cfRule type="expression" dxfId="1742" priority="64">
      <formula>$L19:$L24&lt;=0</formula>
    </cfRule>
  </conditionalFormatting>
  <conditionalFormatting sqref="H20 G114:G115 H162:H164">
    <cfRule type="expression" dxfId="1741" priority="352">
      <formula>$L20:$L24&lt;=0</formula>
    </cfRule>
  </conditionalFormatting>
  <conditionalFormatting sqref="H21 L21:L22 G26 B31:C31 F31:L31 H38 G39 C40 F40:F41 I40:L41 C64 F64 I64:L64 C116 F116 I116:K116 G116:G117 H163:H164 H182:H183 H186 C189 F189:H189 I189:I191 C191:C192 G191:G192 J191:L192 G236:G237 H237 D237:E239">
    <cfRule type="expression" dxfId="1740" priority="89974">
      <formula>$L21:$L24&lt;=0</formula>
    </cfRule>
  </conditionalFormatting>
  <conditionalFormatting sqref="H22 G27 C27:C28 F27:F28 I27:K28 B32:C32 F32:L32 H39 J42:K42 C65 F65 I65:K65 D65:E67 L65:L67 C117 F117 I117:K117 I165:I166 H187 I192">
    <cfRule type="expression" dxfId="1739" priority="89292">
      <formula>$L22:$L24&lt;=0</formula>
    </cfRule>
  </conditionalFormatting>
  <conditionalFormatting sqref="H44:H52 G83:G93 H185:H186">
    <cfRule type="expression" dxfId="1738" priority="103987">
      <formula>$L44:$L73&lt;=0</formula>
    </cfRule>
  </conditionalFormatting>
  <conditionalFormatting sqref="H68">
    <cfRule type="expression" dxfId="1737" priority="614">
      <formula>$L68:$L112&lt;=0</formula>
    </cfRule>
  </conditionalFormatting>
  <conditionalFormatting sqref="H69:H73 H240:K247 C240:C305 F240:F305 H248:H258 J248:K258 H259:K305">
    <cfRule type="expression" dxfId="1736" priority="85">
      <formula>$L69:$L112&lt;=0</formula>
    </cfRule>
  </conditionalFormatting>
  <conditionalFormatting sqref="H74:H76">
    <cfRule type="expression" dxfId="1735" priority="30">
      <formula>$L74:$L133&lt;=0</formula>
    </cfRule>
  </conditionalFormatting>
  <conditionalFormatting sqref="H74:H80 L150:L152 C306:C309 F306:F309 H306:K309 H307:H318">
    <cfRule type="expression" dxfId="1734" priority="83954">
      <formula>$L74:$L116&lt;=0</formula>
    </cfRule>
  </conditionalFormatting>
  <conditionalFormatting sqref="H77 L132:L134">
    <cfRule type="expression" dxfId="1733" priority="100483">
      <formula>$L77:$L135&lt;=0</formula>
    </cfRule>
  </conditionalFormatting>
  <conditionalFormatting sqref="H78:H88 L135 C356:C359 I356:I359">
    <cfRule type="expression" dxfId="1732" priority="8">
      <formula>$L78:$L135&lt;=0</formula>
    </cfRule>
  </conditionalFormatting>
  <conditionalFormatting sqref="H89:H98 L136:L145 G360:G411">
    <cfRule type="expression" dxfId="1731" priority="84009">
      <formula>$L89:$L145&lt;=0</formula>
    </cfRule>
  </conditionalFormatting>
  <conditionalFormatting sqref="H112">
    <cfRule type="expression" dxfId="1730" priority="104204">
      <formula>$L112:$L156&lt;=0</formula>
    </cfRule>
  </conditionalFormatting>
  <conditionalFormatting sqref="H113">
    <cfRule type="expression" dxfId="1729" priority="180">
      <formula>$L113:$L166&lt;=0</formula>
    </cfRule>
  </conditionalFormatting>
  <conditionalFormatting sqref="H114:H116">
    <cfRule type="expression" dxfId="1728" priority="88016">
      <formula>$L114:$L164&lt;=0</formula>
    </cfRule>
  </conditionalFormatting>
  <conditionalFormatting sqref="H114:H118">
    <cfRule type="expression" dxfId="1727" priority="100890">
      <formula>$L114:$L131&lt;=0</formula>
    </cfRule>
  </conditionalFormatting>
  <conditionalFormatting sqref="H117:H127">
    <cfRule type="expression" dxfId="1726" priority="88148">
      <formula>$L117:$L166&lt;=0</formula>
    </cfRule>
  </conditionalFormatting>
  <conditionalFormatting sqref="H147:H156">
    <cfRule type="expression" dxfId="1725" priority="221">
      <formula>$L147:$L167&lt;=0</formula>
    </cfRule>
  </conditionalFormatting>
  <conditionalFormatting sqref="H303:H306">
    <cfRule type="expression" dxfId="1724" priority="105164">
      <formula>$L303:$L348&lt;=0</formula>
    </cfRule>
  </conditionalFormatting>
  <conditionalFormatting sqref="H29:I29 L29 G36:H36 C36:C37 F36:F37 I36:L37 I62 L62 F68:F73 H159:H161 C161:C164 F161:F164 H161:K164 H178:H179 D180:E183 H185 C187 F187 I187 H187:H189 D188:E189 F190 G193:G206 G212:G224 G230:G234 H240:H343 H349:H411">
    <cfRule type="expression" dxfId="1723" priority="84172">
      <formula>$L29:$L34&lt;=0</formula>
    </cfRule>
  </conditionalFormatting>
  <conditionalFormatting sqref="H5:K5 C5:C6 F5:F6 H6:H7">
    <cfRule type="expression" dxfId="1722" priority="98">
      <formula>$L5:$L24&lt;=0</formula>
    </cfRule>
  </conditionalFormatting>
  <conditionalFormatting sqref="I6">
    <cfRule type="expression" dxfId="1721" priority="82445">
      <formula>$L6:$L34&lt;=0</formula>
    </cfRule>
  </conditionalFormatting>
  <conditionalFormatting sqref="I248:I258">
    <cfRule type="expression" dxfId="1720" priority="59">
      <formula>$L248:$L259&lt;=0</formula>
    </cfRule>
    <cfRule type="expression" dxfId="1719" priority="60">
      <formula>$L248:$L268&lt;=0</formula>
    </cfRule>
  </conditionalFormatting>
  <conditionalFormatting sqref="I335:I337">
    <cfRule type="expression" dxfId="1718" priority="57">
      <formula>$L335:$L342&lt;=0</formula>
    </cfRule>
    <cfRule type="expression" dxfId="1717" priority="58">
      <formula>$L335:$L343&lt;=0</formula>
    </cfRule>
  </conditionalFormatting>
  <conditionalFormatting sqref="I349">
    <cfRule type="expression" dxfId="1716" priority="105176">
      <formula>$L349:$L360&lt;=0</formula>
    </cfRule>
  </conditionalFormatting>
  <conditionalFormatting sqref="I350:I351">
    <cfRule type="expression" dxfId="1715" priority="105180">
      <formula>$L350:$L360&lt;=0</formula>
    </cfRule>
  </conditionalFormatting>
  <conditionalFormatting sqref="I356:I358">
    <cfRule type="expression" dxfId="1714" priority="105182">
      <formula>$L356:$L419&lt;=0</formula>
    </cfRule>
  </conditionalFormatting>
  <conditionalFormatting sqref="I359">
    <cfRule type="expression" dxfId="1713" priority="11">
      <formula>$L359:$L419&lt;=0</formula>
    </cfRule>
  </conditionalFormatting>
  <conditionalFormatting sqref="J351:J411">
    <cfRule type="expression" dxfId="1712" priority="105189">
      <formula>$L351:$L365&lt;=0</formula>
    </cfRule>
  </conditionalFormatting>
  <conditionalFormatting sqref="J6:K6 L6:L8 G95:G97 H96:H101 C146:C148 F146:F148 I146:L148 H165 J212:K221 H230:H231">
    <cfRule type="expression" dxfId="1711" priority="84921">
      <formula>$L6:$L24&lt;=0</formula>
    </cfRule>
  </conditionalFormatting>
  <conditionalFormatting sqref="L2">
    <cfRule type="expression" dxfId="1710" priority="103792">
      <formula>$L2:$L34&lt;=0</formula>
    </cfRule>
  </conditionalFormatting>
  <conditionalFormatting sqref="L3:L12 L36:L41 H42:H43 H81:H91 I330:I334 I338:I348">
    <cfRule type="expression" dxfId="1709" priority="89280">
      <formula>$L3:$L34&lt;=0</formula>
    </cfRule>
  </conditionalFormatting>
  <conditionalFormatting sqref="L11">
    <cfRule type="expression" dxfId="1708" priority="82711">
      <formula>$L11:$L24&lt;=0</formula>
    </cfRule>
  </conditionalFormatting>
  <conditionalFormatting sqref="L13:L17 H43 L113">
    <cfRule type="expression" dxfId="1707" priority="91314">
      <formula>$L13:$L43&lt;=0</formula>
    </cfRule>
  </conditionalFormatting>
  <conditionalFormatting sqref="L15:L17 I58:L58 C58:C62 F58:F62 I59:K62 H157 C203:C211 F203:F211 I203:I211 L220:L221 D230:E236 H230:H236 C230:C237 F230:F237 I230:L237">
    <cfRule type="expression" dxfId="1706" priority="87783">
      <formula>$L15:$L24&lt;=0</formula>
    </cfRule>
  </conditionalFormatting>
  <conditionalFormatting sqref="L23 H23:H24 G28 C29 F29:G29 I29:K29 B33:C33 F33:L33 G40:H40 C42:C43 F42:G43 I42:I43 L42:L43 C66 F66 I66:K66 H67:I67 C118 F118 I118:K118 H165 L165 H183 H188 H193:H210 H212:H228 H230:H239 C238:C239 F238:F239 H238:K239 H348">
    <cfRule type="expression" dxfId="1705" priority="89293">
      <formula>$L23:$L24&lt;=0</formula>
    </cfRule>
  </conditionalFormatting>
  <conditionalFormatting sqref="L35 C41 C80:C90 I80:K90 I328:I329">
    <cfRule type="expression" dxfId="1704" priority="103986">
      <formula>$L35:$L67&lt;=0</formula>
    </cfRule>
  </conditionalFormatting>
  <conditionalFormatting sqref="L44">
    <cfRule type="expression" dxfId="1703" priority="100399">
      <formula>$L44:$L127&lt;=0</formula>
    </cfRule>
  </conditionalFormatting>
  <conditionalFormatting sqref="L45:L46">
    <cfRule type="expression" dxfId="1702" priority="105404">
      <formula>$L45:$L130&lt;=0</formula>
    </cfRule>
  </conditionalFormatting>
  <conditionalFormatting sqref="L47 L49:L50 L56:L57 L59">
    <cfRule type="expression" dxfId="1701" priority="446">
      <formula>$L47:$L133&lt;=0</formula>
    </cfRule>
  </conditionalFormatting>
  <conditionalFormatting sqref="L48 L58">
    <cfRule type="expression" dxfId="1700" priority="443">
      <formula>$L48:$L135&lt;=0</formula>
    </cfRule>
  </conditionalFormatting>
  <conditionalFormatting sqref="L49 C49:C50 F49:F50 I49:K50 I49:I51">
    <cfRule type="expression" dxfId="1699" priority="104645">
      <formula>$L49:$L67&lt;=0</formula>
    </cfRule>
  </conditionalFormatting>
  <conditionalFormatting sqref="L51">
    <cfRule type="expression" dxfId="1698" priority="440">
      <formula>$L51:$L129&lt;=0</formula>
    </cfRule>
  </conditionalFormatting>
  <conditionalFormatting sqref="L52">
    <cfRule type="expression" dxfId="1697" priority="437">
      <formula>$L52:$L131&lt;=0</formula>
    </cfRule>
  </conditionalFormatting>
  <conditionalFormatting sqref="L53:L55">
    <cfRule type="expression" dxfId="1696" priority="105411">
      <formula>$L53:$L135&lt;=0</formula>
    </cfRule>
  </conditionalFormatting>
  <conditionalFormatting sqref="L60">
    <cfRule type="expression" dxfId="1695" priority="429">
      <formula>$L60:$L147&lt;=0</formula>
    </cfRule>
  </conditionalFormatting>
  <conditionalFormatting sqref="L61">
    <cfRule type="expression" dxfId="1694" priority="105412">
      <formula>$L61:$L67&lt;=0</formula>
    </cfRule>
    <cfRule type="expression" dxfId="1693" priority="105413">
      <formula>$L61:$L149&lt;=0</formula>
    </cfRule>
  </conditionalFormatting>
  <conditionalFormatting sqref="L62">
    <cfRule type="expression" dxfId="1692" priority="424">
      <formula>$L62:$L153&lt;=0</formula>
    </cfRule>
  </conditionalFormatting>
  <conditionalFormatting sqref="L63">
    <cfRule type="expression" dxfId="1691" priority="102334">
      <formula>$L63:$L155&lt;=0</formula>
    </cfRule>
  </conditionalFormatting>
  <conditionalFormatting sqref="L64">
    <cfRule type="expression" dxfId="1690" priority="102336">
      <formula>$L64:$L157&lt;=0</formula>
    </cfRule>
  </conditionalFormatting>
  <conditionalFormatting sqref="L65:L67">
    <cfRule type="expression" dxfId="1689" priority="105127">
      <formula>$L65:$L164&lt;=0</formula>
    </cfRule>
  </conditionalFormatting>
  <conditionalFormatting sqref="L68:L73 C74:C78 I74:K78 I74:I84 F74:F88 H128:H145 L156:L157 C322:C323 F322:F323 H322:K323">
    <cfRule type="expression" dxfId="1688" priority="70">
      <formula>$L68:$L106&lt;=0</formula>
    </cfRule>
  </conditionalFormatting>
  <conditionalFormatting sqref="L68:L73">
    <cfRule type="expression" dxfId="1687" priority="105416">
      <formula>$L68:$L166&lt;=0</formula>
    </cfRule>
  </conditionalFormatting>
  <conditionalFormatting sqref="L74:L75">
    <cfRule type="expression" dxfId="1686" priority="105378">
      <formula>$L74:$L175&lt;=0</formula>
    </cfRule>
    <cfRule type="expression" dxfId="1685" priority="105377">
      <formula>$L74:$L121&lt;=0</formula>
    </cfRule>
  </conditionalFormatting>
  <conditionalFormatting sqref="L76 H146 L158:L164 I240:I247 I259:I311 H324:K334 C324:C348 F324:F348 H335:H337 J335:K337 H338:K348">
    <cfRule type="expression" dxfId="1684" priority="82">
      <formula>$L76:$L113&lt;=0</formula>
    </cfRule>
  </conditionalFormatting>
  <conditionalFormatting sqref="L76:L86">
    <cfRule type="expression" dxfId="1683" priority="105014">
      <formula>$L76:$L166&lt;=0</formula>
    </cfRule>
  </conditionalFormatting>
  <conditionalFormatting sqref="L77:L79 I312:I315">
    <cfRule type="expression" dxfId="1682" priority="90993">
      <formula>$L77:$L113&lt;=0</formula>
    </cfRule>
  </conditionalFormatting>
  <conditionalFormatting sqref="L80:L85">
    <cfRule type="expression" dxfId="1681" priority="90975">
      <formula>$L80:$L114&lt;=0</formula>
    </cfRule>
  </conditionalFormatting>
  <conditionalFormatting sqref="L87:L104">
    <cfRule type="expression" dxfId="1680" priority="105383">
      <formula>$L87:$L166&lt;=0</formula>
    </cfRule>
  </conditionalFormatting>
  <conditionalFormatting sqref="L96">
    <cfRule type="expression" dxfId="1679" priority="99707">
      <formula>$L96:$L156&lt;=0</formula>
    </cfRule>
  </conditionalFormatting>
  <conditionalFormatting sqref="L105">
    <cfRule type="expression" dxfId="1678" priority="91279">
      <formula>$L105:$L183&lt;=0</formula>
    </cfRule>
  </conditionalFormatting>
  <conditionalFormatting sqref="L106:L112">
    <cfRule type="expression" dxfId="1677" priority="104038">
      <formula>$L106:$L166&lt;=0</formula>
    </cfRule>
  </conditionalFormatting>
  <conditionalFormatting sqref="L113 L166">
    <cfRule type="expression" dxfId="1676" priority="100653">
      <formula>$L113:$L186&lt;=0</formula>
    </cfRule>
  </conditionalFormatting>
  <conditionalFormatting sqref="L114:L115">
    <cfRule type="expression" dxfId="1675" priority="105639">
      <formula>$L114:$L189&lt;=0</formula>
    </cfRule>
  </conditionalFormatting>
  <conditionalFormatting sqref="L114:L132">
    <cfRule type="expression" dxfId="1674" priority="91048">
      <formula>$L114:$L146&lt;=0</formula>
    </cfRule>
  </conditionalFormatting>
  <conditionalFormatting sqref="L116">
    <cfRule type="expression" dxfId="1673" priority="104353">
      <formula>$L116:$L189&lt;=0</formula>
    </cfRule>
  </conditionalFormatting>
  <conditionalFormatting sqref="L117">
    <cfRule type="expression" dxfId="1672" priority="103652">
      <formula>$L117:$L189&lt;=0</formula>
    </cfRule>
  </conditionalFormatting>
  <conditionalFormatting sqref="L118">
    <cfRule type="expression" dxfId="1671" priority="100681">
      <formula>$L118:$L189&lt;=0</formula>
    </cfRule>
  </conditionalFormatting>
  <conditionalFormatting sqref="L119">
    <cfRule type="expression" dxfId="1670" priority="104004">
      <formula>$L119:$L189&lt;=0</formula>
    </cfRule>
  </conditionalFormatting>
  <conditionalFormatting sqref="L120">
    <cfRule type="expression" dxfId="1669" priority="105278">
      <formula>$L120:$L189&lt;=0</formula>
    </cfRule>
  </conditionalFormatting>
  <conditionalFormatting sqref="L121:L122">
    <cfRule type="expression" dxfId="1668" priority="105281">
      <formula>$L121:$L189&lt;=0</formula>
    </cfRule>
  </conditionalFormatting>
  <conditionalFormatting sqref="L123:L126">
    <cfRule type="expression" dxfId="1667" priority="105641">
      <formula>$L123:$L189&lt;=0</formula>
    </cfRule>
  </conditionalFormatting>
  <conditionalFormatting sqref="L127:L131 G356:G358">
    <cfRule type="expression" dxfId="1666" priority="17">
      <formula>$L127:$L192&lt;=0</formula>
    </cfRule>
  </conditionalFormatting>
  <conditionalFormatting sqref="L133:L135">
    <cfRule type="expression" dxfId="1665" priority="483">
      <formula>$L133:$L164&lt;=0</formula>
    </cfRule>
  </conditionalFormatting>
  <conditionalFormatting sqref="L146:L149 H240:H302">
    <cfRule type="expression" dxfId="1664" priority="79">
      <formula>$L146:$L192&lt;=0</formula>
    </cfRule>
  </conditionalFormatting>
  <conditionalFormatting sqref="L155">
    <cfRule type="expression" dxfId="1663" priority="103905">
      <formula>$L155:$L194&lt;=0</formula>
    </cfRule>
  </conditionalFormatting>
  <conditionalFormatting sqref="L165">
    <cfRule type="expression" dxfId="1662" priority="104964">
      <formula>$L165:$L239&lt;=0</formula>
    </cfRule>
  </conditionalFormatting>
  <conditionalFormatting sqref="L167:L183">
    <cfRule type="expression" dxfId="1661" priority="105644">
      <formula>$L167:$L295&lt;=0</formula>
    </cfRule>
  </conditionalFormatting>
  <conditionalFormatting sqref="L184">
    <cfRule type="expression" dxfId="1660" priority="105645">
      <formula>$L184:$L308&lt;=0</formula>
    </cfRule>
  </conditionalFormatting>
  <conditionalFormatting sqref="L185:L189">
    <cfRule type="expression" dxfId="1659" priority="105501">
      <formula>$L185:$L311&lt;=0</formula>
    </cfRule>
  </conditionalFormatting>
  <conditionalFormatting sqref="L190:L192">
    <cfRule type="expression" dxfId="1658" priority="105502">
      <formula>$L190:$L334&lt;=0</formula>
    </cfRule>
  </conditionalFormatting>
  <conditionalFormatting sqref="L193:L205">
    <cfRule type="expression" dxfId="1657" priority="105129">
      <formula>$L193:$L336&lt;=0</formula>
    </cfRule>
  </conditionalFormatting>
  <conditionalFormatting sqref="L206:L209">
    <cfRule type="expression" dxfId="1656" priority="105553">
      <formula>$L206:$L348&lt;=0</formula>
    </cfRule>
  </conditionalFormatting>
  <conditionalFormatting sqref="L210:L211">
    <cfRule type="expression" dxfId="1655" priority="105552">
      <formula>$L210:$L349&lt;=0</formula>
    </cfRule>
  </conditionalFormatting>
  <conditionalFormatting sqref="L212:L229">
    <cfRule type="expression" dxfId="1654" priority="105554">
      <formula>$L212:$L361&lt;=0</formula>
    </cfRule>
  </conditionalFormatting>
  <conditionalFormatting sqref="L230:L237">
    <cfRule type="expression" dxfId="1653" priority="105555">
      <formula>$L230:$L389&lt;=0</formula>
    </cfRule>
  </conditionalFormatting>
  <conditionalFormatting sqref="L238">
    <cfRule type="expression" dxfId="1652" priority="105022">
      <formula>$L238:$L239&lt;=0</formula>
    </cfRule>
  </conditionalFormatting>
  <conditionalFormatting sqref="L238:L239">
    <cfRule type="expression" dxfId="1651" priority="105556">
      <formula>$L238:$L435&lt;=0</formula>
    </cfRule>
  </conditionalFormatting>
  <conditionalFormatting sqref="L239">
    <cfRule type="expression" dxfId="1650" priority="105024">
      <formula>$L239:$L239&lt;=0</formula>
    </cfRule>
  </conditionalFormatting>
  <conditionalFormatting sqref="L240:L348">
    <cfRule type="expression" dxfId="1649" priority="105560">
      <formula>$L240:$L483&lt;=0</formula>
    </cfRule>
  </conditionalFormatting>
  <conditionalFormatting sqref="L349:L411 J351:J411">
    <cfRule type="expression" dxfId="1648" priority="105188">
      <formula>$L349:$L596&lt;=0</formula>
    </cfRule>
  </conditionalFormatting>
  <pageMargins left="0.70866141732283472" right="0.70866141732283472" top="0.43307086614173229" bottom="0.74803149606299213" header="0.31496062992125984" footer="0.31496062992125984"/>
  <pageSetup scale="80" orientation="landscape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l Cliente no coincide" error="Asegurate que estes capturando el nombre del Cliente correctamente." xr:uid="{00000000-0002-0000-0200-000000000000}">
          <x14:formula1>
            <xm:f>'CLIENTES '!$B$2:$B$211</xm:f>
          </x14:formula1>
          <xm:sqref>H42:H43 F123 F164 H164:H183 H240:H337 H212:H229 H67:H113 F67:F119 H190:H195 F2:F41 H347:H411 F167:F1048576 H185:H186</xm:sqref>
        </x14:dataValidation>
      </x14:dataValidations>
    </ex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P1718"/>
  <sheetViews>
    <sheetView zoomScale="85" zoomScaleNormal="85" workbookViewId="0">
      <pane ySplit="1" topLeftCell="A1710" activePane="bottomLeft" state="frozen"/>
      <selection pane="bottomLeft" activeCell="E1721" sqref="E1721"/>
    </sheetView>
  </sheetViews>
  <sheetFormatPr baseColWidth="10" defaultColWidth="11.42578125" defaultRowHeight="15" x14ac:dyDescent="0.25"/>
  <cols>
    <col min="1" max="1" width="9.140625" customWidth="1"/>
    <col min="2" max="2" width="0.42578125" customWidth="1"/>
    <col min="3" max="3" width="71.42578125" customWidth="1"/>
    <col min="4" max="4" width="19.85546875" customWidth="1"/>
    <col min="5" max="5" width="23.5703125" customWidth="1"/>
    <col min="6" max="6" width="29.85546875" customWidth="1"/>
    <col min="7" max="7" width="5.7109375" customWidth="1"/>
    <col min="8" max="8" width="11.5703125" customWidth="1"/>
    <col min="9" max="9" width="12.5703125" customWidth="1"/>
    <col min="10" max="11" width="6.5703125" customWidth="1"/>
    <col min="12" max="12" width="7.7109375" customWidth="1"/>
    <col min="13" max="13" width="6.5703125" customWidth="1"/>
    <col min="14" max="14" width="12.140625" customWidth="1"/>
    <col min="15" max="15" width="12.42578125" customWidth="1"/>
    <col min="16" max="16" width="11.5703125" customWidth="1"/>
  </cols>
  <sheetData>
    <row r="1" spans="1:15" ht="45" x14ac:dyDescent="0.25">
      <c r="A1" s="65" t="s">
        <v>821</v>
      </c>
      <c r="B1" s="1">
        <f ca="1">+TODAY()</f>
        <v>46109</v>
      </c>
      <c r="C1" s="2" t="s">
        <v>822</v>
      </c>
      <c r="D1" s="63" t="s">
        <v>823</v>
      </c>
      <c r="E1" s="63" t="s">
        <v>824</v>
      </c>
      <c r="F1" s="2" t="s">
        <v>825</v>
      </c>
      <c r="G1" s="2" t="s">
        <v>0</v>
      </c>
      <c r="H1" s="2" t="s">
        <v>826</v>
      </c>
      <c r="I1" s="4" t="s">
        <v>827</v>
      </c>
      <c r="J1" s="5" t="s">
        <v>2</v>
      </c>
      <c r="K1" s="6" t="s">
        <v>3</v>
      </c>
      <c r="L1" s="6" t="s">
        <v>4</v>
      </c>
      <c r="M1" s="7" t="s">
        <v>5</v>
      </c>
      <c r="N1" s="8" t="s">
        <v>6</v>
      </c>
      <c r="O1" s="119" t="s">
        <v>1385</v>
      </c>
    </row>
    <row r="2" spans="1:15" x14ac:dyDescent="0.25">
      <c r="A2" s="11">
        <f ca="1">DAYS360($B$1,I2)</f>
        <v>-244</v>
      </c>
      <c r="B2" s="37">
        <f>+N2-I2</f>
        <v>165</v>
      </c>
      <c r="C2" s="11" t="s">
        <v>626</v>
      </c>
      <c r="D2" s="11" t="str">
        <f>VLOOKUP(VALUE(MID($C2,13,2)), codigos!$A$2:$B$60, 2, 1) &amp; " " &amp; VLOOKUP(VALUE(MID($C2,15,4)), codigos!$E$2:$F$102, 2, FALSE)</f>
        <v>PLATO TROQUELADO 16</v>
      </c>
      <c r="E2" s="11" t="str">
        <f>VLOOKUP(VALUE(MID($C2,19,2)),codigos!$H$2:$I$62,2,1) &amp; " " &amp; VLOOKUP(VALUE(MID($C2,21,2)),codigos!$K$2:$L$12,2,FALSE)</f>
        <v>GRIS S/I</v>
      </c>
      <c r="F2" s="11" t="s">
        <v>1084</v>
      </c>
      <c r="G2" s="11" t="s">
        <v>16</v>
      </c>
      <c r="H2" s="13" t="s">
        <v>1085</v>
      </c>
      <c r="I2" s="11" t="s">
        <v>1086</v>
      </c>
      <c r="J2" s="25">
        <v>42</v>
      </c>
      <c r="K2" s="25">
        <v>42</v>
      </c>
      <c r="L2" s="15">
        <f>+J2-K2</f>
        <v>0</v>
      </c>
      <c r="M2" s="89">
        <f>(SUM(K2))/(SUM(J2))</f>
        <v>1</v>
      </c>
      <c r="N2" s="96">
        <v>46027</v>
      </c>
    </row>
    <row r="3" spans="1:15" x14ac:dyDescent="0.25">
      <c r="A3" s="11">
        <f ca="1">DAYS360($B$1,I3)</f>
        <v>-82</v>
      </c>
      <c r="B3" s="37">
        <f>+N3-I3</f>
        <v>3</v>
      </c>
      <c r="C3" s="11" t="s">
        <v>49</v>
      </c>
      <c r="D3" s="11" t="str">
        <f>VLOOKUP(VALUE(MID($C3,13,2)), codigos!$A$2:$B$60, 2, 1) &amp; " " &amp; VLOOKUP(VALUE(MID($C3,15,4)), codigos!$E$2:$F$102, 2, FALSE)</f>
        <v>CUBETA 8</v>
      </c>
      <c r="E3" s="11" t="str">
        <f>VLOOKUP(VALUE(MID($C3,19,2)),codigos!$H$2:$I$62,2,1) &amp; " " &amp; VLOOKUP(VALUE(MID($C3,21,2)),codigos!$K$2:$L$12,2,FALSE)</f>
        <v>GALVANIZADO S/I</v>
      </c>
      <c r="F3" s="11" t="s">
        <v>1087</v>
      </c>
      <c r="G3" s="11" t="s">
        <v>11</v>
      </c>
      <c r="H3" s="13">
        <v>5061</v>
      </c>
      <c r="I3" s="97">
        <v>46028</v>
      </c>
      <c r="J3" s="25">
        <v>16</v>
      </c>
      <c r="K3" s="25">
        <v>16</v>
      </c>
      <c r="L3" s="15">
        <f>+J3-K3</f>
        <v>0</v>
      </c>
      <c r="M3" s="89">
        <f>(SUM(K3))/(SUM(J3))</f>
        <v>1</v>
      </c>
      <c r="N3" s="96">
        <v>46031</v>
      </c>
    </row>
    <row r="4" spans="1:15" x14ac:dyDescent="0.25">
      <c r="A4" s="11">
        <f t="shared" ref="A4:A9" ca="1" si="0">DAYS360($B$1,I4)</f>
        <v>-82</v>
      </c>
      <c r="B4" s="37">
        <f t="shared" ref="B4:B9" si="1">+N4-I4</f>
        <v>3</v>
      </c>
      <c r="C4" s="20" t="s">
        <v>206</v>
      </c>
      <c r="D4" s="20" t="str">
        <f>VLOOKUP(VALUE(MID($C4,13,2)), [2]codigos!$A$2:$B$60, 2, 1) &amp; " " &amp; VLOOKUP(VALUE(MID($C4,15,4)), [2]codigos!$E$2:$F$102, 2, FALSE)</f>
        <v>BAÑO 1</v>
      </c>
      <c r="E4" s="20" t="str">
        <f>VLOOKUP(VALUE(MID($C4,19,2)),[2]codigos!$H$2:$I$62,2,1) &amp; " " &amp; VLOOKUP(VALUE(MID($C4,21,2)),[2]codigos!$K$2:$L$12,2,FALSE)</f>
        <v>GALVANIZADO S/I</v>
      </c>
      <c r="F4" s="20" t="s">
        <v>1088</v>
      </c>
      <c r="G4" s="20" t="s">
        <v>11</v>
      </c>
      <c r="H4" s="52" t="s">
        <v>1089</v>
      </c>
      <c r="I4" s="20" t="s">
        <v>995</v>
      </c>
      <c r="J4" s="20">
        <v>5</v>
      </c>
      <c r="K4" s="20">
        <v>5</v>
      </c>
      <c r="L4" s="11">
        <f t="shared" ref="L4:L9" si="2">J4-K4</f>
        <v>0</v>
      </c>
      <c r="M4" s="131">
        <f>(SUM(K4:K8))/(SUM(J4:J8))</f>
        <v>0.72222222222222221</v>
      </c>
      <c r="N4" s="96">
        <v>46031</v>
      </c>
    </row>
    <row r="5" spans="1:15" x14ac:dyDescent="0.25">
      <c r="A5" s="11">
        <f t="shared" ca="1" si="0"/>
        <v>-82</v>
      </c>
      <c r="B5" s="37">
        <f t="shared" si="1"/>
        <v>3</v>
      </c>
      <c r="C5" s="20" t="s">
        <v>209</v>
      </c>
      <c r="D5" s="20" t="str">
        <f>VLOOKUP(VALUE(MID($C5,13,2)), [2]codigos!$A$2:$B$60, 2, 1) &amp; " " &amp; VLOOKUP(VALUE(MID($C5,15,4)), [2]codigos!$E$2:$F$102, 2, FALSE)</f>
        <v>BAÑO 2</v>
      </c>
      <c r="E5" s="20" t="str">
        <f>VLOOKUP(VALUE(MID($C5,19,2)),[2]codigos!$H$2:$I$62,2,1) &amp; " " &amp; VLOOKUP(VALUE(MID($C5,21,2)),[2]codigos!$K$2:$L$12,2,FALSE)</f>
        <v>GALVANIZADO S/I</v>
      </c>
      <c r="F5" s="20" t="s">
        <v>1088</v>
      </c>
      <c r="G5" s="20" t="s">
        <v>11</v>
      </c>
      <c r="H5" s="52" t="s">
        <v>1089</v>
      </c>
      <c r="I5" s="20" t="s">
        <v>995</v>
      </c>
      <c r="J5" s="20">
        <v>5</v>
      </c>
      <c r="K5" s="20">
        <v>5</v>
      </c>
      <c r="L5" s="11">
        <f t="shared" si="2"/>
        <v>0</v>
      </c>
      <c r="M5" s="131"/>
      <c r="N5" s="96">
        <v>46031</v>
      </c>
    </row>
    <row r="6" spans="1:15" x14ac:dyDescent="0.25">
      <c r="A6" s="11">
        <f t="shared" ca="1" si="0"/>
        <v>-82</v>
      </c>
      <c r="B6" s="37">
        <f t="shared" si="1"/>
        <v>3</v>
      </c>
      <c r="C6" s="64" t="s">
        <v>45</v>
      </c>
      <c r="D6" s="64" t="str">
        <f>VLOOKUP(VALUE(MID($C6,13,2)), [2]codigos!$A$2:$B$60, 2, 1) &amp; " " &amp; VLOOKUP(VALUE(MID($C6,15,4)), [2]codigos!$E$2:$F$102, 2, FALSE)</f>
        <v>BAÑO 4</v>
      </c>
      <c r="E6" s="64" t="str">
        <f>VLOOKUP(VALUE(MID($C6,19,2)),[2]codigos!$H$2:$I$62,2,1) &amp; " " &amp; VLOOKUP(VALUE(MID($C6,21,2)),[2]codigos!$K$2:$L$12,2,FALSE)</f>
        <v>GALVANIZADO S/I</v>
      </c>
      <c r="F6" s="64" t="s">
        <v>1088</v>
      </c>
      <c r="G6" s="64" t="s">
        <v>11</v>
      </c>
      <c r="H6" s="66" t="s">
        <v>1089</v>
      </c>
      <c r="I6" s="64" t="s">
        <v>995</v>
      </c>
      <c r="J6" s="64">
        <v>5</v>
      </c>
      <c r="K6" s="64">
        <v>0</v>
      </c>
      <c r="L6" s="64">
        <f t="shared" si="2"/>
        <v>5</v>
      </c>
      <c r="M6" s="131"/>
      <c r="N6" s="96">
        <v>46031</v>
      </c>
    </row>
    <row r="7" spans="1:15" x14ac:dyDescent="0.25">
      <c r="A7" s="11">
        <f t="shared" ca="1" si="0"/>
        <v>-82</v>
      </c>
      <c r="B7" s="37">
        <f t="shared" si="1"/>
        <v>3</v>
      </c>
      <c r="C7" s="64" t="s">
        <v>210</v>
      </c>
      <c r="D7" s="64" t="str">
        <f>VLOOKUP(VALUE(MID($C7,13,2)), [2]codigos!$A$2:$B$60, 2, 1) &amp; " " &amp; VLOOKUP(VALUE(MID($C7,15,4)), [2]codigos!$E$2:$F$102, 2, FALSE)</f>
        <v>BAÑO 8</v>
      </c>
      <c r="E7" s="64" t="str">
        <f>VLOOKUP(VALUE(MID($C7,19,2)),[2]codigos!$H$2:$I$62,2,1) &amp; " " &amp; VLOOKUP(VALUE(MID($C7,21,2)),[2]codigos!$K$2:$L$12,2,FALSE)</f>
        <v>GALVANIZADO S/I</v>
      </c>
      <c r="F7" s="64" t="s">
        <v>1088</v>
      </c>
      <c r="G7" s="64" t="s">
        <v>11</v>
      </c>
      <c r="H7" s="66" t="s">
        <v>1089</v>
      </c>
      <c r="I7" s="64" t="s">
        <v>995</v>
      </c>
      <c r="J7" s="64"/>
      <c r="K7" s="64">
        <v>0</v>
      </c>
      <c r="L7" s="64">
        <f t="shared" si="2"/>
        <v>0</v>
      </c>
      <c r="M7" s="131"/>
      <c r="N7" s="96">
        <v>46031</v>
      </c>
    </row>
    <row r="8" spans="1:15" x14ac:dyDescent="0.25">
      <c r="A8" s="11">
        <f t="shared" ca="1" si="0"/>
        <v>-82</v>
      </c>
      <c r="B8" s="37">
        <f t="shared" si="1"/>
        <v>3</v>
      </c>
      <c r="C8" s="20" t="s">
        <v>211</v>
      </c>
      <c r="D8" s="20" t="str">
        <f>VLOOKUP(VALUE(MID($C8,13,2)), [2]codigos!$A$2:$B$60, 2, 1) &amp; " " &amp; VLOOKUP(VALUE(MID($C8,15,4)), [2]codigos!$E$2:$F$102, 2, FALSE)</f>
        <v>BAÑO 10</v>
      </c>
      <c r="E8" s="20" t="str">
        <f>VLOOKUP(VALUE(MID($C8,19,2)),[2]codigos!$H$2:$I$62,2,1) &amp; " " &amp; VLOOKUP(VALUE(MID($C8,21,2)),[2]codigos!$K$2:$L$12,2,FALSE)</f>
        <v>GALVANIZADO S/I</v>
      </c>
      <c r="F8" s="20" t="s">
        <v>1088</v>
      </c>
      <c r="G8" s="20" t="s">
        <v>11</v>
      </c>
      <c r="H8" s="52" t="s">
        <v>1089</v>
      </c>
      <c r="I8" s="20" t="s">
        <v>995</v>
      </c>
      <c r="J8" s="20">
        <v>3</v>
      </c>
      <c r="K8" s="20">
        <v>3</v>
      </c>
      <c r="L8" s="11">
        <f t="shared" si="2"/>
        <v>0</v>
      </c>
      <c r="M8" s="131"/>
      <c r="N8" s="96">
        <v>46031</v>
      </c>
    </row>
    <row r="9" spans="1:15" x14ac:dyDescent="0.25">
      <c r="A9" s="11">
        <f t="shared" ca="1" si="0"/>
        <v>-82</v>
      </c>
      <c r="B9" s="37">
        <f t="shared" si="1"/>
        <v>3</v>
      </c>
      <c r="C9" s="20" t="s">
        <v>212</v>
      </c>
      <c r="D9" s="20" t="str">
        <f>VLOOKUP(VALUE(MID($C9,13,2)), [2]codigos!$A$2:$B$60, 2, 1) &amp; " " &amp; VLOOKUP(VALUE(MID($C9,15,4)), [2]codigos!$E$2:$F$102, 2, FALSE)</f>
        <v>BAÑO 12</v>
      </c>
      <c r="E9" s="20" t="str">
        <f>VLOOKUP(VALUE(MID($C9,19,2)),[2]codigos!$H$2:$I$62,2,1) &amp; " " &amp; VLOOKUP(VALUE(MID($C9,21,2)),[2]codigos!$K$2:$L$12,2,FALSE)</f>
        <v>GALVANIZADO S/I</v>
      </c>
      <c r="F9" s="20" t="s">
        <v>1088</v>
      </c>
      <c r="G9" s="20" t="s">
        <v>11</v>
      </c>
      <c r="H9" s="52" t="s">
        <v>1089</v>
      </c>
      <c r="I9" s="20" t="s">
        <v>995</v>
      </c>
      <c r="J9" s="20">
        <v>21</v>
      </c>
      <c r="K9" s="20">
        <f>16+5</f>
        <v>21</v>
      </c>
      <c r="L9" s="11">
        <f t="shared" si="2"/>
        <v>0</v>
      </c>
      <c r="M9" s="131"/>
      <c r="N9" s="96">
        <v>46031</v>
      </c>
    </row>
    <row r="10" spans="1:15" x14ac:dyDescent="0.25">
      <c r="A10" s="11">
        <f t="shared" ref="A10:A73" ca="1" si="3">DAYS360($B$1,I10)</f>
        <v>-244</v>
      </c>
      <c r="B10" s="37">
        <f t="shared" ref="B10:B73" si="4">+N10-I10</f>
        <v>176</v>
      </c>
      <c r="C10" s="11" t="s">
        <v>209</v>
      </c>
      <c r="D10" s="11" t="str">
        <f>VLOOKUP(VALUE(MID($C10,13,2)), codigos!$A$2:$B$60, 2, 1) &amp; " " &amp; VLOOKUP(VALUE(MID($C10,15,4)), codigos!$E$2:$F$102, 2, FALSE)</f>
        <v>BAÑO 2</v>
      </c>
      <c r="E10" s="11" t="str">
        <f>VLOOKUP(VALUE(MID($C10,19,2)),codigos!$H$2:$I$62,2,1) &amp; " " &amp; VLOOKUP(VALUE(MID($C10,21,2)),codigos!$K$2:$L$12,2,FALSE)</f>
        <v>GALVANIZADO S/I</v>
      </c>
      <c r="F10" s="11" t="s">
        <v>1090</v>
      </c>
      <c r="G10" s="11" t="s">
        <v>11</v>
      </c>
      <c r="H10" s="13" t="s">
        <v>1091</v>
      </c>
      <c r="I10" s="11" t="s">
        <v>1086</v>
      </c>
      <c r="J10" s="25">
        <v>10</v>
      </c>
      <c r="K10" s="25">
        <v>10</v>
      </c>
      <c r="L10" s="15">
        <f t="shared" ref="L10:L73" si="5">+J10-K10</f>
        <v>0</v>
      </c>
      <c r="M10" s="24"/>
      <c r="N10" s="96">
        <v>46038</v>
      </c>
    </row>
    <row r="11" spans="1:15" x14ac:dyDescent="0.25">
      <c r="A11" s="11">
        <f t="shared" ca="1" si="3"/>
        <v>-244</v>
      </c>
      <c r="B11" s="37">
        <f t="shared" si="4"/>
        <v>176</v>
      </c>
      <c r="C11" s="11" t="s">
        <v>280</v>
      </c>
      <c r="D11" s="11" t="str">
        <f>VLOOKUP(VALUE(MID($C11,13,2)), codigos!$A$2:$B$60, 2, 1) &amp; " " &amp; VLOOKUP(VALUE(MID($C11,15,4)), codigos!$E$2:$F$102, 2, FALSE)</f>
        <v>MULTIUSOS S/I</v>
      </c>
      <c r="E11" s="11" t="str">
        <f>VLOOKUP(VALUE(MID($C11,19,2)),codigos!$H$2:$I$62,2,1) &amp; " " &amp; VLOOKUP(VALUE(MID($C11,21,2)),codigos!$K$2:$L$12,2,FALSE)</f>
        <v>BLANCO  NEGRO</v>
      </c>
      <c r="F11" s="11" t="s">
        <v>1090</v>
      </c>
      <c r="G11" s="11" t="s">
        <v>11</v>
      </c>
      <c r="H11" s="11" t="s">
        <v>1091</v>
      </c>
      <c r="I11" s="11" t="s">
        <v>1086</v>
      </c>
      <c r="J11" s="25">
        <v>81</v>
      </c>
      <c r="K11" s="25">
        <v>81</v>
      </c>
      <c r="L11" s="15">
        <f t="shared" si="5"/>
        <v>0</v>
      </c>
      <c r="M11" s="24"/>
      <c r="N11" s="96">
        <v>46038</v>
      </c>
    </row>
    <row r="12" spans="1:15" x14ac:dyDescent="0.25">
      <c r="A12" s="11">
        <f t="shared" ca="1" si="3"/>
        <v>-244</v>
      </c>
      <c r="B12" s="37">
        <f t="shared" si="4"/>
        <v>176</v>
      </c>
      <c r="C12" s="11" t="s">
        <v>283</v>
      </c>
      <c r="D12" s="11" t="str">
        <f>VLOOKUP(VALUE(MID($C12,13,2)), codigos!$A$2:$B$60, 2, 1) &amp; " " &amp; VLOOKUP(VALUE(MID($C12,15,4)), codigos!$E$2:$F$102, 2, FALSE)</f>
        <v>PLATO AVENERO 20</v>
      </c>
      <c r="E12" s="11" t="str">
        <f>VLOOKUP(VALUE(MID($C12,19,2)),codigos!$H$2:$I$62,2,1) &amp; " " &amp; VLOOKUP(VALUE(MID($C12,21,2)),codigos!$K$2:$L$12,2,FALSE)</f>
        <v>BLANCO  NEGRO</v>
      </c>
      <c r="F12" s="11" t="s">
        <v>1090</v>
      </c>
      <c r="G12" s="11" t="s">
        <v>11</v>
      </c>
      <c r="H12" s="11" t="s">
        <v>1091</v>
      </c>
      <c r="I12" s="11" t="s">
        <v>1086</v>
      </c>
      <c r="J12" s="25">
        <v>120</v>
      </c>
      <c r="K12" s="25">
        <v>120</v>
      </c>
      <c r="L12" s="15">
        <f t="shared" si="5"/>
        <v>0</v>
      </c>
      <c r="M12" s="24"/>
      <c r="N12" s="96">
        <v>46038</v>
      </c>
    </row>
    <row r="13" spans="1:15" x14ac:dyDescent="0.25">
      <c r="A13" s="11">
        <f t="shared" ca="1" si="3"/>
        <v>-244</v>
      </c>
      <c r="B13" s="37">
        <f t="shared" si="4"/>
        <v>176</v>
      </c>
      <c r="C13" s="11" t="s">
        <v>67</v>
      </c>
      <c r="D13" s="11" t="str">
        <f>VLOOKUP(VALUE(MID($C13,13,2)), codigos!$A$2:$B$60, 2, 1) &amp; " " &amp; VLOOKUP(VALUE(MID($C13,15,4)), codigos!$E$2:$F$102, 2, FALSE)</f>
        <v>PLATO BISTRO 16</v>
      </c>
      <c r="E13" s="11" t="str">
        <f>VLOOKUP(VALUE(MID($C13,19,2)),codigos!$H$2:$I$62,2,1) &amp; " " &amp; VLOOKUP(VALUE(MID($C13,21,2)),codigos!$K$2:$L$12,2,FALSE)</f>
        <v>NEGRO S/I</v>
      </c>
      <c r="F13" s="11" t="s">
        <v>1090</v>
      </c>
      <c r="G13" s="11" t="s">
        <v>11</v>
      </c>
      <c r="H13" s="11" t="s">
        <v>1091</v>
      </c>
      <c r="I13" s="11" t="s">
        <v>1086</v>
      </c>
      <c r="J13" s="25">
        <v>72</v>
      </c>
      <c r="K13" s="25">
        <v>72</v>
      </c>
      <c r="L13" s="15">
        <f t="shared" si="5"/>
        <v>0</v>
      </c>
      <c r="M13" s="24"/>
      <c r="N13" s="96">
        <v>46038</v>
      </c>
    </row>
    <row r="14" spans="1:15" x14ac:dyDescent="0.25">
      <c r="A14" s="11">
        <f t="shared" ca="1" si="3"/>
        <v>-244</v>
      </c>
      <c r="B14" s="37">
        <f t="shared" si="4"/>
        <v>176</v>
      </c>
      <c r="C14" s="11" t="s">
        <v>121</v>
      </c>
      <c r="D14" s="11" t="str">
        <f>VLOOKUP(VALUE(MID($C14,13,2)), codigos!$A$2:$B$60, 2, 1) &amp; " " &amp; VLOOKUP(VALUE(MID($C14,15,4)), codigos!$E$2:$F$102, 2, FALSE)</f>
        <v>PLATO HONDO 27</v>
      </c>
      <c r="E14" s="11" t="str">
        <f>VLOOKUP(VALUE(MID($C14,19,2)),codigos!$H$2:$I$62,2,1) &amp; " " &amp; VLOOKUP(VALUE(MID($C14,21,2)),codigos!$K$2:$L$12,2,FALSE)</f>
        <v>BLANCO  NEGRO</v>
      </c>
      <c r="F14" s="11" t="s">
        <v>1090</v>
      </c>
      <c r="G14" s="11" t="s">
        <v>11</v>
      </c>
      <c r="H14" s="11" t="s">
        <v>1091</v>
      </c>
      <c r="I14" s="11" t="s">
        <v>1086</v>
      </c>
      <c r="J14" s="25">
        <v>81</v>
      </c>
      <c r="K14" s="25">
        <f>77+4</f>
        <v>81</v>
      </c>
      <c r="L14" s="15">
        <f t="shared" si="5"/>
        <v>0</v>
      </c>
      <c r="M14" s="24"/>
      <c r="N14" s="96">
        <v>46038</v>
      </c>
    </row>
    <row r="15" spans="1:15" x14ac:dyDescent="0.25">
      <c r="A15" s="11">
        <f t="shared" ca="1" si="3"/>
        <v>-244</v>
      </c>
      <c r="B15" s="37">
        <f t="shared" si="4"/>
        <v>176</v>
      </c>
      <c r="C15" s="11" t="s">
        <v>288</v>
      </c>
      <c r="D15" s="11" t="str">
        <f>VLOOKUP(VALUE(MID($C15,13,2)), codigos!$A$2:$B$60, 2, 1) &amp; " " &amp; VLOOKUP(VALUE(MID($C15,15,4)), codigos!$E$2:$F$102, 2, FALSE)</f>
        <v>PLATO LISO 20</v>
      </c>
      <c r="E15" s="11" t="str">
        <f>VLOOKUP(VALUE(MID($C15,19,2)),codigos!$H$2:$I$62,2,1) &amp; " " &amp; VLOOKUP(VALUE(MID($C15,21,2)),codigos!$K$2:$L$12,2,FALSE)</f>
        <v>BLANCO  NEGRO</v>
      </c>
      <c r="F15" s="11" t="s">
        <v>1090</v>
      </c>
      <c r="G15" s="11" t="s">
        <v>11</v>
      </c>
      <c r="H15" s="11" t="s">
        <v>1091</v>
      </c>
      <c r="I15" s="11" t="s">
        <v>1086</v>
      </c>
      <c r="J15" s="25">
        <v>801</v>
      </c>
      <c r="K15" s="25">
        <f>108+4+120+4+132+384+49</f>
        <v>801</v>
      </c>
      <c r="L15" s="15">
        <f t="shared" si="5"/>
        <v>0</v>
      </c>
      <c r="M15" s="24"/>
      <c r="N15" s="96">
        <v>46038</v>
      </c>
    </row>
    <row r="16" spans="1:15" x14ac:dyDescent="0.25">
      <c r="A16" s="11">
        <f t="shared" ca="1" si="3"/>
        <v>-244</v>
      </c>
      <c r="B16" s="37">
        <f t="shared" si="4"/>
        <v>176</v>
      </c>
      <c r="C16" s="11" t="s">
        <v>302</v>
      </c>
      <c r="D16" s="11" t="str">
        <f>VLOOKUP(VALUE(MID($C16,13,2)), codigos!$A$2:$B$60, 2, 1) &amp; " " &amp; VLOOKUP(VALUE(MID($C16,15,4)), codigos!$E$2:$F$102, 2, FALSE)</f>
        <v>TAZON 8</v>
      </c>
      <c r="E16" s="11" t="str">
        <f>VLOOKUP(VALUE(MID($C16,19,2)),codigos!$H$2:$I$62,2,1) &amp; " " &amp; VLOOKUP(VALUE(MID($C16,21,2)),codigos!$K$2:$L$12,2,FALSE)</f>
        <v>BLANCO  NEGRO</v>
      </c>
      <c r="F16" s="11" t="s">
        <v>1090</v>
      </c>
      <c r="G16" s="11" t="s">
        <v>11</v>
      </c>
      <c r="H16" s="11" t="s">
        <v>1091</v>
      </c>
      <c r="I16" s="11" t="s">
        <v>1086</v>
      </c>
      <c r="J16" s="25">
        <v>882</v>
      </c>
      <c r="K16" s="25">
        <f>468+414</f>
        <v>882</v>
      </c>
      <c r="L16" s="15">
        <f t="shared" si="5"/>
        <v>0</v>
      </c>
      <c r="M16" s="24"/>
      <c r="N16" s="96">
        <v>46038</v>
      </c>
    </row>
    <row r="17" spans="1:14" x14ac:dyDescent="0.25">
      <c r="A17" s="11">
        <f t="shared" ca="1" si="3"/>
        <v>-244</v>
      </c>
      <c r="B17" s="37">
        <f t="shared" si="4"/>
        <v>176</v>
      </c>
      <c r="C17" s="11" t="s">
        <v>388</v>
      </c>
      <c r="D17" s="11" t="str">
        <f>VLOOKUP(VALUE(MID($C17,13,2)), codigos!$A$2:$B$60, 2, 1) &amp; " " &amp; VLOOKUP(VALUE(MID($C17,15,4)), codigos!$E$2:$F$102, 2, FALSE)</f>
        <v>TAZON 20</v>
      </c>
      <c r="E17" s="11" t="str">
        <f>VLOOKUP(VALUE(MID($C17,19,2)),codigos!$H$2:$I$62,2,1) &amp; " " &amp; VLOOKUP(VALUE(MID($C17,21,2)),codigos!$K$2:$L$12,2,FALSE)</f>
        <v>BICOLOR NARANJA S/I</v>
      </c>
      <c r="F17" s="11" t="s">
        <v>1090</v>
      </c>
      <c r="G17" s="11" t="s">
        <v>11</v>
      </c>
      <c r="H17" s="11" t="s">
        <v>1091</v>
      </c>
      <c r="I17" s="11" t="s">
        <v>1086</v>
      </c>
      <c r="J17" s="25">
        <v>150</v>
      </c>
      <c r="K17" s="25">
        <f>48+42+3+30+27</f>
        <v>150</v>
      </c>
      <c r="L17" s="15">
        <f t="shared" si="5"/>
        <v>0</v>
      </c>
      <c r="M17" s="24"/>
      <c r="N17" s="96">
        <v>46038</v>
      </c>
    </row>
    <row r="18" spans="1:14" x14ac:dyDescent="0.25">
      <c r="A18" s="11">
        <f t="shared" ca="1" si="3"/>
        <v>-244</v>
      </c>
      <c r="B18" s="37">
        <f t="shared" si="4"/>
        <v>176</v>
      </c>
      <c r="C18" s="11" t="s">
        <v>93</v>
      </c>
      <c r="D18" s="11" t="str">
        <f>VLOOKUP(VALUE(MID($C18,13,2)), codigos!$A$2:$B$60, 2, 1) &amp; " " &amp; VLOOKUP(VALUE(MID($C18,15,4)), codigos!$E$2:$F$102, 2, FALSE)</f>
        <v>TAZON INCLINADO 8</v>
      </c>
      <c r="E18" s="11" t="str">
        <f>VLOOKUP(VALUE(MID($C18,19,2)),codigos!$H$2:$I$62,2,1) &amp; " " &amp; VLOOKUP(VALUE(MID($C18,21,2)),codigos!$K$2:$L$12,2,FALSE)</f>
        <v>BLANCO  NEGRO</v>
      </c>
      <c r="F18" s="11" t="s">
        <v>1090</v>
      </c>
      <c r="G18" s="11" t="s">
        <v>11</v>
      </c>
      <c r="H18" s="11" t="s">
        <v>1091</v>
      </c>
      <c r="I18" s="11" t="s">
        <v>1086</v>
      </c>
      <c r="J18" s="25">
        <v>135</v>
      </c>
      <c r="K18" s="25">
        <v>135</v>
      </c>
      <c r="L18" s="15">
        <f t="shared" si="5"/>
        <v>0</v>
      </c>
      <c r="M18" s="24"/>
      <c r="N18" s="96">
        <v>46038</v>
      </c>
    </row>
    <row r="19" spans="1:14" x14ac:dyDescent="0.25">
      <c r="A19" s="11">
        <f t="shared" ca="1" si="3"/>
        <v>-244</v>
      </c>
      <c r="B19" s="37">
        <f t="shared" si="4"/>
        <v>176</v>
      </c>
      <c r="C19" s="11" t="s">
        <v>1092</v>
      </c>
      <c r="D19" s="11" t="str">
        <f>VLOOKUP(VALUE(MID($C19,13,2)), codigos!$A$2:$B$60, 2, 1) &amp; " " &amp; VLOOKUP(VALUE(MID($C19,15,4)), codigos!$E$2:$F$102, 2, FALSE)</f>
        <v>PLATO LISO 20</v>
      </c>
      <c r="E19" s="11" t="str">
        <f>VLOOKUP(VALUE(MID($C19,19,2)),codigos!$H$2:$I$62,2,1) &amp; " " &amp; VLOOKUP(VALUE(MID($C19,21,2)),codigos!$K$2:$L$12,2,FALSE)</f>
        <v>BLANCO  NEGRO</v>
      </c>
      <c r="F19" s="11" t="s">
        <v>1090</v>
      </c>
      <c r="G19" s="11" t="s">
        <v>11</v>
      </c>
      <c r="H19" s="11" t="s">
        <v>1091</v>
      </c>
      <c r="I19" s="11" t="s">
        <v>1086</v>
      </c>
      <c r="J19" s="25">
        <v>126</v>
      </c>
      <c r="K19" s="25">
        <v>126</v>
      </c>
      <c r="L19" s="15">
        <f t="shared" si="5"/>
        <v>0</v>
      </c>
      <c r="M19" s="24"/>
      <c r="N19" s="96">
        <v>46038</v>
      </c>
    </row>
    <row r="20" spans="1:14" x14ac:dyDescent="0.25">
      <c r="A20" s="11">
        <f t="shared" ca="1" si="3"/>
        <v>-244</v>
      </c>
      <c r="B20" s="37">
        <f t="shared" si="4"/>
        <v>176</v>
      </c>
      <c r="C20" s="11" t="s">
        <v>1093</v>
      </c>
      <c r="D20" s="11" t="str">
        <f>VLOOKUP(VALUE(MID($C20,13,2)), codigos!$A$2:$B$60, 2, 1) &amp; " " &amp; VLOOKUP(VALUE(MID($C20,15,4)), codigos!$E$2:$F$102, 2, FALSE)</f>
        <v>PLATO LISO 32</v>
      </c>
      <c r="E20" s="11" t="str">
        <f>VLOOKUP(VALUE(MID($C20,19,2)),codigos!$H$2:$I$62,2,1) &amp; " " &amp; VLOOKUP(VALUE(MID($C20,21,2)),codigos!$K$2:$L$12,2,FALSE)</f>
        <v>GENERICO S/I</v>
      </c>
      <c r="F20" s="11" t="s">
        <v>1090</v>
      </c>
      <c r="G20" s="11" t="s">
        <v>11</v>
      </c>
      <c r="H20" s="11" t="s">
        <v>1091</v>
      </c>
      <c r="I20" s="11" t="s">
        <v>1086</v>
      </c>
      <c r="J20" s="25">
        <v>75</v>
      </c>
      <c r="K20" s="25">
        <v>75</v>
      </c>
      <c r="L20" s="15">
        <f t="shared" si="5"/>
        <v>0</v>
      </c>
      <c r="M20" s="24"/>
      <c r="N20" s="96">
        <v>46038</v>
      </c>
    </row>
    <row r="21" spans="1:14" x14ac:dyDescent="0.25">
      <c r="A21" s="11">
        <f t="shared" ca="1" si="3"/>
        <v>-244</v>
      </c>
      <c r="B21" s="37">
        <f t="shared" si="4"/>
        <v>176</v>
      </c>
      <c r="C21" s="11" t="s">
        <v>1094</v>
      </c>
      <c r="D21" s="11" t="str">
        <f>VLOOKUP(VALUE(MID($C21,13,2)), codigos!$A$2:$B$60, 2, 1) &amp; " " &amp; VLOOKUP(VALUE(MID($C21,15,4)), codigos!$E$2:$F$102, 2, FALSE)</f>
        <v>POCILLO 5</v>
      </c>
      <c r="E21" s="11" t="str">
        <f>VLOOKUP(VALUE(MID($C21,19,2)),codigos!$H$2:$I$62,2,1) &amp; " " &amp; VLOOKUP(VALUE(MID($C21,21,2)),codigos!$K$2:$L$12,2,FALSE)</f>
        <v>NEGRO S/I</v>
      </c>
      <c r="F21" s="11" t="s">
        <v>1090</v>
      </c>
      <c r="G21" s="11" t="s">
        <v>11</v>
      </c>
      <c r="H21" s="11" t="s">
        <v>1091</v>
      </c>
      <c r="I21" s="11" t="s">
        <v>1086</v>
      </c>
      <c r="J21" s="25">
        <v>72</v>
      </c>
      <c r="K21" s="25">
        <v>72</v>
      </c>
      <c r="L21" s="15">
        <f t="shared" si="5"/>
        <v>0</v>
      </c>
      <c r="M21" s="24"/>
      <c r="N21" s="96">
        <v>46038</v>
      </c>
    </row>
    <row r="22" spans="1:14" x14ac:dyDescent="0.25">
      <c r="A22" s="11">
        <f t="shared" ca="1" si="3"/>
        <v>-244</v>
      </c>
      <c r="B22" s="37">
        <f t="shared" si="4"/>
        <v>176</v>
      </c>
      <c r="C22" s="11" t="s">
        <v>1095</v>
      </c>
      <c r="D22" s="11" t="str">
        <f>VLOOKUP(VALUE(MID($C22,13,2)), codigos!$A$2:$B$60, 2, 1) &amp; " " &amp; VLOOKUP(VALUE(MID($C22,15,4)), codigos!$E$2:$F$102, 2, FALSE)</f>
        <v>TAZON INCLINADO 22</v>
      </c>
      <c r="E22" s="11" t="str">
        <f>VLOOKUP(VALUE(MID($C22,19,2)),codigos!$H$2:$I$62,2,1) &amp; " " &amp; VLOOKUP(VALUE(MID($C22,21,2)),codigos!$K$2:$L$12,2,FALSE)</f>
        <v>BICOLOR NARANJA NEGRO</v>
      </c>
      <c r="F22" s="11" t="s">
        <v>1090</v>
      </c>
      <c r="G22" s="11" t="s">
        <v>11</v>
      </c>
      <c r="H22" s="11" t="s">
        <v>1091</v>
      </c>
      <c r="I22" s="11" t="s">
        <v>1086</v>
      </c>
      <c r="J22" s="25">
        <v>126</v>
      </c>
      <c r="K22" s="25">
        <f>60+2+24+40</f>
        <v>126</v>
      </c>
      <c r="L22" s="15">
        <f t="shared" si="5"/>
        <v>0</v>
      </c>
      <c r="M22" s="24"/>
      <c r="N22" s="96">
        <v>46038</v>
      </c>
    </row>
    <row r="23" spans="1:14" x14ac:dyDescent="0.25">
      <c r="A23" s="11">
        <f t="shared" ca="1" si="3"/>
        <v>-244</v>
      </c>
      <c r="B23" s="37">
        <f t="shared" si="4"/>
        <v>176</v>
      </c>
      <c r="C23" s="11" t="s">
        <v>1096</v>
      </c>
      <c r="D23" s="11" t="str">
        <f>VLOOKUP(VALUE(MID($C23,13,2)), codigos!$A$2:$B$60, 2, 1) &amp; " " &amp; VLOOKUP(VALUE(MID($C23,15,4)), codigos!$E$2:$F$102, 2, FALSE)</f>
        <v>POCILLO 5</v>
      </c>
      <c r="E23" s="11" t="str">
        <f>VLOOKUP(VALUE(MID($C23,19,2)),codigos!$H$2:$I$62,2,1) &amp; " " &amp; VLOOKUP(VALUE(MID($C23,21,2)),codigos!$K$2:$L$12,2,FALSE)</f>
        <v>BICOLOR NARANJA NEGRO</v>
      </c>
      <c r="F23" s="11" t="s">
        <v>1090</v>
      </c>
      <c r="G23" s="11" t="s">
        <v>11</v>
      </c>
      <c r="H23" s="11" t="s">
        <v>1091</v>
      </c>
      <c r="I23" s="11" t="s">
        <v>1086</v>
      </c>
      <c r="J23" s="25">
        <v>750</v>
      </c>
      <c r="K23" s="25">
        <f>456+96+198</f>
        <v>750</v>
      </c>
      <c r="L23" s="15">
        <f t="shared" si="5"/>
        <v>0</v>
      </c>
      <c r="M23" s="24"/>
      <c r="N23" s="96">
        <v>46038</v>
      </c>
    </row>
    <row r="24" spans="1:14" x14ac:dyDescent="0.25">
      <c r="A24" s="11">
        <f t="shared" ca="1" si="3"/>
        <v>-244</v>
      </c>
      <c r="B24" s="37">
        <f t="shared" si="4"/>
        <v>176</v>
      </c>
      <c r="C24" s="11" t="s">
        <v>1097</v>
      </c>
      <c r="D24" s="11" t="str">
        <f>VLOOKUP(VALUE(MID($C24,13,2)), codigos!$A$2:$B$60, 2, 1) &amp; " " &amp; VLOOKUP(VALUE(MID($C24,15,4)), codigos!$E$2:$F$102, 2, FALSE)</f>
        <v>TAZA BISTRO S/I</v>
      </c>
      <c r="E24" s="11" t="str">
        <f>VLOOKUP(VALUE(MID($C24,19,2)),codigos!$H$2:$I$62,2,1) &amp; " " &amp; VLOOKUP(VALUE(MID($C24,21,2)),codigos!$K$2:$L$12,2,FALSE)</f>
        <v>NEGRO S/I</v>
      </c>
      <c r="F24" s="11" t="s">
        <v>1090</v>
      </c>
      <c r="G24" s="11" t="s">
        <v>11</v>
      </c>
      <c r="H24" s="11" t="s">
        <v>1091</v>
      </c>
      <c r="I24" s="11" t="s">
        <v>1086</v>
      </c>
      <c r="J24" s="25">
        <v>63</v>
      </c>
      <c r="K24" s="25">
        <v>63</v>
      </c>
      <c r="L24" s="15">
        <f t="shared" si="5"/>
        <v>0</v>
      </c>
      <c r="M24" s="24"/>
      <c r="N24" s="96">
        <v>46038</v>
      </c>
    </row>
    <row r="25" spans="1:14" x14ac:dyDescent="0.25">
      <c r="A25" s="11">
        <f t="shared" ca="1" si="3"/>
        <v>-244</v>
      </c>
      <c r="B25" s="37">
        <f t="shared" si="4"/>
        <v>176</v>
      </c>
      <c r="C25" s="11" t="s">
        <v>1098</v>
      </c>
      <c r="D25" s="11" t="str">
        <f>VLOOKUP(VALUE(MID($C25,13,2)), codigos!$A$2:$B$60, 2, 1) &amp; " " &amp; VLOOKUP(VALUE(MID($C25,15,4)), codigos!$E$2:$F$102, 2, FALSE)</f>
        <v>VASO 8</v>
      </c>
      <c r="E25" s="11" t="str">
        <f>VLOOKUP(VALUE(MID($C25,19,2)),codigos!$H$2:$I$62,2,1) &amp; " " &amp; VLOOKUP(VALUE(MID($C25,21,2)),codigos!$K$2:$L$12,2,FALSE)</f>
        <v>NEGRO MOTAS S/I</v>
      </c>
      <c r="F25" s="11" t="s">
        <v>1090</v>
      </c>
      <c r="G25" s="11" t="s">
        <v>11</v>
      </c>
      <c r="H25" s="11" t="s">
        <v>1091</v>
      </c>
      <c r="I25" s="11" t="s">
        <v>1086</v>
      </c>
      <c r="J25" s="25">
        <v>72</v>
      </c>
      <c r="K25" s="25">
        <v>72</v>
      </c>
      <c r="L25" s="15">
        <f t="shared" si="5"/>
        <v>0</v>
      </c>
      <c r="M25" s="24"/>
      <c r="N25" s="96">
        <v>46038</v>
      </c>
    </row>
    <row r="26" spans="1:14" x14ac:dyDescent="0.25">
      <c r="A26" s="11">
        <f t="shared" ca="1" si="3"/>
        <v>-244</v>
      </c>
      <c r="B26" s="37">
        <f t="shared" si="4"/>
        <v>176</v>
      </c>
      <c r="C26" s="11" t="s">
        <v>1099</v>
      </c>
      <c r="D26" s="11" t="str">
        <f>VLOOKUP(VALUE(MID($C26,13,2)), codigos!$A$2:$B$60, 2, 1) &amp; " " &amp; VLOOKUP(VALUE(MID($C26,15,4)), codigos!$E$2:$F$102, 2, FALSE)</f>
        <v>PLATO LISO 16</v>
      </c>
      <c r="E26" s="11" t="str">
        <f>VLOOKUP(VALUE(MID($C26,19,2)),codigos!$H$2:$I$62,2,1) &amp; " " &amp; VLOOKUP(VALUE(MID($C26,21,2)),codigos!$K$2:$L$12,2,FALSE)</f>
        <v>NEGRO MOTAS S/I</v>
      </c>
      <c r="F26" s="11" t="s">
        <v>1090</v>
      </c>
      <c r="G26" s="11" t="s">
        <v>11</v>
      </c>
      <c r="H26" s="11" t="s">
        <v>1091</v>
      </c>
      <c r="I26" s="11" t="s">
        <v>1086</v>
      </c>
      <c r="J26" s="25">
        <v>63</v>
      </c>
      <c r="K26" s="25">
        <v>63</v>
      </c>
      <c r="L26" s="15">
        <f t="shared" si="5"/>
        <v>0</v>
      </c>
      <c r="M26" s="17">
        <f>(SUM(K10:K26))/(SUM(J10:J26))</f>
        <v>1</v>
      </c>
      <c r="N26" s="96">
        <v>46038</v>
      </c>
    </row>
    <row r="27" spans="1:14" x14ac:dyDescent="0.25">
      <c r="A27" s="11">
        <f t="shared" ca="1" si="3"/>
        <v>-244</v>
      </c>
      <c r="B27" s="37">
        <f t="shared" si="4"/>
        <v>176</v>
      </c>
      <c r="C27" s="11" t="s">
        <v>209</v>
      </c>
      <c r="D27" s="11" t="str">
        <f>VLOOKUP(VALUE(MID($C27,13,2)), codigos!$A$2:$B$60, 2, 1) &amp; " " &amp; VLOOKUP(VALUE(MID($C27,15,4)), codigos!$E$2:$F$102, 2, FALSE)</f>
        <v>BAÑO 2</v>
      </c>
      <c r="E27" s="11" t="str">
        <f>VLOOKUP(VALUE(MID($C27,19,2)),codigos!$H$2:$I$62,2,1) &amp; " " &amp; VLOOKUP(VALUE(MID($C27,21,2)),codigos!$K$2:$L$12,2,FALSE)</f>
        <v>GALVANIZADO S/I</v>
      </c>
      <c r="F27" s="11" t="s">
        <v>1100</v>
      </c>
      <c r="G27" s="11" t="s">
        <v>11</v>
      </c>
      <c r="H27" s="11" t="s">
        <v>1101</v>
      </c>
      <c r="I27" s="11" t="s">
        <v>1086</v>
      </c>
      <c r="J27" s="25">
        <v>10</v>
      </c>
      <c r="K27" s="25">
        <v>10</v>
      </c>
      <c r="L27" s="15">
        <f t="shared" si="5"/>
        <v>0</v>
      </c>
      <c r="M27" s="24"/>
      <c r="N27" s="96">
        <v>46038</v>
      </c>
    </row>
    <row r="28" spans="1:14" x14ac:dyDescent="0.25">
      <c r="A28" s="11">
        <f t="shared" ca="1" si="3"/>
        <v>-244</v>
      </c>
      <c r="B28" s="37">
        <f t="shared" si="4"/>
        <v>176</v>
      </c>
      <c r="C28" s="11" t="s">
        <v>280</v>
      </c>
      <c r="D28" s="11" t="str">
        <f>VLOOKUP(VALUE(MID($C28,13,2)), codigos!$A$2:$B$60, 2, 1) &amp; " " &amp; VLOOKUP(VALUE(MID($C28,15,4)), codigos!$E$2:$F$102, 2, FALSE)</f>
        <v>MULTIUSOS S/I</v>
      </c>
      <c r="E28" s="11" t="str">
        <f>VLOOKUP(VALUE(MID($C28,19,2)),codigos!$H$2:$I$62,2,1) &amp; " " &amp; VLOOKUP(VALUE(MID($C28,21,2)),codigos!$K$2:$L$12,2,FALSE)</f>
        <v>BLANCO  NEGRO</v>
      </c>
      <c r="F28" s="11" t="s">
        <v>1100</v>
      </c>
      <c r="G28" s="11" t="s">
        <v>11</v>
      </c>
      <c r="H28" s="11" t="s">
        <v>1101</v>
      </c>
      <c r="I28" s="11" t="s">
        <v>1086</v>
      </c>
      <c r="J28" s="25">
        <v>81</v>
      </c>
      <c r="K28" s="25">
        <v>81</v>
      </c>
      <c r="L28" s="15">
        <f t="shared" si="5"/>
        <v>0</v>
      </c>
      <c r="M28" s="24"/>
      <c r="N28" s="96">
        <v>46038</v>
      </c>
    </row>
    <row r="29" spans="1:14" x14ac:dyDescent="0.25">
      <c r="A29" s="11">
        <f t="shared" ca="1" si="3"/>
        <v>-244</v>
      </c>
      <c r="B29" s="37">
        <f t="shared" si="4"/>
        <v>176</v>
      </c>
      <c r="C29" s="11" t="s">
        <v>283</v>
      </c>
      <c r="D29" s="11" t="str">
        <f>VLOOKUP(VALUE(MID($C29,13,2)), codigos!$A$2:$B$60, 2, 1) &amp; " " &amp; VLOOKUP(VALUE(MID($C29,15,4)), codigos!$E$2:$F$102, 2, FALSE)</f>
        <v>PLATO AVENERO 20</v>
      </c>
      <c r="E29" s="11" t="str">
        <f>VLOOKUP(VALUE(MID($C29,19,2)),codigos!$H$2:$I$62,2,1) &amp; " " &amp; VLOOKUP(VALUE(MID($C29,21,2)),codigos!$K$2:$L$12,2,FALSE)</f>
        <v>BLANCO  NEGRO</v>
      </c>
      <c r="F29" s="11" t="s">
        <v>1100</v>
      </c>
      <c r="G29" s="11" t="s">
        <v>11</v>
      </c>
      <c r="H29" s="11" t="s">
        <v>1101</v>
      </c>
      <c r="I29" s="11" t="s">
        <v>1086</v>
      </c>
      <c r="J29" s="25">
        <v>120</v>
      </c>
      <c r="K29" s="25">
        <v>120</v>
      </c>
      <c r="L29" s="15">
        <f t="shared" si="5"/>
        <v>0</v>
      </c>
      <c r="M29" s="24"/>
      <c r="N29" s="96">
        <v>46038</v>
      </c>
    </row>
    <row r="30" spans="1:14" x14ac:dyDescent="0.25">
      <c r="A30" s="11">
        <f t="shared" ca="1" si="3"/>
        <v>-244</v>
      </c>
      <c r="B30" s="37">
        <f t="shared" si="4"/>
        <v>176</v>
      </c>
      <c r="C30" s="11" t="s">
        <v>67</v>
      </c>
      <c r="D30" s="11" t="str">
        <f>VLOOKUP(VALUE(MID($C30,13,2)), codigos!$A$2:$B$60, 2, 1) &amp; " " &amp; VLOOKUP(VALUE(MID($C30,15,4)), codigos!$E$2:$F$102, 2, FALSE)</f>
        <v>PLATO BISTRO 16</v>
      </c>
      <c r="E30" s="11" t="str">
        <f>VLOOKUP(VALUE(MID($C30,19,2)),codigos!$H$2:$I$62,2,1) &amp; " " &amp; VLOOKUP(VALUE(MID($C30,21,2)),codigos!$K$2:$L$12,2,FALSE)</f>
        <v>NEGRO S/I</v>
      </c>
      <c r="F30" s="11" t="s">
        <v>1100</v>
      </c>
      <c r="G30" s="11" t="s">
        <v>11</v>
      </c>
      <c r="H30" s="11" t="s">
        <v>1101</v>
      </c>
      <c r="I30" s="11" t="s">
        <v>1086</v>
      </c>
      <c r="J30" s="25">
        <v>72</v>
      </c>
      <c r="K30" s="25">
        <v>72</v>
      </c>
      <c r="L30" s="15">
        <f t="shared" si="5"/>
        <v>0</v>
      </c>
      <c r="M30" s="24"/>
      <c r="N30" s="96">
        <v>46038</v>
      </c>
    </row>
    <row r="31" spans="1:14" x14ac:dyDescent="0.25">
      <c r="A31" s="11">
        <f t="shared" ca="1" si="3"/>
        <v>-244</v>
      </c>
      <c r="B31" s="37">
        <f t="shared" si="4"/>
        <v>176</v>
      </c>
      <c r="C31" s="11" t="s">
        <v>121</v>
      </c>
      <c r="D31" s="11" t="str">
        <f>VLOOKUP(VALUE(MID($C31,13,2)), codigos!$A$2:$B$60, 2, 1) &amp; " " &amp; VLOOKUP(VALUE(MID($C31,15,4)), codigos!$E$2:$F$102, 2, FALSE)</f>
        <v>PLATO HONDO 27</v>
      </c>
      <c r="E31" s="11" t="str">
        <f>VLOOKUP(VALUE(MID($C31,19,2)),codigos!$H$2:$I$62,2,1) &amp; " " &amp; VLOOKUP(VALUE(MID($C31,21,2)),codigos!$K$2:$L$12,2,FALSE)</f>
        <v>BLANCO  NEGRO</v>
      </c>
      <c r="F31" s="11" t="s">
        <v>1100</v>
      </c>
      <c r="G31" s="11" t="s">
        <v>11</v>
      </c>
      <c r="H31" s="11" t="s">
        <v>1101</v>
      </c>
      <c r="I31" s="11" t="s">
        <v>1086</v>
      </c>
      <c r="J31" s="25">
        <v>81</v>
      </c>
      <c r="K31" s="25">
        <f>14+67</f>
        <v>81</v>
      </c>
      <c r="L31" s="15">
        <f t="shared" si="5"/>
        <v>0</v>
      </c>
      <c r="M31" s="24"/>
      <c r="N31" s="96">
        <v>46038</v>
      </c>
    </row>
    <row r="32" spans="1:14" x14ac:dyDescent="0.25">
      <c r="A32" s="11">
        <f t="shared" ca="1" si="3"/>
        <v>-244</v>
      </c>
      <c r="B32" s="37">
        <f t="shared" si="4"/>
        <v>176</v>
      </c>
      <c r="C32" s="11" t="s">
        <v>1092</v>
      </c>
      <c r="D32" s="11" t="str">
        <f>VLOOKUP(VALUE(MID($C32,13,2)), codigos!$A$2:$B$60, 2, 1) &amp; " " &amp; VLOOKUP(VALUE(MID($C32,15,4)), codigos!$E$2:$F$102, 2, FALSE)</f>
        <v>PLATO LISO 20</v>
      </c>
      <c r="E32" s="11" t="str">
        <f>VLOOKUP(VALUE(MID($C32,19,2)),codigos!$H$2:$I$62,2,1) &amp; " " &amp; VLOOKUP(VALUE(MID($C32,21,2)),codigos!$K$2:$L$12,2,FALSE)</f>
        <v>BLANCO  NEGRO</v>
      </c>
      <c r="F32" s="11" t="s">
        <v>1100</v>
      </c>
      <c r="G32" s="11" t="s">
        <v>11</v>
      </c>
      <c r="H32" s="11" t="s">
        <v>1101</v>
      </c>
      <c r="I32" s="11" t="s">
        <v>1086</v>
      </c>
      <c r="J32" s="25">
        <v>126</v>
      </c>
      <c r="K32" s="25">
        <v>126</v>
      </c>
      <c r="L32" s="15">
        <f t="shared" si="5"/>
        <v>0</v>
      </c>
      <c r="M32" s="24"/>
      <c r="N32" s="96">
        <v>46038</v>
      </c>
    </row>
    <row r="33" spans="1:14" x14ac:dyDescent="0.25">
      <c r="A33" s="11">
        <f t="shared" ca="1" si="3"/>
        <v>-244</v>
      </c>
      <c r="B33" s="37">
        <f t="shared" si="4"/>
        <v>176</v>
      </c>
      <c r="C33" s="11" t="s">
        <v>288</v>
      </c>
      <c r="D33" s="11" t="str">
        <f>VLOOKUP(VALUE(MID($C33,13,2)), codigos!$A$2:$B$60, 2, 1) &amp; " " &amp; VLOOKUP(VALUE(MID($C33,15,4)), codigos!$E$2:$F$102, 2, FALSE)</f>
        <v>PLATO LISO 20</v>
      </c>
      <c r="E33" s="11" t="str">
        <f>VLOOKUP(VALUE(MID($C33,19,2)),codigos!$H$2:$I$62,2,1) &amp; " " &amp; VLOOKUP(VALUE(MID($C33,21,2)),codigos!$K$2:$L$12,2,FALSE)</f>
        <v>BLANCO  NEGRO</v>
      </c>
      <c r="F33" s="11" t="s">
        <v>1100</v>
      </c>
      <c r="G33" s="11" t="s">
        <v>11</v>
      </c>
      <c r="H33" s="11" t="s">
        <v>1101</v>
      </c>
      <c r="I33" s="11" t="s">
        <v>1086</v>
      </c>
      <c r="J33" s="25">
        <v>801</v>
      </c>
      <c r="K33" s="25">
        <f>599+126+36-24+12+18+34</f>
        <v>801</v>
      </c>
      <c r="L33" s="15">
        <f t="shared" si="5"/>
        <v>0</v>
      </c>
      <c r="M33" s="24"/>
      <c r="N33" s="96">
        <v>46038</v>
      </c>
    </row>
    <row r="34" spans="1:14" x14ac:dyDescent="0.25">
      <c r="A34" s="11">
        <f t="shared" ca="1" si="3"/>
        <v>-244</v>
      </c>
      <c r="B34" s="37">
        <f t="shared" si="4"/>
        <v>176</v>
      </c>
      <c r="C34" s="11" t="s">
        <v>302</v>
      </c>
      <c r="D34" s="11" t="str">
        <f>VLOOKUP(VALUE(MID($C34,13,2)), codigos!$A$2:$B$60, 2, 1) &amp; " " &amp; VLOOKUP(VALUE(MID($C34,15,4)), codigos!$E$2:$F$102, 2, FALSE)</f>
        <v>TAZON 8</v>
      </c>
      <c r="E34" s="11" t="str">
        <f>VLOOKUP(VALUE(MID($C34,19,2)),codigos!$H$2:$I$62,2,1) &amp; " " &amp; VLOOKUP(VALUE(MID($C34,21,2)),codigos!$K$2:$L$12,2,FALSE)</f>
        <v>BLANCO  NEGRO</v>
      </c>
      <c r="F34" s="11" t="s">
        <v>1100</v>
      </c>
      <c r="G34" s="11" t="s">
        <v>11</v>
      </c>
      <c r="H34" s="11" t="s">
        <v>1101</v>
      </c>
      <c r="I34" s="11" t="s">
        <v>1086</v>
      </c>
      <c r="J34" s="25">
        <v>882</v>
      </c>
      <c r="K34" s="25">
        <v>882</v>
      </c>
      <c r="L34" s="15">
        <f t="shared" si="5"/>
        <v>0</v>
      </c>
      <c r="M34" s="24"/>
      <c r="N34" s="96">
        <v>46038</v>
      </c>
    </row>
    <row r="35" spans="1:14" x14ac:dyDescent="0.25">
      <c r="A35" s="11">
        <f t="shared" ca="1" si="3"/>
        <v>-244</v>
      </c>
      <c r="B35" s="37">
        <f t="shared" si="4"/>
        <v>176</v>
      </c>
      <c r="C35" s="11" t="s">
        <v>388</v>
      </c>
      <c r="D35" s="11" t="str">
        <f>VLOOKUP(VALUE(MID($C35,13,2)), codigos!$A$2:$B$60, 2, 1) &amp; " " &amp; VLOOKUP(VALUE(MID($C35,15,4)), codigos!$E$2:$F$102, 2, FALSE)</f>
        <v>TAZON 20</v>
      </c>
      <c r="E35" s="11" t="str">
        <f>VLOOKUP(VALUE(MID($C35,19,2)),codigos!$H$2:$I$62,2,1) &amp; " " &amp; VLOOKUP(VALUE(MID($C35,21,2)),codigos!$K$2:$L$12,2,FALSE)</f>
        <v>BICOLOR NARANJA S/I</v>
      </c>
      <c r="F35" s="11" t="s">
        <v>1100</v>
      </c>
      <c r="G35" s="11" t="s">
        <v>11</v>
      </c>
      <c r="H35" s="11" t="s">
        <v>1101</v>
      </c>
      <c r="I35" s="11" t="s">
        <v>1086</v>
      </c>
      <c r="J35" s="25">
        <v>150</v>
      </c>
      <c r="K35" s="25">
        <f>120+30</f>
        <v>150</v>
      </c>
      <c r="L35" s="15">
        <f t="shared" si="5"/>
        <v>0</v>
      </c>
      <c r="M35" s="24"/>
      <c r="N35" s="96">
        <v>46038</v>
      </c>
    </row>
    <row r="36" spans="1:14" x14ac:dyDescent="0.25">
      <c r="A36" s="11">
        <f t="shared" ca="1" si="3"/>
        <v>-244</v>
      </c>
      <c r="B36" s="37">
        <f t="shared" si="4"/>
        <v>176</v>
      </c>
      <c r="C36" s="11" t="s">
        <v>93</v>
      </c>
      <c r="D36" s="11" t="str">
        <f>VLOOKUP(VALUE(MID($C36,13,2)), codigos!$A$2:$B$60, 2, 1) &amp; " " &amp; VLOOKUP(VALUE(MID($C36,15,4)), codigos!$E$2:$F$102, 2, FALSE)</f>
        <v>TAZON INCLINADO 8</v>
      </c>
      <c r="E36" s="11" t="str">
        <f>VLOOKUP(VALUE(MID($C36,19,2)),codigos!$H$2:$I$62,2,1) &amp; " " &amp; VLOOKUP(VALUE(MID($C36,21,2)),codigos!$K$2:$L$12,2,FALSE)</f>
        <v>BLANCO  NEGRO</v>
      </c>
      <c r="F36" s="11" t="s">
        <v>1100</v>
      </c>
      <c r="G36" s="11" t="s">
        <v>11</v>
      </c>
      <c r="H36" s="11" t="s">
        <v>1101</v>
      </c>
      <c r="I36" s="11" t="s">
        <v>1086</v>
      </c>
      <c r="J36" s="25">
        <v>135</v>
      </c>
      <c r="K36" s="25">
        <f>45+26+64</f>
        <v>135</v>
      </c>
      <c r="L36" s="15">
        <f t="shared" si="5"/>
        <v>0</v>
      </c>
      <c r="M36" s="24"/>
      <c r="N36" s="96">
        <v>46038</v>
      </c>
    </row>
    <row r="37" spans="1:14" x14ac:dyDescent="0.25">
      <c r="A37" s="11">
        <f t="shared" ca="1" si="3"/>
        <v>-244</v>
      </c>
      <c r="B37" s="37">
        <f t="shared" si="4"/>
        <v>176</v>
      </c>
      <c r="C37" s="11" t="s">
        <v>1093</v>
      </c>
      <c r="D37" s="11" t="str">
        <f>VLOOKUP(VALUE(MID($C37,13,2)), codigos!$A$2:$B$60, 2, 1) &amp; " " &amp; VLOOKUP(VALUE(MID($C37,15,4)), codigos!$E$2:$F$102, 2, FALSE)</f>
        <v>PLATO LISO 32</v>
      </c>
      <c r="E37" s="11" t="str">
        <f>VLOOKUP(VALUE(MID($C37,19,2)),codigos!$H$2:$I$62,2,1) &amp; " " &amp; VLOOKUP(VALUE(MID($C37,21,2)),codigos!$K$2:$L$12,2,FALSE)</f>
        <v>GENERICO S/I</v>
      </c>
      <c r="F37" s="11" t="s">
        <v>1100</v>
      </c>
      <c r="G37" s="11" t="s">
        <v>11</v>
      </c>
      <c r="H37" s="11" t="s">
        <v>1101</v>
      </c>
      <c r="I37" s="11" t="s">
        <v>1086</v>
      </c>
      <c r="J37" s="25">
        <v>75</v>
      </c>
      <c r="K37" s="25">
        <v>75</v>
      </c>
      <c r="L37" s="15">
        <f t="shared" si="5"/>
        <v>0</v>
      </c>
      <c r="M37" s="24"/>
      <c r="N37" s="96">
        <v>46038</v>
      </c>
    </row>
    <row r="38" spans="1:14" x14ac:dyDescent="0.25">
      <c r="A38" s="11">
        <f t="shared" ca="1" si="3"/>
        <v>-244</v>
      </c>
      <c r="B38" s="37">
        <f t="shared" si="4"/>
        <v>176</v>
      </c>
      <c r="C38" s="11" t="s">
        <v>1094</v>
      </c>
      <c r="D38" s="11" t="str">
        <f>VLOOKUP(VALUE(MID($C38,13,2)), codigos!$A$2:$B$60, 2, 1) &amp; " " &amp; VLOOKUP(VALUE(MID($C38,15,4)), codigos!$E$2:$F$102, 2, FALSE)</f>
        <v>POCILLO 5</v>
      </c>
      <c r="E38" s="11" t="str">
        <f>VLOOKUP(VALUE(MID($C38,19,2)),codigos!$H$2:$I$62,2,1) &amp; " " &amp; VLOOKUP(VALUE(MID($C38,21,2)),codigos!$K$2:$L$12,2,FALSE)</f>
        <v>NEGRO S/I</v>
      </c>
      <c r="F38" s="11" t="s">
        <v>1100</v>
      </c>
      <c r="G38" s="11" t="s">
        <v>11</v>
      </c>
      <c r="H38" s="11" t="s">
        <v>1101</v>
      </c>
      <c r="I38" s="11" t="s">
        <v>1086</v>
      </c>
      <c r="J38" s="25">
        <v>72</v>
      </c>
      <c r="K38" s="25">
        <v>72</v>
      </c>
      <c r="L38" s="15">
        <f t="shared" si="5"/>
        <v>0</v>
      </c>
      <c r="M38" s="24"/>
      <c r="N38" s="96">
        <v>46038</v>
      </c>
    </row>
    <row r="39" spans="1:14" x14ac:dyDescent="0.25">
      <c r="A39" s="11">
        <f t="shared" ca="1" si="3"/>
        <v>-244</v>
      </c>
      <c r="B39" s="37">
        <f t="shared" si="4"/>
        <v>176</v>
      </c>
      <c r="C39" s="11" t="s">
        <v>1095</v>
      </c>
      <c r="D39" s="11" t="str">
        <f>VLOOKUP(VALUE(MID($C39,13,2)), codigos!$A$2:$B$60, 2, 1) &amp; " " &amp; VLOOKUP(VALUE(MID($C39,15,4)), codigos!$E$2:$F$102, 2, FALSE)</f>
        <v>TAZON INCLINADO 22</v>
      </c>
      <c r="E39" s="11" t="str">
        <f>VLOOKUP(VALUE(MID($C39,19,2)),codigos!$H$2:$I$62,2,1) &amp; " " &amp; VLOOKUP(VALUE(MID($C39,21,2)),codigos!$K$2:$L$12,2,FALSE)</f>
        <v>BICOLOR NARANJA NEGRO</v>
      </c>
      <c r="F39" s="11" t="s">
        <v>1100</v>
      </c>
      <c r="G39" s="11" t="s">
        <v>11</v>
      </c>
      <c r="H39" s="11" t="s">
        <v>1101</v>
      </c>
      <c r="I39" s="11" t="s">
        <v>1086</v>
      </c>
      <c r="J39" s="25">
        <v>126</v>
      </c>
      <c r="K39" s="25">
        <v>126</v>
      </c>
      <c r="L39" s="15">
        <f t="shared" si="5"/>
        <v>0</v>
      </c>
      <c r="M39" s="24"/>
      <c r="N39" s="96">
        <v>46038</v>
      </c>
    </row>
    <row r="40" spans="1:14" x14ac:dyDescent="0.25">
      <c r="A40" s="11">
        <f t="shared" ca="1" si="3"/>
        <v>-244</v>
      </c>
      <c r="B40" s="37">
        <f t="shared" si="4"/>
        <v>176</v>
      </c>
      <c r="C40" s="11" t="s">
        <v>1096</v>
      </c>
      <c r="D40" s="11" t="str">
        <f>VLOOKUP(VALUE(MID($C40,13,2)), codigos!$A$2:$B$60, 2, 1) &amp; " " &amp; VLOOKUP(VALUE(MID($C40,15,4)), codigos!$E$2:$F$102, 2, FALSE)</f>
        <v>POCILLO 5</v>
      </c>
      <c r="E40" s="11" t="str">
        <f>VLOOKUP(VALUE(MID($C40,19,2)),codigos!$H$2:$I$62,2,1) &amp; " " &amp; VLOOKUP(VALUE(MID($C40,21,2)),codigos!$K$2:$L$12,2,FALSE)</f>
        <v>BICOLOR NARANJA NEGRO</v>
      </c>
      <c r="F40" s="11" t="s">
        <v>1100</v>
      </c>
      <c r="G40" s="11" t="s">
        <v>11</v>
      </c>
      <c r="H40" s="11" t="s">
        <v>1101</v>
      </c>
      <c r="I40" s="11" t="s">
        <v>1086</v>
      </c>
      <c r="J40" s="25">
        <v>750</v>
      </c>
      <c r="K40" s="25">
        <f>258+384+108</f>
        <v>750</v>
      </c>
      <c r="L40" s="15">
        <f t="shared" si="5"/>
        <v>0</v>
      </c>
      <c r="M40" s="24"/>
      <c r="N40" s="96">
        <v>46038</v>
      </c>
    </row>
    <row r="41" spans="1:14" x14ac:dyDescent="0.25">
      <c r="A41" s="11">
        <f t="shared" ca="1" si="3"/>
        <v>-244</v>
      </c>
      <c r="B41" s="37">
        <f t="shared" si="4"/>
        <v>176</v>
      </c>
      <c r="C41" s="11" t="s">
        <v>1097</v>
      </c>
      <c r="D41" s="11" t="str">
        <f>VLOOKUP(VALUE(MID($C41,13,2)), codigos!$A$2:$B$60, 2, 1) &amp; " " &amp; VLOOKUP(VALUE(MID($C41,15,4)), codigos!$E$2:$F$102, 2, FALSE)</f>
        <v>TAZA BISTRO S/I</v>
      </c>
      <c r="E41" s="11" t="str">
        <f>VLOOKUP(VALUE(MID($C41,19,2)),codigos!$H$2:$I$62,2,1) &amp; " " &amp; VLOOKUP(VALUE(MID($C41,21,2)),codigos!$K$2:$L$12,2,FALSE)</f>
        <v>NEGRO S/I</v>
      </c>
      <c r="F41" s="11" t="s">
        <v>1100</v>
      </c>
      <c r="G41" s="11" t="s">
        <v>11</v>
      </c>
      <c r="H41" s="11" t="s">
        <v>1101</v>
      </c>
      <c r="I41" s="11" t="s">
        <v>1086</v>
      </c>
      <c r="J41" s="25">
        <v>63</v>
      </c>
      <c r="K41" s="25">
        <v>63</v>
      </c>
      <c r="L41" s="15">
        <f t="shared" si="5"/>
        <v>0</v>
      </c>
      <c r="M41" s="24"/>
      <c r="N41" s="96">
        <v>46038</v>
      </c>
    </row>
    <row r="42" spans="1:14" x14ac:dyDescent="0.25">
      <c r="A42" s="11">
        <f t="shared" ca="1" si="3"/>
        <v>-244</v>
      </c>
      <c r="B42" s="37">
        <f t="shared" si="4"/>
        <v>176</v>
      </c>
      <c r="C42" s="11" t="s">
        <v>1098</v>
      </c>
      <c r="D42" s="11" t="str">
        <f>VLOOKUP(VALUE(MID($C42,13,2)), codigos!$A$2:$B$60, 2, 1) &amp; " " &amp; VLOOKUP(VALUE(MID($C42,15,4)), codigos!$E$2:$F$102, 2, FALSE)</f>
        <v>VASO 8</v>
      </c>
      <c r="E42" s="11" t="str">
        <f>VLOOKUP(VALUE(MID($C42,19,2)),codigos!$H$2:$I$62,2,1) &amp; " " &amp; VLOOKUP(VALUE(MID($C42,21,2)),codigos!$K$2:$L$12,2,FALSE)</f>
        <v>NEGRO MOTAS S/I</v>
      </c>
      <c r="F42" s="11" t="s">
        <v>1100</v>
      </c>
      <c r="G42" s="11" t="s">
        <v>11</v>
      </c>
      <c r="H42" s="11" t="s">
        <v>1101</v>
      </c>
      <c r="I42" s="11" t="s">
        <v>1086</v>
      </c>
      <c r="J42" s="25">
        <v>72</v>
      </c>
      <c r="K42" s="25">
        <v>72</v>
      </c>
      <c r="L42" s="15">
        <f t="shared" si="5"/>
        <v>0</v>
      </c>
      <c r="M42" s="24"/>
      <c r="N42" s="96">
        <v>46038</v>
      </c>
    </row>
    <row r="43" spans="1:14" x14ac:dyDescent="0.25">
      <c r="A43" s="11">
        <f t="shared" ca="1" si="3"/>
        <v>-244</v>
      </c>
      <c r="B43" s="37">
        <f t="shared" si="4"/>
        <v>176</v>
      </c>
      <c r="C43" s="11" t="s">
        <v>1099</v>
      </c>
      <c r="D43" s="11" t="str">
        <f>VLOOKUP(VALUE(MID($C43,13,2)), codigos!$A$2:$B$60, 2, 1) &amp; " " &amp; VLOOKUP(VALUE(MID($C43,15,4)), codigos!$E$2:$F$102, 2, FALSE)</f>
        <v>PLATO LISO 16</v>
      </c>
      <c r="E43" s="11" t="str">
        <f>VLOOKUP(VALUE(MID($C43,19,2)),codigos!$H$2:$I$62,2,1) &amp; " " &amp; VLOOKUP(VALUE(MID($C43,21,2)),codigos!$K$2:$L$12,2,FALSE)</f>
        <v>NEGRO MOTAS S/I</v>
      </c>
      <c r="F43" s="11" t="s">
        <v>1100</v>
      </c>
      <c r="G43" s="11" t="s">
        <v>11</v>
      </c>
      <c r="H43" s="11" t="s">
        <v>1101</v>
      </c>
      <c r="I43" s="11" t="s">
        <v>1086</v>
      </c>
      <c r="J43" s="25">
        <v>63</v>
      </c>
      <c r="K43" s="25">
        <v>63</v>
      </c>
      <c r="L43" s="15">
        <f t="shared" si="5"/>
        <v>0</v>
      </c>
      <c r="M43" s="17">
        <f>(SUM(K27:K43))/(SUM(J27:J43))</f>
        <v>1</v>
      </c>
      <c r="N43" s="96">
        <v>46038</v>
      </c>
    </row>
    <row r="44" spans="1:14" x14ac:dyDescent="0.25">
      <c r="A44" s="11">
        <f t="shared" ca="1" si="3"/>
        <v>-244</v>
      </c>
      <c r="B44" s="37">
        <f t="shared" si="4"/>
        <v>176</v>
      </c>
      <c r="C44" s="11" t="s">
        <v>280</v>
      </c>
      <c r="D44" s="11" t="str">
        <f>VLOOKUP(VALUE(MID($C44,13,2)), codigos!$A$2:$B$60, 2, 1) &amp; " " &amp; VLOOKUP(VALUE(MID($C44,15,4)), codigos!$E$2:$F$102, 2, FALSE)</f>
        <v>MULTIUSOS S/I</v>
      </c>
      <c r="E44" s="11" t="str">
        <f>VLOOKUP(VALUE(MID($C44,19,2)),codigos!$H$2:$I$62,2,1) &amp; " " &amp; VLOOKUP(VALUE(MID($C44,21,2)),codigos!$K$2:$L$12,2,FALSE)</f>
        <v>BLANCO  NEGRO</v>
      </c>
      <c r="F44" s="11" t="s">
        <v>1102</v>
      </c>
      <c r="G44" s="11" t="s">
        <v>11</v>
      </c>
      <c r="H44" s="11" t="s">
        <v>1103</v>
      </c>
      <c r="I44" s="11" t="s">
        <v>1086</v>
      </c>
      <c r="J44" s="25">
        <v>81</v>
      </c>
      <c r="K44" s="25">
        <v>81</v>
      </c>
      <c r="L44" s="15">
        <f t="shared" si="5"/>
        <v>0</v>
      </c>
      <c r="M44" s="24"/>
      <c r="N44" s="96">
        <v>46038</v>
      </c>
    </row>
    <row r="45" spans="1:14" x14ac:dyDescent="0.25">
      <c r="A45" s="11">
        <f t="shared" ca="1" si="3"/>
        <v>-244</v>
      </c>
      <c r="B45" s="37">
        <f t="shared" si="4"/>
        <v>176</v>
      </c>
      <c r="C45" s="11" t="s">
        <v>283</v>
      </c>
      <c r="D45" s="11" t="str">
        <f>VLOOKUP(VALUE(MID($C45,13,2)), codigos!$A$2:$B$60, 2, 1) &amp; " " &amp; VLOOKUP(VALUE(MID($C45,15,4)), codigos!$E$2:$F$102, 2, FALSE)</f>
        <v>PLATO AVENERO 20</v>
      </c>
      <c r="E45" s="11" t="str">
        <f>VLOOKUP(VALUE(MID($C45,19,2)),codigos!$H$2:$I$62,2,1) &amp; " " &amp; VLOOKUP(VALUE(MID($C45,21,2)),codigos!$K$2:$L$12,2,FALSE)</f>
        <v>BLANCO  NEGRO</v>
      </c>
      <c r="F45" s="11" t="s">
        <v>1102</v>
      </c>
      <c r="G45" s="11" t="s">
        <v>11</v>
      </c>
      <c r="H45" s="11" t="s">
        <v>1103</v>
      </c>
      <c r="I45" s="11" t="s">
        <v>1086</v>
      </c>
      <c r="J45" s="25">
        <v>120</v>
      </c>
      <c r="K45" s="25">
        <v>120</v>
      </c>
      <c r="L45" s="15">
        <f t="shared" si="5"/>
        <v>0</v>
      </c>
      <c r="M45" s="24"/>
      <c r="N45" s="96">
        <v>46038</v>
      </c>
    </row>
    <row r="46" spans="1:14" x14ac:dyDescent="0.25">
      <c r="A46" s="11">
        <f t="shared" ca="1" si="3"/>
        <v>-244</v>
      </c>
      <c r="B46" s="37">
        <f t="shared" si="4"/>
        <v>176</v>
      </c>
      <c r="C46" s="11" t="s">
        <v>67</v>
      </c>
      <c r="D46" s="11" t="str">
        <f>VLOOKUP(VALUE(MID($C46,13,2)), codigos!$A$2:$B$60, 2, 1) &amp; " " &amp; VLOOKUP(VALUE(MID($C46,15,4)), codigos!$E$2:$F$102, 2, FALSE)</f>
        <v>PLATO BISTRO 16</v>
      </c>
      <c r="E46" s="11" t="str">
        <f>VLOOKUP(VALUE(MID($C46,19,2)),codigos!$H$2:$I$62,2,1) &amp; " " &amp; VLOOKUP(VALUE(MID($C46,21,2)),codigos!$K$2:$L$12,2,FALSE)</f>
        <v>NEGRO S/I</v>
      </c>
      <c r="F46" s="11" t="s">
        <v>1102</v>
      </c>
      <c r="G46" s="11" t="s">
        <v>11</v>
      </c>
      <c r="H46" s="11" t="s">
        <v>1103</v>
      </c>
      <c r="I46" s="11" t="s">
        <v>1086</v>
      </c>
      <c r="J46" s="25">
        <v>72</v>
      </c>
      <c r="K46" s="25">
        <v>72</v>
      </c>
      <c r="L46" s="15">
        <f t="shared" si="5"/>
        <v>0</v>
      </c>
      <c r="M46" s="24"/>
      <c r="N46" s="96">
        <v>46038</v>
      </c>
    </row>
    <row r="47" spans="1:14" x14ac:dyDescent="0.25">
      <c r="A47" s="11">
        <f t="shared" ca="1" si="3"/>
        <v>-244</v>
      </c>
      <c r="B47" s="37">
        <f t="shared" si="4"/>
        <v>176</v>
      </c>
      <c r="C47" s="11" t="s">
        <v>121</v>
      </c>
      <c r="D47" s="11" t="str">
        <f>VLOOKUP(VALUE(MID($C47,13,2)), codigos!$A$2:$B$60, 2, 1) &amp; " " &amp; VLOOKUP(VALUE(MID($C47,15,4)), codigos!$E$2:$F$102, 2, FALSE)</f>
        <v>PLATO HONDO 27</v>
      </c>
      <c r="E47" s="11" t="str">
        <f>VLOOKUP(VALUE(MID($C47,19,2)),codigos!$H$2:$I$62,2,1) &amp; " " &amp; VLOOKUP(VALUE(MID($C47,21,2)),codigos!$K$2:$L$12,2,FALSE)</f>
        <v>BLANCO  NEGRO</v>
      </c>
      <c r="F47" s="11" t="s">
        <v>1102</v>
      </c>
      <c r="G47" s="11" t="s">
        <v>11</v>
      </c>
      <c r="H47" s="11" t="s">
        <v>1103</v>
      </c>
      <c r="I47" s="11" t="s">
        <v>1086</v>
      </c>
      <c r="J47" s="25">
        <v>81</v>
      </c>
      <c r="K47" s="25">
        <f>60+21</f>
        <v>81</v>
      </c>
      <c r="L47" s="15">
        <f t="shared" si="5"/>
        <v>0</v>
      </c>
      <c r="M47" s="24"/>
      <c r="N47" s="96">
        <v>46038</v>
      </c>
    </row>
    <row r="48" spans="1:14" x14ac:dyDescent="0.25">
      <c r="A48" s="11">
        <f t="shared" ca="1" si="3"/>
        <v>-244</v>
      </c>
      <c r="B48" s="37">
        <f t="shared" si="4"/>
        <v>176</v>
      </c>
      <c r="C48" s="11" t="s">
        <v>1092</v>
      </c>
      <c r="D48" s="11" t="str">
        <f>VLOOKUP(VALUE(MID($C48,13,2)), codigos!$A$2:$B$60, 2, 1) &amp; " " &amp; VLOOKUP(VALUE(MID($C48,15,4)), codigos!$E$2:$F$102, 2, FALSE)</f>
        <v>PLATO LISO 20</v>
      </c>
      <c r="E48" s="11" t="str">
        <f>VLOOKUP(VALUE(MID($C48,19,2)),codigos!$H$2:$I$62,2,1) &amp; " " &amp; VLOOKUP(VALUE(MID($C48,21,2)),codigos!$K$2:$L$12,2,FALSE)</f>
        <v>BLANCO  NEGRO</v>
      </c>
      <c r="F48" s="11" t="s">
        <v>1102</v>
      </c>
      <c r="G48" s="11" t="s">
        <v>11</v>
      </c>
      <c r="H48" s="11" t="s">
        <v>1103</v>
      </c>
      <c r="I48" s="11" t="s">
        <v>1086</v>
      </c>
      <c r="J48" s="25">
        <v>126</v>
      </c>
      <c r="K48" s="25">
        <v>126</v>
      </c>
      <c r="L48" s="15">
        <f t="shared" si="5"/>
        <v>0</v>
      </c>
      <c r="M48" s="24"/>
      <c r="N48" s="96">
        <v>46038</v>
      </c>
    </row>
    <row r="49" spans="1:14" x14ac:dyDescent="0.25">
      <c r="A49" s="11">
        <f t="shared" ca="1" si="3"/>
        <v>-244</v>
      </c>
      <c r="B49" s="37">
        <f t="shared" si="4"/>
        <v>176</v>
      </c>
      <c r="C49" s="11" t="s">
        <v>288</v>
      </c>
      <c r="D49" s="11" t="str">
        <f>VLOOKUP(VALUE(MID($C49,13,2)), codigos!$A$2:$B$60, 2, 1) &amp; " " &amp; VLOOKUP(VALUE(MID($C49,15,4)), codigos!$E$2:$F$102, 2, FALSE)</f>
        <v>PLATO LISO 20</v>
      </c>
      <c r="E49" s="11" t="str">
        <f>VLOOKUP(VALUE(MID($C49,19,2)),codigos!$H$2:$I$62,2,1) &amp; " " &amp; VLOOKUP(VALUE(MID($C49,21,2)),codigos!$K$2:$L$12,2,FALSE)</f>
        <v>BLANCO  NEGRO</v>
      </c>
      <c r="F49" s="11" t="s">
        <v>1102</v>
      </c>
      <c r="G49" s="11" t="s">
        <v>11</v>
      </c>
      <c r="H49" s="11" t="s">
        <v>1103</v>
      </c>
      <c r="I49" s="11" t="s">
        <v>1086</v>
      </c>
      <c r="J49" s="25">
        <v>801</v>
      </c>
      <c r="K49" s="25">
        <f>104+156+216+228+97</f>
        <v>801</v>
      </c>
      <c r="L49" s="15">
        <f t="shared" si="5"/>
        <v>0</v>
      </c>
      <c r="M49" s="24"/>
      <c r="N49" s="96">
        <v>46038</v>
      </c>
    </row>
    <row r="50" spans="1:14" x14ac:dyDescent="0.25">
      <c r="A50" s="11">
        <f t="shared" ca="1" si="3"/>
        <v>-244</v>
      </c>
      <c r="B50" s="37">
        <f t="shared" si="4"/>
        <v>176</v>
      </c>
      <c r="C50" s="11" t="s">
        <v>302</v>
      </c>
      <c r="D50" s="11" t="str">
        <f>VLOOKUP(VALUE(MID($C50,13,2)), codigos!$A$2:$B$60, 2, 1) &amp; " " &amp; VLOOKUP(VALUE(MID($C50,15,4)), codigos!$E$2:$F$102, 2, FALSE)</f>
        <v>TAZON 8</v>
      </c>
      <c r="E50" s="11" t="str">
        <f>VLOOKUP(VALUE(MID($C50,19,2)),codigos!$H$2:$I$62,2,1) &amp; " " &amp; VLOOKUP(VALUE(MID($C50,21,2)),codigos!$K$2:$L$12,2,FALSE)</f>
        <v>BLANCO  NEGRO</v>
      </c>
      <c r="F50" s="11" t="s">
        <v>1102</v>
      </c>
      <c r="G50" s="11" t="s">
        <v>11</v>
      </c>
      <c r="H50" s="11" t="s">
        <v>1103</v>
      </c>
      <c r="I50" s="11" t="s">
        <v>1086</v>
      </c>
      <c r="J50" s="25">
        <v>882</v>
      </c>
      <c r="K50" s="25">
        <f>2+16+180+288+180+144+72</f>
        <v>882</v>
      </c>
      <c r="L50" s="15">
        <f t="shared" si="5"/>
        <v>0</v>
      </c>
      <c r="M50" s="24"/>
      <c r="N50" s="96">
        <v>46038</v>
      </c>
    </row>
    <row r="51" spans="1:14" x14ac:dyDescent="0.25">
      <c r="A51" s="11">
        <f t="shared" ca="1" si="3"/>
        <v>-244</v>
      </c>
      <c r="B51" s="37">
        <f t="shared" si="4"/>
        <v>176</v>
      </c>
      <c r="C51" s="11" t="s">
        <v>388</v>
      </c>
      <c r="D51" s="11" t="str">
        <f>VLOOKUP(VALUE(MID($C51,13,2)), codigos!$A$2:$B$60, 2, 1) &amp; " " &amp; VLOOKUP(VALUE(MID($C51,15,4)), codigos!$E$2:$F$102, 2, FALSE)</f>
        <v>TAZON 20</v>
      </c>
      <c r="E51" s="11" t="str">
        <f>VLOOKUP(VALUE(MID($C51,19,2)),codigos!$H$2:$I$62,2,1) &amp; " " &amp; VLOOKUP(VALUE(MID($C51,21,2)),codigos!$K$2:$L$12,2,FALSE)</f>
        <v>BICOLOR NARANJA S/I</v>
      </c>
      <c r="F51" s="11" t="s">
        <v>1102</v>
      </c>
      <c r="G51" s="11" t="s">
        <v>11</v>
      </c>
      <c r="H51" s="11" t="s">
        <v>1103</v>
      </c>
      <c r="I51" s="11" t="s">
        <v>1086</v>
      </c>
      <c r="J51" s="25">
        <v>150</v>
      </c>
      <c r="K51" s="25">
        <f>81+18+2+49</f>
        <v>150</v>
      </c>
      <c r="L51" s="15">
        <f t="shared" si="5"/>
        <v>0</v>
      </c>
      <c r="M51" s="24"/>
      <c r="N51" s="96">
        <v>46038</v>
      </c>
    </row>
    <row r="52" spans="1:14" x14ac:dyDescent="0.25">
      <c r="A52" s="11">
        <f t="shared" ca="1" si="3"/>
        <v>-244</v>
      </c>
      <c r="B52" s="37">
        <f t="shared" si="4"/>
        <v>176</v>
      </c>
      <c r="C52" s="11" t="s">
        <v>93</v>
      </c>
      <c r="D52" s="11" t="str">
        <f>VLOOKUP(VALUE(MID($C52,13,2)), codigos!$A$2:$B$60, 2, 1) &amp; " " &amp; VLOOKUP(VALUE(MID($C52,15,4)), codigos!$E$2:$F$102, 2, FALSE)</f>
        <v>TAZON INCLINADO 8</v>
      </c>
      <c r="E52" s="11" t="str">
        <f>VLOOKUP(VALUE(MID($C52,19,2)),codigos!$H$2:$I$62,2,1) &amp; " " &amp; VLOOKUP(VALUE(MID($C52,21,2)),codigos!$K$2:$L$12,2,FALSE)</f>
        <v>BLANCO  NEGRO</v>
      </c>
      <c r="F52" s="11" t="s">
        <v>1102</v>
      </c>
      <c r="G52" s="11" t="s">
        <v>11</v>
      </c>
      <c r="H52" s="11" t="s">
        <v>1103</v>
      </c>
      <c r="I52" s="11" t="s">
        <v>1086</v>
      </c>
      <c r="J52" s="25">
        <v>135</v>
      </c>
      <c r="K52" s="25">
        <f>44+91</f>
        <v>135</v>
      </c>
      <c r="L52" s="15">
        <f t="shared" si="5"/>
        <v>0</v>
      </c>
      <c r="M52" s="24"/>
      <c r="N52" s="96">
        <v>46038</v>
      </c>
    </row>
    <row r="53" spans="1:14" x14ac:dyDescent="0.25">
      <c r="A53" s="11">
        <f t="shared" ca="1" si="3"/>
        <v>-244</v>
      </c>
      <c r="B53" s="37">
        <f t="shared" si="4"/>
        <v>176</v>
      </c>
      <c r="C53" s="11" t="s">
        <v>1093</v>
      </c>
      <c r="D53" s="11" t="str">
        <f>VLOOKUP(VALUE(MID($C53,13,2)), codigos!$A$2:$B$60, 2, 1) &amp; " " &amp; VLOOKUP(VALUE(MID($C53,15,4)), codigos!$E$2:$F$102, 2, FALSE)</f>
        <v>PLATO LISO 32</v>
      </c>
      <c r="E53" s="11" t="str">
        <f>VLOOKUP(VALUE(MID($C53,19,2)),codigos!$H$2:$I$62,2,1) &amp; " " &amp; VLOOKUP(VALUE(MID($C53,21,2)),codigos!$K$2:$L$12,2,FALSE)</f>
        <v>GENERICO S/I</v>
      </c>
      <c r="F53" s="11" t="s">
        <v>1102</v>
      </c>
      <c r="G53" s="11" t="s">
        <v>11</v>
      </c>
      <c r="H53" s="11" t="s">
        <v>1103</v>
      </c>
      <c r="I53" s="11" t="s">
        <v>1086</v>
      </c>
      <c r="J53" s="25">
        <v>75</v>
      </c>
      <c r="K53" s="25">
        <v>75</v>
      </c>
      <c r="L53" s="15">
        <f t="shared" si="5"/>
        <v>0</v>
      </c>
      <c r="M53" s="24"/>
      <c r="N53" s="96">
        <v>46038</v>
      </c>
    </row>
    <row r="54" spans="1:14" x14ac:dyDescent="0.25">
      <c r="A54" s="11">
        <f t="shared" ca="1" si="3"/>
        <v>-244</v>
      </c>
      <c r="B54" s="37">
        <f t="shared" si="4"/>
        <v>176</v>
      </c>
      <c r="C54" s="11" t="s">
        <v>1094</v>
      </c>
      <c r="D54" s="11" t="str">
        <f>VLOOKUP(VALUE(MID($C54,13,2)), codigos!$A$2:$B$60, 2, 1) &amp; " " &amp; VLOOKUP(VALUE(MID($C54,15,4)), codigos!$E$2:$F$102, 2, FALSE)</f>
        <v>POCILLO 5</v>
      </c>
      <c r="E54" s="11" t="str">
        <f>VLOOKUP(VALUE(MID($C54,19,2)),codigos!$H$2:$I$62,2,1) &amp; " " &amp; VLOOKUP(VALUE(MID($C54,21,2)),codigos!$K$2:$L$12,2,FALSE)</f>
        <v>NEGRO S/I</v>
      </c>
      <c r="F54" s="11" t="s">
        <v>1102</v>
      </c>
      <c r="G54" s="11" t="s">
        <v>11</v>
      </c>
      <c r="H54" s="11" t="s">
        <v>1103</v>
      </c>
      <c r="I54" s="11" t="s">
        <v>1086</v>
      </c>
      <c r="J54" s="25">
        <v>72</v>
      </c>
      <c r="K54" s="25">
        <v>72</v>
      </c>
      <c r="L54" s="15">
        <f t="shared" si="5"/>
        <v>0</v>
      </c>
      <c r="M54" s="24"/>
      <c r="N54" s="96">
        <v>46038</v>
      </c>
    </row>
    <row r="55" spans="1:14" x14ac:dyDescent="0.25">
      <c r="A55" s="11">
        <f t="shared" ca="1" si="3"/>
        <v>-244</v>
      </c>
      <c r="B55" s="37">
        <f t="shared" si="4"/>
        <v>176</v>
      </c>
      <c r="C55" s="11" t="s">
        <v>1095</v>
      </c>
      <c r="D55" s="11" t="str">
        <f>VLOOKUP(VALUE(MID($C55,13,2)), codigos!$A$2:$B$60, 2, 1) &amp; " " &amp; VLOOKUP(VALUE(MID($C55,15,4)), codigos!$E$2:$F$102, 2, FALSE)</f>
        <v>TAZON INCLINADO 22</v>
      </c>
      <c r="E55" s="11" t="str">
        <f>VLOOKUP(VALUE(MID($C55,19,2)),codigos!$H$2:$I$62,2,1) &amp; " " &amp; VLOOKUP(VALUE(MID($C55,21,2)),codigos!$K$2:$L$12,2,FALSE)</f>
        <v>BICOLOR NARANJA NEGRO</v>
      </c>
      <c r="F55" s="11" t="s">
        <v>1102</v>
      </c>
      <c r="G55" s="11" t="s">
        <v>11</v>
      </c>
      <c r="H55" s="11" t="s">
        <v>1103</v>
      </c>
      <c r="I55" s="11" t="s">
        <v>1086</v>
      </c>
      <c r="J55" s="25">
        <v>126</v>
      </c>
      <c r="K55" s="25">
        <f>62+36+6+22</f>
        <v>126</v>
      </c>
      <c r="L55" s="15">
        <f t="shared" si="5"/>
        <v>0</v>
      </c>
      <c r="M55" s="24"/>
      <c r="N55" s="96">
        <v>46038</v>
      </c>
    </row>
    <row r="56" spans="1:14" x14ac:dyDescent="0.25">
      <c r="A56" s="11">
        <f t="shared" ca="1" si="3"/>
        <v>-244</v>
      </c>
      <c r="B56" s="37">
        <f t="shared" si="4"/>
        <v>176</v>
      </c>
      <c r="C56" s="11" t="s">
        <v>1096</v>
      </c>
      <c r="D56" s="11" t="str">
        <f>VLOOKUP(VALUE(MID($C56,13,2)), codigos!$A$2:$B$60, 2, 1) &amp; " " &amp; VLOOKUP(VALUE(MID($C56,15,4)), codigos!$E$2:$F$102, 2, FALSE)</f>
        <v>POCILLO 5</v>
      </c>
      <c r="E56" s="11" t="str">
        <f>VLOOKUP(VALUE(MID($C56,19,2)),codigos!$H$2:$I$62,2,1) &amp; " " &amp; VLOOKUP(VALUE(MID($C56,21,2)),codigos!$K$2:$L$12,2,FALSE)</f>
        <v>BICOLOR NARANJA NEGRO</v>
      </c>
      <c r="F56" s="11" t="s">
        <v>1102</v>
      </c>
      <c r="G56" s="11" t="s">
        <v>11</v>
      </c>
      <c r="H56" s="11" t="s">
        <v>1103</v>
      </c>
      <c r="I56" s="11" t="s">
        <v>1086</v>
      </c>
      <c r="J56" s="25">
        <v>750</v>
      </c>
      <c r="K56" s="25">
        <f>204+408+138</f>
        <v>750</v>
      </c>
      <c r="L56" s="15">
        <f t="shared" si="5"/>
        <v>0</v>
      </c>
      <c r="M56" s="24"/>
      <c r="N56" s="96">
        <v>46038</v>
      </c>
    </row>
    <row r="57" spans="1:14" x14ac:dyDescent="0.25">
      <c r="A57" s="11">
        <f t="shared" ca="1" si="3"/>
        <v>-244</v>
      </c>
      <c r="B57" s="37">
        <f t="shared" si="4"/>
        <v>176</v>
      </c>
      <c r="C57" s="11" t="s">
        <v>1097</v>
      </c>
      <c r="D57" s="11" t="str">
        <f>VLOOKUP(VALUE(MID($C57,13,2)), codigos!$A$2:$B$60, 2, 1) &amp; " " &amp; VLOOKUP(VALUE(MID($C57,15,4)), codigos!$E$2:$F$102, 2, FALSE)</f>
        <v>TAZA BISTRO S/I</v>
      </c>
      <c r="E57" s="11" t="str">
        <f>VLOOKUP(VALUE(MID($C57,19,2)),codigos!$H$2:$I$62,2,1) &amp; " " &amp; VLOOKUP(VALUE(MID($C57,21,2)),codigos!$K$2:$L$12,2,FALSE)</f>
        <v>NEGRO S/I</v>
      </c>
      <c r="F57" s="11" t="s">
        <v>1102</v>
      </c>
      <c r="G57" s="11" t="s">
        <v>11</v>
      </c>
      <c r="H57" s="11" t="s">
        <v>1103</v>
      </c>
      <c r="I57" s="11" t="s">
        <v>1086</v>
      </c>
      <c r="J57" s="25">
        <v>63</v>
      </c>
      <c r="K57" s="25">
        <v>63</v>
      </c>
      <c r="L57" s="15">
        <f t="shared" si="5"/>
        <v>0</v>
      </c>
      <c r="M57" s="24"/>
      <c r="N57" s="96">
        <v>46038</v>
      </c>
    </row>
    <row r="58" spans="1:14" x14ac:dyDescent="0.25">
      <c r="A58" s="11">
        <f t="shared" ca="1" si="3"/>
        <v>-244</v>
      </c>
      <c r="B58" s="37">
        <f t="shared" si="4"/>
        <v>176</v>
      </c>
      <c r="C58" s="11" t="s">
        <v>1098</v>
      </c>
      <c r="D58" s="11" t="str">
        <f>VLOOKUP(VALUE(MID($C58,13,2)), codigos!$A$2:$B$60, 2, 1) &amp; " " &amp; VLOOKUP(VALUE(MID($C58,15,4)), codigos!$E$2:$F$102, 2, FALSE)</f>
        <v>VASO 8</v>
      </c>
      <c r="E58" s="11" t="str">
        <f>VLOOKUP(VALUE(MID($C58,19,2)),codigos!$H$2:$I$62,2,1) &amp; " " &amp; VLOOKUP(VALUE(MID($C58,21,2)),codigos!$K$2:$L$12,2,FALSE)</f>
        <v>NEGRO MOTAS S/I</v>
      </c>
      <c r="F58" s="11" t="s">
        <v>1102</v>
      </c>
      <c r="G58" s="11" t="s">
        <v>11</v>
      </c>
      <c r="H58" s="11" t="s">
        <v>1103</v>
      </c>
      <c r="I58" s="11" t="s">
        <v>1086</v>
      </c>
      <c r="J58" s="25">
        <v>72</v>
      </c>
      <c r="K58" s="25">
        <v>72</v>
      </c>
      <c r="L58" s="15">
        <f t="shared" si="5"/>
        <v>0</v>
      </c>
      <c r="M58" s="24"/>
      <c r="N58" s="96">
        <v>46038</v>
      </c>
    </row>
    <row r="59" spans="1:14" x14ac:dyDescent="0.25">
      <c r="A59" s="11">
        <f t="shared" ca="1" si="3"/>
        <v>-244</v>
      </c>
      <c r="B59" s="37">
        <f t="shared" si="4"/>
        <v>176</v>
      </c>
      <c r="C59" s="11" t="s">
        <v>1099</v>
      </c>
      <c r="D59" s="11" t="str">
        <f>VLOOKUP(VALUE(MID($C59,13,2)), codigos!$A$2:$B$60, 2, 1) &amp; " " &amp; VLOOKUP(VALUE(MID($C59,15,4)), codigos!$E$2:$F$102, 2, FALSE)</f>
        <v>PLATO LISO 16</v>
      </c>
      <c r="E59" s="11" t="str">
        <f>VLOOKUP(VALUE(MID($C59,19,2)),codigos!$H$2:$I$62,2,1) &amp; " " &amp; VLOOKUP(VALUE(MID($C59,21,2)),codigos!$K$2:$L$12,2,FALSE)</f>
        <v>NEGRO MOTAS S/I</v>
      </c>
      <c r="F59" s="11" t="s">
        <v>1102</v>
      </c>
      <c r="G59" s="11" t="s">
        <v>11</v>
      </c>
      <c r="H59" s="11" t="s">
        <v>1103</v>
      </c>
      <c r="I59" s="11" t="s">
        <v>1086</v>
      </c>
      <c r="J59" s="25">
        <v>63</v>
      </c>
      <c r="K59" s="25">
        <v>63</v>
      </c>
      <c r="L59" s="15">
        <f t="shared" si="5"/>
        <v>0</v>
      </c>
      <c r="M59" s="17">
        <f>(SUM(K44:K59))/(SUM(J44:J59))</f>
        <v>1</v>
      </c>
      <c r="N59" s="96">
        <v>46038</v>
      </c>
    </row>
    <row r="60" spans="1:14" x14ac:dyDescent="0.25">
      <c r="A60" s="11">
        <f t="shared" ca="1" si="3"/>
        <v>-244</v>
      </c>
      <c r="B60" s="37">
        <f t="shared" si="4"/>
        <v>176</v>
      </c>
      <c r="C60" s="11" t="s">
        <v>280</v>
      </c>
      <c r="D60" s="11" t="str">
        <f>VLOOKUP(VALUE(MID($C60,13,2)), codigos!$A$2:$B$60, 2, 1) &amp; " " &amp; VLOOKUP(VALUE(MID($C60,15,4)), codigos!$E$2:$F$102, 2, FALSE)</f>
        <v>MULTIUSOS S/I</v>
      </c>
      <c r="E60" s="11" t="str">
        <f>VLOOKUP(VALUE(MID($C60,19,2)),codigos!$H$2:$I$62,2,1) &amp; " " &amp; VLOOKUP(VALUE(MID($C60,21,2)),codigos!$K$2:$L$12,2,FALSE)</f>
        <v>BLANCO  NEGRO</v>
      </c>
      <c r="F60" s="11" t="s">
        <v>1104</v>
      </c>
      <c r="G60" s="11" t="s">
        <v>11</v>
      </c>
      <c r="H60" s="11" t="s">
        <v>1105</v>
      </c>
      <c r="I60" s="11" t="s">
        <v>1086</v>
      </c>
      <c r="J60" s="25">
        <v>81</v>
      </c>
      <c r="K60" s="25">
        <v>81</v>
      </c>
      <c r="L60" s="15">
        <f t="shared" si="5"/>
        <v>0</v>
      </c>
      <c r="M60" s="24"/>
      <c r="N60" s="96">
        <v>46038</v>
      </c>
    </row>
    <row r="61" spans="1:14" x14ac:dyDescent="0.25">
      <c r="A61" s="11">
        <f t="shared" ca="1" si="3"/>
        <v>-244</v>
      </c>
      <c r="B61" s="37">
        <f t="shared" si="4"/>
        <v>176</v>
      </c>
      <c r="C61" s="11" t="s">
        <v>283</v>
      </c>
      <c r="D61" s="11" t="str">
        <f>VLOOKUP(VALUE(MID($C61,13,2)), codigos!$A$2:$B$60, 2, 1) &amp; " " &amp; VLOOKUP(VALUE(MID($C61,15,4)), codigos!$E$2:$F$102, 2, FALSE)</f>
        <v>PLATO AVENERO 20</v>
      </c>
      <c r="E61" s="11" t="str">
        <f>VLOOKUP(VALUE(MID($C61,19,2)),codigos!$H$2:$I$62,2,1) &amp; " " &amp; VLOOKUP(VALUE(MID($C61,21,2)),codigos!$K$2:$L$12,2,FALSE)</f>
        <v>BLANCO  NEGRO</v>
      </c>
      <c r="F61" s="11" t="s">
        <v>1104</v>
      </c>
      <c r="G61" s="11" t="s">
        <v>11</v>
      </c>
      <c r="H61" s="11" t="s">
        <v>1105</v>
      </c>
      <c r="I61" s="11" t="s">
        <v>1086</v>
      </c>
      <c r="J61" s="25">
        <v>120</v>
      </c>
      <c r="K61" s="25">
        <f>83+1+36</f>
        <v>120</v>
      </c>
      <c r="L61" s="15">
        <f t="shared" si="5"/>
        <v>0</v>
      </c>
      <c r="M61" s="24"/>
      <c r="N61" s="96">
        <v>46038</v>
      </c>
    </row>
    <row r="62" spans="1:14" x14ac:dyDescent="0.25">
      <c r="A62" s="11">
        <f t="shared" ca="1" si="3"/>
        <v>-244</v>
      </c>
      <c r="B62" s="37">
        <f t="shared" si="4"/>
        <v>176</v>
      </c>
      <c r="C62" s="11" t="s">
        <v>67</v>
      </c>
      <c r="D62" s="11" t="str">
        <f>VLOOKUP(VALUE(MID($C62,13,2)), codigos!$A$2:$B$60, 2, 1) &amp; " " &amp; VLOOKUP(VALUE(MID($C62,15,4)), codigos!$E$2:$F$102, 2, FALSE)</f>
        <v>PLATO BISTRO 16</v>
      </c>
      <c r="E62" s="11" t="str">
        <f>VLOOKUP(VALUE(MID($C62,19,2)),codigos!$H$2:$I$62,2,1) &amp; " " &amp; VLOOKUP(VALUE(MID($C62,21,2)),codigos!$K$2:$L$12,2,FALSE)</f>
        <v>NEGRO S/I</v>
      </c>
      <c r="F62" s="11" t="s">
        <v>1104</v>
      </c>
      <c r="G62" s="11" t="s">
        <v>11</v>
      </c>
      <c r="H62" s="11" t="s">
        <v>1105</v>
      </c>
      <c r="I62" s="11" t="s">
        <v>1086</v>
      </c>
      <c r="J62" s="25">
        <v>72</v>
      </c>
      <c r="K62" s="25">
        <v>72</v>
      </c>
      <c r="L62" s="15">
        <f t="shared" si="5"/>
        <v>0</v>
      </c>
      <c r="M62" s="24"/>
      <c r="N62" s="96">
        <v>46038</v>
      </c>
    </row>
    <row r="63" spans="1:14" x14ac:dyDescent="0.25">
      <c r="A63" s="11">
        <f t="shared" ca="1" si="3"/>
        <v>-244</v>
      </c>
      <c r="B63" s="37">
        <f t="shared" si="4"/>
        <v>176</v>
      </c>
      <c r="C63" s="11" t="s">
        <v>121</v>
      </c>
      <c r="D63" s="11" t="str">
        <f>VLOOKUP(VALUE(MID($C63,13,2)), codigos!$A$2:$B$60, 2, 1) &amp; " " &amp; VLOOKUP(VALUE(MID($C63,15,4)), codigos!$E$2:$F$102, 2, FALSE)</f>
        <v>PLATO HONDO 27</v>
      </c>
      <c r="E63" s="11" t="str">
        <f>VLOOKUP(VALUE(MID($C63,19,2)),codigos!$H$2:$I$62,2,1) &amp; " " &amp; VLOOKUP(VALUE(MID($C63,21,2)),codigos!$K$2:$L$12,2,FALSE)</f>
        <v>BLANCO  NEGRO</v>
      </c>
      <c r="F63" s="11" t="s">
        <v>1104</v>
      </c>
      <c r="G63" s="11" t="s">
        <v>11</v>
      </c>
      <c r="H63" s="11" t="s">
        <v>1105</v>
      </c>
      <c r="I63" s="11" t="s">
        <v>1086</v>
      </c>
      <c r="J63" s="25">
        <v>81</v>
      </c>
      <c r="K63" s="25">
        <f>9+1+71</f>
        <v>81</v>
      </c>
      <c r="L63" s="15">
        <f t="shared" si="5"/>
        <v>0</v>
      </c>
      <c r="M63" s="24"/>
      <c r="N63" s="96">
        <v>46038</v>
      </c>
    </row>
    <row r="64" spans="1:14" x14ac:dyDescent="0.25">
      <c r="A64" s="11">
        <f t="shared" ca="1" si="3"/>
        <v>-244</v>
      </c>
      <c r="B64" s="37">
        <f t="shared" si="4"/>
        <v>176</v>
      </c>
      <c r="C64" s="11" t="s">
        <v>1092</v>
      </c>
      <c r="D64" s="11" t="str">
        <f>VLOOKUP(VALUE(MID($C64,13,2)), codigos!$A$2:$B$60, 2, 1) &amp; " " &amp; VLOOKUP(VALUE(MID($C64,15,4)), codigos!$E$2:$F$102, 2, FALSE)</f>
        <v>PLATO LISO 20</v>
      </c>
      <c r="E64" s="11" t="str">
        <f>VLOOKUP(VALUE(MID($C64,19,2)),codigos!$H$2:$I$62,2,1) &amp; " " &amp; VLOOKUP(VALUE(MID($C64,21,2)),codigos!$K$2:$L$12,2,FALSE)</f>
        <v>BLANCO  NEGRO</v>
      </c>
      <c r="F64" s="11" t="s">
        <v>1104</v>
      </c>
      <c r="G64" s="11" t="s">
        <v>11</v>
      </c>
      <c r="H64" s="11" t="s">
        <v>1105</v>
      </c>
      <c r="I64" s="11" t="s">
        <v>1086</v>
      </c>
      <c r="J64" s="25">
        <v>126</v>
      </c>
      <c r="K64" s="25">
        <v>126</v>
      </c>
      <c r="L64" s="15">
        <f t="shared" si="5"/>
        <v>0</v>
      </c>
      <c r="M64" s="24"/>
      <c r="N64" s="96">
        <v>46038</v>
      </c>
    </row>
    <row r="65" spans="1:14" x14ac:dyDescent="0.25">
      <c r="A65" s="11">
        <f t="shared" ca="1" si="3"/>
        <v>-244</v>
      </c>
      <c r="B65" s="37">
        <f t="shared" si="4"/>
        <v>176</v>
      </c>
      <c r="C65" s="11" t="s">
        <v>288</v>
      </c>
      <c r="D65" s="11" t="str">
        <f>VLOOKUP(VALUE(MID($C65,13,2)), codigos!$A$2:$B$60, 2, 1) &amp; " " &amp; VLOOKUP(VALUE(MID($C65,15,4)), codigos!$E$2:$F$102, 2, FALSE)</f>
        <v>PLATO LISO 20</v>
      </c>
      <c r="E65" s="11" t="str">
        <f>VLOOKUP(VALUE(MID($C65,19,2)),codigos!$H$2:$I$62,2,1) &amp; " " &amp; VLOOKUP(VALUE(MID($C65,21,2)),codigos!$K$2:$L$12,2,FALSE)</f>
        <v>BLANCO  NEGRO</v>
      </c>
      <c r="F65" s="11" t="s">
        <v>1104</v>
      </c>
      <c r="G65" s="11" t="s">
        <v>11</v>
      </c>
      <c r="H65" s="11" t="s">
        <v>1105</v>
      </c>
      <c r="I65" s="11" t="s">
        <v>1086</v>
      </c>
      <c r="J65" s="25">
        <v>801</v>
      </c>
      <c r="K65" s="25">
        <f>305+496</f>
        <v>801</v>
      </c>
      <c r="L65" s="15">
        <f t="shared" si="5"/>
        <v>0</v>
      </c>
      <c r="M65" s="24"/>
      <c r="N65" s="96">
        <v>46038</v>
      </c>
    </row>
    <row r="66" spans="1:14" x14ac:dyDescent="0.25">
      <c r="A66" s="11">
        <f t="shared" ca="1" si="3"/>
        <v>-244</v>
      </c>
      <c r="B66" s="37">
        <f t="shared" si="4"/>
        <v>176</v>
      </c>
      <c r="C66" s="11" t="s">
        <v>302</v>
      </c>
      <c r="D66" s="11" t="str">
        <f>VLOOKUP(VALUE(MID($C66,13,2)), codigos!$A$2:$B$60, 2, 1) &amp; " " &amp; VLOOKUP(VALUE(MID($C66,15,4)), codigos!$E$2:$F$102, 2, FALSE)</f>
        <v>TAZON 8</v>
      </c>
      <c r="E66" s="11" t="str">
        <f>VLOOKUP(VALUE(MID($C66,19,2)),codigos!$H$2:$I$62,2,1) &amp; " " &amp; VLOOKUP(VALUE(MID($C66,21,2)),codigos!$K$2:$L$12,2,FALSE)</f>
        <v>BLANCO  NEGRO</v>
      </c>
      <c r="F66" s="11" t="s">
        <v>1104</v>
      </c>
      <c r="G66" s="11" t="s">
        <v>11</v>
      </c>
      <c r="H66" s="11" t="s">
        <v>1105</v>
      </c>
      <c r="I66" s="11" t="s">
        <v>1086</v>
      </c>
      <c r="J66" s="25">
        <v>882</v>
      </c>
      <c r="K66" s="25">
        <f>144+27+216+396+72-414+180+252+9</f>
        <v>882</v>
      </c>
      <c r="L66" s="15">
        <f t="shared" si="5"/>
        <v>0</v>
      </c>
      <c r="M66" s="24"/>
      <c r="N66" s="96">
        <v>46038</v>
      </c>
    </row>
    <row r="67" spans="1:14" x14ac:dyDescent="0.25">
      <c r="A67" s="11">
        <f t="shared" ca="1" si="3"/>
        <v>-244</v>
      </c>
      <c r="B67" s="37">
        <f t="shared" si="4"/>
        <v>176</v>
      </c>
      <c r="C67" s="11" t="s">
        <v>388</v>
      </c>
      <c r="D67" s="11" t="str">
        <f>VLOOKUP(VALUE(MID($C67,13,2)), codigos!$A$2:$B$60, 2, 1) &amp; " " &amp; VLOOKUP(VALUE(MID($C67,15,4)), codigos!$E$2:$F$102, 2, FALSE)</f>
        <v>TAZON 20</v>
      </c>
      <c r="E67" s="11" t="str">
        <f>VLOOKUP(VALUE(MID($C67,19,2)),codigos!$H$2:$I$62,2,1) &amp; " " &amp; VLOOKUP(VALUE(MID($C67,21,2)),codigos!$K$2:$L$12,2,FALSE)</f>
        <v>BICOLOR NARANJA S/I</v>
      </c>
      <c r="F67" s="11" t="s">
        <v>1104</v>
      </c>
      <c r="G67" s="11" t="s">
        <v>11</v>
      </c>
      <c r="H67" s="11" t="s">
        <v>1105</v>
      </c>
      <c r="I67" s="11" t="s">
        <v>1086</v>
      </c>
      <c r="J67" s="25">
        <v>150</v>
      </c>
      <c r="K67" s="25">
        <v>150</v>
      </c>
      <c r="L67" s="15">
        <f t="shared" si="5"/>
        <v>0</v>
      </c>
      <c r="M67" s="24"/>
      <c r="N67" s="96">
        <v>46038</v>
      </c>
    </row>
    <row r="68" spans="1:14" x14ac:dyDescent="0.25">
      <c r="A68" s="11">
        <f t="shared" ca="1" si="3"/>
        <v>-244</v>
      </c>
      <c r="B68" s="37">
        <f t="shared" si="4"/>
        <v>176</v>
      </c>
      <c r="C68" s="11" t="s">
        <v>93</v>
      </c>
      <c r="D68" s="11" t="str">
        <f>VLOOKUP(VALUE(MID($C68,13,2)), codigos!$A$2:$B$60, 2, 1) &amp; " " &amp; VLOOKUP(VALUE(MID($C68,15,4)), codigos!$E$2:$F$102, 2, FALSE)</f>
        <v>TAZON INCLINADO 8</v>
      </c>
      <c r="E68" s="11" t="str">
        <f>VLOOKUP(VALUE(MID($C68,19,2)),codigos!$H$2:$I$62,2,1) &amp; " " &amp; VLOOKUP(VALUE(MID($C68,21,2)),codigos!$K$2:$L$12,2,FALSE)</f>
        <v>BLANCO  NEGRO</v>
      </c>
      <c r="F68" s="11" t="s">
        <v>1104</v>
      </c>
      <c r="G68" s="11" t="s">
        <v>11</v>
      </c>
      <c r="H68" s="11" t="s">
        <v>1105</v>
      </c>
      <c r="I68" s="11" t="s">
        <v>1086</v>
      </c>
      <c r="J68" s="25">
        <v>135</v>
      </c>
      <c r="K68" s="25">
        <v>135</v>
      </c>
      <c r="L68" s="15">
        <f t="shared" si="5"/>
        <v>0</v>
      </c>
      <c r="M68" s="24"/>
      <c r="N68" s="96">
        <v>46038</v>
      </c>
    </row>
    <row r="69" spans="1:14" x14ac:dyDescent="0.25">
      <c r="A69" s="11">
        <f t="shared" ca="1" si="3"/>
        <v>-244</v>
      </c>
      <c r="B69" s="37">
        <f t="shared" si="4"/>
        <v>176</v>
      </c>
      <c r="C69" s="11" t="s">
        <v>1093</v>
      </c>
      <c r="D69" s="11" t="str">
        <f>VLOOKUP(VALUE(MID($C69,13,2)), codigos!$A$2:$B$60, 2, 1) &amp; " " &amp; VLOOKUP(VALUE(MID($C69,15,4)), codigos!$E$2:$F$102, 2, FALSE)</f>
        <v>PLATO LISO 32</v>
      </c>
      <c r="E69" s="11" t="str">
        <f>VLOOKUP(VALUE(MID($C69,19,2)),codigos!$H$2:$I$62,2,1) &amp; " " &amp; VLOOKUP(VALUE(MID($C69,21,2)),codigos!$K$2:$L$12,2,FALSE)</f>
        <v>GENERICO S/I</v>
      </c>
      <c r="F69" s="11" t="s">
        <v>1104</v>
      </c>
      <c r="G69" s="11" t="s">
        <v>11</v>
      </c>
      <c r="H69" s="11" t="s">
        <v>1105</v>
      </c>
      <c r="I69" s="11" t="s">
        <v>1086</v>
      </c>
      <c r="J69" s="25">
        <v>75</v>
      </c>
      <c r="K69" s="25">
        <v>75</v>
      </c>
      <c r="L69" s="15">
        <f t="shared" si="5"/>
        <v>0</v>
      </c>
      <c r="M69" s="24"/>
      <c r="N69" s="96">
        <v>46038</v>
      </c>
    </row>
    <row r="70" spans="1:14" x14ac:dyDescent="0.25">
      <c r="A70" s="11">
        <f t="shared" ca="1" si="3"/>
        <v>-244</v>
      </c>
      <c r="B70" s="37">
        <f t="shared" si="4"/>
        <v>176</v>
      </c>
      <c r="C70" s="11" t="s">
        <v>1094</v>
      </c>
      <c r="D70" s="11" t="str">
        <f>VLOOKUP(VALUE(MID($C70,13,2)), codigos!$A$2:$B$60, 2, 1) &amp; " " &amp; VLOOKUP(VALUE(MID($C70,15,4)), codigos!$E$2:$F$102, 2, FALSE)</f>
        <v>POCILLO 5</v>
      </c>
      <c r="E70" s="11" t="str">
        <f>VLOOKUP(VALUE(MID($C70,19,2)),codigos!$H$2:$I$62,2,1) &amp; " " &amp; VLOOKUP(VALUE(MID($C70,21,2)),codigos!$K$2:$L$12,2,FALSE)</f>
        <v>NEGRO S/I</v>
      </c>
      <c r="F70" s="11" t="s">
        <v>1104</v>
      </c>
      <c r="G70" s="11" t="s">
        <v>11</v>
      </c>
      <c r="H70" s="11" t="s">
        <v>1105</v>
      </c>
      <c r="I70" s="11" t="s">
        <v>1086</v>
      </c>
      <c r="J70" s="25">
        <v>72</v>
      </c>
      <c r="K70" s="25">
        <v>72</v>
      </c>
      <c r="L70" s="15">
        <f t="shared" si="5"/>
        <v>0</v>
      </c>
      <c r="M70" s="24"/>
      <c r="N70" s="96">
        <v>46038</v>
      </c>
    </row>
    <row r="71" spans="1:14" x14ac:dyDescent="0.25">
      <c r="A71" s="11">
        <f t="shared" ca="1" si="3"/>
        <v>-244</v>
      </c>
      <c r="B71" s="37">
        <f t="shared" si="4"/>
        <v>176</v>
      </c>
      <c r="C71" s="11" t="s">
        <v>1095</v>
      </c>
      <c r="D71" s="11" t="str">
        <f>VLOOKUP(VALUE(MID($C71,13,2)), codigos!$A$2:$B$60, 2, 1) &amp; " " &amp; VLOOKUP(VALUE(MID($C71,15,4)), codigos!$E$2:$F$102, 2, FALSE)</f>
        <v>TAZON INCLINADO 22</v>
      </c>
      <c r="E71" s="11" t="str">
        <f>VLOOKUP(VALUE(MID($C71,19,2)),codigos!$H$2:$I$62,2,1) &amp; " " &amp; VLOOKUP(VALUE(MID($C71,21,2)),codigos!$K$2:$L$12,2,FALSE)</f>
        <v>BICOLOR NARANJA NEGRO</v>
      </c>
      <c r="F71" s="11" t="s">
        <v>1104</v>
      </c>
      <c r="G71" s="11" t="s">
        <v>11</v>
      </c>
      <c r="H71" s="11" t="s">
        <v>1105</v>
      </c>
      <c r="I71" s="11" t="s">
        <v>1086</v>
      </c>
      <c r="J71" s="25">
        <v>126</v>
      </c>
      <c r="K71" s="25">
        <f>116+10</f>
        <v>126</v>
      </c>
      <c r="L71" s="15">
        <f t="shared" si="5"/>
        <v>0</v>
      </c>
      <c r="M71" s="24"/>
      <c r="N71" s="96">
        <v>46038</v>
      </c>
    </row>
    <row r="72" spans="1:14" x14ac:dyDescent="0.25">
      <c r="A72" s="11">
        <f t="shared" ca="1" si="3"/>
        <v>-244</v>
      </c>
      <c r="B72" s="37">
        <f t="shared" si="4"/>
        <v>176</v>
      </c>
      <c r="C72" s="11" t="s">
        <v>1096</v>
      </c>
      <c r="D72" s="11" t="str">
        <f>VLOOKUP(VALUE(MID($C72,13,2)), codigos!$A$2:$B$60, 2, 1) &amp; " " &amp; VLOOKUP(VALUE(MID($C72,15,4)), codigos!$E$2:$F$102, 2, FALSE)</f>
        <v>POCILLO 5</v>
      </c>
      <c r="E72" s="11" t="str">
        <f>VLOOKUP(VALUE(MID($C72,19,2)),codigos!$H$2:$I$62,2,1) &amp; " " &amp; VLOOKUP(VALUE(MID($C72,21,2)),codigos!$K$2:$L$12,2,FALSE)</f>
        <v>BICOLOR NARANJA NEGRO</v>
      </c>
      <c r="F72" s="11" t="s">
        <v>1104</v>
      </c>
      <c r="G72" s="11" t="s">
        <v>11</v>
      </c>
      <c r="H72" s="11" t="s">
        <v>1105</v>
      </c>
      <c r="I72" s="11" t="s">
        <v>1086</v>
      </c>
      <c r="J72" s="25">
        <v>750</v>
      </c>
      <c r="K72" s="25">
        <f>78+120+12+144+12+216+5+163</f>
        <v>750</v>
      </c>
      <c r="L72" s="15">
        <f t="shared" si="5"/>
        <v>0</v>
      </c>
      <c r="M72" s="24"/>
      <c r="N72" s="96">
        <v>46038</v>
      </c>
    </row>
    <row r="73" spans="1:14" x14ac:dyDescent="0.25">
      <c r="A73" s="11">
        <f t="shared" ca="1" si="3"/>
        <v>-244</v>
      </c>
      <c r="B73" s="37">
        <f t="shared" si="4"/>
        <v>176</v>
      </c>
      <c r="C73" s="11" t="s">
        <v>1097</v>
      </c>
      <c r="D73" s="11" t="str">
        <f>VLOOKUP(VALUE(MID($C73,13,2)), codigos!$A$2:$B$60, 2, 1) &amp; " " &amp; VLOOKUP(VALUE(MID($C73,15,4)), codigos!$E$2:$F$102, 2, FALSE)</f>
        <v>TAZA BISTRO S/I</v>
      </c>
      <c r="E73" s="11" t="str">
        <f>VLOOKUP(VALUE(MID($C73,19,2)),codigos!$H$2:$I$62,2,1) &amp; " " &amp; VLOOKUP(VALUE(MID($C73,21,2)),codigos!$K$2:$L$12,2,FALSE)</f>
        <v>NEGRO S/I</v>
      </c>
      <c r="F73" s="11" t="s">
        <v>1104</v>
      </c>
      <c r="G73" s="11" t="s">
        <v>11</v>
      </c>
      <c r="H73" s="11" t="s">
        <v>1105</v>
      </c>
      <c r="I73" s="11" t="s">
        <v>1086</v>
      </c>
      <c r="J73" s="25">
        <v>63</v>
      </c>
      <c r="K73" s="25">
        <f>51+12</f>
        <v>63</v>
      </c>
      <c r="L73" s="15">
        <f t="shared" si="5"/>
        <v>0</v>
      </c>
      <c r="M73" s="24"/>
      <c r="N73" s="96">
        <v>46038</v>
      </c>
    </row>
    <row r="74" spans="1:14" x14ac:dyDescent="0.25">
      <c r="A74" s="11">
        <f ca="1">DAYS360($B$1,I74)</f>
        <v>-244</v>
      </c>
      <c r="B74" s="37">
        <f>+N74-I74</f>
        <v>176</v>
      </c>
      <c r="C74" s="11" t="s">
        <v>1098</v>
      </c>
      <c r="D74" s="11" t="str">
        <f>VLOOKUP(VALUE(MID($C74,13,2)), codigos!$A$2:$B$60, 2, 1) &amp; " " &amp; VLOOKUP(VALUE(MID($C74,15,4)), codigos!$E$2:$F$102, 2, FALSE)</f>
        <v>VASO 8</v>
      </c>
      <c r="E74" s="11" t="str">
        <f>VLOOKUP(VALUE(MID($C74,19,2)),codigos!$H$2:$I$62,2,1) &amp; " " &amp; VLOOKUP(VALUE(MID($C74,21,2)),codigos!$K$2:$L$12,2,FALSE)</f>
        <v>NEGRO MOTAS S/I</v>
      </c>
      <c r="F74" s="11" t="s">
        <v>1104</v>
      </c>
      <c r="G74" s="11" t="s">
        <v>11</v>
      </c>
      <c r="H74" s="11" t="s">
        <v>1105</v>
      </c>
      <c r="I74" s="11" t="s">
        <v>1086</v>
      </c>
      <c r="J74" s="25">
        <v>72</v>
      </c>
      <c r="K74" s="25">
        <f>72-48+48</f>
        <v>72</v>
      </c>
      <c r="L74" s="15">
        <f t="shared" ref="L74:L82" si="6">+J74-K74</f>
        <v>0</v>
      </c>
      <c r="M74" s="24"/>
      <c r="N74" s="96">
        <v>46038</v>
      </c>
    </row>
    <row r="75" spans="1:14" x14ac:dyDescent="0.25">
      <c r="A75" s="11">
        <f ca="1">DAYS360($B$1,I75)</f>
        <v>-244</v>
      </c>
      <c r="B75" s="37">
        <f>+N75-I75</f>
        <v>176</v>
      </c>
      <c r="C75" s="11" t="s">
        <v>1099</v>
      </c>
      <c r="D75" s="11" t="str">
        <f>VLOOKUP(VALUE(MID($C75,13,2)), codigos!$A$2:$B$60, 2, 1) &amp; " " &amp; VLOOKUP(VALUE(MID($C75,15,4)), codigos!$E$2:$F$102, 2, FALSE)</f>
        <v>PLATO LISO 16</v>
      </c>
      <c r="E75" s="11" t="str">
        <f>VLOOKUP(VALUE(MID($C75,19,2)),codigos!$H$2:$I$62,2,1) &amp; " " &amp; VLOOKUP(VALUE(MID($C75,21,2)),codigos!$K$2:$L$12,2,FALSE)</f>
        <v>NEGRO MOTAS S/I</v>
      </c>
      <c r="F75" s="11" t="s">
        <v>1104</v>
      </c>
      <c r="G75" s="11" t="s">
        <v>11</v>
      </c>
      <c r="H75" s="11" t="s">
        <v>1105</v>
      </c>
      <c r="I75" s="11" t="s">
        <v>1086</v>
      </c>
      <c r="J75" s="25">
        <v>63</v>
      </c>
      <c r="K75" s="25">
        <v>63</v>
      </c>
      <c r="L75" s="15">
        <f t="shared" si="6"/>
        <v>0</v>
      </c>
      <c r="M75" s="17">
        <f>(SUM(K60:K75))/(SUM(J60:J75))</f>
        <v>1</v>
      </c>
      <c r="N75" s="96">
        <v>46038</v>
      </c>
    </row>
    <row r="76" spans="1:14" x14ac:dyDescent="0.25">
      <c r="A76" s="11">
        <f t="shared" ref="A76:A82" ca="1" si="7">DAYS360($B$1,I76)</f>
        <v>-183</v>
      </c>
      <c r="B76" s="37">
        <f t="shared" ref="B76:B82" si="8">+N76-I76</f>
        <v>106</v>
      </c>
      <c r="C76" s="20" t="s">
        <v>954</v>
      </c>
      <c r="D76" s="11" t="str">
        <f>VLOOKUP(VALUE(MID($C76,13,2)), codigos!$A$2:$B$60, 2, 1) &amp; " " &amp; VLOOKUP(VALUE(MID($C76,15,4)), codigos!$E$2:$F$102, 2, FALSE)</f>
        <v>BUDINERA 24</v>
      </c>
      <c r="E76" s="11" t="str">
        <f>VLOOKUP(VALUE(MID($C76,19,2)),codigos!$H$2:$I$62,2,1) &amp; " " &amp; VLOOKUP(VALUE(MID($C76,21,2)),codigos!$K$2:$L$12,2,FALSE)</f>
        <v>NAVY S/I</v>
      </c>
      <c r="F76" s="11" t="s">
        <v>113</v>
      </c>
      <c r="G76" s="20" t="s">
        <v>114</v>
      </c>
      <c r="H76" s="11" t="s">
        <v>1106</v>
      </c>
      <c r="I76" s="11" t="s">
        <v>1107</v>
      </c>
      <c r="J76" s="25">
        <v>1272</v>
      </c>
      <c r="K76" s="25">
        <f>225+270+270+234+201+72</f>
        <v>1272</v>
      </c>
      <c r="L76" s="15">
        <f t="shared" si="6"/>
        <v>0</v>
      </c>
      <c r="M76" s="143">
        <f>(SUM(K76:K82))/(SUM(J76:J82))</f>
        <v>0.97097858786055569</v>
      </c>
      <c r="N76" s="96">
        <v>46031</v>
      </c>
    </row>
    <row r="77" spans="1:14" x14ac:dyDescent="0.25">
      <c r="A77" s="11">
        <f t="shared" ca="1" si="7"/>
        <v>-183</v>
      </c>
      <c r="B77" s="37">
        <f t="shared" si="8"/>
        <v>106</v>
      </c>
      <c r="C77" s="20" t="s">
        <v>956</v>
      </c>
      <c r="D77" s="11" t="str">
        <f>VLOOKUP(VALUE(MID($C77,13,2)), codigos!$A$2:$B$60, 2, 1) &amp; " " &amp; VLOOKUP(VALUE(MID($C77,15,4)), codigos!$E$2:$F$102, 2, FALSE)</f>
        <v>CAZO 14</v>
      </c>
      <c r="E77" s="11" t="str">
        <f>VLOOKUP(VALUE(MID($C77,19,2)),codigos!$H$2:$I$62,2,1) &amp; " " &amp; VLOOKUP(VALUE(MID($C77,21,2)),codigos!$K$2:$L$12,2,FALSE)</f>
        <v>NAVY S/I</v>
      </c>
      <c r="F77" s="11" t="s">
        <v>113</v>
      </c>
      <c r="G77" s="20" t="s">
        <v>114</v>
      </c>
      <c r="H77" s="11" t="s">
        <v>1106</v>
      </c>
      <c r="I77" s="11" t="s">
        <v>1107</v>
      </c>
      <c r="J77" s="25">
        <v>3048</v>
      </c>
      <c r="K77" s="25">
        <f>210+552+3+720+732+270+3+120+330+108</f>
        <v>3048</v>
      </c>
      <c r="L77" s="15">
        <f t="shared" si="6"/>
        <v>0</v>
      </c>
      <c r="M77" s="143"/>
      <c r="N77" s="96">
        <v>46031</v>
      </c>
    </row>
    <row r="78" spans="1:14" x14ac:dyDescent="0.25">
      <c r="A78" s="11">
        <f t="shared" ca="1" si="7"/>
        <v>-183</v>
      </c>
      <c r="B78" s="37">
        <f t="shared" si="8"/>
        <v>106</v>
      </c>
      <c r="C78" s="20" t="s">
        <v>112</v>
      </c>
      <c r="D78" s="11" t="str">
        <f>VLOOKUP(VALUE(MID($C78,13,2)), codigos!$A$2:$B$60, 2, 1) &amp; " " &amp; VLOOKUP(VALUE(MID($C78,15,4)), codigos!$E$2:$F$102, 2, FALSE)</f>
        <v>OLLA RECTA 22</v>
      </c>
      <c r="E78" s="11" t="str">
        <f>VLOOKUP(VALUE(MID($C78,19,2)),codigos!$H$2:$I$62,2,1) &amp; " " &amp; VLOOKUP(VALUE(MID($C78,21,2)),codigos!$K$2:$L$12,2,FALSE)</f>
        <v>NAVY S/I</v>
      </c>
      <c r="F78" s="11" t="s">
        <v>113</v>
      </c>
      <c r="G78" s="20" t="s">
        <v>114</v>
      </c>
      <c r="H78" s="11" t="s">
        <v>1106</v>
      </c>
      <c r="I78" s="11" t="s">
        <v>1107</v>
      </c>
      <c r="J78" s="25">
        <v>1248</v>
      </c>
      <c r="K78" s="25">
        <f>364+240+308+1+58+277</f>
        <v>1248</v>
      </c>
      <c r="L78" s="15">
        <f t="shared" si="6"/>
        <v>0</v>
      </c>
      <c r="M78" s="143"/>
      <c r="N78" s="96">
        <v>46031</v>
      </c>
    </row>
    <row r="79" spans="1:14" x14ac:dyDescent="0.25">
      <c r="A79" s="11">
        <f t="shared" ca="1" si="7"/>
        <v>-183</v>
      </c>
      <c r="B79" s="37">
        <f t="shared" si="8"/>
        <v>106</v>
      </c>
      <c r="C79" s="20" t="s">
        <v>957</v>
      </c>
      <c r="D79" s="11" t="str">
        <f>VLOOKUP(VALUE(MID($C79,13,2)), codigos!$A$2:$B$60, 2, 1) &amp; " " &amp; VLOOKUP(VALUE(MID($C79,15,4)), codigos!$E$2:$F$102, 2, FALSE)</f>
        <v>OLLA RECTA 24</v>
      </c>
      <c r="E79" s="11" t="str">
        <f>VLOOKUP(VALUE(MID($C79,19,2)),codigos!$H$2:$I$62,2,1) &amp; " " &amp; VLOOKUP(VALUE(MID($C79,21,2)),codigos!$K$2:$L$12,2,FALSE)</f>
        <v>NAVY S/I</v>
      </c>
      <c r="F79" s="11" t="s">
        <v>113</v>
      </c>
      <c r="G79" s="20" t="s">
        <v>114</v>
      </c>
      <c r="H79" s="11" t="s">
        <v>1106</v>
      </c>
      <c r="I79" s="11" t="s">
        <v>1107</v>
      </c>
      <c r="J79" s="25">
        <v>1076</v>
      </c>
      <c r="K79" s="25">
        <v>1076</v>
      </c>
      <c r="L79" s="15">
        <f t="shared" si="6"/>
        <v>0</v>
      </c>
      <c r="M79" s="143"/>
      <c r="N79" s="96">
        <v>46031</v>
      </c>
    </row>
    <row r="80" spans="1:14" x14ac:dyDescent="0.25">
      <c r="A80" s="11">
        <f t="shared" ca="1" si="7"/>
        <v>-183</v>
      </c>
      <c r="B80" s="37">
        <f t="shared" si="8"/>
        <v>106</v>
      </c>
      <c r="C80" s="20" t="s">
        <v>116</v>
      </c>
      <c r="D80" s="11" t="str">
        <f>VLOOKUP(VALUE(MID($C80,13,2)), codigos!$A$2:$B$60, 2, 1) &amp; " " &amp; VLOOKUP(VALUE(MID($C80,15,4)), codigos!$E$2:$F$102, 2, FALSE)</f>
        <v>OLLA RECTA 28</v>
      </c>
      <c r="E80" s="11" t="str">
        <f>VLOOKUP(VALUE(MID($C80,19,2)),codigos!$H$2:$I$62,2,1) &amp; " " &amp; VLOOKUP(VALUE(MID($C80,21,2)),codigos!$K$2:$L$12,2,FALSE)</f>
        <v>NAVY S/I</v>
      </c>
      <c r="F80" s="11" t="s">
        <v>113</v>
      </c>
      <c r="G80" s="20" t="s">
        <v>114</v>
      </c>
      <c r="H80" s="11" t="s">
        <v>1106</v>
      </c>
      <c r="I80" s="11" t="s">
        <v>1107</v>
      </c>
      <c r="J80" s="25">
        <v>2418</v>
      </c>
      <c r="K80" s="25">
        <v>2090</v>
      </c>
      <c r="L80" s="15">
        <f t="shared" si="6"/>
        <v>328</v>
      </c>
      <c r="M80" s="143"/>
      <c r="N80" s="96">
        <v>46031</v>
      </c>
    </row>
    <row r="81" spans="1:14" x14ac:dyDescent="0.25">
      <c r="A81" s="11">
        <f t="shared" ca="1" si="7"/>
        <v>-183</v>
      </c>
      <c r="B81" s="37">
        <f t="shared" si="8"/>
        <v>106</v>
      </c>
      <c r="C81" s="20" t="s">
        <v>117</v>
      </c>
      <c r="D81" s="11" t="str">
        <f>VLOOKUP(VALUE(MID($C81,13,2)), codigos!$A$2:$B$60, 2, 1) &amp; " " &amp; VLOOKUP(VALUE(MID($C81,15,4)), codigos!$E$2:$F$102, 2, FALSE)</f>
        <v>POCILLO 12</v>
      </c>
      <c r="E81" s="11" t="str">
        <f>VLOOKUP(VALUE(MID($C81,19,2)),codigos!$H$2:$I$62,2,1) &amp; " " &amp; VLOOKUP(VALUE(MID($C81,21,2)),codigos!$K$2:$L$12,2,FALSE)</f>
        <v>NAVY (WM) S/I</v>
      </c>
      <c r="F81" s="11" t="s">
        <v>113</v>
      </c>
      <c r="G81" s="20" t="s">
        <v>114</v>
      </c>
      <c r="H81" s="11" t="s">
        <v>1106</v>
      </c>
      <c r="I81" s="11" t="s">
        <v>1107</v>
      </c>
      <c r="J81" s="25">
        <v>1830</v>
      </c>
      <c r="K81" s="25">
        <f>225+678+300+2+625</f>
        <v>1830</v>
      </c>
      <c r="L81" s="15">
        <f t="shared" si="6"/>
        <v>0</v>
      </c>
      <c r="M81" s="143"/>
      <c r="N81" s="96">
        <v>46031</v>
      </c>
    </row>
    <row r="82" spans="1:14" x14ac:dyDescent="0.25">
      <c r="A82" s="11">
        <f t="shared" ca="1" si="7"/>
        <v>-183</v>
      </c>
      <c r="B82" s="37">
        <f t="shared" si="8"/>
        <v>106</v>
      </c>
      <c r="C82" s="20" t="s">
        <v>118</v>
      </c>
      <c r="D82" s="11" t="str">
        <f>VLOOKUP(VALUE(MID($C82,13,2)), codigos!$A$2:$B$60, 2, 1) &amp; " " &amp; VLOOKUP(VALUE(MID($C82,15,4)), codigos!$E$2:$F$102, 2, FALSE)</f>
        <v>VAPORERA 30</v>
      </c>
      <c r="E82" s="11" t="str">
        <f>VLOOKUP(VALUE(MID($C82,19,2)),codigos!$H$2:$I$62,2,1) &amp; " " &amp; VLOOKUP(VALUE(MID($C82,21,2)),codigos!$K$2:$L$12,2,FALSE)</f>
        <v>NAVY S/I</v>
      </c>
      <c r="F82" s="11" t="s">
        <v>113</v>
      </c>
      <c r="G82" s="20" t="s">
        <v>114</v>
      </c>
      <c r="H82" s="11" t="s">
        <v>1106</v>
      </c>
      <c r="I82" s="11" t="s">
        <v>1107</v>
      </c>
      <c r="J82" s="25">
        <v>410</v>
      </c>
      <c r="K82" s="25">
        <f>50+2+100+60+44+154</f>
        <v>410</v>
      </c>
      <c r="L82" s="15">
        <f t="shared" si="6"/>
        <v>0</v>
      </c>
      <c r="M82" s="143"/>
      <c r="N82" s="96">
        <v>46031</v>
      </c>
    </row>
    <row r="83" spans="1:14" x14ac:dyDescent="0.25">
      <c r="A83" s="11">
        <f t="shared" ref="A83:A88" ca="1" si="9">DAYS360($B$1,I83)</f>
        <v>-128</v>
      </c>
      <c r="B83" s="37">
        <f t="shared" ref="B83:B88" si="10">+N83-I83</f>
        <v>53</v>
      </c>
      <c r="C83" s="20" t="s">
        <v>241</v>
      </c>
      <c r="D83" s="20" t="str">
        <f>VLOOKUP(VALUE(MID($C83,13,2)), codigos!$A$2:$B$60, 2, 1) &amp; " " &amp; VLOOKUP(VALUE(MID($C83,15,4)), codigos!$E$2:$F$102, 2, FALSE)</f>
        <v>BUDINERA 22</v>
      </c>
      <c r="E83" s="20" t="str">
        <f>VLOOKUP(VALUE(MID($C83,19,2)),codigos!$H$2:$I$62,2,1) &amp; " " &amp; VLOOKUP(VALUE(MID($C83,21,2)),codigos!$K$2:$L$12,2,FALSE)</f>
        <v>A/T S/I</v>
      </c>
      <c r="F83" s="20" t="s">
        <v>507</v>
      </c>
      <c r="G83" s="20" t="s">
        <v>340</v>
      </c>
      <c r="H83" s="52" t="s">
        <v>1108</v>
      </c>
      <c r="I83" s="20" t="s">
        <v>1109</v>
      </c>
      <c r="J83" s="20">
        <v>24</v>
      </c>
      <c r="K83" s="20">
        <v>24</v>
      </c>
      <c r="L83" s="11">
        <f>+J83-K83</f>
        <v>0</v>
      </c>
      <c r="M83" s="134">
        <f>(SUM(K83:K88))/(SUM(J83:J88))</f>
        <v>1</v>
      </c>
      <c r="N83" s="96">
        <v>46034</v>
      </c>
    </row>
    <row r="84" spans="1:14" x14ac:dyDescent="0.25">
      <c r="A84" s="11">
        <f t="shared" ca="1" si="9"/>
        <v>-128</v>
      </c>
      <c r="B84" s="37">
        <f t="shared" si="10"/>
        <v>53</v>
      </c>
      <c r="C84" s="20" t="s">
        <v>148</v>
      </c>
      <c r="D84" s="20" t="str">
        <f>VLOOKUP(VALUE(MID($C84,13,2)), codigos!$A$2:$B$60, 2, 1) &amp; " " &amp; VLOOKUP(VALUE(MID($C84,15,4)), codigos!$E$2:$F$102, 2, FALSE)</f>
        <v>BUDINERA 26</v>
      </c>
      <c r="E84" s="20" t="str">
        <f>VLOOKUP(VALUE(MID($C84,19,2)),codigos!$H$2:$I$62,2,1) &amp; " " &amp; VLOOKUP(VALUE(MID($C84,21,2)),codigos!$K$2:$L$12,2,FALSE)</f>
        <v>A/T S/I</v>
      </c>
      <c r="F84" s="20" t="s">
        <v>507</v>
      </c>
      <c r="G84" s="20" t="s">
        <v>340</v>
      </c>
      <c r="H84" s="52" t="s">
        <v>1108</v>
      </c>
      <c r="I84" s="20" t="s">
        <v>1109</v>
      </c>
      <c r="J84" s="20">
        <v>12</v>
      </c>
      <c r="K84" s="20">
        <v>12</v>
      </c>
      <c r="L84" s="11">
        <f t="shared" ref="L84:L99" si="11">+J84-K84</f>
        <v>0</v>
      </c>
      <c r="M84" s="134"/>
      <c r="N84" s="96">
        <v>46034</v>
      </c>
    </row>
    <row r="85" spans="1:14" x14ac:dyDescent="0.25">
      <c r="A85" s="11">
        <f t="shared" ca="1" si="9"/>
        <v>-128</v>
      </c>
      <c r="B85" s="37">
        <f t="shared" si="10"/>
        <v>53</v>
      </c>
      <c r="C85" s="20" t="s">
        <v>169</v>
      </c>
      <c r="D85" s="20" t="str">
        <f>VLOOKUP(VALUE(MID($C85,13,2)), codigos!$A$2:$B$60, 2, 1) &amp; " " &amp; VLOOKUP(VALUE(MID($C85,15,4)), codigos!$E$2:$F$102, 2, FALSE)</f>
        <v>BUDINERA 30</v>
      </c>
      <c r="E85" s="20" t="str">
        <f>VLOOKUP(VALUE(MID($C85,19,2)),codigos!$H$2:$I$62,2,1) &amp; " " &amp; VLOOKUP(VALUE(MID($C85,21,2)),codigos!$K$2:$L$12,2,FALSE)</f>
        <v>A/T S/I</v>
      </c>
      <c r="F85" s="20" t="s">
        <v>507</v>
      </c>
      <c r="G85" s="20" t="s">
        <v>340</v>
      </c>
      <c r="H85" s="52" t="s">
        <v>1108</v>
      </c>
      <c r="I85" s="20" t="s">
        <v>1109</v>
      </c>
      <c r="J85" s="20">
        <v>40</v>
      </c>
      <c r="K85" s="20">
        <v>40</v>
      </c>
      <c r="L85" s="11">
        <f t="shared" si="11"/>
        <v>0</v>
      </c>
      <c r="M85" s="134"/>
      <c r="N85" s="96">
        <v>46034</v>
      </c>
    </row>
    <row r="86" spans="1:14" x14ac:dyDescent="0.25">
      <c r="A86" s="11">
        <f t="shared" ca="1" si="9"/>
        <v>-128</v>
      </c>
      <c r="B86" s="37">
        <f t="shared" si="10"/>
        <v>53</v>
      </c>
      <c r="C86" s="20" t="s">
        <v>151</v>
      </c>
      <c r="D86" s="20" t="str">
        <f>VLOOKUP(VALUE(MID($C86,13,2)), codigos!$A$2:$B$60, 2, 1) &amp; " " &amp; VLOOKUP(VALUE(MID($C86,15,4)), codigos!$E$2:$F$102, 2, FALSE)</f>
        <v>OLLA CONVEXA 20</v>
      </c>
      <c r="E86" s="20" t="str">
        <f>VLOOKUP(VALUE(MID($C86,19,2)),codigos!$H$2:$I$62,2,1) &amp; " " &amp; VLOOKUP(VALUE(MID($C86,21,2)),codigos!$K$2:$L$12,2,FALSE)</f>
        <v>A/T S/I</v>
      </c>
      <c r="F86" s="20" t="s">
        <v>507</v>
      </c>
      <c r="G86" s="20" t="s">
        <v>340</v>
      </c>
      <c r="H86" s="52" t="s">
        <v>1108</v>
      </c>
      <c r="I86" s="20" t="s">
        <v>1109</v>
      </c>
      <c r="J86" s="20">
        <v>24</v>
      </c>
      <c r="K86" s="20">
        <v>24</v>
      </c>
      <c r="L86" s="11">
        <f t="shared" si="11"/>
        <v>0</v>
      </c>
      <c r="M86" s="134"/>
      <c r="N86" s="96">
        <v>46034</v>
      </c>
    </row>
    <row r="87" spans="1:14" x14ac:dyDescent="0.25">
      <c r="A87" s="11">
        <f t="shared" ca="1" si="9"/>
        <v>-128</v>
      </c>
      <c r="B87" s="37">
        <f t="shared" si="10"/>
        <v>53</v>
      </c>
      <c r="C87" s="20" t="s">
        <v>155</v>
      </c>
      <c r="D87" s="20" t="str">
        <f>VLOOKUP(VALUE(MID($C87,13,2)), codigos!$A$2:$B$60, 2, 1) &amp; " " &amp; VLOOKUP(VALUE(MID($C87,15,4)), codigos!$E$2:$F$102, 2, FALSE)</f>
        <v>OLLA RECTA 30</v>
      </c>
      <c r="E87" s="20" t="str">
        <f>VLOOKUP(VALUE(MID($C87,19,2)),codigos!$H$2:$I$62,2,1) &amp; " " &amp; VLOOKUP(VALUE(MID($C87,21,2)),codigos!$K$2:$L$12,2,FALSE)</f>
        <v>A/T S/I</v>
      </c>
      <c r="F87" s="20" t="s">
        <v>507</v>
      </c>
      <c r="G87" s="20" t="s">
        <v>340</v>
      </c>
      <c r="H87" s="52" t="s">
        <v>1108</v>
      </c>
      <c r="I87" s="20" t="s">
        <v>1109</v>
      </c>
      <c r="J87" s="20">
        <v>6</v>
      </c>
      <c r="K87" s="20">
        <v>6</v>
      </c>
      <c r="L87" s="11">
        <f t="shared" si="11"/>
        <v>0</v>
      </c>
      <c r="M87" s="134"/>
      <c r="N87" s="96">
        <v>46034</v>
      </c>
    </row>
    <row r="88" spans="1:14" x14ac:dyDescent="0.25">
      <c r="A88" s="11">
        <f t="shared" ca="1" si="9"/>
        <v>-128</v>
      </c>
      <c r="B88" s="37">
        <f t="shared" si="10"/>
        <v>53</v>
      </c>
      <c r="C88" s="20" t="s">
        <v>182</v>
      </c>
      <c r="D88" s="20" t="str">
        <f>VLOOKUP(VALUE(MID($C88,13,2)), codigos!$A$2:$B$60, 2, 1) &amp; " " &amp; VLOOKUP(VALUE(MID($C88,15,4)), codigos!$E$2:$F$102, 2, FALSE)</f>
        <v>POCILLO 14</v>
      </c>
      <c r="E88" s="20" t="str">
        <f>VLOOKUP(VALUE(MID($C88,19,2)),codigos!$H$2:$I$62,2,1) &amp; " " &amp; VLOOKUP(VALUE(MID($C88,21,2)),codigos!$K$2:$L$12,2,FALSE)</f>
        <v>A/T S/I</v>
      </c>
      <c r="F88" s="20" t="s">
        <v>507</v>
      </c>
      <c r="G88" s="20" t="s">
        <v>340</v>
      </c>
      <c r="H88" s="52" t="s">
        <v>1108</v>
      </c>
      <c r="I88" s="20" t="s">
        <v>1109</v>
      </c>
      <c r="J88" s="20">
        <v>48</v>
      </c>
      <c r="K88" s="20">
        <v>48</v>
      </c>
      <c r="L88" s="11">
        <f t="shared" si="11"/>
        <v>0</v>
      </c>
      <c r="M88" s="134"/>
      <c r="N88" s="96">
        <v>46034</v>
      </c>
    </row>
    <row r="89" spans="1:14" x14ac:dyDescent="0.25">
      <c r="A89" s="11">
        <f t="shared" ref="A89:A99" ca="1" si="12">DAYS360($B$1,I89)</f>
        <v>-157</v>
      </c>
      <c r="B89" s="37">
        <f t="shared" ref="B89:B99" si="13">+N89-I89</f>
        <v>100</v>
      </c>
      <c r="C89" s="20" t="s">
        <v>201</v>
      </c>
      <c r="D89" s="11" t="str">
        <f>VLOOKUP(VALUE(MID($C89,13,2)), codigos!$A$2:$B$60, 2, 1) &amp; " " &amp; VLOOKUP(VALUE(MID($C89,15,4)), codigos!$E$2:$F$102, 2, FALSE)</f>
        <v>BAÑO 0</v>
      </c>
      <c r="E89" s="11" t="str">
        <f>VLOOKUP(VALUE(MID($C89,19,2)),codigos!$H$2:$I$62,2,1) &amp; " " &amp; VLOOKUP(VALUE(MID($C89,21,2)),codigos!$K$2:$L$12,2,FALSE)</f>
        <v>GALVANIZADO S/I</v>
      </c>
      <c r="F89" s="11" t="s">
        <v>1110</v>
      </c>
      <c r="G89" s="11" t="s">
        <v>16</v>
      </c>
      <c r="H89" s="11" t="s">
        <v>1111</v>
      </c>
      <c r="I89" s="11" t="s">
        <v>843</v>
      </c>
      <c r="J89" s="11">
        <v>15</v>
      </c>
      <c r="K89" s="15">
        <v>15</v>
      </c>
      <c r="L89" s="15">
        <f t="shared" si="11"/>
        <v>0</v>
      </c>
      <c r="M89" s="143">
        <f>(SUM(K89:K99))/(SUM(J89:J99))</f>
        <v>1</v>
      </c>
      <c r="N89" s="96">
        <v>46051</v>
      </c>
    </row>
    <row r="90" spans="1:14" x14ac:dyDescent="0.25">
      <c r="A90" s="11">
        <f t="shared" ca="1" si="12"/>
        <v>-157</v>
      </c>
      <c r="B90" s="37">
        <f t="shared" si="13"/>
        <v>100</v>
      </c>
      <c r="C90" s="20" t="s">
        <v>1112</v>
      </c>
      <c r="D90" s="11" t="str">
        <f>VLOOKUP(VALUE(MID($C90,13,2)), codigos!$A$2:$B$60, 2, 1) &amp; " " &amp; VLOOKUP(VALUE(MID($C90,15,4)), codigos!$E$2:$F$102, 2, FALSE)</f>
        <v>CUBETA 18</v>
      </c>
      <c r="E90" s="11" t="str">
        <f>VLOOKUP(VALUE(MID($C90,19,2)),codigos!$H$2:$I$62,2,1) &amp; " " &amp; VLOOKUP(VALUE(MID($C90,21,2)),codigos!$K$2:$L$12,2,FALSE)</f>
        <v>GALVANIZADO S/I</v>
      </c>
      <c r="F90" s="11" t="s">
        <v>1110</v>
      </c>
      <c r="G90" s="11" t="s">
        <v>16</v>
      </c>
      <c r="H90" s="11" t="s">
        <v>1111</v>
      </c>
      <c r="I90" s="11" t="s">
        <v>843</v>
      </c>
      <c r="J90" s="11">
        <v>25</v>
      </c>
      <c r="K90" s="15">
        <v>25</v>
      </c>
      <c r="L90" s="15">
        <f t="shared" si="11"/>
        <v>0</v>
      </c>
      <c r="M90" s="143"/>
      <c r="N90" s="96">
        <v>46051</v>
      </c>
    </row>
    <row r="91" spans="1:14" x14ac:dyDescent="0.25">
      <c r="A91" s="11">
        <f t="shared" ca="1" si="12"/>
        <v>-157</v>
      </c>
      <c r="B91" s="37">
        <f t="shared" si="13"/>
        <v>100</v>
      </c>
      <c r="C91" s="20" t="s">
        <v>862</v>
      </c>
      <c r="D91" s="11" t="str">
        <f>VLOOKUP(VALUE(MID($C91,13,2)), codigos!$A$2:$B$60, 2, 1) &amp; " " &amp; VLOOKUP(VALUE(MID($C91,15,4)), codigos!$E$2:$F$102, 2, FALSE)</f>
        <v>MULTIUSOS S/I</v>
      </c>
      <c r="E91" s="11" t="str">
        <f>VLOOKUP(VALUE(MID($C91,19,2)),codigos!$H$2:$I$62,2,1) &amp; " " &amp; VLOOKUP(VALUE(MID($C91,21,2)),codigos!$K$2:$L$12,2,FALSE)</f>
        <v>A/T S/I</v>
      </c>
      <c r="F91" s="11" t="s">
        <v>1110</v>
      </c>
      <c r="G91" s="11" t="s">
        <v>16</v>
      </c>
      <c r="H91" s="11" t="s">
        <v>1111</v>
      </c>
      <c r="I91" s="11" t="s">
        <v>843</v>
      </c>
      <c r="J91" s="11">
        <v>36</v>
      </c>
      <c r="K91" s="15">
        <v>36</v>
      </c>
      <c r="L91" s="15">
        <f t="shared" si="11"/>
        <v>0</v>
      </c>
      <c r="M91" s="143"/>
      <c r="N91" s="96">
        <v>46051</v>
      </c>
    </row>
    <row r="92" spans="1:14" x14ac:dyDescent="0.25">
      <c r="A92" s="11">
        <f t="shared" ca="1" si="12"/>
        <v>-157</v>
      </c>
      <c r="B92" s="37">
        <f t="shared" si="13"/>
        <v>100</v>
      </c>
      <c r="C92" s="20" t="s">
        <v>280</v>
      </c>
      <c r="D92" s="11" t="str">
        <f>VLOOKUP(VALUE(MID($C92,13,2)), codigos!$A$2:$B$60, 2, 1) &amp; " " &amp; VLOOKUP(VALUE(MID($C92,15,4)), codigos!$E$2:$F$102, 2, FALSE)</f>
        <v>MULTIUSOS S/I</v>
      </c>
      <c r="E92" s="11" t="str">
        <f>VLOOKUP(VALUE(MID($C92,19,2)),codigos!$H$2:$I$62,2,1) &amp; " " &amp; VLOOKUP(VALUE(MID($C92,21,2)),codigos!$K$2:$L$12,2,FALSE)</f>
        <v>BLANCO  NEGRO</v>
      </c>
      <c r="F92" s="11" t="s">
        <v>1110</v>
      </c>
      <c r="G92" s="11" t="s">
        <v>16</v>
      </c>
      <c r="H92" s="11" t="s">
        <v>1111</v>
      </c>
      <c r="I92" s="11" t="s">
        <v>843</v>
      </c>
      <c r="J92" s="11">
        <v>36</v>
      </c>
      <c r="K92" s="15">
        <v>36</v>
      </c>
      <c r="L92" s="15">
        <f t="shared" si="11"/>
        <v>0</v>
      </c>
      <c r="M92" s="143"/>
      <c r="N92" s="96">
        <v>46051</v>
      </c>
    </row>
    <row r="93" spans="1:14" x14ac:dyDescent="0.25">
      <c r="A93" s="11">
        <f t="shared" ca="1" si="12"/>
        <v>-157</v>
      </c>
      <c r="B93" s="37">
        <f t="shared" si="13"/>
        <v>100</v>
      </c>
      <c r="C93" s="20" t="s">
        <v>282</v>
      </c>
      <c r="D93" s="11" t="str">
        <f>VLOOKUP(VALUE(MID($C93,13,2)), codigos!$A$2:$B$60, 2, 1) &amp; " " &amp; VLOOKUP(VALUE(MID($C93,15,4)), codigos!$E$2:$F$102, 2, FALSE)</f>
        <v>MULTIUSOS S/I</v>
      </c>
      <c r="E93" s="11" t="str">
        <f>VLOOKUP(VALUE(MID($C93,19,2)),codigos!$H$2:$I$62,2,1) &amp; " " &amp; VLOOKUP(VALUE(MID($C93,21,2)),codigos!$K$2:$L$12,2,FALSE)</f>
        <v>NEGRO S/I</v>
      </c>
      <c r="F93" s="11" t="s">
        <v>1110</v>
      </c>
      <c r="G93" s="11" t="s">
        <v>16</v>
      </c>
      <c r="H93" s="11" t="s">
        <v>1111</v>
      </c>
      <c r="I93" s="11" t="s">
        <v>843</v>
      </c>
      <c r="J93" s="11">
        <v>36</v>
      </c>
      <c r="K93" s="15">
        <v>36</v>
      </c>
      <c r="L93" s="15">
        <f t="shared" si="11"/>
        <v>0</v>
      </c>
      <c r="M93" s="143"/>
      <c r="N93" s="96">
        <v>46051</v>
      </c>
    </row>
    <row r="94" spans="1:14" x14ac:dyDescent="0.25">
      <c r="A94" s="11">
        <f t="shared" ca="1" si="12"/>
        <v>-157</v>
      </c>
      <c r="B94" s="37">
        <f t="shared" si="13"/>
        <v>100</v>
      </c>
      <c r="C94" s="39" t="s">
        <v>1113</v>
      </c>
      <c r="D94" s="11" t="str">
        <f>VLOOKUP(VALUE(MID($C94,13,2)), codigos!$A$2:$B$60, 2, 1) &amp; " " &amp; VLOOKUP(VALUE(MID($C94,15,4)), codigos!$E$2:$F$102, 2, FALSE)</f>
        <v>MULTIUSOS RAYADO 16.5</v>
      </c>
      <c r="E94" s="11" t="str">
        <f>VLOOKUP(VALUE(MID($C94,19,2)),codigos!$H$2:$I$62,2,1) &amp; " " &amp; VLOOKUP(VALUE(MID($C94,21,2)),codigos!$K$2:$L$12,2,FALSE)</f>
        <v>A/T S/I</v>
      </c>
      <c r="F94" s="11" t="s">
        <v>1110</v>
      </c>
      <c r="G94" s="11" t="s">
        <v>16</v>
      </c>
      <c r="H94" s="11" t="s">
        <v>1111</v>
      </c>
      <c r="I94" s="11" t="s">
        <v>843</v>
      </c>
      <c r="J94" s="11">
        <v>48</v>
      </c>
      <c r="K94" s="15">
        <v>48</v>
      </c>
      <c r="L94" s="15">
        <f t="shared" si="11"/>
        <v>0</v>
      </c>
      <c r="M94" s="143"/>
      <c r="N94" s="96">
        <v>46051</v>
      </c>
    </row>
    <row r="95" spans="1:14" x14ac:dyDescent="0.25">
      <c r="A95" s="11">
        <f t="shared" ca="1" si="12"/>
        <v>-157</v>
      </c>
      <c r="B95" s="37">
        <f t="shared" si="13"/>
        <v>100</v>
      </c>
      <c r="C95" s="20" t="s">
        <v>73</v>
      </c>
      <c r="D95" s="11" t="str">
        <f>VLOOKUP(VALUE(MID($C95,13,2)), codigos!$A$2:$B$60, 2, 1) &amp; " " &amp; VLOOKUP(VALUE(MID($C95,15,4)), codigos!$E$2:$F$102, 2, FALSE)</f>
        <v>POCILLO 5</v>
      </c>
      <c r="E95" s="11" t="str">
        <f>VLOOKUP(VALUE(MID($C95,19,2)),codigos!$H$2:$I$62,2,1) &amp; " " &amp; VLOOKUP(VALUE(MID($C95,21,2)),codigos!$K$2:$L$12,2,FALSE)</f>
        <v>A/T S/I</v>
      </c>
      <c r="F95" s="11" t="s">
        <v>1110</v>
      </c>
      <c r="G95" s="11" t="s">
        <v>16</v>
      </c>
      <c r="H95" s="11" t="s">
        <v>1111</v>
      </c>
      <c r="I95" s="11" t="s">
        <v>843</v>
      </c>
      <c r="J95" s="11">
        <v>72</v>
      </c>
      <c r="K95" s="15">
        <v>72</v>
      </c>
      <c r="L95" s="15">
        <f t="shared" si="11"/>
        <v>0</v>
      </c>
      <c r="M95" s="143"/>
      <c r="N95" s="96">
        <v>46051</v>
      </c>
    </row>
    <row r="96" spans="1:14" x14ac:dyDescent="0.25">
      <c r="A96" s="11">
        <f t="shared" ca="1" si="12"/>
        <v>-157</v>
      </c>
      <c r="B96" s="37">
        <f t="shared" si="13"/>
        <v>100</v>
      </c>
      <c r="C96" s="20" t="s">
        <v>225</v>
      </c>
      <c r="D96" s="11" t="str">
        <f>VLOOKUP(VALUE(MID($C96,13,2)), codigos!$A$2:$B$60, 2, 1) &amp; " " &amp; VLOOKUP(VALUE(MID($C96,15,4)), codigos!$E$2:$F$102, 2, FALSE)</f>
        <v>POCILLO 8</v>
      </c>
      <c r="E96" s="11" t="str">
        <f>VLOOKUP(VALUE(MID($C96,19,2)),codigos!$H$2:$I$62,2,1) &amp; " " &amp; VLOOKUP(VALUE(MID($C96,21,2)),codigos!$K$2:$L$12,2,FALSE)</f>
        <v>A/T S/I</v>
      </c>
      <c r="F96" s="11" t="s">
        <v>1110</v>
      </c>
      <c r="G96" s="11" t="s">
        <v>16</v>
      </c>
      <c r="H96" s="11" t="s">
        <v>1111</v>
      </c>
      <c r="I96" s="11" t="s">
        <v>843</v>
      </c>
      <c r="J96" s="11">
        <v>144</v>
      </c>
      <c r="K96" s="15">
        <v>144</v>
      </c>
      <c r="L96" s="15">
        <f t="shared" si="11"/>
        <v>0</v>
      </c>
      <c r="M96" s="143"/>
      <c r="N96" s="96">
        <v>46051</v>
      </c>
    </row>
    <row r="97" spans="1:14" x14ac:dyDescent="0.25">
      <c r="A97" s="11">
        <f t="shared" ca="1" si="12"/>
        <v>-157</v>
      </c>
      <c r="B97" s="37">
        <f t="shared" si="13"/>
        <v>100</v>
      </c>
      <c r="C97" s="20" t="s">
        <v>271</v>
      </c>
      <c r="D97" s="11" t="str">
        <f>VLOOKUP(VALUE(MID($C97,13,2)), codigos!$A$2:$B$60, 2, 1) &amp; " " &amp; VLOOKUP(VALUE(MID($C97,15,4)), codigos!$E$2:$F$102, 2, FALSE)</f>
        <v>PORTAVASOS S/I</v>
      </c>
      <c r="E97" s="11" t="str">
        <f>VLOOKUP(VALUE(MID($C97,19,2)),codigos!$H$2:$I$62,2,1) &amp; " " &amp; VLOOKUP(VALUE(MID($C97,21,2)),codigos!$K$2:$L$12,2,FALSE)</f>
        <v>BLANCO  NEGRO</v>
      </c>
      <c r="F97" s="11" t="s">
        <v>1110</v>
      </c>
      <c r="G97" s="11" t="s">
        <v>16</v>
      </c>
      <c r="H97" s="11" t="s">
        <v>1111</v>
      </c>
      <c r="I97" s="11" t="s">
        <v>843</v>
      </c>
      <c r="J97" s="11">
        <v>240</v>
      </c>
      <c r="K97" s="15">
        <v>240</v>
      </c>
      <c r="L97" s="15">
        <f t="shared" si="11"/>
        <v>0</v>
      </c>
      <c r="M97" s="143"/>
      <c r="N97" s="96">
        <v>46051</v>
      </c>
    </row>
    <row r="98" spans="1:14" x14ac:dyDescent="0.25">
      <c r="A98" s="11">
        <f t="shared" ca="1" si="12"/>
        <v>-157</v>
      </c>
      <c r="B98" s="37">
        <f t="shared" si="13"/>
        <v>100</v>
      </c>
      <c r="C98" s="20" t="s">
        <v>306</v>
      </c>
      <c r="D98" s="11" t="str">
        <f>VLOOKUP(VALUE(MID($C98,13,2)), codigos!$A$2:$B$60, 2, 1) &amp; " " &amp; VLOOKUP(VALUE(MID($C98,15,4)), codigos!$E$2:$F$102, 2, FALSE)</f>
        <v>TORTILLERO  18</v>
      </c>
      <c r="E98" s="11" t="str">
        <f>VLOOKUP(VALUE(MID($C98,19,2)),codigos!$H$2:$I$62,2,1) &amp; " " &amp; VLOOKUP(VALUE(MID($C98,21,2)),codigos!$K$2:$L$12,2,FALSE)</f>
        <v>GRIS S/I</v>
      </c>
      <c r="F98" s="11" t="s">
        <v>1110</v>
      </c>
      <c r="G98" s="11" t="s">
        <v>16</v>
      </c>
      <c r="H98" s="11" t="s">
        <v>1111</v>
      </c>
      <c r="I98" s="11" t="s">
        <v>843</v>
      </c>
      <c r="J98" s="11">
        <v>48</v>
      </c>
      <c r="K98" s="15">
        <f>1+2+42+3</f>
        <v>48</v>
      </c>
      <c r="L98" s="15">
        <f t="shared" si="11"/>
        <v>0</v>
      </c>
      <c r="M98" s="143"/>
      <c r="N98" s="96">
        <v>46051</v>
      </c>
    </row>
    <row r="99" spans="1:14" x14ac:dyDescent="0.25">
      <c r="A99" s="11">
        <f t="shared" ca="1" si="12"/>
        <v>-157</v>
      </c>
      <c r="B99" s="37">
        <f t="shared" si="13"/>
        <v>100</v>
      </c>
      <c r="C99" s="20" t="s">
        <v>1114</v>
      </c>
      <c r="D99" s="11" t="str">
        <f>VLOOKUP(VALUE(MID($C99,13,2)), codigos!$A$2:$B$60, 2, 1) &amp; " " &amp; VLOOKUP(VALUE(MID($C99,15,4)), codigos!$E$2:$F$102, 2, FALSE)</f>
        <v>JARRA ABOMBADA 3 L</v>
      </c>
      <c r="E99" s="11" t="str">
        <f>VLOOKUP(VALUE(MID($C99,19,2)),codigos!$H$2:$I$62,2,1) &amp; " " &amp; VLOOKUP(VALUE(MID($C99,21,2)),codigos!$K$2:$L$12,2,FALSE)</f>
        <v>COBALTO S/I</v>
      </c>
      <c r="F99" s="11" t="s">
        <v>1110</v>
      </c>
      <c r="G99" s="11" t="s">
        <v>16</v>
      </c>
      <c r="H99" s="11" t="s">
        <v>1111</v>
      </c>
      <c r="I99" s="11" t="s">
        <v>843</v>
      </c>
      <c r="J99" s="11">
        <v>12</v>
      </c>
      <c r="K99" s="15">
        <v>12</v>
      </c>
      <c r="L99" s="15">
        <f t="shared" si="11"/>
        <v>0</v>
      </c>
      <c r="M99" s="143"/>
      <c r="N99" s="96">
        <v>46051</v>
      </c>
    </row>
    <row r="100" spans="1:14" x14ac:dyDescent="0.25">
      <c r="A100" s="11">
        <f t="shared" ref="A100:A118" ca="1" si="14">DAYS360($B$1,I100)</f>
        <v>-83</v>
      </c>
      <c r="B100" s="37">
        <f t="shared" ref="B100:B118" si="15">+N100-I100</f>
        <v>9</v>
      </c>
      <c r="C100" s="20" t="s">
        <v>572</v>
      </c>
      <c r="D100" s="20" t="s">
        <v>1115</v>
      </c>
      <c r="E100" s="20" t="s">
        <v>896</v>
      </c>
      <c r="F100" s="20" t="s">
        <v>573</v>
      </c>
      <c r="G100" s="20" t="s">
        <v>11</v>
      </c>
      <c r="H100" s="52" t="s">
        <v>1116</v>
      </c>
      <c r="I100" s="20" t="s">
        <v>990</v>
      </c>
      <c r="J100" s="20">
        <v>6</v>
      </c>
      <c r="K100" s="20">
        <f>3+3</f>
        <v>6</v>
      </c>
      <c r="L100" s="101">
        <f t="shared" ref="L100:L118" si="16">J100-K100</f>
        <v>0</v>
      </c>
      <c r="M100" s="134">
        <f>(SUM(K100:K118))/(SUM(J100:J118))</f>
        <v>1</v>
      </c>
      <c r="N100" s="96">
        <v>46036</v>
      </c>
    </row>
    <row r="101" spans="1:14" x14ac:dyDescent="0.25">
      <c r="A101" s="11">
        <f t="shared" ca="1" si="14"/>
        <v>-83</v>
      </c>
      <c r="B101" s="37">
        <f t="shared" si="15"/>
        <v>9</v>
      </c>
      <c r="C101" s="20" t="s">
        <v>576</v>
      </c>
      <c r="D101" s="20" t="s">
        <v>890</v>
      </c>
      <c r="E101" s="20" t="s">
        <v>896</v>
      </c>
      <c r="F101" s="20" t="s">
        <v>573</v>
      </c>
      <c r="G101" s="20" t="s">
        <v>11</v>
      </c>
      <c r="H101" s="52" t="s">
        <v>1116</v>
      </c>
      <c r="I101" s="20" t="s">
        <v>990</v>
      </c>
      <c r="J101" s="20">
        <v>3</v>
      </c>
      <c r="K101" s="20">
        <v>3</v>
      </c>
      <c r="L101" s="101">
        <f t="shared" si="16"/>
        <v>0</v>
      </c>
      <c r="M101" s="134"/>
      <c r="N101" s="96">
        <v>46036</v>
      </c>
    </row>
    <row r="102" spans="1:14" x14ac:dyDescent="0.25">
      <c r="A102" s="11">
        <f t="shared" ca="1" si="14"/>
        <v>-83</v>
      </c>
      <c r="B102" s="37">
        <f t="shared" si="15"/>
        <v>9</v>
      </c>
      <c r="C102" s="20" t="s">
        <v>946</v>
      </c>
      <c r="D102" s="20" t="s">
        <v>890</v>
      </c>
      <c r="E102" s="20" t="s">
        <v>1011</v>
      </c>
      <c r="F102" s="20" t="s">
        <v>573</v>
      </c>
      <c r="G102" s="20" t="s">
        <v>11</v>
      </c>
      <c r="H102" s="52" t="s">
        <v>1116</v>
      </c>
      <c r="I102" s="20" t="s">
        <v>990</v>
      </c>
      <c r="J102" s="20">
        <v>1</v>
      </c>
      <c r="K102" s="20">
        <v>1</v>
      </c>
      <c r="L102" s="101">
        <f t="shared" si="16"/>
        <v>0</v>
      </c>
      <c r="M102" s="134"/>
      <c r="N102" s="96">
        <v>46036</v>
      </c>
    </row>
    <row r="103" spans="1:14" x14ac:dyDescent="0.25">
      <c r="A103" s="11">
        <f t="shared" ca="1" si="14"/>
        <v>-83</v>
      </c>
      <c r="B103" s="37">
        <f t="shared" si="15"/>
        <v>9</v>
      </c>
      <c r="C103" s="20" t="s">
        <v>577</v>
      </c>
      <c r="D103" s="20" t="s">
        <v>890</v>
      </c>
      <c r="E103" s="20" t="s">
        <v>907</v>
      </c>
      <c r="F103" s="20" t="s">
        <v>573</v>
      </c>
      <c r="G103" s="20" t="s">
        <v>11</v>
      </c>
      <c r="H103" s="52" t="s">
        <v>1116</v>
      </c>
      <c r="I103" s="20" t="s">
        <v>990</v>
      </c>
      <c r="J103" s="20">
        <v>1</v>
      </c>
      <c r="K103" s="20">
        <v>1</v>
      </c>
      <c r="L103" s="101">
        <f t="shared" si="16"/>
        <v>0</v>
      </c>
      <c r="M103" s="134"/>
      <c r="N103" s="96">
        <v>46036</v>
      </c>
    </row>
    <row r="104" spans="1:14" x14ac:dyDescent="0.25">
      <c r="A104" s="11">
        <f t="shared" ca="1" si="14"/>
        <v>-83</v>
      </c>
      <c r="B104" s="37">
        <f t="shared" si="15"/>
        <v>9</v>
      </c>
      <c r="C104" s="20" t="s">
        <v>578</v>
      </c>
      <c r="D104" s="20" t="s">
        <v>1117</v>
      </c>
      <c r="E104" s="20" t="s">
        <v>919</v>
      </c>
      <c r="F104" s="20" t="s">
        <v>573</v>
      </c>
      <c r="G104" s="20" t="s">
        <v>11</v>
      </c>
      <c r="H104" s="52" t="s">
        <v>1116</v>
      </c>
      <c r="I104" s="20" t="s">
        <v>990</v>
      </c>
      <c r="J104" s="20">
        <v>9</v>
      </c>
      <c r="K104" s="20">
        <v>9</v>
      </c>
      <c r="L104" s="101">
        <f t="shared" si="16"/>
        <v>0</v>
      </c>
      <c r="M104" s="134"/>
      <c r="N104" s="96">
        <v>46036</v>
      </c>
    </row>
    <row r="105" spans="1:14" x14ac:dyDescent="0.25">
      <c r="A105" s="11">
        <f t="shared" ca="1" si="14"/>
        <v>-83</v>
      </c>
      <c r="B105" s="37">
        <f t="shared" si="15"/>
        <v>9</v>
      </c>
      <c r="C105" s="20" t="s">
        <v>579</v>
      </c>
      <c r="D105" s="20" t="s">
        <v>1118</v>
      </c>
      <c r="E105" s="20" t="s">
        <v>896</v>
      </c>
      <c r="F105" s="20" t="s">
        <v>573</v>
      </c>
      <c r="G105" s="20" t="s">
        <v>11</v>
      </c>
      <c r="H105" s="52" t="s">
        <v>1116</v>
      </c>
      <c r="I105" s="20" t="s">
        <v>990</v>
      </c>
      <c r="J105" s="20">
        <v>3</v>
      </c>
      <c r="K105" s="20">
        <v>3</v>
      </c>
      <c r="L105" s="101">
        <f t="shared" si="16"/>
        <v>0</v>
      </c>
      <c r="M105" s="134"/>
      <c r="N105" s="96">
        <v>46036</v>
      </c>
    </row>
    <row r="106" spans="1:14" x14ac:dyDescent="0.25">
      <c r="A106" s="11">
        <f t="shared" ca="1" si="14"/>
        <v>-83</v>
      </c>
      <c r="B106" s="37">
        <f t="shared" si="15"/>
        <v>9</v>
      </c>
      <c r="C106" s="20" t="s">
        <v>580</v>
      </c>
      <c r="D106" s="20" t="s">
        <v>1119</v>
      </c>
      <c r="E106" s="20" t="s">
        <v>896</v>
      </c>
      <c r="F106" s="20" t="s">
        <v>573</v>
      </c>
      <c r="G106" s="20" t="s">
        <v>11</v>
      </c>
      <c r="H106" s="52" t="s">
        <v>1116</v>
      </c>
      <c r="I106" s="20" t="s">
        <v>990</v>
      </c>
      <c r="J106" s="20">
        <v>7</v>
      </c>
      <c r="K106" s="20">
        <f>1+6</f>
        <v>7</v>
      </c>
      <c r="L106" s="101">
        <f t="shared" si="16"/>
        <v>0</v>
      </c>
      <c r="M106" s="134"/>
      <c r="N106" s="96">
        <v>46036</v>
      </c>
    </row>
    <row r="107" spans="1:14" x14ac:dyDescent="0.25">
      <c r="A107" s="11">
        <f t="shared" ca="1" si="14"/>
        <v>-83</v>
      </c>
      <c r="B107" s="37">
        <f t="shared" si="15"/>
        <v>9</v>
      </c>
      <c r="C107" s="20" t="s">
        <v>581</v>
      </c>
      <c r="D107" s="20" t="s">
        <v>904</v>
      </c>
      <c r="E107" s="20" t="s">
        <v>896</v>
      </c>
      <c r="F107" s="20" t="s">
        <v>573</v>
      </c>
      <c r="G107" s="20" t="s">
        <v>11</v>
      </c>
      <c r="H107" s="52" t="s">
        <v>1116</v>
      </c>
      <c r="I107" s="20" t="s">
        <v>990</v>
      </c>
      <c r="J107" s="20">
        <v>4</v>
      </c>
      <c r="K107" s="20">
        <v>4</v>
      </c>
      <c r="L107" s="101">
        <f t="shared" si="16"/>
        <v>0</v>
      </c>
      <c r="M107" s="134"/>
      <c r="N107" s="96">
        <v>46036</v>
      </c>
    </row>
    <row r="108" spans="1:14" x14ac:dyDescent="0.25">
      <c r="A108" s="11">
        <f t="shared" ca="1" si="14"/>
        <v>-83</v>
      </c>
      <c r="B108" s="37">
        <f t="shared" si="15"/>
        <v>9</v>
      </c>
      <c r="C108" s="20" t="s">
        <v>583</v>
      </c>
      <c r="D108" s="20" t="s">
        <v>904</v>
      </c>
      <c r="E108" s="20" t="s">
        <v>907</v>
      </c>
      <c r="F108" s="20" t="s">
        <v>573</v>
      </c>
      <c r="G108" s="20" t="s">
        <v>11</v>
      </c>
      <c r="H108" s="52" t="s">
        <v>1116</v>
      </c>
      <c r="I108" s="20" t="s">
        <v>990</v>
      </c>
      <c r="J108" s="20">
        <v>4</v>
      </c>
      <c r="K108" s="20">
        <f>3+1</f>
        <v>4</v>
      </c>
      <c r="L108" s="101">
        <f t="shared" si="16"/>
        <v>0</v>
      </c>
      <c r="M108" s="134"/>
      <c r="N108" s="96">
        <v>46036</v>
      </c>
    </row>
    <row r="109" spans="1:14" x14ac:dyDescent="0.25">
      <c r="A109" s="11">
        <f t="shared" ca="1" si="14"/>
        <v>-83</v>
      </c>
      <c r="B109" s="37">
        <f t="shared" si="15"/>
        <v>9</v>
      </c>
      <c r="C109" s="20" t="s">
        <v>584</v>
      </c>
      <c r="D109" s="20" t="s">
        <v>904</v>
      </c>
      <c r="E109" s="20" t="s">
        <v>891</v>
      </c>
      <c r="F109" s="20" t="s">
        <v>573</v>
      </c>
      <c r="G109" s="20" t="s">
        <v>11</v>
      </c>
      <c r="H109" s="52" t="s">
        <v>1116</v>
      </c>
      <c r="I109" s="20" t="s">
        <v>990</v>
      </c>
      <c r="J109" s="20">
        <v>1</v>
      </c>
      <c r="K109" s="20">
        <v>1</v>
      </c>
      <c r="L109" s="101">
        <f t="shared" si="16"/>
        <v>0</v>
      </c>
      <c r="M109" s="134"/>
      <c r="N109" s="96">
        <v>46036</v>
      </c>
    </row>
    <row r="110" spans="1:14" x14ac:dyDescent="0.25">
      <c r="A110" s="11">
        <f t="shared" ca="1" si="14"/>
        <v>-83</v>
      </c>
      <c r="B110" s="37">
        <f t="shared" si="15"/>
        <v>9</v>
      </c>
      <c r="C110" s="20" t="s">
        <v>585</v>
      </c>
      <c r="D110" s="20" t="s">
        <v>938</v>
      </c>
      <c r="E110" s="20" t="s">
        <v>1011</v>
      </c>
      <c r="F110" s="20" t="s">
        <v>573</v>
      </c>
      <c r="G110" s="20" t="s">
        <v>11</v>
      </c>
      <c r="H110" s="52" t="s">
        <v>1116</v>
      </c>
      <c r="I110" s="20" t="s">
        <v>990</v>
      </c>
      <c r="J110" s="20">
        <v>8</v>
      </c>
      <c r="K110" s="20">
        <v>8</v>
      </c>
      <c r="L110" s="101">
        <f t="shared" si="16"/>
        <v>0</v>
      </c>
      <c r="M110" s="134"/>
      <c r="N110" s="96">
        <v>46036</v>
      </c>
    </row>
    <row r="111" spans="1:14" x14ac:dyDescent="0.25">
      <c r="A111" s="11">
        <f t="shared" ca="1" si="14"/>
        <v>-83</v>
      </c>
      <c r="B111" s="37">
        <f t="shared" si="15"/>
        <v>9</v>
      </c>
      <c r="C111" s="20" t="s">
        <v>586</v>
      </c>
      <c r="D111" s="20" t="s">
        <v>938</v>
      </c>
      <c r="E111" s="20" t="s">
        <v>907</v>
      </c>
      <c r="F111" s="20" t="s">
        <v>573</v>
      </c>
      <c r="G111" s="20" t="s">
        <v>11</v>
      </c>
      <c r="H111" s="52" t="s">
        <v>1116</v>
      </c>
      <c r="I111" s="20" t="s">
        <v>990</v>
      </c>
      <c r="J111" s="20">
        <v>4</v>
      </c>
      <c r="K111" s="20">
        <v>4</v>
      </c>
      <c r="L111" s="101">
        <f t="shared" si="16"/>
        <v>0</v>
      </c>
      <c r="M111" s="134"/>
      <c r="N111" s="96">
        <v>46036</v>
      </c>
    </row>
    <row r="112" spans="1:14" x14ac:dyDescent="0.25">
      <c r="A112" s="11">
        <f t="shared" ca="1" si="14"/>
        <v>-83</v>
      </c>
      <c r="B112" s="37">
        <f t="shared" si="15"/>
        <v>9</v>
      </c>
      <c r="C112" s="20" t="s">
        <v>587</v>
      </c>
      <c r="D112" s="20" t="s">
        <v>938</v>
      </c>
      <c r="E112" s="20" t="s">
        <v>891</v>
      </c>
      <c r="F112" s="20" t="s">
        <v>573</v>
      </c>
      <c r="G112" s="20" t="s">
        <v>11</v>
      </c>
      <c r="H112" s="52" t="s">
        <v>1116</v>
      </c>
      <c r="I112" s="20" t="s">
        <v>990</v>
      </c>
      <c r="J112" s="20">
        <v>8</v>
      </c>
      <c r="K112" s="20">
        <f>5+3</f>
        <v>8</v>
      </c>
      <c r="L112" s="101">
        <f t="shared" si="16"/>
        <v>0</v>
      </c>
      <c r="M112" s="134"/>
      <c r="N112" s="96">
        <v>46036</v>
      </c>
    </row>
    <row r="113" spans="1:14" x14ac:dyDescent="0.25">
      <c r="A113" s="11">
        <f t="shared" ca="1" si="14"/>
        <v>-83</v>
      </c>
      <c r="B113" s="37">
        <f t="shared" si="15"/>
        <v>9</v>
      </c>
      <c r="C113" s="20" t="s">
        <v>588</v>
      </c>
      <c r="D113" s="20" t="s">
        <v>1120</v>
      </c>
      <c r="E113" s="20" t="s">
        <v>896</v>
      </c>
      <c r="F113" s="20" t="s">
        <v>573</v>
      </c>
      <c r="G113" s="20" t="s">
        <v>11</v>
      </c>
      <c r="H113" s="52" t="s">
        <v>1116</v>
      </c>
      <c r="I113" s="20" t="s">
        <v>990</v>
      </c>
      <c r="J113" s="20">
        <v>23</v>
      </c>
      <c r="K113" s="20">
        <v>23</v>
      </c>
      <c r="L113" s="101">
        <f t="shared" si="16"/>
        <v>0</v>
      </c>
      <c r="M113" s="134"/>
      <c r="N113" s="96">
        <v>46036</v>
      </c>
    </row>
    <row r="114" spans="1:14" x14ac:dyDescent="0.25">
      <c r="A114" s="11">
        <f t="shared" ca="1" si="14"/>
        <v>-83</v>
      </c>
      <c r="B114" s="37">
        <f t="shared" si="15"/>
        <v>9</v>
      </c>
      <c r="C114" s="20" t="s">
        <v>589</v>
      </c>
      <c r="D114" s="20" t="s">
        <v>905</v>
      </c>
      <c r="E114" s="20" t="s">
        <v>899</v>
      </c>
      <c r="F114" s="20" t="s">
        <v>573</v>
      </c>
      <c r="G114" s="20" t="s">
        <v>11</v>
      </c>
      <c r="H114" s="52" t="s">
        <v>1116</v>
      </c>
      <c r="I114" s="20" t="s">
        <v>990</v>
      </c>
      <c r="J114" s="20">
        <v>9</v>
      </c>
      <c r="K114" s="20">
        <v>9</v>
      </c>
      <c r="L114" s="101">
        <f t="shared" si="16"/>
        <v>0</v>
      </c>
      <c r="M114" s="134"/>
      <c r="N114" s="96">
        <v>46036</v>
      </c>
    </row>
    <row r="115" spans="1:14" x14ac:dyDescent="0.25">
      <c r="A115" s="11">
        <f t="shared" ca="1" si="14"/>
        <v>-83</v>
      </c>
      <c r="B115" s="37">
        <f t="shared" si="15"/>
        <v>9</v>
      </c>
      <c r="C115" s="20" t="s">
        <v>590</v>
      </c>
      <c r="D115" s="20" t="s">
        <v>905</v>
      </c>
      <c r="E115" s="20" t="s">
        <v>896</v>
      </c>
      <c r="F115" s="20" t="s">
        <v>573</v>
      </c>
      <c r="G115" s="20" t="s">
        <v>11</v>
      </c>
      <c r="H115" s="52" t="s">
        <v>1116</v>
      </c>
      <c r="I115" s="20" t="s">
        <v>990</v>
      </c>
      <c r="J115" s="20">
        <v>15</v>
      </c>
      <c r="K115" s="20">
        <v>15</v>
      </c>
      <c r="L115" s="101">
        <f t="shared" si="16"/>
        <v>0</v>
      </c>
      <c r="M115" s="134"/>
      <c r="N115" s="96">
        <v>46036</v>
      </c>
    </row>
    <row r="116" spans="1:14" x14ac:dyDescent="0.25">
      <c r="A116" s="11">
        <f t="shared" ca="1" si="14"/>
        <v>-83</v>
      </c>
      <c r="B116" s="37">
        <f t="shared" si="15"/>
        <v>9</v>
      </c>
      <c r="C116" s="20" t="s">
        <v>591</v>
      </c>
      <c r="D116" s="20" t="s">
        <v>905</v>
      </c>
      <c r="E116" s="20" t="s">
        <v>1011</v>
      </c>
      <c r="F116" s="20" t="s">
        <v>573</v>
      </c>
      <c r="G116" s="20" t="s">
        <v>11</v>
      </c>
      <c r="H116" s="52" t="s">
        <v>1116</v>
      </c>
      <c r="I116" s="20" t="s">
        <v>990</v>
      </c>
      <c r="J116" s="20">
        <v>12</v>
      </c>
      <c r="K116" s="20">
        <v>12</v>
      </c>
      <c r="L116" s="101">
        <f t="shared" si="16"/>
        <v>0</v>
      </c>
      <c r="M116" s="134"/>
      <c r="N116" s="96">
        <v>46036</v>
      </c>
    </row>
    <row r="117" spans="1:14" x14ac:dyDescent="0.25">
      <c r="A117" s="11">
        <f t="shared" ca="1" si="14"/>
        <v>-83</v>
      </c>
      <c r="B117" s="37">
        <f t="shared" si="15"/>
        <v>9</v>
      </c>
      <c r="C117" s="20" t="s">
        <v>592</v>
      </c>
      <c r="D117" s="20" t="s">
        <v>905</v>
      </c>
      <c r="E117" s="20" t="s">
        <v>907</v>
      </c>
      <c r="F117" s="20" t="s">
        <v>573</v>
      </c>
      <c r="G117" s="20" t="s">
        <v>11</v>
      </c>
      <c r="H117" s="52" t="s">
        <v>1116</v>
      </c>
      <c r="I117" s="20" t="s">
        <v>990</v>
      </c>
      <c r="J117" s="20">
        <v>10</v>
      </c>
      <c r="K117" s="20">
        <f>7+3</f>
        <v>10</v>
      </c>
      <c r="L117" s="101">
        <f t="shared" si="16"/>
        <v>0</v>
      </c>
      <c r="M117" s="134"/>
      <c r="N117" s="96">
        <v>46036</v>
      </c>
    </row>
    <row r="118" spans="1:14" x14ac:dyDescent="0.25">
      <c r="A118" s="11">
        <f t="shared" ca="1" si="14"/>
        <v>-83</v>
      </c>
      <c r="B118" s="37">
        <f t="shared" si="15"/>
        <v>9</v>
      </c>
      <c r="C118" s="20" t="s">
        <v>593</v>
      </c>
      <c r="D118" s="20" t="s">
        <v>905</v>
      </c>
      <c r="E118" s="20" t="s">
        <v>891</v>
      </c>
      <c r="F118" s="20" t="s">
        <v>573</v>
      </c>
      <c r="G118" s="20" t="s">
        <v>11</v>
      </c>
      <c r="H118" s="52" t="s">
        <v>1116</v>
      </c>
      <c r="I118" s="20" t="s">
        <v>990</v>
      </c>
      <c r="J118" s="20">
        <v>9</v>
      </c>
      <c r="K118" s="20">
        <v>9</v>
      </c>
      <c r="L118" s="101">
        <f t="shared" si="16"/>
        <v>0</v>
      </c>
      <c r="M118" s="134"/>
      <c r="N118" s="96">
        <v>46036</v>
      </c>
    </row>
    <row r="119" spans="1:14" x14ac:dyDescent="0.25">
      <c r="A119" s="11">
        <f ca="1">DAYS360($B$1,I119)</f>
        <v>-145</v>
      </c>
      <c r="B119" s="37">
        <f>+N119-I119</f>
        <v>72</v>
      </c>
      <c r="C119" s="20" t="s">
        <v>202</v>
      </c>
      <c r="D119" s="20" t="str">
        <f>VLOOKUP(VALUE(MID($C119,13,2)), codigos!$A$2:$B$60, 2, 1) &amp; " " &amp; VLOOKUP(VALUE(MID($C119,15,4)), codigos!$E$2:$F$102, 2, FALSE)</f>
        <v>CUBETA 6</v>
      </c>
      <c r="E119" s="20" t="str">
        <f>VLOOKUP(VALUE(MID($C119,19,2)),codigos!$H$2:$I$62,2,1) &amp; " " &amp; VLOOKUP(VALUE(MID($C119,21,2)),codigos!$K$2:$L$12,2,FALSE)</f>
        <v>GALVANIZADO S/I</v>
      </c>
      <c r="F119" s="20" t="s">
        <v>357</v>
      </c>
      <c r="G119" s="20" t="s">
        <v>34</v>
      </c>
      <c r="H119" s="13" t="s">
        <v>1121</v>
      </c>
      <c r="I119" s="20" t="s">
        <v>1122</v>
      </c>
      <c r="J119" s="20">
        <v>54</v>
      </c>
      <c r="K119" s="16">
        <f>27+27</f>
        <v>54</v>
      </c>
      <c r="L119" s="16">
        <f t="shared" ref="L119:L129" si="17">+J119-K119</f>
        <v>0</v>
      </c>
      <c r="M119" s="131">
        <f>(SUM(K119:K121))/(SUM(J119:J121))</f>
        <v>1</v>
      </c>
      <c r="N119" s="96">
        <v>46036</v>
      </c>
    </row>
    <row r="120" spans="1:14" x14ac:dyDescent="0.25">
      <c r="A120" s="11">
        <f ca="1">DAYS360($B$1,I120)</f>
        <v>-145</v>
      </c>
      <c r="B120" s="37">
        <f>+N120-I120</f>
        <v>72</v>
      </c>
      <c r="C120" s="20" t="s">
        <v>37</v>
      </c>
      <c r="D120" s="20" t="str">
        <f>VLOOKUP(VALUE(MID($C120,13,2)), codigos!$A$2:$B$60, 2, 1) &amp; " " &amp; VLOOKUP(VALUE(MID($C120,15,4)), codigos!$E$2:$F$102, 2, FALSE)</f>
        <v>BAÑO 6</v>
      </c>
      <c r="E120" s="20" t="str">
        <f>VLOOKUP(VALUE(MID($C120,19,2)),codigos!$H$2:$I$62,2,1) &amp; " " &amp; VLOOKUP(VALUE(MID($C120,21,2)),codigos!$K$2:$L$12,2,FALSE)</f>
        <v>GALVANIZADO S/I</v>
      </c>
      <c r="F120" s="20" t="s">
        <v>357</v>
      </c>
      <c r="G120" s="20" t="s">
        <v>34</v>
      </c>
      <c r="H120" s="13" t="s">
        <v>1121</v>
      </c>
      <c r="I120" s="20" t="s">
        <v>1122</v>
      </c>
      <c r="J120" s="20">
        <v>10</v>
      </c>
      <c r="K120" s="16">
        <v>10</v>
      </c>
      <c r="L120" s="16">
        <f t="shared" si="17"/>
        <v>0</v>
      </c>
      <c r="M120" s="131"/>
      <c r="N120" s="96">
        <v>46036</v>
      </c>
    </row>
    <row r="121" spans="1:14" x14ac:dyDescent="0.25">
      <c r="A121" s="11">
        <f ca="1">DAYS360($B$1,I121)</f>
        <v>-145</v>
      </c>
      <c r="B121" s="37">
        <f>+N121-I121</f>
        <v>72</v>
      </c>
      <c r="C121" s="20" t="s">
        <v>209</v>
      </c>
      <c r="D121" s="20" t="str">
        <f>VLOOKUP(VALUE(MID($C121,13,2)), codigos!$A$2:$B$60, 2, 1) &amp; " " &amp; VLOOKUP(VALUE(MID($C121,15,4)), codigos!$E$2:$F$102, 2, FALSE)</f>
        <v>BAÑO 2</v>
      </c>
      <c r="E121" s="20" t="str">
        <f>VLOOKUP(VALUE(MID($C121,19,2)),codigos!$H$2:$I$62,2,1) &amp; " " &amp; VLOOKUP(VALUE(MID($C121,21,2)),codigos!$K$2:$L$12,2,FALSE)</f>
        <v>GALVANIZADO S/I</v>
      </c>
      <c r="F121" s="20" t="s">
        <v>357</v>
      </c>
      <c r="G121" s="20" t="s">
        <v>34</v>
      </c>
      <c r="H121" s="13" t="s">
        <v>1121</v>
      </c>
      <c r="I121" s="20" t="s">
        <v>1122</v>
      </c>
      <c r="J121" s="25">
        <v>20</v>
      </c>
      <c r="K121" s="25">
        <v>20</v>
      </c>
      <c r="L121" s="16">
        <f t="shared" si="17"/>
        <v>0</v>
      </c>
      <c r="M121" s="131"/>
      <c r="N121" s="96">
        <v>46036</v>
      </c>
    </row>
    <row r="122" spans="1:14" x14ac:dyDescent="0.25">
      <c r="A122" s="11">
        <f ca="1">DAYS360($B$1,I122)</f>
        <v>-145</v>
      </c>
      <c r="B122" s="37">
        <f>+N122-I122</f>
        <v>72</v>
      </c>
      <c r="C122" s="20" t="s">
        <v>66</v>
      </c>
      <c r="D122" s="20" t="str">
        <f>VLOOKUP(VALUE(MID($C122,13,2)), codigos!$A$2:$B$60, 2, 1) &amp; " " &amp; VLOOKUP(VALUE(MID($C122,15,4)), codigos!$E$2:$F$102, 2, FALSE)</f>
        <v>PLATO AVENERO 20</v>
      </c>
      <c r="E122" s="20" t="str">
        <f>VLOOKUP(VALUE(MID($C122,19,2)),codigos!$H$2:$I$62,2,1) &amp; " " &amp; VLOOKUP(VALUE(MID($C122,21,2)),codigos!$K$2:$L$12,2,FALSE)</f>
        <v>A/T S/I</v>
      </c>
      <c r="F122" s="20" t="s">
        <v>357</v>
      </c>
      <c r="G122" s="20" t="s">
        <v>34</v>
      </c>
      <c r="H122" s="13" t="s">
        <v>1123</v>
      </c>
      <c r="I122" s="65">
        <v>45964</v>
      </c>
      <c r="J122" s="25">
        <v>120</v>
      </c>
      <c r="K122" s="25">
        <f>48+72</f>
        <v>120</v>
      </c>
      <c r="L122" s="16">
        <f t="shared" si="17"/>
        <v>0</v>
      </c>
      <c r="M122" s="98">
        <f>K122/J122</f>
        <v>1</v>
      </c>
      <c r="N122" s="96">
        <v>46036</v>
      </c>
    </row>
    <row r="123" spans="1:14" x14ac:dyDescent="0.25">
      <c r="A123" s="11">
        <f ca="1">DAYS360($B$1,I123)</f>
        <v>-145</v>
      </c>
      <c r="B123" s="37">
        <f>+N123-I123</f>
        <v>72</v>
      </c>
      <c r="C123" s="20" t="s">
        <v>49</v>
      </c>
      <c r="D123" s="20" t="str">
        <f>VLOOKUP(VALUE(MID($C123,13,2)), codigos!$A$2:$B$60, 2, 1) &amp; " " &amp; VLOOKUP(VALUE(MID($C123,15,4)), codigos!$E$2:$F$102, 2, FALSE)</f>
        <v>CUBETA 8</v>
      </c>
      <c r="E123" s="20" t="str">
        <f>VLOOKUP(VALUE(MID($C123,19,2)),codigos!$H$2:$I$62,2,1) &amp; " " &amp; VLOOKUP(VALUE(MID($C123,21,2)),codigos!$K$2:$L$12,2,FALSE)</f>
        <v>GALVANIZADO S/I</v>
      </c>
      <c r="F123" s="20" t="s">
        <v>357</v>
      </c>
      <c r="G123" s="20" t="s">
        <v>34</v>
      </c>
      <c r="H123" s="13" t="s">
        <v>1123</v>
      </c>
      <c r="I123" s="65">
        <v>45964</v>
      </c>
      <c r="J123" s="25">
        <v>100</v>
      </c>
      <c r="K123" s="25">
        <v>100</v>
      </c>
      <c r="L123" s="16">
        <f t="shared" si="17"/>
        <v>0</v>
      </c>
      <c r="M123" s="98">
        <f>K123/J123</f>
        <v>1</v>
      </c>
      <c r="N123" s="96">
        <v>46036</v>
      </c>
    </row>
    <row r="124" spans="1:14" x14ac:dyDescent="0.25">
      <c r="A124" s="11">
        <f t="shared" ref="A124:A129" ca="1" si="18">DAYS360($B$1,I124)</f>
        <v>-251</v>
      </c>
      <c r="B124" s="37">
        <f t="shared" ref="B124:B129" si="19">+N124-I124</f>
        <v>181</v>
      </c>
      <c r="C124" s="20" t="s">
        <v>80</v>
      </c>
      <c r="D124" s="20" t="str">
        <f>VLOOKUP(VALUE(MID($C124,13,2)), codigos!$A$2:$B$60, 2, 1) &amp; " " &amp; VLOOKUP(VALUE(MID($C124,15,4)), codigos!$E$2:$F$102, 2, FALSE)</f>
        <v>TAZON 15.5</v>
      </c>
      <c r="E124" s="20" t="str">
        <f>VLOOKUP(VALUE(MID($C124,19,2)),codigos!$H$2:$I$62,2,1) &amp; " " &amp; VLOOKUP(VALUE(MID($C124,21,2)),codigos!$K$2:$L$12,2,FALSE)</f>
        <v>A/T S/I</v>
      </c>
      <c r="F124" s="20" t="s">
        <v>439</v>
      </c>
      <c r="G124" s="20" t="s">
        <v>34</v>
      </c>
      <c r="H124" s="52" t="s">
        <v>1124</v>
      </c>
      <c r="I124" s="20" t="s">
        <v>1028</v>
      </c>
      <c r="J124" s="20">
        <v>264</v>
      </c>
      <c r="K124" s="20">
        <v>264</v>
      </c>
      <c r="L124" s="11">
        <f t="shared" si="17"/>
        <v>0</v>
      </c>
      <c r="M124" s="143">
        <f>(SUM(K124:K126))/(SUM(J124:J126))</f>
        <v>0.21240310077519381</v>
      </c>
      <c r="N124" s="96">
        <v>46036</v>
      </c>
    </row>
    <row r="125" spans="1:14" x14ac:dyDescent="0.25">
      <c r="A125" s="11">
        <f t="shared" ca="1" si="18"/>
        <v>-251</v>
      </c>
      <c r="B125" s="37">
        <f t="shared" si="19"/>
        <v>181</v>
      </c>
      <c r="C125" s="20" t="s">
        <v>83</v>
      </c>
      <c r="D125" s="20" t="str">
        <f>VLOOKUP(VALUE(MID($C125,13,2)), codigos!$A$2:$B$60, 2, 1) &amp; " " &amp; VLOOKUP(VALUE(MID($C125,15,4)), codigos!$E$2:$F$102, 2, FALSE)</f>
        <v>TAZON 15.5</v>
      </c>
      <c r="E125" s="20" t="str">
        <f>VLOOKUP(VALUE(MID($C125,19,2)),codigos!$H$2:$I$62,2,1) &amp; " " &amp; VLOOKUP(VALUE(MID($C125,21,2)),codigos!$K$2:$L$12,2,FALSE)</f>
        <v>BLANCO  NEGRO</v>
      </c>
      <c r="F125" s="20" t="s">
        <v>439</v>
      </c>
      <c r="G125" s="20" t="s">
        <v>34</v>
      </c>
      <c r="H125" s="52" t="s">
        <v>1124</v>
      </c>
      <c r="I125" s="20" t="s">
        <v>1028</v>
      </c>
      <c r="J125" s="20">
        <v>732</v>
      </c>
      <c r="K125" s="20">
        <v>0</v>
      </c>
      <c r="L125" s="11">
        <f t="shared" si="17"/>
        <v>732</v>
      </c>
      <c r="M125" s="143"/>
      <c r="N125" s="96">
        <v>46036</v>
      </c>
    </row>
    <row r="126" spans="1:14" x14ac:dyDescent="0.25">
      <c r="A126" s="11">
        <f t="shared" ca="1" si="18"/>
        <v>-251</v>
      </c>
      <c r="B126" s="37">
        <f t="shared" si="19"/>
        <v>181</v>
      </c>
      <c r="C126" s="20" t="s">
        <v>390</v>
      </c>
      <c r="D126" s="20" t="str">
        <f>VLOOKUP(VALUE(MID($C126,13,2)), codigos!$A$2:$B$60, 2, 1) &amp; " " &amp; VLOOKUP(VALUE(MID($C126,15,4)), codigos!$E$2:$F$102, 2, FALSE)</f>
        <v>TAZON 20</v>
      </c>
      <c r="E126" s="20" t="str">
        <f>VLOOKUP(VALUE(MID($C126,19,2)),codigos!$H$2:$I$62,2,1) &amp; " " &amp; VLOOKUP(VALUE(MID($C126,21,2)),codigos!$K$2:$L$12,2,FALSE)</f>
        <v>BLANCO  NEGRO</v>
      </c>
      <c r="F126" s="20" t="s">
        <v>439</v>
      </c>
      <c r="G126" s="20" t="s">
        <v>34</v>
      </c>
      <c r="H126" s="52" t="s">
        <v>1124</v>
      </c>
      <c r="I126" s="20" t="s">
        <v>1028</v>
      </c>
      <c r="J126" s="20">
        <v>294</v>
      </c>
      <c r="K126" s="20">
        <v>10</v>
      </c>
      <c r="L126" s="11">
        <f t="shared" si="17"/>
        <v>284</v>
      </c>
      <c r="M126" s="143"/>
      <c r="N126" s="96">
        <v>46036</v>
      </c>
    </row>
    <row r="127" spans="1:14" x14ac:dyDescent="0.25">
      <c r="A127" s="11">
        <f t="shared" ca="1" si="18"/>
        <v>-141</v>
      </c>
      <c r="B127" s="37">
        <f t="shared" si="19"/>
        <v>68</v>
      </c>
      <c r="C127" s="20" t="s">
        <v>416</v>
      </c>
      <c r="D127" s="20" t="str">
        <f>VLOOKUP(VALUE(MID($C127,13,2)), codigos!$A$2:$B$60, 2, 1) &amp; " " &amp; VLOOKUP(VALUE(MID($C127,15,4)), codigos!$E$2:$F$102, 2, FALSE)</f>
        <v>BAÑO 7</v>
      </c>
      <c r="E127" s="20" t="str">
        <f>VLOOKUP(VALUE(MID($C127,19,2)),codigos!$H$2:$I$62,2,1) &amp; " " &amp; VLOOKUP(VALUE(MID($C127,21,2)),codigos!$K$2:$L$12,2,FALSE)</f>
        <v>GALVANIZADO S/I</v>
      </c>
      <c r="F127" s="20" t="s">
        <v>439</v>
      </c>
      <c r="G127" s="20" t="s">
        <v>34</v>
      </c>
      <c r="H127" s="52" t="s">
        <v>1125</v>
      </c>
      <c r="I127" s="20" t="s">
        <v>852</v>
      </c>
      <c r="J127" s="20">
        <v>7</v>
      </c>
      <c r="K127" s="20">
        <v>7</v>
      </c>
      <c r="L127" s="11">
        <f t="shared" si="17"/>
        <v>0</v>
      </c>
      <c r="M127" s="147">
        <f>(SUM(K127:K129))/(SUM(J127:J129))</f>
        <v>0.76190476190476186</v>
      </c>
      <c r="N127" s="96">
        <v>46036</v>
      </c>
    </row>
    <row r="128" spans="1:14" x14ac:dyDescent="0.25">
      <c r="A128" s="11">
        <f t="shared" ca="1" si="18"/>
        <v>-141</v>
      </c>
      <c r="B128" s="37">
        <f t="shared" si="19"/>
        <v>68</v>
      </c>
      <c r="C128" s="20" t="s">
        <v>210</v>
      </c>
      <c r="D128" s="20" t="str">
        <f>VLOOKUP(VALUE(MID($C128,13,2)), codigos!$A$2:$B$60, 2, 1) &amp; " " &amp; VLOOKUP(VALUE(MID($C128,15,4)), codigos!$E$2:$F$102, 2, FALSE)</f>
        <v>BAÑO 8</v>
      </c>
      <c r="E128" s="20" t="str">
        <f>VLOOKUP(VALUE(MID($C128,19,2)),codigos!$H$2:$I$62,2,1) &amp; " " &amp; VLOOKUP(VALUE(MID($C128,21,2)),codigos!$K$2:$L$12,2,FALSE)</f>
        <v>GALVANIZADO S/I</v>
      </c>
      <c r="F128" s="20" t="s">
        <v>439</v>
      </c>
      <c r="G128" s="20" t="s">
        <v>34</v>
      </c>
      <c r="H128" s="52" t="s">
        <v>1125</v>
      </c>
      <c r="I128" s="20" t="s">
        <v>852</v>
      </c>
      <c r="J128" s="20">
        <v>10</v>
      </c>
      <c r="K128" s="20">
        <v>0</v>
      </c>
      <c r="L128" s="11">
        <f t="shared" si="17"/>
        <v>10</v>
      </c>
      <c r="M128" s="148"/>
      <c r="N128" s="96">
        <v>46036</v>
      </c>
    </row>
    <row r="129" spans="1:14" x14ac:dyDescent="0.25">
      <c r="A129" s="11">
        <f t="shared" ca="1" si="18"/>
        <v>-141</v>
      </c>
      <c r="B129" s="37">
        <f t="shared" si="19"/>
        <v>68</v>
      </c>
      <c r="C129" s="20" t="s">
        <v>211</v>
      </c>
      <c r="D129" s="20" t="str">
        <f>VLOOKUP(VALUE(MID($C129,13,2)), codigos!$A$2:$B$60, 2, 1) &amp; " " &amp; VLOOKUP(VALUE(MID($C129,15,4)), codigos!$E$2:$F$102, 2, FALSE)</f>
        <v>BAÑO 10</v>
      </c>
      <c r="E129" s="20" t="str">
        <f>VLOOKUP(VALUE(MID($C129,19,2)),codigos!$H$2:$I$62,2,1) &amp; " " &amp; VLOOKUP(VALUE(MID($C129,21,2)),codigos!$K$2:$L$12,2,FALSE)</f>
        <v>GALVANIZADO S/I</v>
      </c>
      <c r="F129" s="20" t="s">
        <v>439</v>
      </c>
      <c r="G129" s="20" t="s">
        <v>34</v>
      </c>
      <c r="H129" s="52" t="s">
        <v>1125</v>
      </c>
      <c r="I129" s="20" t="s">
        <v>852</v>
      </c>
      <c r="J129" s="20">
        <v>25</v>
      </c>
      <c r="K129" s="20">
        <v>25</v>
      </c>
      <c r="L129" s="11">
        <f t="shared" si="17"/>
        <v>0</v>
      </c>
      <c r="M129" s="149"/>
      <c r="N129" s="96">
        <v>46036</v>
      </c>
    </row>
    <row r="130" spans="1:14" x14ac:dyDescent="0.25">
      <c r="A130" s="11">
        <f t="shared" ref="A130:A141" ca="1" si="20">DAYS360($B$1,I130)</f>
        <v>-99</v>
      </c>
      <c r="B130" s="37">
        <f t="shared" ref="B130:B141" si="21">+N130-I130</f>
        <v>31</v>
      </c>
      <c r="C130" s="11" t="s">
        <v>1126</v>
      </c>
      <c r="D130" s="11" t="str">
        <f>VLOOKUP(VALUE(MID($C130,13,2)), [2]codigos!$A$2:$B$60, 2, 1) &amp; " " &amp; VLOOKUP(VALUE(MID($C130,15,4)), [2]codigos!$E$2:$F$102, 2, FALSE)</f>
        <v>BUDINERA   20</v>
      </c>
      <c r="E130" s="11" t="str">
        <f>VLOOKUP(VALUE(MID($C130,19,2)),[2]codigos!$H$2:$I$62,2,1) &amp; " " &amp; VLOOKUP(VALUE(MID($C130,21,2)),[2]codigos!$K$2:$L$12,2,FALSE)</f>
        <v>A/T S/I</v>
      </c>
      <c r="F130" s="11" t="s">
        <v>1038</v>
      </c>
      <c r="G130" s="11" t="s">
        <v>11</v>
      </c>
      <c r="H130" s="52" t="s">
        <v>1127</v>
      </c>
      <c r="I130" s="20" t="s">
        <v>949</v>
      </c>
      <c r="J130" s="11">
        <v>6</v>
      </c>
      <c r="K130" s="11">
        <v>6</v>
      </c>
      <c r="L130" s="11">
        <f t="shared" ref="L130:L141" si="22">J130-K130</f>
        <v>0</v>
      </c>
      <c r="M130" s="134">
        <f>(SUM(K130:K141))/(SUM(J130:J141))</f>
        <v>1</v>
      </c>
      <c r="N130" s="96">
        <v>46041</v>
      </c>
    </row>
    <row r="131" spans="1:14" x14ac:dyDescent="0.25">
      <c r="A131" s="11">
        <f t="shared" ca="1" si="20"/>
        <v>-99</v>
      </c>
      <c r="B131" s="37">
        <f t="shared" si="21"/>
        <v>31</v>
      </c>
      <c r="C131" s="11" t="s">
        <v>1040</v>
      </c>
      <c r="D131" s="11" t="str">
        <f>VLOOKUP(VALUE(MID($C131,13,2)), [2]codigos!$A$2:$B$60, 2, 1) &amp; " " &amp; VLOOKUP(VALUE(MID($C131,15,4)), [2]codigos!$E$2:$F$102, 2, FALSE)</f>
        <v>BUDINERA   26</v>
      </c>
      <c r="E131" s="11" t="str">
        <f>VLOOKUP(VALUE(MID($C131,19,2)),[2]codigos!$H$2:$I$62,2,1) &amp; " " &amp; VLOOKUP(VALUE(MID($C131,21,2)),[2]codigos!$K$2:$L$12,2,FALSE)</f>
        <v>A/T S/I</v>
      </c>
      <c r="F131" s="11" t="s">
        <v>1038</v>
      </c>
      <c r="G131" s="11" t="s">
        <v>11</v>
      </c>
      <c r="H131" s="52" t="s">
        <v>1127</v>
      </c>
      <c r="I131" s="20" t="s">
        <v>949</v>
      </c>
      <c r="J131" s="11">
        <v>2</v>
      </c>
      <c r="K131" s="11">
        <v>2</v>
      </c>
      <c r="L131" s="11">
        <f t="shared" si="22"/>
        <v>0</v>
      </c>
      <c r="M131" s="134"/>
      <c r="N131" s="96">
        <v>46041</v>
      </c>
    </row>
    <row r="132" spans="1:14" x14ac:dyDescent="0.25">
      <c r="A132" s="11">
        <f t="shared" ca="1" si="20"/>
        <v>-99</v>
      </c>
      <c r="B132" s="37">
        <f t="shared" si="21"/>
        <v>31</v>
      </c>
      <c r="C132" s="11" t="s">
        <v>1128</v>
      </c>
      <c r="D132" s="11" t="str">
        <f>VLOOKUP(VALUE(MID($C132,13,2)), [2]codigos!$A$2:$B$60, 2, 1) &amp; " " &amp; VLOOKUP(VALUE(MID($C132,15,4)), [2]codigos!$E$2:$F$102, 2, FALSE)</f>
        <v>OLLA CONVEXA 20</v>
      </c>
      <c r="E132" s="11" t="str">
        <f>VLOOKUP(VALUE(MID($C132,19,2)),[2]codigos!$H$2:$I$62,2,1) &amp; " " &amp; VLOOKUP(VALUE(MID($C132,21,2)),[2]codigos!$K$2:$L$12,2,FALSE)</f>
        <v>A/T S/I</v>
      </c>
      <c r="F132" s="11" t="s">
        <v>1038</v>
      </c>
      <c r="G132" s="11" t="s">
        <v>11</v>
      </c>
      <c r="H132" s="52" t="s">
        <v>1127</v>
      </c>
      <c r="I132" s="20" t="s">
        <v>949</v>
      </c>
      <c r="J132" s="11">
        <v>2</v>
      </c>
      <c r="K132" s="11">
        <v>2</v>
      </c>
      <c r="L132" s="11">
        <f t="shared" si="22"/>
        <v>0</v>
      </c>
      <c r="M132" s="134"/>
      <c r="N132" s="96">
        <v>46041</v>
      </c>
    </row>
    <row r="133" spans="1:14" x14ac:dyDescent="0.25">
      <c r="A133" s="11">
        <f t="shared" ca="1" si="20"/>
        <v>-99</v>
      </c>
      <c r="B133" s="37">
        <f t="shared" si="21"/>
        <v>31</v>
      </c>
      <c r="C133" s="11" t="s">
        <v>1043</v>
      </c>
      <c r="D133" s="11" t="str">
        <f>VLOOKUP(VALUE(MID($C133,13,2)), [2]codigos!$A$2:$B$60, 2, 1) &amp; " " &amp; VLOOKUP(VALUE(MID($C133,15,4)), [2]codigos!$E$2:$F$102, 2, FALSE)</f>
        <v>OLLA CONVEXA 22</v>
      </c>
      <c r="E133" s="11" t="str">
        <f>VLOOKUP(VALUE(MID($C133,19,2)),[2]codigos!$H$2:$I$62,2,1) &amp; " " &amp; VLOOKUP(VALUE(MID($C133,21,2)),[2]codigos!$K$2:$L$12,2,FALSE)</f>
        <v>A/T S/I</v>
      </c>
      <c r="F133" s="11" t="s">
        <v>1038</v>
      </c>
      <c r="G133" s="11" t="s">
        <v>11</v>
      </c>
      <c r="H133" s="52" t="s">
        <v>1127</v>
      </c>
      <c r="I133" s="20" t="s">
        <v>949</v>
      </c>
      <c r="J133" s="11">
        <v>1</v>
      </c>
      <c r="K133" s="11">
        <v>1</v>
      </c>
      <c r="L133" s="11">
        <f t="shared" si="22"/>
        <v>0</v>
      </c>
      <c r="M133" s="134"/>
      <c r="N133" s="96">
        <v>46041</v>
      </c>
    </row>
    <row r="134" spans="1:14" x14ac:dyDescent="0.25">
      <c r="A134" s="11">
        <f t="shared" ca="1" si="20"/>
        <v>-99</v>
      </c>
      <c r="B134" s="37">
        <f t="shared" si="21"/>
        <v>31</v>
      </c>
      <c r="C134" s="11" t="s">
        <v>1045</v>
      </c>
      <c r="D134" s="11" t="str">
        <f>VLOOKUP(VALUE(MID($C134,13,2)), [2]codigos!$A$2:$B$60, 2, 1) &amp; " " &amp; VLOOKUP(VALUE(MID($C134,15,4)), [2]codigos!$E$2:$F$102, 2, FALSE)</f>
        <v>OLLA RECTA 20</v>
      </c>
      <c r="E134" s="11" t="str">
        <f>VLOOKUP(VALUE(MID($C134,19,2)),[2]codigos!$H$2:$I$62,2,1) &amp; " " &amp; VLOOKUP(VALUE(MID($C134,21,2)),[2]codigos!$K$2:$L$12,2,FALSE)</f>
        <v>A/T S/I</v>
      </c>
      <c r="F134" s="11" t="s">
        <v>1038</v>
      </c>
      <c r="G134" s="11" t="s">
        <v>11</v>
      </c>
      <c r="H134" s="52" t="s">
        <v>1127</v>
      </c>
      <c r="I134" s="20" t="s">
        <v>949</v>
      </c>
      <c r="J134" s="11">
        <v>1</v>
      </c>
      <c r="K134" s="11">
        <v>1</v>
      </c>
      <c r="L134" s="11">
        <f t="shared" si="22"/>
        <v>0</v>
      </c>
      <c r="M134" s="134"/>
      <c r="N134" s="96">
        <v>46041</v>
      </c>
    </row>
    <row r="135" spans="1:14" x14ac:dyDescent="0.25">
      <c r="A135" s="11">
        <f t="shared" ca="1" si="20"/>
        <v>-99</v>
      </c>
      <c r="B135" s="37">
        <f t="shared" si="21"/>
        <v>31</v>
      </c>
      <c r="C135" s="11" t="s">
        <v>1046</v>
      </c>
      <c r="D135" s="11" t="str">
        <f>VLOOKUP(VALUE(MID($C135,13,2)), [2]codigos!$A$2:$B$60, 2, 1) &amp; " " &amp; VLOOKUP(VALUE(MID($C135,15,4)), [2]codigos!$E$2:$F$102, 2, FALSE)</f>
        <v>POCILLO 8</v>
      </c>
      <c r="E135" s="11" t="str">
        <f>VLOOKUP(VALUE(MID($C135,19,2)),[2]codigos!$H$2:$I$62,2,1) &amp; " " &amp; VLOOKUP(VALUE(MID($C135,21,2)),[2]codigos!$K$2:$L$12,2,FALSE)</f>
        <v>A/T S/I</v>
      </c>
      <c r="F135" s="11" t="s">
        <v>1038</v>
      </c>
      <c r="G135" s="11" t="s">
        <v>11</v>
      </c>
      <c r="H135" s="52" t="s">
        <v>1127</v>
      </c>
      <c r="I135" s="20" t="s">
        <v>949</v>
      </c>
      <c r="J135" s="11">
        <v>1</v>
      </c>
      <c r="K135" s="11">
        <v>1</v>
      </c>
      <c r="L135" s="11">
        <f t="shared" si="22"/>
        <v>0</v>
      </c>
      <c r="M135" s="134"/>
      <c r="N135" s="96">
        <v>46041</v>
      </c>
    </row>
    <row r="136" spans="1:14" x14ac:dyDescent="0.25">
      <c r="A136" s="11">
        <f t="shared" ca="1" si="20"/>
        <v>-99</v>
      </c>
      <c r="B136" s="37">
        <f t="shared" si="21"/>
        <v>31</v>
      </c>
      <c r="C136" s="11" t="s">
        <v>1047</v>
      </c>
      <c r="D136" s="11" t="str">
        <f>VLOOKUP(VALUE(MID($C136,13,2)), [2]codigos!$A$2:$B$60, 2, 1) &amp; " " &amp; VLOOKUP(VALUE(MID($C136,15,4)), [2]codigos!$E$2:$F$102, 2, FALSE)</f>
        <v>POCILLO 10</v>
      </c>
      <c r="E136" s="11" t="str">
        <f>VLOOKUP(VALUE(MID($C136,19,2)),[2]codigos!$H$2:$I$62,2,1) &amp; " " &amp; VLOOKUP(VALUE(MID($C136,21,2)),[2]codigos!$K$2:$L$12,2,FALSE)</f>
        <v>A/T S/I</v>
      </c>
      <c r="F136" s="11" t="s">
        <v>1038</v>
      </c>
      <c r="G136" s="11" t="s">
        <v>11</v>
      </c>
      <c r="H136" s="52" t="s">
        <v>1127</v>
      </c>
      <c r="I136" s="20" t="s">
        <v>949</v>
      </c>
      <c r="J136" s="11">
        <v>3</v>
      </c>
      <c r="K136" s="11">
        <v>3</v>
      </c>
      <c r="L136" s="11">
        <f t="shared" si="22"/>
        <v>0</v>
      </c>
      <c r="M136" s="134"/>
      <c r="N136" s="96">
        <v>46041</v>
      </c>
    </row>
    <row r="137" spans="1:14" x14ac:dyDescent="0.25">
      <c r="A137" s="11">
        <f t="shared" ca="1" si="20"/>
        <v>-99</v>
      </c>
      <c r="B137" s="37">
        <f t="shared" si="21"/>
        <v>31</v>
      </c>
      <c r="C137" s="11" t="s">
        <v>1048</v>
      </c>
      <c r="D137" s="11" t="str">
        <f>VLOOKUP(VALUE(MID($C137,13,2)), [2]codigos!$A$2:$B$60, 2, 1) &amp; " " &amp; VLOOKUP(VALUE(MID($C137,15,4)), [2]codigos!$E$2:$F$102, 2, FALSE)</f>
        <v>POCILLO 12</v>
      </c>
      <c r="E137" s="11" t="str">
        <f>VLOOKUP(VALUE(MID($C137,19,2)),[2]codigos!$H$2:$I$62,2,1) &amp; " " &amp; VLOOKUP(VALUE(MID($C137,21,2)),[2]codigos!$K$2:$L$12,2,FALSE)</f>
        <v>A/T S/I</v>
      </c>
      <c r="F137" s="11" t="s">
        <v>1038</v>
      </c>
      <c r="G137" s="11" t="s">
        <v>11</v>
      </c>
      <c r="H137" s="52" t="s">
        <v>1127</v>
      </c>
      <c r="I137" s="20" t="s">
        <v>949</v>
      </c>
      <c r="J137" s="11">
        <v>8</v>
      </c>
      <c r="K137" s="11">
        <v>8</v>
      </c>
      <c r="L137" s="11">
        <f t="shared" si="22"/>
        <v>0</v>
      </c>
      <c r="M137" s="134"/>
      <c r="N137" s="96">
        <v>46041</v>
      </c>
    </row>
    <row r="138" spans="1:14" x14ac:dyDescent="0.25">
      <c r="A138" s="11">
        <f t="shared" ca="1" si="20"/>
        <v>-99</v>
      </c>
      <c r="B138" s="37">
        <f t="shared" si="21"/>
        <v>31</v>
      </c>
      <c r="C138" s="11" t="s">
        <v>1049</v>
      </c>
      <c r="D138" s="11" t="str">
        <f>VLOOKUP(VALUE(MID($C138,13,2)), [2]codigos!$A$2:$B$60, 2, 1) &amp; " " &amp; VLOOKUP(VALUE(MID($C138,15,4)), [2]codigos!$E$2:$F$102, 2, FALSE)</f>
        <v>VASO RECTO 14</v>
      </c>
      <c r="E138" s="11" t="str">
        <f>VLOOKUP(VALUE(MID($C138,19,2)),[2]codigos!$H$2:$I$62,2,1) &amp; " " &amp; VLOOKUP(VALUE(MID($C138,21,2)),[2]codigos!$K$2:$L$12,2,FALSE)</f>
        <v>A/T S/I</v>
      </c>
      <c r="F138" s="11" t="s">
        <v>1038</v>
      </c>
      <c r="G138" s="11" t="s">
        <v>11</v>
      </c>
      <c r="H138" s="52" t="s">
        <v>1127</v>
      </c>
      <c r="I138" s="20" t="s">
        <v>949</v>
      </c>
      <c r="J138" s="11">
        <v>5</v>
      </c>
      <c r="K138" s="11">
        <v>5</v>
      </c>
      <c r="L138" s="11">
        <f t="shared" si="22"/>
        <v>0</v>
      </c>
      <c r="M138" s="134"/>
      <c r="N138" s="96">
        <v>46041</v>
      </c>
    </row>
    <row r="139" spans="1:14" x14ac:dyDescent="0.25">
      <c r="A139" s="11">
        <f t="shared" ca="1" si="20"/>
        <v>-99</v>
      </c>
      <c r="B139" s="37">
        <f t="shared" si="21"/>
        <v>31</v>
      </c>
      <c r="C139" s="11" t="s">
        <v>1051</v>
      </c>
      <c r="D139" s="11" t="str">
        <f>VLOOKUP(VALUE(MID($C139,13,2)), [2]codigos!$A$2:$B$60, 2, 1) &amp; " " &amp; VLOOKUP(VALUE(MID($C139,15,4)), [2]codigos!$E$2:$F$102, 2, FALSE)</f>
        <v>COMAL 28</v>
      </c>
      <c r="E139" s="11" t="str">
        <f>VLOOKUP(VALUE(MID($C139,19,2)),[2]codigos!$H$2:$I$62,2,1) &amp; " " &amp; VLOOKUP(VALUE(MID($C139,21,2)),[2]codigos!$K$2:$L$12,2,FALSE)</f>
        <v>NEGRO MOTAS S/I</v>
      </c>
      <c r="F139" s="11" t="s">
        <v>1038</v>
      </c>
      <c r="G139" s="11" t="s">
        <v>11</v>
      </c>
      <c r="H139" s="52" t="s">
        <v>1127</v>
      </c>
      <c r="I139" s="20" t="s">
        <v>949</v>
      </c>
      <c r="J139" s="11">
        <v>6</v>
      </c>
      <c r="K139" s="11">
        <v>6</v>
      </c>
      <c r="L139" s="11">
        <f t="shared" si="22"/>
        <v>0</v>
      </c>
      <c r="M139" s="134"/>
      <c r="N139" s="96">
        <v>46041</v>
      </c>
    </row>
    <row r="140" spans="1:14" x14ac:dyDescent="0.25">
      <c r="A140" s="11">
        <f t="shared" ca="1" si="20"/>
        <v>-99</v>
      </c>
      <c r="B140" s="37">
        <f t="shared" si="21"/>
        <v>31</v>
      </c>
      <c r="C140" s="11" t="s">
        <v>1129</v>
      </c>
      <c r="D140" s="11" t="str">
        <f>VLOOKUP(VALUE(MID($C140,13,2)), [2]codigos!$A$2:$B$60, 2, 1) &amp; " " &amp; VLOOKUP(VALUE(MID($C140,15,4)), [2]codigos!$E$2:$F$102, 2, FALSE)</f>
        <v>BUDINERA   18</v>
      </c>
      <c r="E140" s="11" t="str">
        <f>VLOOKUP(VALUE(MID($C140,19,2)),[2]codigos!$H$2:$I$62,2,1) &amp; " " &amp; VLOOKUP(VALUE(MID($C140,21,2)),[2]codigos!$K$2:$L$12,2,FALSE)</f>
        <v>A/T S/I</v>
      </c>
      <c r="F140" s="11" t="s">
        <v>1038</v>
      </c>
      <c r="G140" s="11" t="s">
        <v>11</v>
      </c>
      <c r="H140" s="52" t="s">
        <v>1127</v>
      </c>
      <c r="I140" s="20" t="s">
        <v>949</v>
      </c>
      <c r="J140" s="11">
        <v>1</v>
      </c>
      <c r="K140" s="11">
        <v>1</v>
      </c>
      <c r="L140" s="11">
        <f t="shared" si="22"/>
        <v>0</v>
      </c>
      <c r="M140" s="134"/>
      <c r="N140" s="96">
        <v>46041</v>
      </c>
    </row>
    <row r="141" spans="1:14" x14ac:dyDescent="0.25">
      <c r="A141" s="11">
        <f t="shared" ca="1" si="20"/>
        <v>-99</v>
      </c>
      <c r="B141" s="37">
        <f t="shared" si="21"/>
        <v>31</v>
      </c>
      <c r="C141" s="11" t="s">
        <v>1130</v>
      </c>
      <c r="D141" s="11" t="str">
        <f>VLOOKUP(VALUE(MID($C141,13,2)), [2]codigos!$A$2:$B$60, 2, 1) &amp; " " &amp; VLOOKUP(VALUE(MID($C141,15,4)), [2]codigos!$E$2:$F$102, 2, FALSE)</f>
        <v>BUDINERA   14</v>
      </c>
      <c r="E141" s="11" t="str">
        <f>VLOOKUP(VALUE(MID($C141,19,2)),[2]codigos!$H$2:$I$62,2,1) &amp; " " &amp; VLOOKUP(VALUE(MID($C141,21,2)),[2]codigos!$K$2:$L$12,2,FALSE)</f>
        <v>A/T S/I</v>
      </c>
      <c r="F141" s="11" t="s">
        <v>1038</v>
      </c>
      <c r="G141" s="11" t="s">
        <v>11</v>
      </c>
      <c r="H141" s="52" t="s">
        <v>1127</v>
      </c>
      <c r="I141" s="20" t="s">
        <v>949</v>
      </c>
      <c r="J141" s="11">
        <v>1</v>
      </c>
      <c r="K141" s="11">
        <v>1</v>
      </c>
      <c r="L141" s="11">
        <f t="shared" si="22"/>
        <v>0</v>
      </c>
      <c r="M141" s="134"/>
      <c r="N141" s="96">
        <v>46041</v>
      </c>
    </row>
    <row r="142" spans="1:14" x14ac:dyDescent="0.25">
      <c r="A142" s="11">
        <f t="shared" ref="A142:A152" ca="1" si="23">DAYS360($B$1,I142)</f>
        <v>-170</v>
      </c>
      <c r="B142" s="37">
        <f t="shared" ref="B142:B152" si="24">+N142-I142</f>
        <v>104</v>
      </c>
      <c r="C142" s="11" t="s">
        <v>152</v>
      </c>
      <c r="D142" s="11" t="str">
        <f>VLOOKUP(VALUE(MID($C142,13,2)), codigos!$A$2:$B$60, 2, 1) &amp; " " &amp; VLOOKUP(VALUE(MID($C142,15,4)), codigos!$E$2:$F$102, 2, FALSE)</f>
        <v>OLLA CONVEXA 24</v>
      </c>
      <c r="E142" s="11" t="str">
        <f>VLOOKUP(VALUE(MID($C142,19,2)),codigos!$H$2:$I$62,2,1) &amp; " " &amp; VLOOKUP(VALUE(MID($C142,21,2)),codigos!$K$2:$L$12,2,FALSE)</f>
        <v>A/T S/I</v>
      </c>
      <c r="F142" s="11" t="s">
        <v>1075</v>
      </c>
      <c r="G142" s="11" t="s">
        <v>34</v>
      </c>
      <c r="H142" s="52" t="s">
        <v>1131</v>
      </c>
      <c r="I142" s="20" t="s">
        <v>1132</v>
      </c>
      <c r="J142" s="11">
        <v>60</v>
      </c>
      <c r="K142" s="11">
        <v>1</v>
      </c>
      <c r="L142" s="11">
        <f t="shared" ref="L142:L157" si="25">+J142-K142</f>
        <v>59</v>
      </c>
      <c r="M142" s="132">
        <f>(SUM(K142:K151))/(SUM(J142:J151))</f>
        <v>0.62596899224806202</v>
      </c>
      <c r="N142" s="96">
        <v>46042</v>
      </c>
    </row>
    <row r="143" spans="1:14" x14ac:dyDescent="0.25">
      <c r="A143" s="11">
        <f t="shared" ca="1" si="23"/>
        <v>-170</v>
      </c>
      <c r="B143" s="37">
        <f t="shared" si="24"/>
        <v>104</v>
      </c>
      <c r="C143" s="11" t="s">
        <v>153</v>
      </c>
      <c r="D143" s="11" t="str">
        <f>VLOOKUP(VALUE(MID($C143,13,2)), codigos!$A$2:$B$60, 2, 1) &amp; " " &amp; VLOOKUP(VALUE(MID($C143,15,4)), codigos!$E$2:$F$102, 2, FALSE)</f>
        <v>OLLA CONVEXA 26</v>
      </c>
      <c r="E143" s="11" t="str">
        <f>VLOOKUP(VALUE(MID($C143,19,2)),codigos!$H$2:$I$62,2,1) &amp; " " &amp; VLOOKUP(VALUE(MID($C143,21,2)),codigos!$K$2:$L$12,2,FALSE)</f>
        <v>A/T S/I</v>
      </c>
      <c r="F143" s="11" t="s">
        <v>1075</v>
      </c>
      <c r="G143" s="11" t="s">
        <v>34</v>
      </c>
      <c r="H143" s="52" t="s">
        <v>1131</v>
      </c>
      <c r="I143" s="20" t="s">
        <v>1132</v>
      </c>
      <c r="J143" s="11">
        <v>60</v>
      </c>
      <c r="K143" s="11">
        <f>49+6+5</f>
        <v>60</v>
      </c>
      <c r="L143" s="11">
        <f t="shared" si="25"/>
        <v>0</v>
      </c>
      <c r="M143" s="133"/>
      <c r="N143" s="96">
        <v>46042</v>
      </c>
    </row>
    <row r="144" spans="1:14" x14ac:dyDescent="0.25">
      <c r="A144" s="11">
        <f t="shared" ca="1" si="23"/>
        <v>-170</v>
      </c>
      <c r="B144" s="37">
        <f t="shared" si="24"/>
        <v>104</v>
      </c>
      <c r="C144" s="11" t="s">
        <v>173</v>
      </c>
      <c r="D144" s="11" t="str">
        <f>VLOOKUP(VALUE(MID($C144,13,2)), codigos!$A$2:$B$60, 2, 1) &amp; " " &amp; VLOOKUP(VALUE(MID($C144,15,4)), codigos!$E$2:$F$102, 2, FALSE)</f>
        <v>BUDINERA 34</v>
      </c>
      <c r="E144" s="11" t="str">
        <f>VLOOKUP(VALUE(MID($C144,19,2)),codigos!$H$2:$I$62,2,1) &amp; " " &amp; VLOOKUP(VALUE(MID($C144,21,2)),codigos!$K$2:$L$12,2,FALSE)</f>
        <v>A/T S/I</v>
      </c>
      <c r="F144" s="11" t="s">
        <v>1075</v>
      </c>
      <c r="G144" s="11" t="s">
        <v>34</v>
      </c>
      <c r="H144" s="52" t="s">
        <v>1131</v>
      </c>
      <c r="I144" s="20" t="s">
        <v>1132</v>
      </c>
      <c r="J144" s="11">
        <v>24</v>
      </c>
      <c r="K144" s="11">
        <v>0</v>
      </c>
      <c r="L144" s="11">
        <f t="shared" si="25"/>
        <v>24</v>
      </c>
      <c r="M144" s="133"/>
      <c r="N144" s="96">
        <v>46042</v>
      </c>
    </row>
    <row r="145" spans="1:14" x14ac:dyDescent="0.25">
      <c r="A145" s="11">
        <f t="shared" ca="1" si="23"/>
        <v>-170</v>
      </c>
      <c r="B145" s="37">
        <f t="shared" si="24"/>
        <v>104</v>
      </c>
      <c r="C145" s="11" t="s">
        <v>80</v>
      </c>
      <c r="D145" s="11" t="str">
        <f>VLOOKUP(VALUE(MID($C145,13,2)), codigos!$A$2:$B$60, 2, 1) &amp; " " &amp; VLOOKUP(VALUE(MID($C145,15,4)), codigos!$E$2:$F$102, 2, FALSE)</f>
        <v>TAZON 15.5</v>
      </c>
      <c r="E145" s="11" t="str">
        <f>VLOOKUP(VALUE(MID($C145,19,2)),codigos!$H$2:$I$62,2,1) &amp; " " &amp; VLOOKUP(VALUE(MID($C145,21,2)),codigos!$K$2:$L$12,2,FALSE)</f>
        <v>A/T S/I</v>
      </c>
      <c r="F145" s="11" t="s">
        <v>1075</v>
      </c>
      <c r="G145" s="11" t="s">
        <v>34</v>
      </c>
      <c r="H145" s="52" t="s">
        <v>1131</v>
      </c>
      <c r="I145" s="20" t="s">
        <v>1132</v>
      </c>
      <c r="J145" s="11">
        <v>78</v>
      </c>
      <c r="K145" s="11">
        <f>24+11+43</f>
        <v>78</v>
      </c>
      <c r="L145" s="11">
        <f t="shared" si="25"/>
        <v>0</v>
      </c>
      <c r="M145" s="133"/>
      <c r="N145" s="96">
        <v>46042</v>
      </c>
    </row>
    <row r="146" spans="1:14" x14ac:dyDescent="0.25">
      <c r="A146" s="11">
        <f t="shared" ca="1" si="23"/>
        <v>-170</v>
      </c>
      <c r="B146" s="37">
        <f t="shared" si="24"/>
        <v>104</v>
      </c>
      <c r="C146" s="11" t="s">
        <v>83</v>
      </c>
      <c r="D146" s="11" t="str">
        <f>VLOOKUP(VALUE(MID($C146,13,2)), codigos!$A$2:$B$60, 2, 1) &amp; " " &amp; VLOOKUP(VALUE(MID($C146,15,4)), codigos!$E$2:$F$102, 2, FALSE)</f>
        <v>TAZON 15.5</v>
      </c>
      <c r="E146" s="11" t="str">
        <f>VLOOKUP(VALUE(MID($C146,19,2)),codigos!$H$2:$I$62,2,1) &amp; " " &amp; VLOOKUP(VALUE(MID($C146,21,2)),codigos!$K$2:$L$12,2,FALSE)</f>
        <v>BLANCO  NEGRO</v>
      </c>
      <c r="F146" s="11" t="s">
        <v>1075</v>
      </c>
      <c r="G146" s="11" t="s">
        <v>34</v>
      </c>
      <c r="H146" s="52" t="s">
        <v>1131</v>
      </c>
      <c r="I146" s="20" t="s">
        <v>1132</v>
      </c>
      <c r="J146" s="11">
        <v>90</v>
      </c>
      <c r="K146" s="11">
        <v>0</v>
      </c>
      <c r="L146" s="11">
        <f t="shared" si="25"/>
        <v>90</v>
      </c>
      <c r="M146" s="133"/>
      <c r="N146" s="96">
        <v>46042</v>
      </c>
    </row>
    <row r="147" spans="1:14" x14ac:dyDescent="0.25">
      <c r="A147" s="11">
        <f t="shared" ca="1" si="23"/>
        <v>-170</v>
      </c>
      <c r="B147" s="37">
        <f t="shared" si="24"/>
        <v>104</v>
      </c>
      <c r="C147" s="11" t="s">
        <v>336</v>
      </c>
      <c r="D147" s="11" t="str">
        <f>VLOOKUP(VALUE(MID($C147,13,2)), codigos!$A$2:$B$60, 2, 1) &amp; " " &amp; VLOOKUP(VALUE(MID($C147,15,4)), codigos!$E$2:$F$102, 2, FALSE)</f>
        <v>OLLA RECTA 28</v>
      </c>
      <c r="E147" s="11" t="str">
        <f>VLOOKUP(VALUE(MID($C147,19,2)),codigos!$H$2:$I$62,2,1) &amp; " " &amp; VLOOKUP(VALUE(MID($C147,21,2)),codigos!$K$2:$L$12,2,FALSE)</f>
        <v>A/T S/I</v>
      </c>
      <c r="F147" s="11" t="s">
        <v>1075</v>
      </c>
      <c r="G147" s="11" t="s">
        <v>34</v>
      </c>
      <c r="H147" s="52" t="s">
        <v>1131</v>
      </c>
      <c r="I147" s="20" t="s">
        <v>1132</v>
      </c>
      <c r="J147" s="11">
        <v>20</v>
      </c>
      <c r="K147" s="11">
        <f>20</f>
        <v>20</v>
      </c>
      <c r="L147" s="11">
        <f t="shared" si="25"/>
        <v>0</v>
      </c>
      <c r="M147" s="133"/>
      <c r="N147" s="96">
        <v>46042</v>
      </c>
    </row>
    <row r="148" spans="1:14" x14ac:dyDescent="0.25">
      <c r="A148" s="11">
        <f t="shared" ca="1" si="23"/>
        <v>-170</v>
      </c>
      <c r="B148" s="37">
        <f t="shared" si="24"/>
        <v>104</v>
      </c>
      <c r="C148" s="11" t="s">
        <v>155</v>
      </c>
      <c r="D148" s="11" t="str">
        <f>VLOOKUP(VALUE(MID($C148,13,2)), codigos!$A$2:$B$60, 2, 1) &amp; " " &amp; VLOOKUP(VALUE(MID($C148,15,4)), codigos!$E$2:$F$102, 2, FALSE)</f>
        <v>OLLA RECTA 30</v>
      </c>
      <c r="E148" s="11" t="str">
        <f>VLOOKUP(VALUE(MID($C148,19,2)),codigos!$H$2:$I$62,2,1) &amp; " " &amp; VLOOKUP(VALUE(MID($C148,21,2)),codigos!$K$2:$L$12,2,FALSE)</f>
        <v>A/T S/I</v>
      </c>
      <c r="F148" s="11" t="s">
        <v>1075</v>
      </c>
      <c r="G148" s="11" t="s">
        <v>34</v>
      </c>
      <c r="H148" s="52" t="s">
        <v>1131</v>
      </c>
      <c r="I148" s="20" t="s">
        <v>1132</v>
      </c>
      <c r="J148" s="11">
        <v>20</v>
      </c>
      <c r="K148" s="11">
        <f>19+1</f>
        <v>20</v>
      </c>
      <c r="L148" s="11">
        <f t="shared" si="25"/>
        <v>0</v>
      </c>
      <c r="M148" s="133"/>
      <c r="N148" s="96">
        <v>46042</v>
      </c>
    </row>
    <row r="149" spans="1:14" x14ac:dyDescent="0.25">
      <c r="A149" s="11">
        <f t="shared" ca="1" si="23"/>
        <v>-170</v>
      </c>
      <c r="B149" s="37">
        <f t="shared" si="24"/>
        <v>104</v>
      </c>
      <c r="C149" s="11" t="s">
        <v>66</v>
      </c>
      <c r="D149" s="11" t="str">
        <f>VLOOKUP(VALUE(MID($C149,13,2)), codigos!$A$2:$B$60, 2, 1) &amp; " " &amp; VLOOKUP(VALUE(MID($C149,15,4)), codigos!$E$2:$F$102, 2, FALSE)</f>
        <v>PLATO AVENERO 20</v>
      </c>
      <c r="E149" s="11" t="str">
        <f>VLOOKUP(VALUE(MID($C149,19,2)),codigos!$H$2:$I$62,2,1) &amp; " " &amp; VLOOKUP(VALUE(MID($C149,21,2)),codigos!$K$2:$L$12,2,FALSE)</f>
        <v>A/T S/I</v>
      </c>
      <c r="F149" s="11" t="s">
        <v>1075</v>
      </c>
      <c r="G149" s="11" t="s">
        <v>34</v>
      </c>
      <c r="H149" s="52" t="s">
        <v>1131</v>
      </c>
      <c r="I149" s="20" t="s">
        <v>1132</v>
      </c>
      <c r="J149" s="11">
        <v>72</v>
      </c>
      <c r="K149" s="11">
        <v>72</v>
      </c>
      <c r="L149" s="11">
        <f t="shared" si="25"/>
        <v>0</v>
      </c>
      <c r="M149" s="133"/>
      <c r="N149" s="96">
        <v>46042</v>
      </c>
    </row>
    <row r="150" spans="1:14" x14ac:dyDescent="0.25">
      <c r="A150" s="11">
        <f t="shared" ca="1" si="23"/>
        <v>-170</v>
      </c>
      <c r="B150" s="37">
        <f t="shared" si="24"/>
        <v>104</v>
      </c>
      <c r="C150" s="11" t="s">
        <v>283</v>
      </c>
      <c r="D150" s="11" t="str">
        <f>VLOOKUP(VALUE(MID($C150,13,2)), codigos!$A$2:$B$60, 2, 1) &amp; " " &amp; VLOOKUP(VALUE(MID($C150,15,4)), codigos!$E$2:$F$102, 2, FALSE)</f>
        <v>PLATO AVENERO 20</v>
      </c>
      <c r="E150" s="11" t="str">
        <f>VLOOKUP(VALUE(MID($C150,19,2)),codigos!$H$2:$I$62,2,1) &amp; " " &amp; VLOOKUP(VALUE(MID($C150,21,2)),codigos!$K$2:$L$12,2,FALSE)</f>
        <v>BLANCO  NEGRO</v>
      </c>
      <c r="F150" s="11" t="s">
        <v>1075</v>
      </c>
      <c r="G150" s="11" t="s">
        <v>34</v>
      </c>
      <c r="H150" s="52" t="s">
        <v>1131</v>
      </c>
      <c r="I150" s="20" t="s">
        <v>1132</v>
      </c>
      <c r="J150" s="11">
        <v>72</v>
      </c>
      <c r="K150" s="11">
        <v>72</v>
      </c>
      <c r="L150" s="11">
        <f t="shared" si="25"/>
        <v>0</v>
      </c>
      <c r="M150" s="133"/>
      <c r="N150" s="96">
        <v>46042</v>
      </c>
    </row>
    <row r="151" spans="1:14" x14ac:dyDescent="0.25">
      <c r="A151" s="11">
        <f t="shared" ca="1" si="23"/>
        <v>-170</v>
      </c>
      <c r="B151" s="37">
        <f t="shared" si="24"/>
        <v>104</v>
      </c>
      <c r="C151" s="11" t="s">
        <v>154</v>
      </c>
      <c r="D151" s="11" t="str">
        <f>VLOOKUP(VALUE(MID($C151,13,2)), codigos!$A$2:$B$60, 2, 1) &amp; " " &amp; VLOOKUP(VALUE(MID($C151,15,4)), codigos!$E$2:$F$102, 2, FALSE)</f>
        <v>OLLA CONVEXA 30</v>
      </c>
      <c r="E151" s="11" t="str">
        <f>VLOOKUP(VALUE(MID($C151,19,2)),codigos!$H$2:$I$62,2,1) &amp; " " &amp; VLOOKUP(VALUE(MID($C151,21,2)),codigos!$K$2:$L$12,2,FALSE)</f>
        <v>A/T S/I</v>
      </c>
      <c r="F151" s="11" t="s">
        <v>1075</v>
      </c>
      <c r="G151" s="11" t="s">
        <v>34</v>
      </c>
      <c r="H151" s="52" t="s">
        <v>1131</v>
      </c>
      <c r="I151" s="20" t="s">
        <v>1132</v>
      </c>
      <c r="J151" s="11">
        <v>20</v>
      </c>
      <c r="K151" s="11">
        <v>0</v>
      </c>
      <c r="L151" s="11">
        <f t="shared" si="25"/>
        <v>20</v>
      </c>
      <c r="M151" s="130"/>
      <c r="N151" s="96">
        <v>46042</v>
      </c>
    </row>
    <row r="152" spans="1:14" x14ac:dyDescent="0.25">
      <c r="A152" s="11">
        <f t="shared" ca="1" si="23"/>
        <v>-127</v>
      </c>
      <c r="B152" s="37">
        <f t="shared" si="24"/>
        <v>60</v>
      </c>
      <c r="C152" s="11" t="s">
        <v>45</v>
      </c>
      <c r="D152" s="11" t="str">
        <f>VLOOKUP(VALUE(MID($C152,13,2)), codigos!$A$2:$B$60, 2, 1) &amp; " " &amp; VLOOKUP(VALUE(MID($C152,15,4)), codigos!$E$2:$F$102, 2, FALSE)</f>
        <v>BAÑO 4</v>
      </c>
      <c r="E152" s="11" t="str">
        <f>VLOOKUP(VALUE(MID($C152,19,2)),codigos!$H$2:$I$62,2,1) &amp; " " &amp; VLOOKUP(VALUE(MID($C152,21,2)),codigos!$K$2:$L$12,2,FALSE)</f>
        <v>GALVANIZADO S/I</v>
      </c>
      <c r="F152" s="11" t="s">
        <v>1075</v>
      </c>
      <c r="G152" s="11" t="s">
        <v>34</v>
      </c>
      <c r="H152" s="52" t="s">
        <v>1133</v>
      </c>
      <c r="I152" s="20" t="s">
        <v>1134</v>
      </c>
      <c r="J152" s="11">
        <v>40</v>
      </c>
      <c r="K152" s="11">
        <v>40</v>
      </c>
      <c r="L152" s="11">
        <f t="shared" si="25"/>
        <v>0</v>
      </c>
      <c r="M152" s="94">
        <f>K152/J152</f>
        <v>1</v>
      </c>
      <c r="N152" s="96">
        <v>46042</v>
      </c>
    </row>
    <row r="153" spans="1:14" x14ac:dyDescent="0.25">
      <c r="A153" s="11">
        <f ca="1">DAYS360($B$1,I153)</f>
        <v>-183</v>
      </c>
      <c r="B153" s="37">
        <f>+N153-I153</f>
        <v>117</v>
      </c>
      <c r="C153" s="11" t="s">
        <v>112</v>
      </c>
      <c r="D153" s="11" t="str">
        <f>VLOOKUP(VALUE(MID($C153,13,2)), codigos!$A$2:$B$60, 2, 1) &amp; " " &amp; VLOOKUP(VALUE(MID($C153,15,4)), codigos!$E$2:$F$102, 2, FALSE)</f>
        <v>OLLA RECTA 22</v>
      </c>
      <c r="E153" s="11" t="str">
        <f>VLOOKUP(VALUE(MID($C153,19,2)),codigos!$H$2:$I$62,2,1) &amp; " " &amp; VLOOKUP(VALUE(MID($C153,21,2)),codigos!$K$2:$L$12,2,FALSE)</f>
        <v>NAVY S/I</v>
      </c>
      <c r="F153" s="11" t="s">
        <v>113</v>
      </c>
      <c r="G153" s="11" t="s">
        <v>114</v>
      </c>
      <c r="H153" s="52" t="s">
        <v>1135</v>
      </c>
      <c r="I153" s="20" t="s">
        <v>1107</v>
      </c>
      <c r="J153" s="11">
        <v>9058</v>
      </c>
      <c r="K153" s="11">
        <v>9058</v>
      </c>
      <c r="L153" s="11">
        <f t="shared" si="25"/>
        <v>0</v>
      </c>
      <c r="M153" s="143">
        <f>(SUM(K153:K155))/(SUM(J153:J155))</f>
        <v>1</v>
      </c>
      <c r="N153" s="96">
        <v>46042</v>
      </c>
    </row>
    <row r="154" spans="1:14" x14ac:dyDescent="0.25">
      <c r="A154" s="11">
        <f ca="1">DAYS360($B$1,I154)</f>
        <v>-183</v>
      </c>
      <c r="B154" s="37">
        <f>+N154-I154</f>
        <v>117</v>
      </c>
      <c r="C154" s="11" t="s">
        <v>117</v>
      </c>
      <c r="D154" s="11" t="str">
        <f>VLOOKUP(VALUE(MID($C154,13,2)), codigos!$A$2:$B$60, 2, 1) &amp; " " &amp; VLOOKUP(VALUE(MID($C154,15,4)), codigos!$E$2:$F$102, 2, FALSE)</f>
        <v>POCILLO 12</v>
      </c>
      <c r="E154" s="11" t="str">
        <f>VLOOKUP(VALUE(MID($C154,19,2)),codigos!$H$2:$I$62,2,1) &amp; " " &amp; VLOOKUP(VALUE(MID($C154,21,2)),codigos!$K$2:$L$12,2,FALSE)</f>
        <v>NAVY (WM) S/I</v>
      </c>
      <c r="F154" s="11" t="s">
        <v>113</v>
      </c>
      <c r="G154" s="11" t="s">
        <v>114</v>
      </c>
      <c r="H154" s="52" t="s">
        <v>1135</v>
      </c>
      <c r="I154" s="20" t="s">
        <v>1107</v>
      </c>
      <c r="J154" s="11">
        <v>426</v>
      </c>
      <c r="K154" s="11">
        <v>426</v>
      </c>
      <c r="L154" s="11">
        <f t="shared" si="25"/>
        <v>0</v>
      </c>
      <c r="M154" s="143"/>
      <c r="N154" s="96">
        <v>46042</v>
      </c>
    </row>
    <row r="155" spans="1:14" x14ac:dyDescent="0.25">
      <c r="A155" s="11">
        <f ca="1">DAYS360($B$1,I155)</f>
        <v>-183</v>
      </c>
      <c r="B155" s="37">
        <f>+N155-I155</f>
        <v>117</v>
      </c>
      <c r="C155" s="11" t="s">
        <v>118</v>
      </c>
      <c r="D155" s="11" t="str">
        <f>VLOOKUP(VALUE(MID($C155,13,2)), codigos!$A$2:$B$60, 2, 1) &amp; " " &amp; VLOOKUP(VALUE(MID($C155,15,4)), codigos!$E$2:$F$102, 2, FALSE)</f>
        <v>VAPORERA 30</v>
      </c>
      <c r="E155" s="11" t="str">
        <f>VLOOKUP(VALUE(MID($C155,19,2)),codigos!$H$2:$I$62,2,1) &amp; " " &amp; VLOOKUP(VALUE(MID($C155,21,2)),codigos!$K$2:$L$12,2,FALSE)</f>
        <v>NAVY S/I</v>
      </c>
      <c r="F155" s="11" t="s">
        <v>113</v>
      </c>
      <c r="G155" s="11" t="s">
        <v>114</v>
      </c>
      <c r="H155" s="52" t="s">
        <v>1135</v>
      </c>
      <c r="I155" s="20" t="s">
        <v>1107</v>
      </c>
      <c r="J155" s="11">
        <v>374</v>
      </c>
      <c r="K155" s="11">
        <f>24+100+146+60+44</f>
        <v>374</v>
      </c>
      <c r="L155" s="11">
        <f t="shared" si="25"/>
        <v>0</v>
      </c>
      <c r="M155" s="143"/>
      <c r="N155" s="96">
        <v>46042</v>
      </c>
    </row>
    <row r="156" spans="1:14" x14ac:dyDescent="0.25">
      <c r="A156" s="11">
        <f ca="1">DAYS360($B$1,I156)</f>
        <v>-121</v>
      </c>
      <c r="B156" s="37">
        <f>+N156-I156</f>
        <v>56</v>
      </c>
      <c r="C156" s="11" t="s">
        <v>149</v>
      </c>
      <c r="D156" s="11" t="str">
        <f>VLOOKUP(VALUE(MID($C156,13,2)), codigos!$A$2:$B$60, 2, 1) &amp; " " &amp; VLOOKUP(VALUE(MID($C156,15,4)), codigos!$E$2:$F$102, 2, FALSE)</f>
        <v>COMAL 28</v>
      </c>
      <c r="E156" s="11" t="str">
        <f>VLOOKUP(VALUE(MID($C156,19,2)),codigos!$H$2:$I$62,2,1) &amp; " " &amp; VLOOKUP(VALUE(MID($C156,21,2)),codigos!$K$2:$L$12,2,FALSE)</f>
        <v>NEGRO MOTAS S/I</v>
      </c>
      <c r="F156" s="11" t="s">
        <v>314</v>
      </c>
      <c r="G156" s="11" t="s">
        <v>11</v>
      </c>
      <c r="H156" s="52" t="s">
        <v>866</v>
      </c>
      <c r="I156" s="20" t="s">
        <v>867</v>
      </c>
      <c r="J156" s="11">
        <v>24</v>
      </c>
      <c r="K156" s="11">
        <v>24</v>
      </c>
      <c r="L156" s="11">
        <f t="shared" si="25"/>
        <v>0</v>
      </c>
      <c r="M156" s="131">
        <f>(SUM(K156:K157))/(SUM(J156:J157))</f>
        <v>1</v>
      </c>
      <c r="N156" s="96">
        <v>46044</v>
      </c>
    </row>
    <row r="157" spans="1:14" x14ac:dyDescent="0.25">
      <c r="A157" s="11">
        <f ca="1">DAYS360($B$1,I157)</f>
        <v>-121</v>
      </c>
      <c r="B157" s="37">
        <f>+N157-I157</f>
        <v>56</v>
      </c>
      <c r="C157" s="11" t="s">
        <v>188</v>
      </c>
      <c r="D157" s="11" t="str">
        <f>VLOOKUP(VALUE(MID($C157,13,2)), codigos!$A$2:$B$60, 2, 1) &amp; " " &amp; VLOOKUP(VALUE(MID($C157,15,4)), codigos!$E$2:$F$102, 2, FALSE)</f>
        <v>POCILLO 14</v>
      </c>
      <c r="E157" s="11" t="str">
        <f>VLOOKUP(VALUE(MID($C157,19,2)),codigos!$H$2:$I$62,2,1) &amp; " " &amp; VLOOKUP(VALUE(MID($C157,21,2)),codigos!$K$2:$L$12,2,FALSE)</f>
        <v>S/I S/I</v>
      </c>
      <c r="F157" s="11" t="s">
        <v>314</v>
      </c>
      <c r="G157" s="11" t="s">
        <v>11</v>
      </c>
      <c r="H157" s="52" t="s">
        <v>866</v>
      </c>
      <c r="I157" s="20" t="s">
        <v>867</v>
      </c>
      <c r="J157" s="11">
        <v>24</v>
      </c>
      <c r="K157" s="11">
        <v>24</v>
      </c>
      <c r="L157" s="11">
        <f t="shared" si="25"/>
        <v>0</v>
      </c>
      <c r="M157" s="131"/>
      <c r="N157" s="96">
        <v>46044</v>
      </c>
    </row>
    <row r="158" spans="1:14" x14ac:dyDescent="0.25">
      <c r="A158" s="11">
        <f t="shared" ref="A158:A221" ca="1" si="26">DAYS360($B$1,I158)</f>
        <v>-101</v>
      </c>
      <c r="B158" s="37">
        <f t="shared" ref="B158:B221" si="27">+N158-I158</f>
        <v>36</v>
      </c>
      <c r="C158" s="11" t="s">
        <v>963</v>
      </c>
      <c r="D158" s="11" t="str">
        <f>VLOOKUP(VALUE(MID($C158,13,2)), [2]codigos!$A$2:$B$60, 2, 1) &amp; " " &amp; VLOOKUP(VALUE(MID($C158,15,4)), [2]codigos!$E$2:$F$102, 2, FALSE)</f>
        <v>TORTILLERO  18</v>
      </c>
      <c r="E158" s="11" t="str">
        <f>VLOOKUP(VALUE(MID($C158,19,2)),[2]codigos!$H$2:$I$62,2,1) &amp; " " &amp; VLOOKUP(VALUE(MID($C158,21,2)),[2]codigos!$K$2:$L$12,2,FALSE)</f>
        <v>GRIS S/I</v>
      </c>
      <c r="F158" s="11" t="s">
        <v>553</v>
      </c>
      <c r="G158" s="11" t="s">
        <v>16</v>
      </c>
      <c r="H158" s="52" t="s">
        <v>964</v>
      </c>
      <c r="I158" s="20" t="s">
        <v>965</v>
      </c>
      <c r="J158" s="11">
        <v>1</v>
      </c>
      <c r="K158" s="11">
        <v>1</v>
      </c>
      <c r="L158" s="11">
        <f t="shared" ref="L158:L181" si="28">J158-K158</f>
        <v>0</v>
      </c>
      <c r="M158" s="95">
        <f>(SUM(K158))/(SUM(J158))</f>
        <v>1</v>
      </c>
      <c r="N158" s="96">
        <v>46044</v>
      </c>
    </row>
    <row r="159" spans="1:14" x14ac:dyDescent="0.25">
      <c r="A159" s="11">
        <f t="shared" ca="1" si="26"/>
        <v>-100</v>
      </c>
      <c r="B159" s="37">
        <f t="shared" si="27"/>
        <v>35</v>
      </c>
      <c r="C159" s="11" t="s">
        <v>337</v>
      </c>
      <c r="D159" s="11" t="str">
        <f>VLOOKUP(VALUE(MID($C159,13,2)), [2]codigos!$A$2:$B$60, 2, 1) &amp; " " &amp; VLOOKUP(VALUE(MID($C159,15,4)), [2]codigos!$E$2:$F$102, 2, FALSE)</f>
        <v>VAJILLA LE COQ</v>
      </c>
      <c r="E159" s="11" t="str">
        <f>VLOOKUP(VALUE(MID($C159,19,2)),[2]codigos!$H$2:$I$62,2,1) &amp; " " &amp; VLOOKUP(VALUE(MID($C159,21,2)),[2]codigos!$K$2:$L$12,2,FALSE)</f>
        <v>S/I S/I</v>
      </c>
      <c r="F159" s="11" t="s">
        <v>553</v>
      </c>
      <c r="G159" s="11" t="s">
        <v>16</v>
      </c>
      <c r="H159" s="52" t="s">
        <v>966</v>
      </c>
      <c r="I159" s="20" t="s">
        <v>945</v>
      </c>
      <c r="J159" s="11">
        <v>3</v>
      </c>
      <c r="K159" s="11">
        <v>3</v>
      </c>
      <c r="L159" s="11">
        <f t="shared" si="28"/>
        <v>0</v>
      </c>
      <c r="M159" s="134">
        <f>(SUM(K159:K161))/(SUM(J159:J161))</f>
        <v>1</v>
      </c>
      <c r="N159" s="96">
        <v>46044</v>
      </c>
    </row>
    <row r="160" spans="1:14" x14ac:dyDescent="0.25">
      <c r="A160" s="11">
        <f t="shared" ca="1" si="26"/>
        <v>-100</v>
      </c>
      <c r="B160" s="37">
        <f t="shared" si="27"/>
        <v>35</v>
      </c>
      <c r="C160" s="11" t="s">
        <v>967</v>
      </c>
      <c r="D160" s="11" t="str">
        <f>VLOOKUP(VALUE(MID($C160,13,2)), [2]codigos!$A$2:$B$60, 2, 1) &amp; " " &amp; VLOOKUP(VALUE(MID($C160,15,4)), [2]codigos!$E$2:$F$102, 2, FALSE)</f>
        <v>JARRA RECTA 2.5 LTS</v>
      </c>
      <c r="E160" s="11" t="str">
        <f>VLOOKUP(VALUE(MID($C160,19,2)),[2]codigos!$H$2:$I$62,2,1) &amp; " " &amp; VLOOKUP(VALUE(MID($C160,21,2)),[2]codigos!$K$2:$L$12,2,FALSE)</f>
        <v>NEGRO MOTAS S/I</v>
      </c>
      <c r="F160" s="11" t="s">
        <v>553</v>
      </c>
      <c r="G160" s="11" t="s">
        <v>16</v>
      </c>
      <c r="H160" s="52" t="s">
        <v>966</v>
      </c>
      <c r="I160" s="20" t="s">
        <v>945</v>
      </c>
      <c r="J160" s="11">
        <v>1</v>
      </c>
      <c r="K160" s="11">
        <v>1</v>
      </c>
      <c r="L160" s="11">
        <f t="shared" si="28"/>
        <v>0</v>
      </c>
      <c r="M160" s="134"/>
      <c r="N160" s="96">
        <v>46044</v>
      </c>
    </row>
    <row r="161" spans="1:14" x14ac:dyDescent="0.25">
      <c r="A161" s="11">
        <f t="shared" ca="1" si="26"/>
        <v>-100</v>
      </c>
      <c r="B161" s="37">
        <f t="shared" si="27"/>
        <v>35</v>
      </c>
      <c r="C161" s="11" t="s">
        <v>968</v>
      </c>
      <c r="D161" s="11" t="str">
        <f>VLOOKUP(VALUE(MID($C161,13,2)), [2]codigos!$A$2:$B$60, 2, 1) &amp; " " &amp; VLOOKUP(VALUE(MID($C161,15,4)), [2]codigos!$E$2:$F$102, 2, FALSE)</f>
        <v>POCILLO 8</v>
      </c>
      <c r="E161" s="11" t="str">
        <f>VLOOKUP(VALUE(MID($C161,19,2)),[2]codigos!$H$2:$I$62,2,1) &amp; " " &amp; VLOOKUP(VALUE(MID($C161,21,2)),[2]codigos!$K$2:$L$12,2,FALSE)</f>
        <v>BLANCO  NEGRO</v>
      </c>
      <c r="F161" s="11" t="s">
        <v>553</v>
      </c>
      <c r="G161" s="11" t="s">
        <v>16</v>
      </c>
      <c r="H161" s="52" t="s">
        <v>966</v>
      </c>
      <c r="I161" s="20" t="s">
        <v>945</v>
      </c>
      <c r="J161" s="11">
        <v>1</v>
      </c>
      <c r="K161" s="11">
        <v>1</v>
      </c>
      <c r="L161" s="11">
        <f t="shared" si="28"/>
        <v>0</v>
      </c>
      <c r="M161" s="134"/>
      <c r="N161" s="96">
        <v>46044</v>
      </c>
    </row>
    <row r="162" spans="1:14" x14ac:dyDescent="0.25">
      <c r="A162" s="11">
        <f t="shared" ca="1" si="26"/>
        <v>-100</v>
      </c>
      <c r="B162" s="37">
        <f t="shared" si="27"/>
        <v>35</v>
      </c>
      <c r="C162" s="11" t="s">
        <v>969</v>
      </c>
      <c r="D162" s="11" t="str">
        <f>VLOOKUP(VALUE(MID($C162,13,2)), [2]codigos!$A$2:$B$60, 2, 1) &amp; " " &amp; VLOOKUP(VALUE(MID($C162,15,4)), [2]codigos!$E$2:$F$102, 2, FALSE)</f>
        <v>CHAROLA DE SERVICIO 45</v>
      </c>
      <c r="E162" s="11" t="str">
        <f>VLOOKUP(VALUE(MID($C162,19,2)),[2]codigos!$H$2:$I$62,2,1) &amp; " " &amp; VLOOKUP(VALUE(MID($C162,21,2)),[2]codigos!$K$2:$L$12,2,FALSE)</f>
        <v>BLANCO  S/I</v>
      </c>
      <c r="F162" s="11" t="s">
        <v>553</v>
      </c>
      <c r="G162" s="11" t="s">
        <v>16</v>
      </c>
      <c r="H162" s="52" t="s">
        <v>970</v>
      </c>
      <c r="I162" s="20" t="s">
        <v>945</v>
      </c>
      <c r="J162" s="11">
        <v>3</v>
      </c>
      <c r="K162" s="11">
        <v>3</v>
      </c>
      <c r="L162" s="11">
        <f t="shared" si="28"/>
        <v>0</v>
      </c>
      <c r="M162" s="134">
        <f>(SUM(K162:K181))/(SUM(J162:J181))</f>
        <v>1</v>
      </c>
      <c r="N162" s="96">
        <v>46044</v>
      </c>
    </row>
    <row r="163" spans="1:14" x14ac:dyDescent="0.25">
      <c r="A163" s="11">
        <f t="shared" ca="1" si="26"/>
        <v>-100</v>
      </c>
      <c r="B163" s="37">
        <f t="shared" si="27"/>
        <v>35</v>
      </c>
      <c r="C163" s="11" t="s">
        <v>967</v>
      </c>
      <c r="D163" s="11" t="str">
        <f>VLOOKUP(VALUE(MID($C163,13,2)), [2]codigos!$A$2:$B$60, 2, 1) &amp; " " &amp; VLOOKUP(VALUE(MID($C163,15,4)), [2]codigos!$E$2:$F$102, 2, FALSE)</f>
        <v>JARRA RECTA 2.5 LTS</v>
      </c>
      <c r="E163" s="11" t="str">
        <f>VLOOKUP(VALUE(MID($C163,19,2)),[2]codigos!$H$2:$I$62,2,1) &amp; " " &amp; VLOOKUP(VALUE(MID($C163,21,2)),[2]codigos!$K$2:$L$12,2,FALSE)</f>
        <v>NEGRO MOTAS S/I</v>
      </c>
      <c r="F163" s="11" t="s">
        <v>553</v>
      </c>
      <c r="G163" s="11" t="s">
        <v>16</v>
      </c>
      <c r="H163" s="52" t="s">
        <v>970</v>
      </c>
      <c r="I163" s="20" t="s">
        <v>945</v>
      </c>
      <c r="J163" s="11">
        <v>3</v>
      </c>
      <c r="K163" s="11">
        <f>1+2</f>
        <v>3</v>
      </c>
      <c r="L163" s="11">
        <f t="shared" si="28"/>
        <v>0</v>
      </c>
      <c r="M163" s="134"/>
      <c r="N163" s="96">
        <v>46044</v>
      </c>
    </row>
    <row r="164" spans="1:14" x14ac:dyDescent="0.25">
      <c r="A164" s="11">
        <f t="shared" ca="1" si="26"/>
        <v>-100</v>
      </c>
      <c r="B164" s="37">
        <f t="shared" si="27"/>
        <v>35</v>
      </c>
      <c r="C164" s="11" t="s">
        <v>971</v>
      </c>
      <c r="D164" s="11" t="str">
        <f>VLOOKUP(VALUE(MID($C164,13,2)), [2]codigos!$A$2:$B$60, 2, 1) &amp; " " &amp; VLOOKUP(VALUE(MID($C164,15,4)), [2]codigos!$E$2:$F$102, 2, FALSE)</f>
        <v>PLATO LISO 20</v>
      </c>
      <c r="E164" s="11" t="str">
        <f>VLOOKUP(VALUE(MID($C164,19,2)),[2]codigos!$H$2:$I$62,2,1) &amp; " " &amp; VLOOKUP(VALUE(MID($C164,21,2)),[2]codigos!$K$2:$L$12,2,FALSE)</f>
        <v>BLANCO  NEGRO</v>
      </c>
      <c r="F164" s="11" t="s">
        <v>553</v>
      </c>
      <c r="G164" s="11" t="s">
        <v>16</v>
      </c>
      <c r="H164" s="52" t="s">
        <v>970</v>
      </c>
      <c r="I164" s="20" t="s">
        <v>945</v>
      </c>
      <c r="J164" s="11">
        <v>1</v>
      </c>
      <c r="K164" s="11">
        <v>1</v>
      </c>
      <c r="L164" s="11">
        <f t="shared" si="28"/>
        <v>0</v>
      </c>
      <c r="M164" s="134"/>
      <c r="N164" s="96">
        <v>46044</v>
      </c>
    </row>
    <row r="165" spans="1:14" x14ac:dyDescent="0.25">
      <c r="A165" s="11">
        <f t="shared" ca="1" si="26"/>
        <v>-100</v>
      </c>
      <c r="B165" s="37">
        <f t="shared" si="27"/>
        <v>35</v>
      </c>
      <c r="C165" s="11" t="s">
        <v>558</v>
      </c>
      <c r="D165" s="11" t="str">
        <f>VLOOKUP(VALUE(MID($C165,13,2)), [2]codigos!$A$2:$B$60, 2, 1) &amp; " " &amp; VLOOKUP(VALUE(MID($C165,15,4)), [2]codigos!$E$2:$F$102, 2, FALSE)</f>
        <v>PLATO LISO 12</v>
      </c>
      <c r="E165" s="11" t="str">
        <f>VLOOKUP(VALUE(MID($C165,19,2)),[2]codigos!$H$2:$I$62,2,1) &amp; " " &amp; VLOOKUP(VALUE(MID($C165,21,2)),[2]codigos!$K$2:$L$12,2,FALSE)</f>
        <v>BLANCO  NEGRO</v>
      </c>
      <c r="F165" s="11" t="s">
        <v>553</v>
      </c>
      <c r="G165" s="11" t="s">
        <v>16</v>
      </c>
      <c r="H165" s="52" t="s">
        <v>970</v>
      </c>
      <c r="I165" s="20" t="s">
        <v>945</v>
      </c>
      <c r="J165" s="11">
        <v>1</v>
      </c>
      <c r="K165" s="11">
        <v>1</v>
      </c>
      <c r="L165" s="11">
        <f t="shared" si="28"/>
        <v>0</v>
      </c>
      <c r="M165" s="134"/>
      <c r="N165" s="96">
        <v>46044</v>
      </c>
    </row>
    <row r="166" spans="1:14" x14ac:dyDescent="0.25">
      <c r="A166" s="11">
        <f t="shared" ca="1" si="26"/>
        <v>-100</v>
      </c>
      <c r="B166" s="37">
        <f t="shared" si="27"/>
        <v>35</v>
      </c>
      <c r="C166" s="11" t="s">
        <v>972</v>
      </c>
      <c r="D166" s="11" t="str">
        <f>VLOOKUP(VALUE(MID($C166,13,2)), [2]codigos!$A$2:$B$60, 2, 1) &amp; " " &amp; VLOOKUP(VALUE(MID($C166,15,4)), [2]codigos!$E$2:$F$102, 2, FALSE)</f>
        <v>BUDINERA   12</v>
      </c>
      <c r="E166" s="11" t="str">
        <f>VLOOKUP(VALUE(MID($C166,19,2)),[2]codigos!$H$2:$I$62,2,1) &amp; " " &amp; VLOOKUP(VALUE(MID($C166,21,2)),[2]codigos!$K$2:$L$12,2,FALSE)</f>
        <v>BLANCO  GRIS</v>
      </c>
      <c r="F166" s="11" t="s">
        <v>553</v>
      </c>
      <c r="G166" s="11" t="s">
        <v>16</v>
      </c>
      <c r="H166" s="52" t="s">
        <v>970</v>
      </c>
      <c r="I166" s="20" t="s">
        <v>945</v>
      </c>
      <c r="J166" s="11">
        <v>2</v>
      </c>
      <c r="K166" s="11">
        <v>2</v>
      </c>
      <c r="L166" s="11">
        <f t="shared" si="28"/>
        <v>0</v>
      </c>
      <c r="M166" s="134"/>
      <c r="N166" s="96">
        <v>46044</v>
      </c>
    </row>
    <row r="167" spans="1:14" x14ac:dyDescent="0.25">
      <c r="A167" s="11">
        <f t="shared" ca="1" si="26"/>
        <v>-100</v>
      </c>
      <c r="B167" s="37">
        <f t="shared" si="27"/>
        <v>35</v>
      </c>
      <c r="C167" s="11" t="s">
        <v>560</v>
      </c>
      <c r="D167" s="11" t="str">
        <f>VLOOKUP(VALUE(MID($C167,13,2)), [2]codigos!$A$2:$B$60, 2, 1) &amp; " " &amp; VLOOKUP(VALUE(MID($C167,15,4)), [2]codigos!$E$2:$F$102, 2, FALSE)</f>
        <v>CUCHARA MOKA</v>
      </c>
      <c r="E167" s="11" t="str">
        <f>VLOOKUP(VALUE(MID($C167,19,2)),[2]codigos!$H$2:$I$62,2,1) &amp; " " &amp; VLOOKUP(VALUE(MID($C167,21,2)),[2]codigos!$K$2:$L$12,2,FALSE)</f>
        <v>BLANCO  S/I</v>
      </c>
      <c r="F167" s="11" t="s">
        <v>553</v>
      </c>
      <c r="G167" s="11" t="s">
        <v>16</v>
      </c>
      <c r="H167" s="52" t="s">
        <v>970</v>
      </c>
      <c r="I167" s="20" t="s">
        <v>945</v>
      </c>
      <c r="J167" s="11">
        <v>1</v>
      </c>
      <c r="K167" s="11">
        <v>1</v>
      </c>
      <c r="L167" s="11">
        <f t="shared" si="28"/>
        <v>0</v>
      </c>
      <c r="M167" s="134"/>
      <c r="N167" s="96">
        <v>46044</v>
      </c>
    </row>
    <row r="168" spans="1:14" x14ac:dyDescent="0.25">
      <c r="A168" s="11">
        <f t="shared" ca="1" si="26"/>
        <v>-100</v>
      </c>
      <c r="B168" s="37">
        <f t="shared" si="27"/>
        <v>35</v>
      </c>
      <c r="C168" s="11" t="s">
        <v>561</v>
      </c>
      <c r="D168" s="11" t="str">
        <f>VLOOKUP(VALUE(MID($C168,13,2)), [2]codigos!$A$2:$B$60, 2, 1) &amp; " " &amp; VLOOKUP(VALUE(MID($C168,15,4)), [2]codigos!$E$2:$F$102, 2, FALSE)</f>
        <v>CUCHARA MOKA</v>
      </c>
      <c r="E168" s="11" t="str">
        <f>VLOOKUP(VALUE(MID($C168,19,2)),[2]codigos!$H$2:$I$62,2,1) &amp; " " &amp; VLOOKUP(VALUE(MID($C168,21,2)),[2]codigos!$K$2:$L$12,2,FALSE)</f>
        <v>NEGRO MOTAS S/I</v>
      </c>
      <c r="F168" s="11" t="s">
        <v>553</v>
      </c>
      <c r="G168" s="11" t="s">
        <v>16</v>
      </c>
      <c r="H168" s="52" t="s">
        <v>970</v>
      </c>
      <c r="I168" s="20" t="s">
        <v>945</v>
      </c>
      <c r="J168" s="11">
        <v>1</v>
      </c>
      <c r="K168" s="11">
        <v>1</v>
      </c>
      <c r="L168" s="11">
        <f t="shared" si="28"/>
        <v>0</v>
      </c>
      <c r="M168" s="134"/>
      <c r="N168" s="96">
        <v>46044</v>
      </c>
    </row>
    <row r="169" spans="1:14" x14ac:dyDescent="0.25">
      <c r="A169" s="11">
        <f t="shared" ca="1" si="26"/>
        <v>-100</v>
      </c>
      <c r="B169" s="37">
        <f t="shared" si="27"/>
        <v>35</v>
      </c>
      <c r="C169" s="11" t="s">
        <v>562</v>
      </c>
      <c r="D169" s="11" t="str">
        <f>VLOOKUP(VALUE(MID($C169,13,2)), [2]codigos!$A$2:$B$60, 2, 1) &amp; " " &amp; VLOOKUP(VALUE(MID($C169,15,4)), [2]codigos!$E$2:$F$102, 2, FALSE)</f>
        <v>MULTIUSOS S/I</v>
      </c>
      <c r="E169" s="11" t="str">
        <f>VLOOKUP(VALUE(MID($C169,19,2)),[2]codigos!$H$2:$I$62,2,1) &amp; " " &amp; VLOOKUP(VALUE(MID($C169,21,2)),[2]codigos!$K$2:$L$12,2,FALSE)</f>
        <v>BLANCO  GRIS</v>
      </c>
      <c r="F169" s="11" t="s">
        <v>553</v>
      </c>
      <c r="G169" s="11" t="s">
        <v>16</v>
      </c>
      <c r="H169" s="52" t="s">
        <v>970</v>
      </c>
      <c r="I169" s="20" t="s">
        <v>945</v>
      </c>
      <c r="J169" s="11">
        <v>3</v>
      </c>
      <c r="K169" s="11">
        <v>3</v>
      </c>
      <c r="L169" s="11">
        <f t="shared" si="28"/>
        <v>0</v>
      </c>
      <c r="M169" s="134"/>
      <c r="N169" s="96">
        <v>46044</v>
      </c>
    </row>
    <row r="170" spans="1:14" x14ac:dyDescent="0.25">
      <c r="A170" s="11">
        <f t="shared" ca="1" si="26"/>
        <v>-100</v>
      </c>
      <c r="B170" s="37">
        <f t="shared" si="27"/>
        <v>35</v>
      </c>
      <c r="C170" s="11" t="s">
        <v>973</v>
      </c>
      <c r="D170" s="11" t="str">
        <f>VLOOKUP(VALUE(MID($C170,13,2)), [2]codigos!$A$2:$B$60, 2, 1) &amp; " " &amp; VLOOKUP(VALUE(MID($C170,15,4)), [2]codigos!$E$2:$F$102, 2, FALSE)</f>
        <v>MULTIUSOS S/I</v>
      </c>
      <c r="E170" s="11" t="str">
        <f>VLOOKUP(VALUE(MID($C170,19,2)),[2]codigos!$H$2:$I$62,2,1) &amp; " " &amp; VLOOKUP(VALUE(MID($C170,21,2)),[2]codigos!$K$2:$L$12,2,FALSE)</f>
        <v>GRIS S/I</v>
      </c>
      <c r="F170" s="11" t="s">
        <v>553</v>
      </c>
      <c r="G170" s="11" t="s">
        <v>16</v>
      </c>
      <c r="H170" s="52" t="s">
        <v>970</v>
      </c>
      <c r="I170" s="20" t="s">
        <v>945</v>
      </c>
      <c r="J170" s="11">
        <v>2</v>
      </c>
      <c r="K170" s="11">
        <v>2</v>
      </c>
      <c r="L170" s="11">
        <f t="shared" si="28"/>
        <v>0</v>
      </c>
      <c r="M170" s="134"/>
      <c r="N170" s="96">
        <v>46044</v>
      </c>
    </row>
    <row r="171" spans="1:14" x14ac:dyDescent="0.25">
      <c r="A171" s="11">
        <f t="shared" ca="1" si="26"/>
        <v>-100</v>
      </c>
      <c r="B171" s="37">
        <f t="shared" si="27"/>
        <v>35</v>
      </c>
      <c r="C171" s="11" t="s">
        <v>974</v>
      </c>
      <c r="D171" s="11" t="str">
        <f>VLOOKUP(VALUE(MID($C171,13,2)), [2]codigos!$A$2:$B$60, 2, 1) &amp; " " &amp; VLOOKUP(VALUE(MID($C171,15,4)), [2]codigos!$E$2:$F$102, 2, FALSE)</f>
        <v>TAZON  15.5</v>
      </c>
      <c r="E171" s="11" t="str">
        <f>VLOOKUP(VALUE(MID($C171,19,2)),[2]codigos!$H$2:$I$62,2,1) &amp; " " &amp; VLOOKUP(VALUE(MID($C171,21,2)),[2]codigos!$K$2:$L$12,2,FALSE)</f>
        <v>NEGRO MOTAS S/I</v>
      </c>
      <c r="F171" s="11" t="s">
        <v>553</v>
      </c>
      <c r="G171" s="11" t="s">
        <v>16</v>
      </c>
      <c r="H171" s="52" t="s">
        <v>970</v>
      </c>
      <c r="I171" s="20" t="s">
        <v>945</v>
      </c>
      <c r="J171" s="11">
        <v>2</v>
      </c>
      <c r="K171" s="11">
        <v>2</v>
      </c>
      <c r="L171" s="11">
        <f t="shared" si="28"/>
        <v>0</v>
      </c>
      <c r="M171" s="134"/>
      <c r="N171" s="96">
        <v>46044</v>
      </c>
    </row>
    <row r="172" spans="1:14" x14ac:dyDescent="0.25">
      <c r="A172" s="11">
        <f t="shared" ca="1" si="26"/>
        <v>-100</v>
      </c>
      <c r="B172" s="37">
        <f t="shared" si="27"/>
        <v>35</v>
      </c>
      <c r="C172" s="11" t="s">
        <v>552</v>
      </c>
      <c r="D172" s="11" t="str">
        <f>VLOOKUP(VALUE(MID($C172,13,2)), [2]codigos!$A$2:$B$60, 2, 1) &amp; " " &amp; VLOOKUP(VALUE(MID($C172,15,4)), [2]codigos!$E$2:$F$102, 2, FALSE)</f>
        <v>TAZON  8</v>
      </c>
      <c r="E172" s="11" t="str">
        <f>VLOOKUP(VALUE(MID($C172,19,2)),[2]codigos!$H$2:$I$62,2,1) &amp; " " &amp; VLOOKUP(VALUE(MID($C172,21,2)),[2]codigos!$K$2:$L$12,2,FALSE)</f>
        <v>NEGRO MOTAS S/I</v>
      </c>
      <c r="F172" s="11" t="s">
        <v>553</v>
      </c>
      <c r="G172" s="11" t="s">
        <v>16</v>
      </c>
      <c r="H172" s="52" t="s">
        <v>970</v>
      </c>
      <c r="I172" s="20" t="s">
        <v>945</v>
      </c>
      <c r="J172" s="11">
        <v>1</v>
      </c>
      <c r="K172" s="11">
        <v>1</v>
      </c>
      <c r="L172" s="11">
        <f t="shared" si="28"/>
        <v>0</v>
      </c>
      <c r="M172" s="134"/>
      <c r="N172" s="96">
        <v>46044</v>
      </c>
    </row>
    <row r="173" spans="1:14" x14ac:dyDescent="0.25">
      <c r="A173" s="11">
        <f t="shared" ca="1" si="26"/>
        <v>-100</v>
      </c>
      <c r="B173" s="37">
        <f t="shared" si="27"/>
        <v>35</v>
      </c>
      <c r="C173" s="11" t="s">
        <v>563</v>
      </c>
      <c r="D173" s="11" t="str">
        <f>VLOOKUP(VALUE(MID($C173,13,2)), [2]codigos!$A$2:$B$60, 2, 1) &amp; " " &amp; VLOOKUP(VALUE(MID($C173,15,4)), [2]codigos!$E$2:$F$102, 2, FALSE)</f>
        <v>POCILLO 5</v>
      </c>
      <c r="E173" s="11" t="str">
        <f>VLOOKUP(VALUE(MID($C173,19,2)),[2]codigos!$H$2:$I$62,2,1) &amp; " " &amp; VLOOKUP(VALUE(MID($C173,21,2)),[2]codigos!$K$2:$L$12,2,FALSE)</f>
        <v>BLANCO  NEGRO</v>
      </c>
      <c r="F173" s="11" t="s">
        <v>553</v>
      </c>
      <c r="G173" s="11" t="s">
        <v>16</v>
      </c>
      <c r="H173" s="52" t="s">
        <v>970</v>
      </c>
      <c r="I173" s="20" t="s">
        <v>945</v>
      </c>
      <c r="J173" s="11">
        <v>2</v>
      </c>
      <c r="K173" s="11">
        <v>2</v>
      </c>
      <c r="L173" s="11">
        <f t="shared" si="28"/>
        <v>0</v>
      </c>
      <c r="M173" s="134"/>
      <c r="N173" s="96">
        <v>46044</v>
      </c>
    </row>
    <row r="174" spans="1:14" x14ac:dyDescent="0.25">
      <c r="A174" s="11">
        <f t="shared" ca="1" si="26"/>
        <v>-100</v>
      </c>
      <c r="B174" s="37">
        <f t="shared" si="27"/>
        <v>35</v>
      </c>
      <c r="C174" s="11" t="s">
        <v>564</v>
      </c>
      <c r="D174" s="11" t="str">
        <f>VLOOKUP(VALUE(MID($C174,13,2)), [2]codigos!$A$2:$B$60, 2, 1) &amp; " " &amp; VLOOKUP(VALUE(MID($C174,15,4)), [2]codigos!$E$2:$F$102, 2, FALSE)</f>
        <v>POCILLO 5</v>
      </c>
      <c r="E174" s="11" t="str">
        <f>VLOOKUP(VALUE(MID($C174,19,2)),[2]codigos!$H$2:$I$62,2,1) &amp; " " &amp; VLOOKUP(VALUE(MID($C174,21,2)),[2]codigos!$K$2:$L$12,2,FALSE)</f>
        <v>NEGRO MOTAS S/I</v>
      </c>
      <c r="F174" s="11" t="s">
        <v>553</v>
      </c>
      <c r="G174" s="11" t="s">
        <v>16</v>
      </c>
      <c r="H174" s="52" t="s">
        <v>970</v>
      </c>
      <c r="I174" s="20" t="s">
        <v>945</v>
      </c>
      <c r="J174" s="11">
        <v>4</v>
      </c>
      <c r="K174" s="11">
        <f>2+2</f>
        <v>4</v>
      </c>
      <c r="L174" s="11">
        <f t="shared" si="28"/>
        <v>0</v>
      </c>
      <c r="M174" s="134"/>
      <c r="N174" s="96">
        <v>46044</v>
      </c>
    </row>
    <row r="175" spans="1:14" x14ac:dyDescent="0.25">
      <c r="A175" s="11">
        <f t="shared" ca="1" si="26"/>
        <v>-100</v>
      </c>
      <c r="B175" s="37">
        <f t="shared" si="27"/>
        <v>35</v>
      </c>
      <c r="C175" s="11" t="s">
        <v>968</v>
      </c>
      <c r="D175" s="11" t="str">
        <f>VLOOKUP(VALUE(MID($C175,13,2)), [2]codigos!$A$2:$B$60, 2, 1) &amp; " " &amp; VLOOKUP(VALUE(MID($C175,15,4)), [2]codigos!$E$2:$F$102, 2, FALSE)</f>
        <v>POCILLO 8</v>
      </c>
      <c r="E175" s="11" t="str">
        <f>VLOOKUP(VALUE(MID($C175,19,2)),[2]codigos!$H$2:$I$62,2,1) &amp; " " &amp; VLOOKUP(VALUE(MID($C175,21,2)),[2]codigos!$K$2:$L$12,2,FALSE)</f>
        <v>BLANCO  NEGRO</v>
      </c>
      <c r="F175" s="11" t="s">
        <v>553</v>
      </c>
      <c r="G175" s="11" t="s">
        <v>16</v>
      </c>
      <c r="H175" s="52" t="s">
        <v>970</v>
      </c>
      <c r="I175" s="20" t="s">
        <v>945</v>
      </c>
      <c r="J175" s="11">
        <v>3</v>
      </c>
      <c r="K175" s="11">
        <v>3</v>
      </c>
      <c r="L175" s="11">
        <f t="shared" si="28"/>
        <v>0</v>
      </c>
      <c r="M175" s="134"/>
      <c r="N175" s="96">
        <v>46044</v>
      </c>
    </row>
    <row r="176" spans="1:14" x14ac:dyDescent="0.25">
      <c r="A176" s="11">
        <f t="shared" ca="1" si="26"/>
        <v>-100</v>
      </c>
      <c r="B176" s="37">
        <f t="shared" si="27"/>
        <v>35</v>
      </c>
      <c r="C176" s="11" t="s">
        <v>565</v>
      </c>
      <c r="D176" s="11" t="str">
        <f>VLOOKUP(VALUE(MID($C176,13,2)), [2]codigos!$A$2:$B$60, 2, 1) &amp; " " &amp; VLOOKUP(VALUE(MID($C176,15,4)), [2]codigos!$E$2:$F$102, 2, FALSE)</f>
        <v>POCILLO 8</v>
      </c>
      <c r="E176" s="11" t="str">
        <f>VLOOKUP(VALUE(MID($C176,19,2)),[2]codigos!$H$2:$I$62,2,1) &amp; " " &amp; VLOOKUP(VALUE(MID($C176,21,2)),[2]codigos!$K$2:$L$12,2,FALSE)</f>
        <v>NEGRO MOTAS S/I</v>
      </c>
      <c r="F176" s="11" t="s">
        <v>553</v>
      </c>
      <c r="G176" s="11" t="s">
        <v>16</v>
      </c>
      <c r="H176" s="52" t="s">
        <v>970</v>
      </c>
      <c r="I176" s="20" t="s">
        <v>945</v>
      </c>
      <c r="J176" s="11">
        <v>1</v>
      </c>
      <c r="K176" s="11">
        <v>1</v>
      </c>
      <c r="L176" s="11">
        <f t="shared" si="28"/>
        <v>0</v>
      </c>
      <c r="M176" s="134"/>
      <c r="N176" s="96">
        <v>46044</v>
      </c>
    </row>
    <row r="177" spans="1:14" x14ac:dyDescent="0.25">
      <c r="A177" s="11">
        <f t="shared" ca="1" si="26"/>
        <v>-100</v>
      </c>
      <c r="B177" s="37">
        <f t="shared" si="27"/>
        <v>35</v>
      </c>
      <c r="C177" s="11" t="s">
        <v>963</v>
      </c>
      <c r="D177" s="11" t="str">
        <f>VLOOKUP(VALUE(MID($C177,13,2)), [2]codigos!$A$2:$B$60, 2, 1) &amp; " " &amp; VLOOKUP(VALUE(MID($C177,15,4)), [2]codigos!$E$2:$F$102, 2, FALSE)</f>
        <v>TORTILLERO  18</v>
      </c>
      <c r="E177" s="11" t="str">
        <f>VLOOKUP(VALUE(MID($C177,19,2)),[2]codigos!$H$2:$I$62,2,1) &amp; " " &amp; VLOOKUP(VALUE(MID($C177,21,2)),[2]codigos!$K$2:$L$12,2,FALSE)</f>
        <v>GRIS S/I</v>
      </c>
      <c r="F177" s="11" t="s">
        <v>553</v>
      </c>
      <c r="G177" s="11" t="s">
        <v>16</v>
      </c>
      <c r="H177" s="52" t="s">
        <v>970</v>
      </c>
      <c r="I177" s="20" t="s">
        <v>945</v>
      </c>
      <c r="J177" s="11">
        <v>2</v>
      </c>
      <c r="K177" s="11">
        <v>2</v>
      </c>
      <c r="L177" s="11">
        <f t="shared" si="28"/>
        <v>0</v>
      </c>
      <c r="M177" s="134"/>
      <c r="N177" s="96">
        <v>46044</v>
      </c>
    </row>
    <row r="178" spans="1:14" x14ac:dyDescent="0.25">
      <c r="A178" s="11">
        <f t="shared" ca="1" si="26"/>
        <v>-100</v>
      </c>
      <c r="B178" s="37">
        <f t="shared" si="27"/>
        <v>35</v>
      </c>
      <c r="C178" s="11" t="s">
        <v>555</v>
      </c>
      <c r="D178" s="11" t="str">
        <f>VLOOKUP(VALUE(MID($C178,13,2)), [2]codigos!$A$2:$B$60, 2, 1) &amp; " " &amp; VLOOKUP(VALUE(MID($C178,15,4)), [2]codigos!$E$2:$F$102, 2, FALSE)</f>
        <v>COMAL 28</v>
      </c>
      <c r="E178" s="11" t="str">
        <f>VLOOKUP(VALUE(MID($C178,19,2)),[2]codigos!$H$2:$I$62,2,1) &amp; " " &amp; VLOOKUP(VALUE(MID($C178,21,2)),[2]codigos!$K$2:$L$12,2,FALSE)</f>
        <v>NEGRO MOTAS S/I</v>
      </c>
      <c r="F178" s="11" t="s">
        <v>553</v>
      </c>
      <c r="G178" s="11" t="s">
        <v>16</v>
      </c>
      <c r="H178" s="52" t="s">
        <v>970</v>
      </c>
      <c r="I178" s="20" t="s">
        <v>945</v>
      </c>
      <c r="J178" s="11">
        <v>3</v>
      </c>
      <c r="K178" s="11">
        <v>3</v>
      </c>
      <c r="L178" s="11">
        <f t="shared" si="28"/>
        <v>0</v>
      </c>
      <c r="M178" s="134"/>
      <c r="N178" s="96">
        <v>46044</v>
      </c>
    </row>
    <row r="179" spans="1:14" x14ac:dyDescent="0.25">
      <c r="A179" s="11">
        <f t="shared" ca="1" si="26"/>
        <v>-100</v>
      </c>
      <c r="B179" s="37">
        <f t="shared" si="27"/>
        <v>35</v>
      </c>
      <c r="C179" s="11" t="s">
        <v>566</v>
      </c>
      <c r="D179" s="11" t="str">
        <f>VLOOKUP(VALUE(MID($C179,13,2)), [2]codigos!$A$2:$B$60, 2, 1) &amp; " " &amp; VLOOKUP(VALUE(MID($C179,15,4)), [2]codigos!$E$2:$F$102, 2, FALSE)</f>
        <v>PLATO LISO 16</v>
      </c>
      <c r="E179" s="11" t="str">
        <f>VLOOKUP(VALUE(MID($C179,19,2)),[2]codigos!$H$2:$I$62,2,1) &amp; " " &amp; VLOOKUP(VALUE(MID($C179,21,2)),[2]codigos!$K$2:$L$12,2,FALSE)</f>
        <v>NEGRO MOTAS S/I</v>
      </c>
      <c r="F179" s="11" t="s">
        <v>553</v>
      </c>
      <c r="G179" s="11" t="s">
        <v>16</v>
      </c>
      <c r="H179" s="52" t="s">
        <v>970</v>
      </c>
      <c r="I179" s="20" t="s">
        <v>945</v>
      </c>
      <c r="J179" s="11">
        <v>2</v>
      </c>
      <c r="K179" s="11">
        <v>2</v>
      </c>
      <c r="L179" s="11">
        <f t="shared" si="28"/>
        <v>0</v>
      </c>
      <c r="M179" s="134"/>
      <c r="N179" s="96">
        <v>46044</v>
      </c>
    </row>
    <row r="180" spans="1:14" x14ac:dyDescent="0.25">
      <c r="A180" s="11">
        <f t="shared" ca="1" si="26"/>
        <v>-100</v>
      </c>
      <c r="B180" s="37">
        <f t="shared" si="27"/>
        <v>35</v>
      </c>
      <c r="C180" s="11" t="s">
        <v>975</v>
      </c>
      <c r="D180" s="11" t="str">
        <f>VLOOKUP(VALUE(MID($C180,13,2)), [2]codigos!$A$2:$B$60, 2, 1) &amp; " " &amp; VLOOKUP(VALUE(MID($C180,15,4)), [2]codigos!$E$2:$F$102, 2, FALSE)</f>
        <v>PLATO LISO 16</v>
      </c>
      <c r="E180" s="11" t="str">
        <f>VLOOKUP(VALUE(MID($C180,19,2)),[2]codigos!$H$2:$I$62,2,1) &amp; " " &amp; VLOOKUP(VALUE(MID($C180,21,2)),[2]codigos!$K$2:$L$12,2,FALSE)</f>
        <v>BLANCO  NEGRO</v>
      </c>
      <c r="F180" s="11" t="s">
        <v>553</v>
      </c>
      <c r="G180" s="11" t="s">
        <v>16</v>
      </c>
      <c r="H180" s="52" t="s">
        <v>970</v>
      </c>
      <c r="I180" s="20" t="s">
        <v>945</v>
      </c>
      <c r="J180" s="11">
        <v>1</v>
      </c>
      <c r="K180" s="11">
        <v>1</v>
      </c>
      <c r="L180" s="11">
        <f t="shared" si="28"/>
        <v>0</v>
      </c>
      <c r="M180" s="134"/>
      <c r="N180" s="96">
        <v>46044</v>
      </c>
    </row>
    <row r="181" spans="1:14" x14ac:dyDescent="0.25">
      <c r="A181" s="11">
        <f t="shared" ca="1" si="26"/>
        <v>-100</v>
      </c>
      <c r="B181" s="37">
        <f t="shared" si="27"/>
        <v>35</v>
      </c>
      <c r="C181" s="11" t="s">
        <v>567</v>
      </c>
      <c r="D181" s="11" t="str">
        <f>VLOOKUP(VALUE(MID($C181,13,2)), [2]codigos!$A$2:$B$60, 2, 1) &amp; " " &amp; VLOOKUP(VALUE(MID($C181,15,4)), [2]codigos!$E$2:$F$102, 2, FALSE)</f>
        <v>MULTIUSOS RAYADO 17.5</v>
      </c>
      <c r="E181" s="11" t="str">
        <f>VLOOKUP(VALUE(MID($C181,19,2)),[2]codigos!$H$2:$I$62,2,1) &amp; " " &amp; VLOOKUP(VALUE(MID($C181,21,2)),[2]codigos!$K$2:$L$12,2,FALSE)</f>
        <v>NEGRO MOTAS S/I</v>
      </c>
      <c r="F181" s="11" t="s">
        <v>553</v>
      </c>
      <c r="G181" s="11" t="s">
        <v>16</v>
      </c>
      <c r="H181" s="52" t="s">
        <v>970</v>
      </c>
      <c r="I181" s="20" t="s">
        <v>945</v>
      </c>
      <c r="J181" s="11">
        <v>4</v>
      </c>
      <c r="K181" s="11">
        <v>4</v>
      </c>
      <c r="L181" s="11">
        <f t="shared" si="28"/>
        <v>0</v>
      </c>
      <c r="M181" s="134"/>
      <c r="N181" s="96">
        <v>46044</v>
      </c>
    </row>
    <row r="182" spans="1:14" x14ac:dyDescent="0.25">
      <c r="A182" s="11">
        <f t="shared" ca="1" si="26"/>
        <v>-100</v>
      </c>
      <c r="B182" s="37">
        <f t="shared" si="27"/>
        <v>38</v>
      </c>
      <c r="C182" s="11" t="s">
        <v>572</v>
      </c>
      <c r="D182" s="11" t="s">
        <v>1115</v>
      </c>
      <c r="E182" s="11" t="s">
        <v>896</v>
      </c>
      <c r="F182" s="11" t="s">
        <v>573</v>
      </c>
      <c r="G182" s="11" t="s">
        <v>11</v>
      </c>
      <c r="H182" s="52" t="s">
        <v>944</v>
      </c>
      <c r="I182" s="20" t="s">
        <v>945</v>
      </c>
      <c r="J182" s="11">
        <v>2</v>
      </c>
      <c r="K182" s="11">
        <v>2</v>
      </c>
      <c r="L182" s="11">
        <v>0</v>
      </c>
      <c r="M182" s="134">
        <v>1</v>
      </c>
      <c r="N182" s="96">
        <v>46047</v>
      </c>
    </row>
    <row r="183" spans="1:14" x14ac:dyDescent="0.25">
      <c r="A183" s="11">
        <f t="shared" ca="1" si="26"/>
        <v>-100</v>
      </c>
      <c r="B183" s="37">
        <f t="shared" si="27"/>
        <v>38</v>
      </c>
      <c r="C183" s="11" t="s">
        <v>576</v>
      </c>
      <c r="D183" s="11" t="s">
        <v>890</v>
      </c>
      <c r="E183" s="11" t="s">
        <v>896</v>
      </c>
      <c r="F183" s="11" t="s">
        <v>573</v>
      </c>
      <c r="G183" s="11" t="s">
        <v>11</v>
      </c>
      <c r="H183" s="52" t="s">
        <v>944</v>
      </c>
      <c r="I183" s="20" t="s">
        <v>945</v>
      </c>
      <c r="J183" s="11">
        <v>3</v>
      </c>
      <c r="K183" s="11">
        <v>3</v>
      </c>
      <c r="L183" s="11">
        <v>0</v>
      </c>
      <c r="M183" s="134"/>
      <c r="N183" s="96">
        <v>46047</v>
      </c>
    </row>
    <row r="184" spans="1:14" x14ac:dyDescent="0.25">
      <c r="A184" s="11">
        <f t="shared" ca="1" si="26"/>
        <v>-100</v>
      </c>
      <c r="B184" s="37">
        <f t="shared" si="27"/>
        <v>38</v>
      </c>
      <c r="C184" s="11" t="s">
        <v>946</v>
      </c>
      <c r="D184" s="11" t="s">
        <v>890</v>
      </c>
      <c r="E184" s="11" t="s">
        <v>1011</v>
      </c>
      <c r="F184" s="11" t="s">
        <v>573</v>
      </c>
      <c r="G184" s="11" t="s">
        <v>11</v>
      </c>
      <c r="H184" s="52" t="s">
        <v>944</v>
      </c>
      <c r="I184" s="20" t="s">
        <v>945</v>
      </c>
      <c r="J184" s="11">
        <v>1</v>
      </c>
      <c r="K184" s="11">
        <v>1</v>
      </c>
      <c r="L184" s="11">
        <v>0</v>
      </c>
      <c r="M184" s="134"/>
      <c r="N184" s="96">
        <v>46047</v>
      </c>
    </row>
    <row r="185" spans="1:14" x14ac:dyDescent="0.25">
      <c r="A185" s="11">
        <f t="shared" ca="1" si="26"/>
        <v>-100</v>
      </c>
      <c r="B185" s="37">
        <f t="shared" si="27"/>
        <v>38</v>
      </c>
      <c r="C185" s="11" t="s">
        <v>578</v>
      </c>
      <c r="D185" s="11" t="s">
        <v>1117</v>
      </c>
      <c r="E185" s="11" t="s">
        <v>919</v>
      </c>
      <c r="F185" s="11" t="s">
        <v>573</v>
      </c>
      <c r="G185" s="11" t="s">
        <v>11</v>
      </c>
      <c r="H185" s="52" t="s">
        <v>944</v>
      </c>
      <c r="I185" s="20" t="s">
        <v>945</v>
      </c>
      <c r="J185" s="11">
        <v>6</v>
      </c>
      <c r="K185" s="11">
        <v>6</v>
      </c>
      <c r="L185" s="11">
        <v>0</v>
      </c>
      <c r="M185" s="134"/>
      <c r="N185" s="96">
        <v>46047</v>
      </c>
    </row>
    <row r="186" spans="1:14" x14ac:dyDescent="0.25">
      <c r="A186" s="11">
        <f t="shared" ca="1" si="26"/>
        <v>-100</v>
      </c>
      <c r="B186" s="37">
        <f t="shared" si="27"/>
        <v>38</v>
      </c>
      <c r="C186" s="11" t="s">
        <v>579</v>
      </c>
      <c r="D186" s="11" t="s">
        <v>1118</v>
      </c>
      <c r="E186" s="11" t="s">
        <v>896</v>
      </c>
      <c r="F186" s="11" t="s">
        <v>573</v>
      </c>
      <c r="G186" s="11" t="s">
        <v>11</v>
      </c>
      <c r="H186" s="52" t="s">
        <v>944</v>
      </c>
      <c r="I186" s="20" t="s">
        <v>945</v>
      </c>
      <c r="J186" s="11">
        <v>4</v>
      </c>
      <c r="K186" s="11">
        <v>4</v>
      </c>
      <c r="L186" s="11">
        <v>0</v>
      </c>
      <c r="M186" s="134"/>
      <c r="N186" s="96">
        <v>46047</v>
      </c>
    </row>
    <row r="187" spans="1:14" x14ac:dyDescent="0.25">
      <c r="A187" s="11">
        <f t="shared" ca="1" si="26"/>
        <v>-100</v>
      </c>
      <c r="B187" s="37">
        <f t="shared" si="27"/>
        <v>38</v>
      </c>
      <c r="C187" s="11" t="s">
        <v>580</v>
      </c>
      <c r="D187" s="11" t="s">
        <v>1119</v>
      </c>
      <c r="E187" s="11" t="s">
        <v>896</v>
      </c>
      <c r="F187" s="11" t="s">
        <v>573</v>
      </c>
      <c r="G187" s="11" t="s">
        <v>11</v>
      </c>
      <c r="H187" s="52" t="s">
        <v>944</v>
      </c>
      <c r="I187" s="20" t="s">
        <v>945</v>
      </c>
      <c r="J187" s="11">
        <v>5</v>
      </c>
      <c r="K187" s="11">
        <v>5</v>
      </c>
      <c r="L187" s="11">
        <v>0</v>
      </c>
      <c r="M187" s="134"/>
      <c r="N187" s="96">
        <v>46047</v>
      </c>
    </row>
    <row r="188" spans="1:14" x14ac:dyDescent="0.25">
      <c r="A188" s="11">
        <f t="shared" ca="1" si="26"/>
        <v>-100</v>
      </c>
      <c r="B188" s="37">
        <f t="shared" si="27"/>
        <v>38</v>
      </c>
      <c r="C188" s="11" t="s">
        <v>581</v>
      </c>
      <c r="D188" s="11" t="s">
        <v>904</v>
      </c>
      <c r="E188" s="11" t="s">
        <v>896</v>
      </c>
      <c r="F188" s="11" t="s">
        <v>573</v>
      </c>
      <c r="G188" s="11" t="s">
        <v>11</v>
      </c>
      <c r="H188" s="52" t="s">
        <v>944</v>
      </c>
      <c r="I188" s="20" t="s">
        <v>945</v>
      </c>
      <c r="J188" s="11">
        <v>3</v>
      </c>
      <c r="K188" s="11">
        <v>3</v>
      </c>
      <c r="L188" s="11">
        <v>0</v>
      </c>
      <c r="M188" s="134"/>
      <c r="N188" s="96">
        <v>46047</v>
      </c>
    </row>
    <row r="189" spans="1:14" x14ac:dyDescent="0.25">
      <c r="A189" s="11">
        <f t="shared" ca="1" si="26"/>
        <v>-100</v>
      </c>
      <c r="B189" s="37">
        <f t="shared" si="27"/>
        <v>38</v>
      </c>
      <c r="C189" s="11" t="s">
        <v>583</v>
      </c>
      <c r="D189" s="11" t="s">
        <v>904</v>
      </c>
      <c r="E189" s="11" t="s">
        <v>907</v>
      </c>
      <c r="F189" s="11" t="s">
        <v>573</v>
      </c>
      <c r="G189" s="11" t="s">
        <v>11</v>
      </c>
      <c r="H189" s="52" t="s">
        <v>944</v>
      </c>
      <c r="I189" s="20" t="s">
        <v>945</v>
      </c>
      <c r="J189" s="11">
        <v>4</v>
      </c>
      <c r="K189" s="11">
        <v>4</v>
      </c>
      <c r="L189" s="11">
        <v>0</v>
      </c>
      <c r="M189" s="134"/>
      <c r="N189" s="96">
        <v>46047</v>
      </c>
    </row>
    <row r="190" spans="1:14" x14ac:dyDescent="0.25">
      <c r="A190" s="11">
        <f t="shared" ca="1" si="26"/>
        <v>-100</v>
      </c>
      <c r="B190" s="37">
        <f t="shared" si="27"/>
        <v>38</v>
      </c>
      <c r="C190" s="11" t="s">
        <v>585</v>
      </c>
      <c r="D190" s="11" t="s">
        <v>938</v>
      </c>
      <c r="E190" s="11" t="s">
        <v>1011</v>
      </c>
      <c r="F190" s="11" t="s">
        <v>573</v>
      </c>
      <c r="G190" s="11" t="s">
        <v>11</v>
      </c>
      <c r="H190" s="52" t="s">
        <v>944</v>
      </c>
      <c r="I190" s="20" t="s">
        <v>945</v>
      </c>
      <c r="J190" s="11">
        <v>3</v>
      </c>
      <c r="K190" s="11">
        <v>3</v>
      </c>
      <c r="L190" s="11">
        <v>0</v>
      </c>
      <c r="M190" s="134"/>
      <c r="N190" s="96">
        <v>46047</v>
      </c>
    </row>
    <row r="191" spans="1:14" x14ac:dyDescent="0.25">
      <c r="A191" s="11">
        <f t="shared" ca="1" si="26"/>
        <v>-100</v>
      </c>
      <c r="B191" s="37">
        <f t="shared" si="27"/>
        <v>38</v>
      </c>
      <c r="C191" s="11" t="s">
        <v>586</v>
      </c>
      <c r="D191" s="11" t="s">
        <v>938</v>
      </c>
      <c r="E191" s="11" t="s">
        <v>907</v>
      </c>
      <c r="F191" s="11" t="s">
        <v>573</v>
      </c>
      <c r="G191" s="11" t="s">
        <v>11</v>
      </c>
      <c r="H191" s="52" t="s">
        <v>944</v>
      </c>
      <c r="I191" s="20" t="s">
        <v>945</v>
      </c>
      <c r="J191" s="11">
        <v>1</v>
      </c>
      <c r="K191" s="11">
        <v>1</v>
      </c>
      <c r="L191" s="11">
        <v>0</v>
      </c>
      <c r="M191" s="134"/>
      <c r="N191" s="96">
        <v>46047</v>
      </c>
    </row>
    <row r="192" spans="1:14" x14ac:dyDescent="0.25">
      <c r="A192" s="11">
        <f t="shared" ca="1" si="26"/>
        <v>-100</v>
      </c>
      <c r="B192" s="37">
        <f t="shared" si="27"/>
        <v>38</v>
      </c>
      <c r="C192" s="11" t="s">
        <v>587</v>
      </c>
      <c r="D192" s="11" t="s">
        <v>938</v>
      </c>
      <c r="E192" s="11" t="s">
        <v>891</v>
      </c>
      <c r="F192" s="11" t="s">
        <v>573</v>
      </c>
      <c r="G192" s="11" t="s">
        <v>11</v>
      </c>
      <c r="H192" s="52" t="s">
        <v>944</v>
      </c>
      <c r="I192" s="20" t="s">
        <v>945</v>
      </c>
      <c r="J192" s="11">
        <v>8</v>
      </c>
      <c r="K192" s="11">
        <v>8</v>
      </c>
      <c r="L192" s="11">
        <v>0</v>
      </c>
      <c r="M192" s="134"/>
      <c r="N192" s="96">
        <v>46047</v>
      </c>
    </row>
    <row r="193" spans="1:14" x14ac:dyDescent="0.25">
      <c r="A193" s="11">
        <f t="shared" ca="1" si="26"/>
        <v>-100</v>
      </c>
      <c r="B193" s="37">
        <f t="shared" si="27"/>
        <v>38</v>
      </c>
      <c r="C193" s="11" t="s">
        <v>588</v>
      </c>
      <c r="D193" s="11" t="s">
        <v>1120</v>
      </c>
      <c r="E193" s="11" t="s">
        <v>896</v>
      </c>
      <c r="F193" s="11" t="s">
        <v>573</v>
      </c>
      <c r="G193" s="11" t="s">
        <v>11</v>
      </c>
      <c r="H193" s="52" t="s">
        <v>944</v>
      </c>
      <c r="I193" s="20" t="s">
        <v>945</v>
      </c>
      <c r="J193" s="11">
        <v>7</v>
      </c>
      <c r="K193" s="11">
        <v>7</v>
      </c>
      <c r="L193" s="11">
        <v>0</v>
      </c>
      <c r="M193" s="134"/>
      <c r="N193" s="96">
        <v>46047</v>
      </c>
    </row>
    <row r="194" spans="1:14" x14ac:dyDescent="0.25">
      <c r="A194" s="11">
        <f t="shared" ca="1" si="26"/>
        <v>-100</v>
      </c>
      <c r="B194" s="37">
        <f t="shared" si="27"/>
        <v>38</v>
      </c>
      <c r="C194" s="11" t="s">
        <v>589</v>
      </c>
      <c r="D194" s="11" t="s">
        <v>905</v>
      </c>
      <c r="E194" s="11" t="s">
        <v>899</v>
      </c>
      <c r="F194" s="11" t="s">
        <v>573</v>
      </c>
      <c r="G194" s="11" t="s">
        <v>11</v>
      </c>
      <c r="H194" s="52" t="s">
        <v>944</v>
      </c>
      <c r="I194" s="20" t="s">
        <v>945</v>
      </c>
      <c r="J194" s="11">
        <v>5</v>
      </c>
      <c r="K194" s="11">
        <v>5</v>
      </c>
      <c r="L194" s="11">
        <v>0</v>
      </c>
      <c r="M194" s="134"/>
      <c r="N194" s="96">
        <v>46047</v>
      </c>
    </row>
    <row r="195" spans="1:14" x14ac:dyDescent="0.25">
      <c r="A195" s="11">
        <f t="shared" ca="1" si="26"/>
        <v>-100</v>
      </c>
      <c r="B195" s="37">
        <f t="shared" si="27"/>
        <v>38</v>
      </c>
      <c r="C195" s="11" t="s">
        <v>590</v>
      </c>
      <c r="D195" s="11" t="s">
        <v>905</v>
      </c>
      <c r="E195" s="11" t="s">
        <v>896</v>
      </c>
      <c r="F195" s="11" t="s">
        <v>573</v>
      </c>
      <c r="G195" s="11" t="s">
        <v>11</v>
      </c>
      <c r="H195" s="52" t="s">
        <v>944</v>
      </c>
      <c r="I195" s="20" t="s">
        <v>945</v>
      </c>
      <c r="J195" s="11">
        <v>8</v>
      </c>
      <c r="K195" s="11">
        <v>8</v>
      </c>
      <c r="L195" s="11">
        <v>0</v>
      </c>
      <c r="M195" s="134"/>
      <c r="N195" s="96">
        <v>46047</v>
      </c>
    </row>
    <row r="196" spans="1:14" x14ac:dyDescent="0.25">
      <c r="A196" s="11">
        <f t="shared" ca="1" si="26"/>
        <v>-100</v>
      </c>
      <c r="B196" s="37">
        <f t="shared" si="27"/>
        <v>38</v>
      </c>
      <c r="C196" s="11" t="s">
        <v>591</v>
      </c>
      <c r="D196" s="11" t="s">
        <v>905</v>
      </c>
      <c r="E196" s="11" t="s">
        <v>1011</v>
      </c>
      <c r="F196" s="11" t="s">
        <v>573</v>
      </c>
      <c r="G196" s="11" t="s">
        <v>11</v>
      </c>
      <c r="H196" s="52" t="s">
        <v>944</v>
      </c>
      <c r="I196" s="20" t="s">
        <v>945</v>
      </c>
      <c r="J196" s="11">
        <v>7</v>
      </c>
      <c r="K196" s="11">
        <v>7</v>
      </c>
      <c r="L196" s="11">
        <v>0</v>
      </c>
      <c r="M196" s="134"/>
      <c r="N196" s="96">
        <v>46047</v>
      </c>
    </row>
    <row r="197" spans="1:14" x14ac:dyDescent="0.25">
      <c r="A197" s="11">
        <f t="shared" ca="1" si="26"/>
        <v>-100</v>
      </c>
      <c r="B197" s="37">
        <f t="shared" si="27"/>
        <v>38</v>
      </c>
      <c r="C197" s="11" t="s">
        <v>592</v>
      </c>
      <c r="D197" s="11" t="s">
        <v>905</v>
      </c>
      <c r="E197" s="11" t="s">
        <v>907</v>
      </c>
      <c r="F197" s="11" t="s">
        <v>573</v>
      </c>
      <c r="G197" s="11" t="s">
        <v>11</v>
      </c>
      <c r="H197" s="52" t="s">
        <v>944</v>
      </c>
      <c r="I197" s="20" t="s">
        <v>945</v>
      </c>
      <c r="J197" s="11">
        <v>8</v>
      </c>
      <c r="K197" s="11">
        <v>8</v>
      </c>
      <c r="L197" s="11">
        <v>0</v>
      </c>
      <c r="M197" s="134"/>
      <c r="N197" s="96">
        <v>46047</v>
      </c>
    </row>
    <row r="198" spans="1:14" x14ac:dyDescent="0.25">
      <c r="A198" s="11">
        <f t="shared" ca="1" si="26"/>
        <v>-100</v>
      </c>
      <c r="B198" s="37">
        <f t="shared" si="27"/>
        <v>38</v>
      </c>
      <c r="C198" s="11" t="s">
        <v>593</v>
      </c>
      <c r="D198" s="11" t="s">
        <v>905</v>
      </c>
      <c r="E198" s="11" t="s">
        <v>891</v>
      </c>
      <c r="F198" s="11" t="s">
        <v>573</v>
      </c>
      <c r="G198" s="11" t="s">
        <v>11</v>
      </c>
      <c r="H198" s="52" t="s">
        <v>944</v>
      </c>
      <c r="I198" s="20" t="s">
        <v>945</v>
      </c>
      <c r="J198" s="11">
        <v>8</v>
      </c>
      <c r="K198" s="11">
        <v>8</v>
      </c>
      <c r="L198" s="11">
        <v>0</v>
      </c>
      <c r="M198" s="134"/>
      <c r="N198" s="96">
        <v>46047</v>
      </c>
    </row>
    <row r="199" spans="1:14" x14ac:dyDescent="0.25">
      <c r="A199" s="11">
        <f t="shared" ca="1" si="26"/>
        <v>-83</v>
      </c>
      <c r="B199" s="37">
        <f t="shared" si="27"/>
        <v>20</v>
      </c>
      <c r="C199" s="11" t="s">
        <v>582</v>
      </c>
      <c r="D199" s="11" t="s">
        <v>904</v>
      </c>
      <c r="E199" s="11" t="s">
        <v>1011</v>
      </c>
      <c r="F199" s="11" t="s">
        <v>573</v>
      </c>
      <c r="G199" s="11" t="s">
        <v>11</v>
      </c>
      <c r="H199" s="52" t="s">
        <v>1012</v>
      </c>
      <c r="I199" s="20" t="s">
        <v>990</v>
      </c>
      <c r="J199" s="11">
        <v>1</v>
      </c>
      <c r="K199" s="11">
        <v>1</v>
      </c>
      <c r="L199" s="11">
        <v>0</v>
      </c>
      <c r="M199" s="134">
        <v>1</v>
      </c>
      <c r="N199" s="96">
        <v>46047</v>
      </c>
    </row>
    <row r="200" spans="1:14" x14ac:dyDescent="0.25">
      <c r="A200" s="11">
        <f t="shared" ca="1" si="26"/>
        <v>-83</v>
      </c>
      <c r="B200" s="37">
        <f t="shared" si="27"/>
        <v>20</v>
      </c>
      <c r="C200" s="11" t="s">
        <v>589</v>
      </c>
      <c r="D200" s="11" t="s">
        <v>905</v>
      </c>
      <c r="E200" s="11" t="s">
        <v>899</v>
      </c>
      <c r="F200" s="11" t="s">
        <v>573</v>
      </c>
      <c r="G200" s="11" t="s">
        <v>11</v>
      </c>
      <c r="H200" s="52" t="s">
        <v>1012</v>
      </c>
      <c r="I200" s="20" t="s">
        <v>990</v>
      </c>
      <c r="J200" s="11">
        <v>1</v>
      </c>
      <c r="K200" s="11">
        <v>1</v>
      </c>
      <c r="L200" s="11">
        <v>0</v>
      </c>
      <c r="M200" s="134"/>
      <c r="N200" s="96">
        <v>46047</v>
      </c>
    </row>
    <row r="201" spans="1:14" x14ac:dyDescent="0.25">
      <c r="A201" s="11">
        <f t="shared" ca="1" si="26"/>
        <v>-83</v>
      </c>
      <c r="B201" s="37">
        <f t="shared" si="27"/>
        <v>20</v>
      </c>
      <c r="C201" s="11" t="s">
        <v>590</v>
      </c>
      <c r="D201" s="11" t="s">
        <v>905</v>
      </c>
      <c r="E201" s="11" t="s">
        <v>896</v>
      </c>
      <c r="F201" s="11" t="s">
        <v>573</v>
      </c>
      <c r="G201" s="11" t="s">
        <v>11</v>
      </c>
      <c r="H201" s="52" t="s">
        <v>1012</v>
      </c>
      <c r="I201" s="20" t="s">
        <v>990</v>
      </c>
      <c r="J201" s="11">
        <v>1</v>
      </c>
      <c r="K201" s="11">
        <v>1</v>
      </c>
      <c r="L201" s="11">
        <v>0</v>
      </c>
      <c r="M201" s="134"/>
      <c r="N201" s="96">
        <v>46047</v>
      </c>
    </row>
    <row r="202" spans="1:14" x14ac:dyDescent="0.25">
      <c r="A202" s="11">
        <f t="shared" ca="1" si="26"/>
        <v>-83</v>
      </c>
      <c r="B202" s="37">
        <f t="shared" si="27"/>
        <v>20</v>
      </c>
      <c r="C202" s="11" t="s">
        <v>589</v>
      </c>
      <c r="D202" s="11" t="s">
        <v>905</v>
      </c>
      <c r="E202" s="11" t="s">
        <v>899</v>
      </c>
      <c r="F202" s="11" t="s">
        <v>573</v>
      </c>
      <c r="G202" s="11" t="s">
        <v>11</v>
      </c>
      <c r="H202" s="52" t="s">
        <v>1013</v>
      </c>
      <c r="I202" s="20" t="s">
        <v>990</v>
      </c>
      <c r="J202" s="11">
        <v>1</v>
      </c>
      <c r="K202" s="11">
        <v>1</v>
      </c>
      <c r="L202" s="11">
        <v>0</v>
      </c>
      <c r="M202" s="95">
        <v>1</v>
      </c>
      <c r="N202" s="96">
        <v>46047</v>
      </c>
    </row>
    <row r="203" spans="1:14" x14ac:dyDescent="0.25">
      <c r="A203" s="11">
        <f t="shared" ca="1" si="26"/>
        <v>-83</v>
      </c>
      <c r="B203" s="37">
        <f t="shared" si="27"/>
        <v>20</v>
      </c>
      <c r="C203" s="11" t="s">
        <v>590</v>
      </c>
      <c r="D203" s="11" t="s">
        <v>905</v>
      </c>
      <c r="E203" s="11" t="s">
        <v>896</v>
      </c>
      <c r="F203" s="11" t="s">
        <v>573</v>
      </c>
      <c r="G203" s="11" t="s">
        <v>11</v>
      </c>
      <c r="H203" s="52" t="s">
        <v>1014</v>
      </c>
      <c r="I203" s="20" t="s">
        <v>990</v>
      </c>
      <c r="J203" s="11">
        <v>1</v>
      </c>
      <c r="K203" s="11">
        <v>1</v>
      </c>
      <c r="L203" s="11">
        <v>0</v>
      </c>
      <c r="M203" s="95">
        <v>1</v>
      </c>
      <c r="N203" s="96">
        <v>46047</v>
      </c>
    </row>
    <row r="204" spans="1:14" x14ac:dyDescent="0.25">
      <c r="A204" s="11">
        <f t="shared" ca="1" si="26"/>
        <v>-83</v>
      </c>
      <c r="B204" s="37">
        <f t="shared" si="27"/>
        <v>20</v>
      </c>
      <c r="C204" s="11" t="s">
        <v>593</v>
      </c>
      <c r="D204" s="11" t="s">
        <v>905</v>
      </c>
      <c r="E204" s="11" t="s">
        <v>891</v>
      </c>
      <c r="F204" s="11" t="s">
        <v>573</v>
      </c>
      <c r="G204" s="11" t="s">
        <v>11</v>
      </c>
      <c r="H204" s="52" t="s">
        <v>1015</v>
      </c>
      <c r="I204" s="20" t="s">
        <v>990</v>
      </c>
      <c r="J204" s="11">
        <v>1</v>
      </c>
      <c r="K204" s="11">
        <v>1</v>
      </c>
      <c r="L204" s="11">
        <v>0</v>
      </c>
      <c r="M204" s="95">
        <v>1</v>
      </c>
      <c r="N204" s="96">
        <v>46047</v>
      </c>
    </row>
    <row r="205" spans="1:14" x14ac:dyDescent="0.25">
      <c r="A205" s="11">
        <f t="shared" ca="1" si="26"/>
        <v>-83</v>
      </c>
      <c r="B205" s="37">
        <f t="shared" si="27"/>
        <v>20</v>
      </c>
      <c r="C205" s="11" t="s">
        <v>576</v>
      </c>
      <c r="D205" s="11" t="s">
        <v>890</v>
      </c>
      <c r="E205" s="11" t="s">
        <v>896</v>
      </c>
      <c r="F205" s="11" t="s">
        <v>573</v>
      </c>
      <c r="G205" s="11" t="s">
        <v>11</v>
      </c>
      <c r="H205" s="52" t="s">
        <v>1016</v>
      </c>
      <c r="I205" s="20" t="s">
        <v>990</v>
      </c>
      <c r="J205" s="11">
        <v>1</v>
      </c>
      <c r="K205" s="11">
        <v>1</v>
      </c>
      <c r="L205" s="11">
        <v>0</v>
      </c>
      <c r="M205" s="134">
        <v>1</v>
      </c>
      <c r="N205" s="96">
        <v>46047</v>
      </c>
    </row>
    <row r="206" spans="1:14" x14ac:dyDescent="0.25">
      <c r="A206" s="11">
        <f t="shared" ca="1" si="26"/>
        <v>-83</v>
      </c>
      <c r="B206" s="37">
        <f t="shared" si="27"/>
        <v>20</v>
      </c>
      <c r="C206" s="11" t="s">
        <v>585</v>
      </c>
      <c r="D206" s="11" t="s">
        <v>938</v>
      </c>
      <c r="E206" s="11" t="s">
        <v>1011</v>
      </c>
      <c r="F206" s="11" t="s">
        <v>573</v>
      </c>
      <c r="G206" s="11" t="s">
        <v>11</v>
      </c>
      <c r="H206" s="52" t="s">
        <v>1016</v>
      </c>
      <c r="I206" s="20" t="s">
        <v>990</v>
      </c>
      <c r="J206" s="11">
        <v>1</v>
      </c>
      <c r="K206" s="11">
        <v>1</v>
      </c>
      <c r="L206" s="11">
        <v>0</v>
      </c>
      <c r="M206" s="134"/>
      <c r="N206" s="96">
        <v>46047</v>
      </c>
    </row>
    <row r="207" spans="1:14" x14ac:dyDescent="0.25">
      <c r="A207" s="11">
        <f t="shared" ca="1" si="26"/>
        <v>-83</v>
      </c>
      <c r="B207" s="37">
        <f t="shared" si="27"/>
        <v>20</v>
      </c>
      <c r="C207" s="11" t="s">
        <v>587</v>
      </c>
      <c r="D207" s="11" t="s">
        <v>938</v>
      </c>
      <c r="E207" s="11" t="s">
        <v>891</v>
      </c>
      <c r="F207" s="11" t="s">
        <v>573</v>
      </c>
      <c r="G207" s="11" t="s">
        <v>11</v>
      </c>
      <c r="H207" s="52" t="s">
        <v>1016</v>
      </c>
      <c r="I207" s="20" t="s">
        <v>990</v>
      </c>
      <c r="J207" s="11">
        <v>1</v>
      </c>
      <c r="K207" s="11">
        <v>1</v>
      </c>
      <c r="L207" s="11">
        <v>0</v>
      </c>
      <c r="M207" s="134"/>
      <c r="N207" s="96">
        <v>46047</v>
      </c>
    </row>
    <row r="208" spans="1:14" x14ac:dyDescent="0.25">
      <c r="A208" s="11">
        <f t="shared" ca="1" si="26"/>
        <v>-83</v>
      </c>
      <c r="B208" s="37">
        <f t="shared" si="27"/>
        <v>20</v>
      </c>
      <c r="C208" s="11" t="s">
        <v>590</v>
      </c>
      <c r="D208" s="11" t="s">
        <v>905</v>
      </c>
      <c r="E208" s="11" t="s">
        <v>896</v>
      </c>
      <c r="F208" s="11" t="s">
        <v>573</v>
      </c>
      <c r="G208" s="11" t="s">
        <v>11</v>
      </c>
      <c r="H208" s="52" t="s">
        <v>1016</v>
      </c>
      <c r="I208" s="20" t="s">
        <v>990</v>
      </c>
      <c r="J208" s="11">
        <v>1</v>
      </c>
      <c r="K208" s="11">
        <v>1</v>
      </c>
      <c r="L208" s="11">
        <v>0</v>
      </c>
      <c r="M208" s="134"/>
      <c r="N208" s="96">
        <v>46047</v>
      </c>
    </row>
    <row r="209" spans="1:14" x14ac:dyDescent="0.25">
      <c r="A209" s="11">
        <f t="shared" ca="1" si="26"/>
        <v>-75</v>
      </c>
      <c r="B209" s="37">
        <f t="shared" si="27"/>
        <v>13</v>
      </c>
      <c r="C209" s="11" t="s">
        <v>1037</v>
      </c>
      <c r="D209" s="11" t="str">
        <f>VLOOKUP(VALUE(MID($C209,13,2)), codigos!$A$2:$B$60, 2, 1) &amp; " " &amp; VLOOKUP(VALUE(MID($C209,15,4)), codigos!$E$2:$F$102, 2, FALSE)</f>
        <v>BUDINERA 24</v>
      </c>
      <c r="E209" s="11" t="str">
        <f>VLOOKUP(VALUE(MID($C209,19,2)),codigos!$H$2:$I$62,2,1) &amp; " " &amp; VLOOKUP(VALUE(MID($C209,21,2)),codigos!$K$2:$L$12,2,FALSE)</f>
        <v>A/T S/I</v>
      </c>
      <c r="F209" s="11" t="s">
        <v>1038</v>
      </c>
      <c r="G209" s="11" t="s">
        <v>11</v>
      </c>
      <c r="H209" s="52" t="s">
        <v>1039</v>
      </c>
      <c r="I209" s="20" t="s">
        <v>1032</v>
      </c>
      <c r="J209" s="11">
        <v>1</v>
      </c>
      <c r="K209" s="11">
        <v>1</v>
      </c>
      <c r="L209" s="11">
        <f t="shared" ref="L209:L222" si="29">+J209-K209</f>
        <v>0</v>
      </c>
      <c r="M209" s="131">
        <f>(SUM(K209:K222))/(SUM(J209:J222))</f>
        <v>1</v>
      </c>
      <c r="N209" s="96">
        <v>46048</v>
      </c>
    </row>
    <row r="210" spans="1:14" x14ac:dyDescent="0.25">
      <c r="A210" s="11">
        <f t="shared" ca="1" si="26"/>
        <v>-75</v>
      </c>
      <c r="B210" s="37">
        <f t="shared" si="27"/>
        <v>13</v>
      </c>
      <c r="C210" s="11" t="s">
        <v>1040</v>
      </c>
      <c r="D210" s="11" t="str">
        <f>VLOOKUP(VALUE(MID($C210,13,2)), codigos!$A$2:$B$60, 2, 1) &amp; " " &amp; VLOOKUP(VALUE(MID($C210,15,4)), codigos!$E$2:$F$102, 2, FALSE)</f>
        <v>BUDINERA 26</v>
      </c>
      <c r="E210" s="11" t="str">
        <f>VLOOKUP(VALUE(MID($C210,19,2)),codigos!$H$2:$I$62,2,1) &amp; " " &amp; VLOOKUP(VALUE(MID($C210,21,2)),codigos!$K$2:$L$12,2,FALSE)</f>
        <v>A/T S/I</v>
      </c>
      <c r="F210" s="11" t="s">
        <v>1038</v>
      </c>
      <c r="G210" s="11" t="s">
        <v>11</v>
      </c>
      <c r="H210" s="52" t="s">
        <v>1039</v>
      </c>
      <c r="I210" s="20" t="s">
        <v>1032</v>
      </c>
      <c r="J210" s="11">
        <v>2</v>
      </c>
      <c r="K210" s="11">
        <v>2</v>
      </c>
      <c r="L210" s="11">
        <f t="shared" si="29"/>
        <v>0</v>
      </c>
      <c r="M210" s="131"/>
      <c r="N210" s="96">
        <v>46048</v>
      </c>
    </row>
    <row r="211" spans="1:14" x14ac:dyDescent="0.25">
      <c r="A211" s="11">
        <f t="shared" ca="1" si="26"/>
        <v>-75</v>
      </c>
      <c r="B211" s="37">
        <f t="shared" si="27"/>
        <v>13</v>
      </c>
      <c r="C211" s="11" t="s">
        <v>1041</v>
      </c>
      <c r="D211" s="11" t="str">
        <f>VLOOKUP(VALUE(MID($C211,13,2)), codigos!$A$2:$B$60, 2, 1) &amp; " " &amp; VLOOKUP(VALUE(MID($C211,15,4)), codigos!$E$2:$F$102, 2, FALSE)</f>
        <v>CAZO 14</v>
      </c>
      <c r="E211" s="11" t="str">
        <f>VLOOKUP(VALUE(MID($C211,19,2)),codigos!$H$2:$I$62,2,1) &amp; " " &amp; VLOOKUP(VALUE(MID($C211,21,2)),codigos!$K$2:$L$12,2,FALSE)</f>
        <v>A/T S/I</v>
      </c>
      <c r="F211" s="11" t="s">
        <v>1038</v>
      </c>
      <c r="G211" s="11" t="s">
        <v>11</v>
      </c>
      <c r="H211" s="52" t="s">
        <v>1039</v>
      </c>
      <c r="I211" s="20" t="s">
        <v>1032</v>
      </c>
      <c r="J211" s="11">
        <v>1</v>
      </c>
      <c r="K211" s="11">
        <v>1</v>
      </c>
      <c r="L211" s="11">
        <f t="shared" si="29"/>
        <v>0</v>
      </c>
      <c r="M211" s="131"/>
      <c r="N211" s="96">
        <v>46048</v>
      </c>
    </row>
    <row r="212" spans="1:14" x14ac:dyDescent="0.25">
      <c r="A212" s="11">
        <f t="shared" ca="1" si="26"/>
        <v>-75</v>
      </c>
      <c r="B212" s="37">
        <f t="shared" si="27"/>
        <v>13</v>
      </c>
      <c r="C212" s="11" t="s">
        <v>1042</v>
      </c>
      <c r="D212" s="11" t="str">
        <f>VLOOKUP(VALUE(MID($C212,13,2)), codigos!$A$2:$B$60, 2, 1) &amp; " " &amp; VLOOKUP(VALUE(MID($C212,15,4)), codigos!$E$2:$F$102, 2, FALSE)</f>
        <v>OLLA CONVEXA 18</v>
      </c>
      <c r="E212" s="11" t="str">
        <f>VLOOKUP(VALUE(MID($C212,19,2)),codigos!$H$2:$I$62,2,1) &amp; " " &amp; VLOOKUP(VALUE(MID($C212,21,2)),codigos!$K$2:$L$12,2,FALSE)</f>
        <v>A/T S/I</v>
      </c>
      <c r="F212" s="11" t="s">
        <v>1038</v>
      </c>
      <c r="G212" s="11" t="s">
        <v>11</v>
      </c>
      <c r="H212" s="52" t="s">
        <v>1039</v>
      </c>
      <c r="I212" s="20" t="s">
        <v>1032</v>
      </c>
      <c r="J212" s="11">
        <v>1</v>
      </c>
      <c r="K212" s="11">
        <v>1</v>
      </c>
      <c r="L212" s="11">
        <f t="shared" si="29"/>
        <v>0</v>
      </c>
      <c r="M212" s="131"/>
      <c r="N212" s="96">
        <v>46048</v>
      </c>
    </row>
    <row r="213" spans="1:14" x14ac:dyDescent="0.25">
      <c r="A213" s="11">
        <f t="shared" ca="1" si="26"/>
        <v>-75</v>
      </c>
      <c r="B213" s="37">
        <f t="shared" si="27"/>
        <v>13</v>
      </c>
      <c r="C213" s="11" t="s">
        <v>1043</v>
      </c>
      <c r="D213" s="11" t="str">
        <f>VLOOKUP(VALUE(MID($C213,13,2)), codigos!$A$2:$B$60, 2, 1) &amp; " " &amp; VLOOKUP(VALUE(MID($C213,15,4)), codigos!$E$2:$F$102, 2, FALSE)</f>
        <v>OLLA CONVEXA 22</v>
      </c>
      <c r="E213" s="11" t="str">
        <f>VLOOKUP(VALUE(MID($C213,19,2)),codigos!$H$2:$I$62,2,1) &amp; " " &amp; VLOOKUP(VALUE(MID($C213,21,2)),codigos!$K$2:$L$12,2,FALSE)</f>
        <v>A/T S/I</v>
      </c>
      <c r="F213" s="11" t="s">
        <v>1038</v>
      </c>
      <c r="G213" s="11" t="s">
        <v>11</v>
      </c>
      <c r="H213" s="52" t="s">
        <v>1039</v>
      </c>
      <c r="I213" s="20" t="s">
        <v>1032</v>
      </c>
      <c r="J213" s="11">
        <v>1</v>
      </c>
      <c r="K213" s="11">
        <v>1</v>
      </c>
      <c r="L213" s="11">
        <f t="shared" si="29"/>
        <v>0</v>
      </c>
      <c r="M213" s="131"/>
      <c r="N213" s="96">
        <v>46048</v>
      </c>
    </row>
    <row r="214" spans="1:14" x14ac:dyDescent="0.25">
      <c r="A214" s="11">
        <f t="shared" ca="1" si="26"/>
        <v>-75</v>
      </c>
      <c r="B214" s="37">
        <f t="shared" si="27"/>
        <v>13</v>
      </c>
      <c r="C214" s="11" t="s">
        <v>1044</v>
      </c>
      <c r="D214" s="11" t="str">
        <f>VLOOKUP(VALUE(MID($C214,13,2)), codigos!$A$2:$B$60, 2, 1) &amp; " " &amp; VLOOKUP(VALUE(MID($C214,15,4)), codigos!$E$2:$F$102, 2, FALSE)</f>
        <v>OLLA CONVEXA 24</v>
      </c>
      <c r="E214" s="11" t="str">
        <f>VLOOKUP(VALUE(MID($C214,19,2)),codigos!$H$2:$I$62,2,1) &amp; " " &amp; VLOOKUP(VALUE(MID($C214,21,2)),codigos!$K$2:$L$12,2,FALSE)</f>
        <v>A/T S/I</v>
      </c>
      <c r="F214" s="11" t="s">
        <v>1038</v>
      </c>
      <c r="G214" s="11" t="s">
        <v>11</v>
      </c>
      <c r="H214" s="52" t="s">
        <v>1039</v>
      </c>
      <c r="I214" s="20" t="s">
        <v>1032</v>
      </c>
      <c r="J214" s="11">
        <v>2</v>
      </c>
      <c r="K214" s="11">
        <v>2</v>
      </c>
      <c r="L214" s="11">
        <f t="shared" si="29"/>
        <v>0</v>
      </c>
      <c r="M214" s="131"/>
      <c r="N214" s="96">
        <v>46048</v>
      </c>
    </row>
    <row r="215" spans="1:14" x14ac:dyDescent="0.25">
      <c r="A215" s="11">
        <f t="shared" ca="1" si="26"/>
        <v>-75</v>
      </c>
      <c r="B215" s="37">
        <f t="shared" si="27"/>
        <v>13</v>
      </c>
      <c r="C215" s="11" t="s">
        <v>1045</v>
      </c>
      <c r="D215" s="11" t="str">
        <f>VLOOKUP(VALUE(MID($C215,13,2)), codigos!$A$2:$B$60, 2, 1) &amp; " " &amp; VLOOKUP(VALUE(MID($C215,15,4)), codigos!$E$2:$F$102, 2, FALSE)</f>
        <v>OLLA RECTA 20</v>
      </c>
      <c r="E215" s="11" t="str">
        <f>VLOOKUP(VALUE(MID($C215,19,2)),codigos!$H$2:$I$62,2,1) &amp; " " &amp; VLOOKUP(VALUE(MID($C215,21,2)),codigos!$K$2:$L$12,2,FALSE)</f>
        <v>A/T S/I</v>
      </c>
      <c r="F215" s="11" t="s">
        <v>1038</v>
      </c>
      <c r="G215" s="11" t="s">
        <v>11</v>
      </c>
      <c r="H215" s="52" t="s">
        <v>1039</v>
      </c>
      <c r="I215" s="20" t="s">
        <v>1032</v>
      </c>
      <c r="J215" s="11">
        <v>1</v>
      </c>
      <c r="K215" s="11">
        <v>1</v>
      </c>
      <c r="L215" s="11">
        <f t="shared" si="29"/>
        <v>0</v>
      </c>
      <c r="M215" s="131"/>
      <c r="N215" s="96">
        <v>46048</v>
      </c>
    </row>
    <row r="216" spans="1:14" x14ac:dyDescent="0.25">
      <c r="A216" s="11">
        <f t="shared" ca="1" si="26"/>
        <v>-75</v>
      </c>
      <c r="B216" s="37">
        <f t="shared" si="27"/>
        <v>13</v>
      </c>
      <c r="C216" s="11" t="s">
        <v>1046</v>
      </c>
      <c r="D216" s="11" t="str">
        <f>VLOOKUP(VALUE(MID($C216,13,2)), codigos!$A$2:$B$60, 2, 1) &amp; " " &amp; VLOOKUP(VALUE(MID($C216,15,4)), codigos!$E$2:$F$102, 2, FALSE)</f>
        <v>POCILLO 8</v>
      </c>
      <c r="E216" s="11" t="str">
        <f>VLOOKUP(VALUE(MID($C216,19,2)),codigos!$H$2:$I$62,2,1) &amp; " " &amp; VLOOKUP(VALUE(MID($C216,21,2)),codigos!$K$2:$L$12,2,FALSE)</f>
        <v>A/T S/I</v>
      </c>
      <c r="F216" s="11" t="s">
        <v>1038</v>
      </c>
      <c r="G216" s="11" t="s">
        <v>11</v>
      </c>
      <c r="H216" s="52" t="s">
        <v>1039</v>
      </c>
      <c r="I216" s="20" t="s">
        <v>1032</v>
      </c>
      <c r="J216" s="11">
        <v>1</v>
      </c>
      <c r="K216" s="11">
        <v>1</v>
      </c>
      <c r="L216" s="11">
        <f t="shared" si="29"/>
        <v>0</v>
      </c>
      <c r="M216" s="131"/>
      <c r="N216" s="96">
        <v>46048</v>
      </c>
    </row>
    <row r="217" spans="1:14" x14ac:dyDescent="0.25">
      <c r="A217" s="11">
        <f t="shared" ca="1" si="26"/>
        <v>-75</v>
      </c>
      <c r="B217" s="37">
        <f t="shared" si="27"/>
        <v>13</v>
      </c>
      <c r="C217" s="11" t="s">
        <v>1047</v>
      </c>
      <c r="D217" s="11" t="str">
        <f>VLOOKUP(VALUE(MID($C217,13,2)), codigos!$A$2:$B$60, 2, 1) &amp; " " &amp; VLOOKUP(VALUE(MID($C217,15,4)), codigos!$E$2:$F$102, 2, FALSE)</f>
        <v>POCILLO 10</v>
      </c>
      <c r="E217" s="11" t="str">
        <f>VLOOKUP(VALUE(MID($C217,19,2)),codigos!$H$2:$I$62,2,1) &amp; " " &amp; VLOOKUP(VALUE(MID($C217,21,2)),codigos!$K$2:$L$12,2,FALSE)</f>
        <v>A/T S/I</v>
      </c>
      <c r="F217" s="11" t="s">
        <v>1038</v>
      </c>
      <c r="G217" s="11" t="s">
        <v>11</v>
      </c>
      <c r="H217" s="52" t="s">
        <v>1039</v>
      </c>
      <c r="I217" s="20" t="s">
        <v>1032</v>
      </c>
      <c r="J217" s="11">
        <v>3</v>
      </c>
      <c r="K217" s="11">
        <v>3</v>
      </c>
      <c r="L217" s="11">
        <f t="shared" si="29"/>
        <v>0</v>
      </c>
      <c r="M217" s="131"/>
      <c r="N217" s="96">
        <v>46048</v>
      </c>
    </row>
    <row r="218" spans="1:14" x14ac:dyDescent="0.25">
      <c r="A218" s="11">
        <f t="shared" ca="1" si="26"/>
        <v>-75</v>
      </c>
      <c r="B218" s="37">
        <f t="shared" si="27"/>
        <v>13</v>
      </c>
      <c r="C218" s="11" t="s">
        <v>1048</v>
      </c>
      <c r="D218" s="11" t="str">
        <f>VLOOKUP(VALUE(MID($C218,13,2)), codigos!$A$2:$B$60, 2, 1) &amp; " " &amp; VLOOKUP(VALUE(MID($C218,15,4)), codigos!$E$2:$F$102, 2, FALSE)</f>
        <v>POCILLO 12</v>
      </c>
      <c r="E218" s="11" t="str">
        <f>VLOOKUP(VALUE(MID($C218,19,2)),codigos!$H$2:$I$62,2,1) &amp; " " &amp; VLOOKUP(VALUE(MID($C218,21,2)),codigos!$K$2:$L$12,2,FALSE)</f>
        <v>A/T S/I</v>
      </c>
      <c r="F218" s="11" t="s">
        <v>1038</v>
      </c>
      <c r="G218" s="11" t="s">
        <v>11</v>
      </c>
      <c r="H218" s="52" t="s">
        <v>1039</v>
      </c>
      <c r="I218" s="20" t="s">
        <v>1032</v>
      </c>
      <c r="J218" s="11">
        <v>6</v>
      </c>
      <c r="K218" s="11">
        <v>6</v>
      </c>
      <c r="L218" s="11">
        <f t="shared" si="29"/>
        <v>0</v>
      </c>
      <c r="M218" s="131"/>
      <c r="N218" s="96">
        <v>46048</v>
      </c>
    </row>
    <row r="219" spans="1:14" x14ac:dyDescent="0.25">
      <c r="A219" s="11">
        <f t="shared" ca="1" si="26"/>
        <v>-75</v>
      </c>
      <c r="B219" s="37">
        <f t="shared" si="27"/>
        <v>13</v>
      </c>
      <c r="C219" s="11" t="s">
        <v>1049</v>
      </c>
      <c r="D219" s="11" t="str">
        <f>VLOOKUP(VALUE(MID($C219,13,2)), codigos!$A$2:$B$60, 2, 1) &amp; " " &amp; VLOOKUP(VALUE(MID($C219,15,4)), codigos!$E$2:$F$102, 2, FALSE)</f>
        <v>VASO RECTO 14</v>
      </c>
      <c r="E219" s="11" t="str">
        <f>VLOOKUP(VALUE(MID($C219,19,2)),codigos!$H$2:$I$62,2,1) &amp; " " &amp; VLOOKUP(VALUE(MID($C219,21,2)),codigos!$K$2:$L$12,2,FALSE)</f>
        <v>A/T S/I</v>
      </c>
      <c r="F219" s="11" t="s">
        <v>1038</v>
      </c>
      <c r="G219" s="11" t="s">
        <v>11</v>
      </c>
      <c r="H219" s="52" t="s">
        <v>1039</v>
      </c>
      <c r="I219" s="20" t="s">
        <v>1032</v>
      </c>
      <c r="J219" s="11">
        <v>2</v>
      </c>
      <c r="K219" s="11">
        <f>1+1</f>
        <v>2</v>
      </c>
      <c r="L219" s="11">
        <f t="shared" si="29"/>
        <v>0</v>
      </c>
      <c r="M219" s="131"/>
      <c r="N219" s="96">
        <v>46048</v>
      </c>
    </row>
    <row r="220" spans="1:14" x14ac:dyDescent="0.25">
      <c r="A220" s="11">
        <f t="shared" ca="1" si="26"/>
        <v>-75</v>
      </c>
      <c r="B220" s="37">
        <f t="shared" si="27"/>
        <v>13</v>
      </c>
      <c r="C220" s="11" t="s">
        <v>1050</v>
      </c>
      <c r="D220" s="11" t="str">
        <f>VLOOKUP(VALUE(MID($C220,13,2)), codigos!$A$2:$B$60, 2, 1) &amp; " " &amp; VLOOKUP(VALUE(MID($C220,15,4)), codigos!$E$2:$F$102, 2, FALSE)</f>
        <v>OLLA RECTA 22</v>
      </c>
      <c r="E220" s="11" t="str">
        <f>VLOOKUP(VALUE(MID($C220,19,2)),codigos!$H$2:$I$62,2,1) &amp; " " &amp; VLOOKUP(VALUE(MID($C220,21,2)),codigos!$K$2:$L$12,2,FALSE)</f>
        <v>A/T S/I</v>
      </c>
      <c r="F220" s="11" t="s">
        <v>1038</v>
      </c>
      <c r="G220" s="11" t="s">
        <v>11</v>
      </c>
      <c r="H220" s="52" t="s">
        <v>1039</v>
      </c>
      <c r="I220" s="20" t="s">
        <v>1032</v>
      </c>
      <c r="J220" s="11">
        <v>5</v>
      </c>
      <c r="K220" s="11">
        <v>5</v>
      </c>
      <c r="L220" s="11">
        <f t="shared" si="29"/>
        <v>0</v>
      </c>
      <c r="M220" s="131"/>
      <c r="N220" s="96">
        <v>46048</v>
      </c>
    </row>
    <row r="221" spans="1:14" x14ac:dyDescent="0.25">
      <c r="A221" s="11">
        <f t="shared" ca="1" si="26"/>
        <v>-75</v>
      </c>
      <c r="B221" s="37">
        <f t="shared" si="27"/>
        <v>13</v>
      </c>
      <c r="C221" s="11" t="s">
        <v>1051</v>
      </c>
      <c r="D221" s="11" t="str">
        <f>VLOOKUP(VALUE(MID($C221,13,2)), codigos!$A$2:$B$60, 2, 1) &amp; " " &amp; VLOOKUP(VALUE(MID($C221,15,4)), codigos!$E$2:$F$102, 2, FALSE)</f>
        <v>COMAL 28</v>
      </c>
      <c r="E221" s="11" t="str">
        <f>VLOOKUP(VALUE(MID($C221,19,2)),codigos!$H$2:$I$62,2,1) &amp; " " &amp; VLOOKUP(VALUE(MID($C221,21,2)),codigos!$K$2:$L$12,2,FALSE)</f>
        <v>NEGRO MOTAS S/I</v>
      </c>
      <c r="F221" s="11" t="s">
        <v>1038</v>
      </c>
      <c r="G221" s="11" t="s">
        <v>11</v>
      </c>
      <c r="H221" s="52" t="s">
        <v>1039</v>
      </c>
      <c r="I221" s="20" t="s">
        <v>1032</v>
      </c>
      <c r="J221" s="11">
        <v>10</v>
      </c>
      <c r="K221" s="11">
        <v>10</v>
      </c>
      <c r="L221" s="11">
        <f t="shared" si="29"/>
        <v>0</v>
      </c>
      <c r="M221" s="131"/>
      <c r="N221" s="96">
        <v>46048</v>
      </c>
    </row>
    <row r="222" spans="1:14" x14ac:dyDescent="0.25">
      <c r="A222" s="11">
        <f ca="1">DAYS360($B$1,I222)</f>
        <v>-75</v>
      </c>
      <c r="B222" s="37">
        <f>+N222-I222</f>
        <v>13</v>
      </c>
      <c r="C222" s="11" t="s">
        <v>1052</v>
      </c>
      <c r="D222" s="11" t="str">
        <f>VLOOKUP(VALUE(MID($C222,13,2)), codigos!$A$2:$B$60, 2, 1) &amp; " " &amp; VLOOKUP(VALUE(MID($C222,15,4)), codigos!$E$2:$F$102, 2, FALSE)</f>
        <v>BUDINERA 16</v>
      </c>
      <c r="E222" s="11" t="str">
        <f>VLOOKUP(VALUE(MID($C222,19,2)),codigos!$H$2:$I$62,2,1) &amp; " " &amp; VLOOKUP(VALUE(MID($C222,21,2)),codigos!$K$2:$L$12,2,FALSE)</f>
        <v>A/T S/I</v>
      </c>
      <c r="F222" s="11" t="s">
        <v>1038</v>
      </c>
      <c r="G222" s="11" t="s">
        <v>11</v>
      </c>
      <c r="H222" s="52" t="s">
        <v>1039</v>
      </c>
      <c r="I222" s="20" t="s">
        <v>1032</v>
      </c>
      <c r="J222" s="11">
        <v>3</v>
      </c>
      <c r="K222" s="11">
        <v>3</v>
      </c>
      <c r="L222" s="11">
        <f t="shared" si="29"/>
        <v>0</v>
      </c>
      <c r="M222" s="131"/>
      <c r="N222" s="96">
        <v>46048</v>
      </c>
    </row>
    <row r="223" spans="1:14" x14ac:dyDescent="0.25">
      <c r="A223" s="11">
        <f ca="1">DAYS360($B$1,I223)</f>
        <v>-99</v>
      </c>
      <c r="B223" s="37">
        <f>+N223-I223</f>
        <v>39</v>
      </c>
      <c r="C223" s="11" t="s">
        <v>211</v>
      </c>
      <c r="D223" s="11" t="str">
        <f>VLOOKUP(VALUE(MID($C223,13,2)), [2]codigos!$A$2:$B$60, 2, 1) &amp; " " &amp; VLOOKUP(VALUE(MID($C223,15,4)), [2]codigos!$E$2:$F$102, 2, FALSE)</f>
        <v>BAÑO 10</v>
      </c>
      <c r="E223" s="11" t="str">
        <f>VLOOKUP(VALUE(MID($C223,19,2)),[2]codigos!$H$2:$I$62,2,1) &amp; " " &amp; VLOOKUP(VALUE(MID($C223,21,2)),[2]codigos!$K$2:$L$12,2,FALSE)</f>
        <v>GALVANIZADO S/I</v>
      </c>
      <c r="F223" s="11" t="s">
        <v>947</v>
      </c>
      <c r="G223" s="11" t="s">
        <v>145</v>
      </c>
      <c r="H223" s="52" t="s">
        <v>948</v>
      </c>
      <c r="I223" s="20" t="s">
        <v>949</v>
      </c>
      <c r="J223" s="11">
        <v>150</v>
      </c>
      <c r="K223" s="11">
        <f>6+56+6+17+10</f>
        <v>95</v>
      </c>
      <c r="L223" s="11">
        <f>J223-K223</f>
        <v>55</v>
      </c>
      <c r="M223" s="134">
        <f>(SUM(K223:K224))/(SUM(J223:J224))</f>
        <v>0.87272727272727268</v>
      </c>
      <c r="N223" s="96">
        <v>46049</v>
      </c>
    </row>
    <row r="224" spans="1:14" x14ac:dyDescent="0.25">
      <c r="A224" s="11">
        <f ca="1">DAYS360($B$1,I224)</f>
        <v>-99</v>
      </c>
      <c r="B224" s="37">
        <f>+N224-I224</f>
        <v>39</v>
      </c>
      <c r="C224" s="11" t="s">
        <v>212</v>
      </c>
      <c r="D224" s="11" t="str">
        <f>VLOOKUP(VALUE(MID($C224,13,2)), [2]codigos!$A$2:$B$60, 2, 1) &amp; " " &amp; VLOOKUP(VALUE(MID($C224,15,4)), [2]codigos!$E$2:$F$102, 2, FALSE)</f>
        <v>BAÑO 12</v>
      </c>
      <c r="E224" s="11" t="str">
        <f>VLOOKUP(VALUE(MID($C224,19,2)),[2]codigos!$H$2:$I$62,2,1) &amp; " " &amp; VLOOKUP(VALUE(MID($C224,21,2)),[2]codigos!$K$2:$L$12,2,FALSE)</f>
        <v>GALVANIZADO S/I</v>
      </c>
      <c r="F224" s="11" t="s">
        <v>947</v>
      </c>
      <c r="G224" s="11" t="s">
        <v>145</v>
      </c>
      <c r="H224" s="52" t="s">
        <v>948</v>
      </c>
      <c r="I224" s="20" t="s">
        <v>949</v>
      </c>
      <c r="J224" s="11">
        <v>400</v>
      </c>
      <c r="K224" s="11">
        <f>144+3+84+13+10+74+15+42</f>
        <v>385</v>
      </c>
      <c r="L224" s="11">
        <f>J224-K224</f>
        <v>15</v>
      </c>
      <c r="M224" s="134"/>
      <c r="N224" s="96">
        <v>46049</v>
      </c>
    </row>
    <row r="225" spans="1:14" x14ac:dyDescent="0.25">
      <c r="A225" s="11">
        <f t="shared" ref="A225:A252" ca="1" si="30">DAYS360($B$1,I225)</f>
        <v>-72</v>
      </c>
      <c r="B225" s="37">
        <f t="shared" ref="B225:B252" si="31">+N225-I225</f>
        <v>12</v>
      </c>
      <c r="C225" s="11" t="s">
        <v>572</v>
      </c>
      <c r="D225" s="11" t="str">
        <f>VLOOKUP(VALUE(MID($C225,13,2)), codigos!$A$2:$B$60, 2, 1) &amp; " " &amp; VLOOKUP(VALUE(MID($C225,15,4)), codigos!$E$2:$F$102, 2, FALSE)</f>
        <v>BUDINERA 18</v>
      </c>
      <c r="E225" s="11" t="str">
        <f>VLOOKUP(VALUE(MID($C225,19,2)),codigos!$H$2:$I$62,2,1) &amp; " " &amp; VLOOKUP(VALUE(MID($C225,21,2)),codigos!$K$2:$L$12,2,FALSE)</f>
        <v>A/T S/I</v>
      </c>
      <c r="F225" s="11" t="s">
        <v>1033</v>
      </c>
      <c r="G225" s="20" t="s">
        <v>11</v>
      </c>
      <c r="H225" s="11" t="s">
        <v>1063</v>
      </c>
      <c r="I225" s="11" t="s">
        <v>1064</v>
      </c>
      <c r="J225" s="11">
        <v>8</v>
      </c>
      <c r="K225" s="11">
        <f>2+6</f>
        <v>8</v>
      </c>
      <c r="L225" s="11">
        <f t="shared" ref="L225:L253" si="32">+J225-K225</f>
        <v>0</v>
      </c>
      <c r="M225" s="131">
        <f>(SUM(K225:K245))/(SUM(J225:J245))</f>
        <v>1</v>
      </c>
      <c r="N225" s="96">
        <v>46050</v>
      </c>
    </row>
    <row r="226" spans="1:14" x14ac:dyDescent="0.25">
      <c r="A226" s="11">
        <f t="shared" ca="1" si="30"/>
        <v>-72</v>
      </c>
      <c r="B226" s="37">
        <f t="shared" si="31"/>
        <v>12</v>
      </c>
      <c r="C226" s="11" t="s">
        <v>576</v>
      </c>
      <c r="D226" s="11" t="str">
        <f>VLOOKUP(VALUE(MID($C226,13,2)), codigos!$A$2:$B$60, 2, 1) &amp; " " &amp; VLOOKUP(VALUE(MID($C226,15,4)), codigos!$E$2:$F$102, 2, FALSE)</f>
        <v>BUDINERA 24</v>
      </c>
      <c r="E226" s="11" t="str">
        <f>VLOOKUP(VALUE(MID($C226,19,2)),codigos!$H$2:$I$62,2,1) &amp; " " &amp; VLOOKUP(VALUE(MID($C226,21,2)),codigos!$K$2:$L$12,2,FALSE)</f>
        <v>A/T S/I</v>
      </c>
      <c r="F226" s="11" t="s">
        <v>1033</v>
      </c>
      <c r="G226" s="11" t="s">
        <v>11</v>
      </c>
      <c r="H226" s="25" t="s">
        <v>1063</v>
      </c>
      <c r="I226" s="25" t="s">
        <v>1064</v>
      </c>
      <c r="J226" s="15">
        <v>1</v>
      </c>
      <c r="K226" s="11">
        <v>1</v>
      </c>
      <c r="L226" s="11">
        <f t="shared" si="32"/>
        <v>0</v>
      </c>
      <c r="M226" s="131"/>
      <c r="N226" s="96">
        <v>46050</v>
      </c>
    </row>
    <row r="227" spans="1:14" x14ac:dyDescent="0.25">
      <c r="A227" s="11">
        <f t="shared" ca="1" si="30"/>
        <v>-72</v>
      </c>
      <c r="B227" s="37">
        <f t="shared" si="31"/>
        <v>12</v>
      </c>
      <c r="C227" s="11" t="s">
        <v>946</v>
      </c>
      <c r="D227" s="11" t="str">
        <f>VLOOKUP(VALUE(MID($C227,13,2)), codigos!$A$2:$B$60, 2, 1) &amp; " " &amp; VLOOKUP(VALUE(MID($C227,15,4)), codigos!$E$2:$F$102, 2, FALSE)</f>
        <v>BUDINERA 24</v>
      </c>
      <c r="E227" s="11" t="str">
        <f>VLOOKUP(VALUE(MID($C227,19,2)),codigos!$H$2:$I$62,2,1) &amp; " " &amp; VLOOKUP(VALUE(MID($C227,21,2)),codigos!$K$2:$L$12,2,FALSE)</f>
        <v>BICOLOR AZUL S/I</v>
      </c>
      <c r="F227" s="11" t="s">
        <v>1033</v>
      </c>
      <c r="G227" s="20" t="s">
        <v>11</v>
      </c>
      <c r="H227" s="11" t="s">
        <v>1063</v>
      </c>
      <c r="I227" s="11" t="s">
        <v>1064</v>
      </c>
      <c r="J227" s="11">
        <v>3</v>
      </c>
      <c r="K227" s="11">
        <v>3</v>
      </c>
      <c r="L227" s="11">
        <f t="shared" si="32"/>
        <v>0</v>
      </c>
      <c r="M227" s="131"/>
      <c r="N227" s="96">
        <v>46050</v>
      </c>
    </row>
    <row r="228" spans="1:14" x14ac:dyDescent="0.25">
      <c r="A228" s="11">
        <f t="shared" ca="1" si="30"/>
        <v>-72</v>
      </c>
      <c r="B228" s="37">
        <f t="shared" si="31"/>
        <v>12</v>
      </c>
      <c r="C228" s="11" t="s">
        <v>577</v>
      </c>
      <c r="D228" s="11" t="str">
        <f>VLOOKUP(VALUE(MID($C228,13,2)), codigos!$A$2:$B$60, 2, 1) &amp; " " &amp; VLOOKUP(VALUE(MID($C228,15,4)), codigos!$E$2:$F$102, 2, FALSE)</f>
        <v>BUDINERA 24</v>
      </c>
      <c r="E228" s="11" t="str">
        <f>VLOOKUP(VALUE(MID($C228,19,2)),codigos!$H$2:$I$62,2,1) &amp; " " &amp; VLOOKUP(VALUE(MID($C228,21,2)),codigos!$K$2:$L$12,2,FALSE)</f>
        <v>BICOLOR NARANJA S/I</v>
      </c>
      <c r="F228" s="11" t="s">
        <v>1033</v>
      </c>
      <c r="G228" s="11" t="s">
        <v>11</v>
      </c>
      <c r="H228" s="25" t="s">
        <v>1063</v>
      </c>
      <c r="I228" s="25" t="s">
        <v>1064</v>
      </c>
      <c r="J228" s="15">
        <v>1</v>
      </c>
      <c r="K228" s="11">
        <v>1</v>
      </c>
      <c r="L228" s="11">
        <f t="shared" si="32"/>
        <v>0</v>
      </c>
      <c r="M228" s="131"/>
      <c r="N228" s="96">
        <v>46050</v>
      </c>
    </row>
    <row r="229" spans="1:14" x14ac:dyDescent="0.25">
      <c r="A229" s="11">
        <f t="shared" ca="1" si="30"/>
        <v>-72</v>
      </c>
      <c r="B229" s="37">
        <f t="shared" si="31"/>
        <v>12</v>
      </c>
      <c r="C229" s="11" t="s">
        <v>1036</v>
      </c>
      <c r="D229" s="11" t="str">
        <f>VLOOKUP(VALUE(MID($C229,13,2)), codigos!$A$2:$B$60, 2, 1) &amp; " " &amp; VLOOKUP(VALUE(MID($C229,15,4)), codigos!$E$2:$F$102, 2, FALSE)</f>
        <v>BUDINERA 24</v>
      </c>
      <c r="E229" s="11" t="str">
        <f>VLOOKUP(VALUE(MID($C229,19,2)),codigos!$H$2:$I$62,2,1) &amp; " " &amp; VLOOKUP(VALUE(MID($C229,21,2)),codigos!$K$2:$L$12,2,FALSE)</f>
        <v>BICOLOR ROJO S/I</v>
      </c>
      <c r="F229" s="11" t="s">
        <v>1033</v>
      </c>
      <c r="G229" s="20" t="s">
        <v>11</v>
      </c>
      <c r="H229" s="11" t="s">
        <v>1063</v>
      </c>
      <c r="I229" s="11" t="s">
        <v>1064</v>
      </c>
      <c r="J229" s="11">
        <v>3</v>
      </c>
      <c r="K229" s="11">
        <f>1+1+1</f>
        <v>3</v>
      </c>
      <c r="L229" s="11">
        <f t="shared" si="32"/>
        <v>0</v>
      </c>
      <c r="M229" s="131"/>
      <c r="N229" s="96">
        <v>46050</v>
      </c>
    </row>
    <row r="230" spans="1:14" x14ac:dyDescent="0.25">
      <c r="A230" s="11">
        <f t="shared" ca="1" si="30"/>
        <v>-72</v>
      </c>
      <c r="B230" s="37">
        <f t="shared" si="31"/>
        <v>12</v>
      </c>
      <c r="C230" s="11" t="s">
        <v>578</v>
      </c>
      <c r="D230" s="11" t="str">
        <f>VLOOKUP(VALUE(MID($C230,13,2)), codigos!$A$2:$B$60, 2, 1) &amp; " " &amp; VLOOKUP(VALUE(MID($C230,15,4)), codigos!$E$2:$F$102, 2, FALSE)</f>
        <v>COMAL 28</v>
      </c>
      <c r="E230" s="11" t="str">
        <f>VLOOKUP(VALUE(MID($C230,19,2)),codigos!$H$2:$I$62,2,1) &amp; " " &amp; VLOOKUP(VALUE(MID($C230,21,2)),codigos!$K$2:$L$12,2,FALSE)</f>
        <v>NEGRO S/I</v>
      </c>
      <c r="F230" s="11" t="s">
        <v>1033</v>
      </c>
      <c r="G230" s="11" t="s">
        <v>11</v>
      </c>
      <c r="H230" s="25" t="s">
        <v>1063</v>
      </c>
      <c r="I230" s="25" t="s">
        <v>1064</v>
      </c>
      <c r="J230" s="15">
        <v>17</v>
      </c>
      <c r="K230" s="11">
        <f>3+5+9</f>
        <v>17</v>
      </c>
      <c r="L230" s="11">
        <f t="shared" si="32"/>
        <v>0</v>
      </c>
      <c r="M230" s="131"/>
      <c r="N230" s="96">
        <v>46050</v>
      </c>
    </row>
    <row r="231" spans="1:14" x14ac:dyDescent="0.25">
      <c r="A231" s="11">
        <f t="shared" ca="1" si="30"/>
        <v>-72</v>
      </c>
      <c r="B231" s="37">
        <f t="shared" si="31"/>
        <v>12</v>
      </c>
      <c r="C231" s="11" t="s">
        <v>579</v>
      </c>
      <c r="D231" s="11" t="str">
        <f>VLOOKUP(VALUE(MID($C231,13,2)), codigos!$A$2:$B$60, 2, 1) &amp; " " &amp; VLOOKUP(VALUE(MID($C231,15,4)), codigos!$E$2:$F$102, 2, FALSE)</f>
        <v>OLLA CONVEXA 18</v>
      </c>
      <c r="E231" s="11" t="str">
        <f>VLOOKUP(VALUE(MID($C231,19,2)),codigos!$H$2:$I$62,2,1) &amp; " " &amp; VLOOKUP(VALUE(MID($C231,21,2)),codigos!$K$2:$L$12,2,FALSE)</f>
        <v>A/T S/I</v>
      </c>
      <c r="F231" s="11" t="s">
        <v>1033</v>
      </c>
      <c r="G231" s="20" t="s">
        <v>11</v>
      </c>
      <c r="H231" s="11" t="s">
        <v>1063</v>
      </c>
      <c r="I231" s="11" t="s">
        <v>1064</v>
      </c>
      <c r="J231" s="11">
        <v>6</v>
      </c>
      <c r="K231" s="11">
        <f>4+2</f>
        <v>6</v>
      </c>
      <c r="L231" s="11">
        <f t="shared" si="32"/>
        <v>0</v>
      </c>
      <c r="M231" s="131"/>
      <c r="N231" s="96">
        <v>46050</v>
      </c>
    </row>
    <row r="232" spans="1:14" x14ac:dyDescent="0.25">
      <c r="A232" s="11">
        <f t="shared" ca="1" si="30"/>
        <v>-72</v>
      </c>
      <c r="B232" s="37">
        <f t="shared" si="31"/>
        <v>12</v>
      </c>
      <c r="C232" s="11" t="s">
        <v>580</v>
      </c>
      <c r="D232" s="11" t="str">
        <f>VLOOKUP(VALUE(MID($C232,13,2)), codigos!$A$2:$B$60, 2, 1) &amp; " " &amp; VLOOKUP(VALUE(MID($C232,15,4)), codigos!$E$2:$F$102, 2, FALSE)</f>
        <v>OLLA CONVEXA 22</v>
      </c>
      <c r="E232" s="11" t="str">
        <f>VLOOKUP(VALUE(MID($C232,19,2)),codigos!$H$2:$I$62,2,1) &amp; " " &amp; VLOOKUP(VALUE(MID($C232,21,2)),codigos!$K$2:$L$12,2,FALSE)</f>
        <v>A/T S/I</v>
      </c>
      <c r="F232" s="11" t="s">
        <v>1033</v>
      </c>
      <c r="G232" s="11" t="s">
        <v>11</v>
      </c>
      <c r="H232" s="25" t="s">
        <v>1063</v>
      </c>
      <c r="I232" s="25" t="s">
        <v>1064</v>
      </c>
      <c r="J232" s="15">
        <v>6</v>
      </c>
      <c r="K232" s="11">
        <v>6</v>
      </c>
      <c r="L232" s="11">
        <f t="shared" si="32"/>
        <v>0</v>
      </c>
      <c r="M232" s="131"/>
      <c r="N232" s="96">
        <v>46050</v>
      </c>
    </row>
    <row r="233" spans="1:14" x14ac:dyDescent="0.25">
      <c r="A233" s="11">
        <f t="shared" ca="1" si="30"/>
        <v>-72</v>
      </c>
      <c r="B233" s="37">
        <f t="shared" si="31"/>
        <v>12</v>
      </c>
      <c r="C233" s="11" t="s">
        <v>581</v>
      </c>
      <c r="D233" s="11" t="str">
        <f>VLOOKUP(VALUE(MID($C233,13,2)), codigos!$A$2:$B$60, 2, 1) &amp; " " &amp; VLOOKUP(VALUE(MID($C233,15,4)), codigos!$E$2:$F$102, 2, FALSE)</f>
        <v>OLLA RECTA 20</v>
      </c>
      <c r="E233" s="11" t="str">
        <f>VLOOKUP(VALUE(MID($C233,19,2)),codigos!$H$2:$I$62,2,1) &amp; " " &amp; VLOOKUP(VALUE(MID($C233,21,2)),codigos!$K$2:$L$12,2,FALSE)</f>
        <v>A/T S/I</v>
      </c>
      <c r="F233" s="11" t="s">
        <v>1033</v>
      </c>
      <c r="G233" s="20" t="s">
        <v>11</v>
      </c>
      <c r="H233" s="11" t="s">
        <v>1063</v>
      </c>
      <c r="I233" s="11" t="s">
        <v>1064</v>
      </c>
      <c r="J233" s="11">
        <v>7</v>
      </c>
      <c r="K233" s="11">
        <f>1+6</f>
        <v>7</v>
      </c>
      <c r="L233" s="11">
        <f t="shared" si="32"/>
        <v>0</v>
      </c>
      <c r="M233" s="131"/>
      <c r="N233" s="96">
        <v>46050</v>
      </c>
    </row>
    <row r="234" spans="1:14" x14ac:dyDescent="0.25">
      <c r="A234" s="11">
        <f t="shared" ca="1" si="30"/>
        <v>-72</v>
      </c>
      <c r="B234" s="37">
        <f t="shared" si="31"/>
        <v>12</v>
      </c>
      <c r="C234" s="11" t="s">
        <v>582</v>
      </c>
      <c r="D234" s="11" t="str">
        <f>VLOOKUP(VALUE(MID($C234,13,2)), codigos!$A$2:$B$60, 2, 1) &amp; " " &amp; VLOOKUP(VALUE(MID($C234,15,4)), codigos!$E$2:$F$102, 2, FALSE)</f>
        <v>OLLA RECTA 20</v>
      </c>
      <c r="E234" s="11" t="str">
        <f>VLOOKUP(VALUE(MID($C234,19,2)),codigos!$H$2:$I$62,2,1) &amp; " " &amp; VLOOKUP(VALUE(MID($C234,21,2)),codigos!$K$2:$L$12,2,FALSE)</f>
        <v>BICOLOR AZUL S/I</v>
      </c>
      <c r="F234" s="11" t="s">
        <v>1033</v>
      </c>
      <c r="G234" s="11" t="s">
        <v>11</v>
      </c>
      <c r="H234" s="25" t="s">
        <v>1063</v>
      </c>
      <c r="I234" s="25" t="s">
        <v>1064</v>
      </c>
      <c r="J234" s="15">
        <v>2</v>
      </c>
      <c r="K234" s="11">
        <v>2</v>
      </c>
      <c r="L234" s="11">
        <f t="shared" si="32"/>
        <v>0</v>
      </c>
      <c r="M234" s="131"/>
      <c r="N234" s="96">
        <v>46050</v>
      </c>
    </row>
    <row r="235" spans="1:14" x14ac:dyDescent="0.25">
      <c r="A235" s="11">
        <f t="shared" ca="1" si="30"/>
        <v>-72</v>
      </c>
      <c r="B235" s="37">
        <f t="shared" si="31"/>
        <v>12</v>
      </c>
      <c r="C235" s="11" t="s">
        <v>583</v>
      </c>
      <c r="D235" s="11" t="str">
        <f>VLOOKUP(VALUE(MID($C235,13,2)), codigos!$A$2:$B$60, 2, 1) &amp; " " &amp; VLOOKUP(VALUE(MID($C235,15,4)), codigos!$E$2:$F$102, 2, FALSE)</f>
        <v>OLLA RECTA 20</v>
      </c>
      <c r="E235" s="11" t="str">
        <f>VLOOKUP(VALUE(MID($C235,19,2)),codigos!$H$2:$I$62,2,1) &amp; " " &amp; VLOOKUP(VALUE(MID($C235,21,2)),codigos!$K$2:$L$12,2,FALSE)</f>
        <v>BICOLOR NARANJA S/I</v>
      </c>
      <c r="F235" s="11" t="s">
        <v>1033</v>
      </c>
      <c r="G235" s="20" t="s">
        <v>11</v>
      </c>
      <c r="H235" s="11" t="s">
        <v>1063</v>
      </c>
      <c r="I235" s="11" t="s">
        <v>1064</v>
      </c>
      <c r="J235" s="11">
        <v>2</v>
      </c>
      <c r="K235" s="11">
        <v>2</v>
      </c>
      <c r="L235" s="11">
        <f t="shared" si="32"/>
        <v>0</v>
      </c>
      <c r="M235" s="131"/>
      <c r="N235" s="96">
        <v>46050</v>
      </c>
    </row>
    <row r="236" spans="1:14" x14ac:dyDescent="0.25">
      <c r="A236" s="11">
        <f t="shared" ca="1" si="30"/>
        <v>-72</v>
      </c>
      <c r="B236" s="37">
        <f t="shared" si="31"/>
        <v>12</v>
      </c>
      <c r="C236" s="11" t="s">
        <v>584</v>
      </c>
      <c r="D236" s="11" t="str">
        <f>VLOOKUP(VALUE(MID($C236,13,2)), codigos!$A$2:$B$60, 2, 1) &amp; " " &amp; VLOOKUP(VALUE(MID($C236,15,4)), codigos!$E$2:$F$102, 2, FALSE)</f>
        <v>OLLA RECTA 20</v>
      </c>
      <c r="E236" s="11" t="str">
        <f>VLOOKUP(VALUE(MID($C236,19,2)),codigos!$H$2:$I$62,2,1) &amp; " " &amp; VLOOKUP(VALUE(MID($C236,21,2)),codigos!$K$2:$L$12,2,FALSE)</f>
        <v>BICOLOR ROJO S/I</v>
      </c>
      <c r="F236" s="11" t="s">
        <v>1033</v>
      </c>
      <c r="G236" s="11" t="s">
        <v>11</v>
      </c>
      <c r="H236" s="25" t="s">
        <v>1063</v>
      </c>
      <c r="I236" s="25" t="s">
        <v>1064</v>
      </c>
      <c r="J236" s="15">
        <v>6</v>
      </c>
      <c r="K236" s="11">
        <f>1+2+3</f>
        <v>6</v>
      </c>
      <c r="L236" s="11">
        <f t="shared" si="32"/>
        <v>0</v>
      </c>
      <c r="M236" s="131"/>
      <c r="N236" s="96">
        <v>46050</v>
      </c>
    </row>
    <row r="237" spans="1:14" x14ac:dyDescent="0.25">
      <c r="A237" s="11">
        <f t="shared" ca="1" si="30"/>
        <v>-72</v>
      </c>
      <c r="B237" s="37">
        <f t="shared" si="31"/>
        <v>12</v>
      </c>
      <c r="C237" s="11" t="s">
        <v>585</v>
      </c>
      <c r="D237" s="11" t="str">
        <f>VLOOKUP(VALUE(MID($C237,13,2)), codigos!$A$2:$B$60, 2, 1) &amp; " " &amp; VLOOKUP(VALUE(MID($C237,15,4)), codigos!$E$2:$F$102, 2, FALSE)</f>
        <v>OLLA RECTA 24</v>
      </c>
      <c r="E237" s="11" t="str">
        <f>VLOOKUP(VALUE(MID($C237,19,2)),codigos!$H$2:$I$62,2,1) &amp; " " &amp; VLOOKUP(VALUE(MID($C237,21,2)),codigos!$K$2:$L$12,2,FALSE)</f>
        <v>BICOLOR AZUL S/I</v>
      </c>
      <c r="F237" s="11" t="s">
        <v>1033</v>
      </c>
      <c r="G237" s="20" t="s">
        <v>11</v>
      </c>
      <c r="H237" s="11" t="s">
        <v>1063</v>
      </c>
      <c r="I237" s="11" t="s">
        <v>1064</v>
      </c>
      <c r="J237" s="11">
        <v>2</v>
      </c>
      <c r="K237" s="11">
        <v>2</v>
      </c>
      <c r="L237" s="11">
        <f t="shared" si="32"/>
        <v>0</v>
      </c>
      <c r="M237" s="131"/>
      <c r="N237" s="96">
        <v>46050</v>
      </c>
    </row>
    <row r="238" spans="1:14" x14ac:dyDescent="0.25">
      <c r="A238" s="11">
        <f t="shared" ca="1" si="30"/>
        <v>-72</v>
      </c>
      <c r="B238" s="37">
        <f t="shared" si="31"/>
        <v>12</v>
      </c>
      <c r="C238" s="11" t="s">
        <v>586</v>
      </c>
      <c r="D238" s="11" t="str">
        <f>VLOOKUP(VALUE(MID($C238,13,2)), codigos!$A$2:$B$60, 2, 1) &amp; " " &amp; VLOOKUP(VALUE(MID($C238,15,4)), codigos!$E$2:$F$102, 2, FALSE)</f>
        <v>OLLA RECTA 24</v>
      </c>
      <c r="E238" s="11" t="str">
        <f>VLOOKUP(VALUE(MID($C238,19,2)),codigos!$H$2:$I$62,2,1) &amp; " " &amp; VLOOKUP(VALUE(MID($C238,21,2)),codigos!$K$2:$L$12,2,FALSE)</f>
        <v>BICOLOR NARANJA S/I</v>
      </c>
      <c r="F238" s="11" t="s">
        <v>1033</v>
      </c>
      <c r="G238" s="11" t="s">
        <v>11</v>
      </c>
      <c r="H238" s="25" t="s">
        <v>1063</v>
      </c>
      <c r="I238" s="25" t="s">
        <v>1064</v>
      </c>
      <c r="J238" s="15">
        <v>4</v>
      </c>
      <c r="K238" s="11">
        <f>1+3</f>
        <v>4</v>
      </c>
      <c r="L238" s="11">
        <f t="shared" si="32"/>
        <v>0</v>
      </c>
      <c r="M238" s="131"/>
      <c r="N238" s="96">
        <v>46050</v>
      </c>
    </row>
    <row r="239" spans="1:14" x14ac:dyDescent="0.25">
      <c r="A239" s="11">
        <f t="shared" ca="1" si="30"/>
        <v>-72</v>
      </c>
      <c r="B239" s="37">
        <f t="shared" si="31"/>
        <v>12</v>
      </c>
      <c r="C239" s="11" t="s">
        <v>587</v>
      </c>
      <c r="D239" s="11" t="str">
        <f>VLOOKUP(VALUE(MID($C239,13,2)), codigos!$A$2:$B$60, 2, 1) &amp; " " &amp; VLOOKUP(VALUE(MID($C239,15,4)), codigos!$E$2:$F$102, 2, FALSE)</f>
        <v>OLLA RECTA 24</v>
      </c>
      <c r="E239" s="11" t="str">
        <f>VLOOKUP(VALUE(MID($C239,19,2)),codigos!$H$2:$I$62,2,1) &amp; " " &amp; VLOOKUP(VALUE(MID($C239,21,2)),codigos!$K$2:$L$12,2,FALSE)</f>
        <v>BICOLOR ROJO S/I</v>
      </c>
      <c r="F239" s="11" t="s">
        <v>1033</v>
      </c>
      <c r="G239" s="20" t="s">
        <v>11</v>
      </c>
      <c r="H239" s="11" t="s">
        <v>1063</v>
      </c>
      <c r="I239" s="11" t="s">
        <v>1064</v>
      </c>
      <c r="J239" s="11">
        <v>7</v>
      </c>
      <c r="K239" s="11">
        <f>1+4+2</f>
        <v>7</v>
      </c>
      <c r="L239" s="11">
        <f t="shared" si="32"/>
        <v>0</v>
      </c>
      <c r="M239" s="131"/>
      <c r="N239" s="96">
        <v>46050</v>
      </c>
    </row>
    <row r="240" spans="1:14" x14ac:dyDescent="0.25">
      <c r="A240" s="11">
        <f t="shared" ca="1" si="30"/>
        <v>-72</v>
      </c>
      <c r="B240" s="37">
        <f t="shared" si="31"/>
        <v>12</v>
      </c>
      <c r="C240" s="11" t="s">
        <v>588</v>
      </c>
      <c r="D240" s="11" t="str">
        <f>VLOOKUP(VALUE(MID($C240,13,2)), codigos!$A$2:$B$60, 2, 1) &amp; " " &amp; VLOOKUP(VALUE(MID($C240,15,4)), codigos!$E$2:$F$102, 2, FALSE)</f>
        <v>OLLA RECTA 28</v>
      </c>
      <c r="E240" s="11" t="str">
        <f>VLOOKUP(VALUE(MID($C240,19,2)),codigos!$H$2:$I$62,2,1) &amp; " " &amp; VLOOKUP(VALUE(MID($C240,21,2)),codigos!$K$2:$L$12,2,FALSE)</f>
        <v>A/T S/I</v>
      </c>
      <c r="F240" s="11" t="s">
        <v>1033</v>
      </c>
      <c r="G240" s="11" t="s">
        <v>11</v>
      </c>
      <c r="H240" s="25" t="s">
        <v>1063</v>
      </c>
      <c r="I240" s="25" t="s">
        <v>1064</v>
      </c>
      <c r="J240" s="15">
        <v>17</v>
      </c>
      <c r="K240" s="11">
        <f>16+1</f>
        <v>17</v>
      </c>
      <c r="L240" s="11">
        <f t="shared" si="32"/>
        <v>0</v>
      </c>
      <c r="M240" s="131"/>
      <c r="N240" s="96">
        <v>46050</v>
      </c>
    </row>
    <row r="241" spans="1:14" x14ac:dyDescent="0.25">
      <c r="A241" s="11">
        <f t="shared" ca="1" si="30"/>
        <v>-72</v>
      </c>
      <c r="B241" s="37">
        <f t="shared" si="31"/>
        <v>12</v>
      </c>
      <c r="C241" s="11" t="s">
        <v>589</v>
      </c>
      <c r="D241" s="11" t="str">
        <f>VLOOKUP(VALUE(MID($C241,13,2)), codigos!$A$2:$B$60, 2, 1) &amp; " " &amp; VLOOKUP(VALUE(MID($C241,15,4)), codigos!$E$2:$F$102, 2, FALSE)</f>
        <v>POCILLO 14</v>
      </c>
      <c r="E241" s="11" t="str">
        <f>VLOOKUP(VALUE(MID($C241,19,2)),codigos!$H$2:$I$62,2,1) &amp; " " &amp; VLOOKUP(VALUE(MID($C241,21,2)),codigos!$K$2:$L$12,2,FALSE)</f>
        <v>S/I S/I</v>
      </c>
      <c r="F241" s="11" t="s">
        <v>1033</v>
      </c>
      <c r="G241" s="20" t="s">
        <v>11</v>
      </c>
      <c r="H241" s="11" t="s">
        <v>1063</v>
      </c>
      <c r="I241" s="11" t="s">
        <v>1064</v>
      </c>
      <c r="J241" s="11">
        <v>6</v>
      </c>
      <c r="K241" s="11">
        <v>6</v>
      </c>
      <c r="L241" s="11">
        <f t="shared" si="32"/>
        <v>0</v>
      </c>
      <c r="M241" s="131"/>
      <c r="N241" s="96">
        <v>46050</v>
      </c>
    </row>
    <row r="242" spans="1:14" x14ac:dyDescent="0.25">
      <c r="A242" s="11">
        <f t="shared" ca="1" si="30"/>
        <v>-72</v>
      </c>
      <c r="B242" s="37">
        <f t="shared" si="31"/>
        <v>12</v>
      </c>
      <c r="C242" s="11" t="s">
        <v>590</v>
      </c>
      <c r="D242" s="11" t="str">
        <f>VLOOKUP(VALUE(MID($C242,13,2)), codigos!$A$2:$B$60, 2, 1) &amp; " " &amp; VLOOKUP(VALUE(MID($C242,15,4)), codigos!$E$2:$F$102, 2, FALSE)</f>
        <v>POCILLO 14</v>
      </c>
      <c r="E242" s="11" t="str">
        <f>VLOOKUP(VALUE(MID($C242,19,2)),codigos!$H$2:$I$62,2,1) &amp; " " &amp; VLOOKUP(VALUE(MID($C242,21,2)),codigos!$K$2:$L$12,2,FALSE)</f>
        <v>A/T S/I</v>
      </c>
      <c r="F242" s="11" t="s">
        <v>1033</v>
      </c>
      <c r="G242" s="11" t="s">
        <v>11</v>
      </c>
      <c r="H242" s="25" t="s">
        <v>1063</v>
      </c>
      <c r="I242" s="25" t="s">
        <v>1064</v>
      </c>
      <c r="J242" s="15">
        <v>21</v>
      </c>
      <c r="K242" s="11">
        <v>21</v>
      </c>
      <c r="L242" s="11">
        <f t="shared" si="32"/>
        <v>0</v>
      </c>
      <c r="M242" s="131"/>
      <c r="N242" s="96">
        <v>46050</v>
      </c>
    </row>
    <row r="243" spans="1:14" x14ac:dyDescent="0.25">
      <c r="A243" s="11">
        <f t="shared" ca="1" si="30"/>
        <v>-72</v>
      </c>
      <c r="B243" s="37">
        <f t="shared" si="31"/>
        <v>12</v>
      </c>
      <c r="C243" s="11" t="s">
        <v>591</v>
      </c>
      <c r="D243" s="11" t="str">
        <f>VLOOKUP(VALUE(MID($C243,13,2)), codigos!$A$2:$B$60, 2, 1) &amp; " " &amp; VLOOKUP(VALUE(MID($C243,15,4)), codigos!$E$2:$F$102, 2, FALSE)</f>
        <v>POCILLO 14</v>
      </c>
      <c r="E243" s="11" t="str">
        <f>VLOOKUP(VALUE(MID($C243,19,2)),codigos!$H$2:$I$62,2,1) &amp; " " &amp; VLOOKUP(VALUE(MID($C243,21,2)),codigos!$K$2:$L$12,2,FALSE)</f>
        <v>BICOLOR AZUL S/I</v>
      </c>
      <c r="F243" s="11" t="s">
        <v>1033</v>
      </c>
      <c r="G243" s="20" t="s">
        <v>11</v>
      </c>
      <c r="H243" s="11" t="s">
        <v>1063</v>
      </c>
      <c r="I243" s="11" t="s">
        <v>1064</v>
      </c>
      <c r="J243" s="11">
        <v>22</v>
      </c>
      <c r="K243" s="11">
        <f>5+4+8+5</f>
        <v>22</v>
      </c>
      <c r="L243" s="11">
        <f t="shared" si="32"/>
        <v>0</v>
      </c>
      <c r="M243" s="131"/>
      <c r="N243" s="96">
        <v>46050</v>
      </c>
    </row>
    <row r="244" spans="1:14" x14ac:dyDescent="0.25">
      <c r="A244" s="11">
        <f t="shared" ca="1" si="30"/>
        <v>-72</v>
      </c>
      <c r="B244" s="37">
        <f t="shared" si="31"/>
        <v>12</v>
      </c>
      <c r="C244" s="11" t="s">
        <v>592</v>
      </c>
      <c r="D244" s="11" t="str">
        <f>VLOOKUP(VALUE(MID($C244,13,2)), codigos!$A$2:$B$60, 2, 1) &amp; " " &amp; VLOOKUP(VALUE(MID($C244,15,4)), codigos!$E$2:$F$102, 2, FALSE)</f>
        <v>POCILLO 14</v>
      </c>
      <c r="E244" s="11" t="str">
        <f>VLOOKUP(VALUE(MID($C244,19,2)),codigos!$H$2:$I$62,2,1) &amp; " " &amp; VLOOKUP(VALUE(MID($C244,21,2)),codigos!$K$2:$L$12,2,FALSE)</f>
        <v>BICOLOR NARANJA S/I</v>
      </c>
      <c r="F244" s="11" t="s">
        <v>1033</v>
      </c>
      <c r="G244" s="11" t="s">
        <v>11</v>
      </c>
      <c r="H244" s="25" t="s">
        <v>1063</v>
      </c>
      <c r="I244" s="25" t="s">
        <v>1064</v>
      </c>
      <c r="J244" s="15">
        <v>10</v>
      </c>
      <c r="K244" s="11">
        <f>3+1+4+2</f>
        <v>10</v>
      </c>
      <c r="L244" s="11">
        <f t="shared" si="32"/>
        <v>0</v>
      </c>
      <c r="M244" s="131"/>
      <c r="N244" s="96">
        <v>46050</v>
      </c>
    </row>
    <row r="245" spans="1:14" x14ac:dyDescent="0.25">
      <c r="A245" s="11">
        <f t="shared" ca="1" si="30"/>
        <v>-72</v>
      </c>
      <c r="B245" s="37">
        <f t="shared" si="31"/>
        <v>12</v>
      </c>
      <c r="C245" s="11" t="s">
        <v>593</v>
      </c>
      <c r="D245" s="11" t="str">
        <f>VLOOKUP(VALUE(MID($C245,13,2)), codigos!$A$2:$B$60, 2, 1) &amp; " " &amp; VLOOKUP(VALUE(MID($C245,15,4)), codigos!$E$2:$F$102, 2, FALSE)</f>
        <v>POCILLO 14</v>
      </c>
      <c r="E245" s="11" t="str">
        <f>VLOOKUP(VALUE(MID($C245,19,2)),codigos!$H$2:$I$62,2,1) &amp; " " &amp; VLOOKUP(VALUE(MID($C245,21,2)),codigos!$K$2:$L$12,2,FALSE)</f>
        <v>BICOLOR ROJO S/I</v>
      </c>
      <c r="F245" s="11" t="s">
        <v>1033</v>
      </c>
      <c r="G245" s="20" t="s">
        <v>11</v>
      </c>
      <c r="H245" s="11" t="s">
        <v>1063</v>
      </c>
      <c r="I245" s="11" t="s">
        <v>1064</v>
      </c>
      <c r="J245" s="11">
        <v>18</v>
      </c>
      <c r="K245" s="11">
        <f>6+12</f>
        <v>18</v>
      </c>
      <c r="L245" s="11">
        <f t="shared" si="32"/>
        <v>0</v>
      </c>
      <c r="M245" s="131"/>
      <c r="N245" s="96">
        <v>46050</v>
      </c>
    </row>
    <row r="246" spans="1:14" x14ac:dyDescent="0.25">
      <c r="A246" s="11">
        <f t="shared" ca="1" si="30"/>
        <v>-72</v>
      </c>
      <c r="B246" s="37">
        <f t="shared" si="31"/>
        <v>12</v>
      </c>
      <c r="C246" s="11" t="s">
        <v>578</v>
      </c>
      <c r="D246" s="11" t="str">
        <f>VLOOKUP(VALUE(MID($C246,13,2)), codigos!$A$2:$B$60, 2, 1) &amp; " " &amp; VLOOKUP(VALUE(MID($C246,15,4)), codigos!$E$2:$F$102, 2, FALSE)</f>
        <v>COMAL 28</v>
      </c>
      <c r="E246" s="11" t="str">
        <f>VLOOKUP(VALUE(MID($C246,19,2)),codigos!$H$2:$I$62,2,1) &amp; " " &amp; VLOOKUP(VALUE(MID($C246,21,2)),codigos!$K$2:$L$12,2,FALSE)</f>
        <v>NEGRO S/I</v>
      </c>
      <c r="F246" s="11" t="s">
        <v>1033</v>
      </c>
      <c r="G246" s="11" t="s">
        <v>11</v>
      </c>
      <c r="H246" s="25" t="s">
        <v>1065</v>
      </c>
      <c r="I246" s="25" t="s">
        <v>1064</v>
      </c>
      <c r="J246" s="15">
        <v>1</v>
      </c>
      <c r="K246" s="11">
        <v>1</v>
      </c>
      <c r="L246" s="11">
        <f t="shared" si="32"/>
        <v>0</v>
      </c>
      <c r="M246" s="132">
        <f>(SUM(K246:K250))/(SUM(J246:J250))</f>
        <v>1</v>
      </c>
      <c r="N246" s="96">
        <v>46050</v>
      </c>
    </row>
    <row r="247" spans="1:14" x14ac:dyDescent="0.25">
      <c r="A247" s="11">
        <f t="shared" ca="1" si="30"/>
        <v>-72</v>
      </c>
      <c r="B247" s="37">
        <f t="shared" si="31"/>
        <v>12</v>
      </c>
      <c r="C247" s="11" t="s">
        <v>586</v>
      </c>
      <c r="D247" s="11" t="str">
        <f>VLOOKUP(VALUE(MID($C247,13,2)), codigos!$A$2:$B$60, 2, 1) &amp; " " &amp; VLOOKUP(VALUE(MID($C247,15,4)), codigos!$E$2:$F$102, 2, FALSE)</f>
        <v>OLLA RECTA 24</v>
      </c>
      <c r="E247" s="11" t="str">
        <f>VLOOKUP(VALUE(MID($C247,19,2)),codigos!$H$2:$I$62,2,1) &amp; " " &amp; VLOOKUP(VALUE(MID($C247,21,2)),codigos!$K$2:$L$12,2,FALSE)</f>
        <v>BICOLOR NARANJA S/I</v>
      </c>
      <c r="F247" s="11" t="s">
        <v>1033</v>
      </c>
      <c r="G247" s="20" t="s">
        <v>11</v>
      </c>
      <c r="H247" s="11" t="s">
        <v>1065</v>
      </c>
      <c r="I247" s="11" t="s">
        <v>1064</v>
      </c>
      <c r="J247" s="11">
        <v>2</v>
      </c>
      <c r="K247" s="11">
        <v>2</v>
      </c>
      <c r="L247" s="11">
        <f t="shared" si="32"/>
        <v>0</v>
      </c>
      <c r="M247" s="133"/>
      <c r="N247" s="96">
        <v>46050</v>
      </c>
    </row>
    <row r="248" spans="1:14" x14ac:dyDescent="0.25">
      <c r="A248" s="11">
        <f t="shared" ca="1" si="30"/>
        <v>-72</v>
      </c>
      <c r="B248" s="37">
        <f t="shared" si="31"/>
        <v>12</v>
      </c>
      <c r="C248" s="11" t="s">
        <v>588</v>
      </c>
      <c r="D248" s="11" t="str">
        <f>VLOOKUP(VALUE(MID($C248,13,2)), codigos!$A$2:$B$60, 2, 1) &amp; " " &amp; VLOOKUP(VALUE(MID($C248,15,4)), codigos!$E$2:$F$102, 2, FALSE)</f>
        <v>OLLA RECTA 28</v>
      </c>
      <c r="E248" s="11" t="str">
        <f>VLOOKUP(VALUE(MID($C248,19,2)),codigos!$H$2:$I$62,2,1) &amp; " " &amp; VLOOKUP(VALUE(MID($C248,21,2)),codigos!$K$2:$L$12,2,FALSE)</f>
        <v>A/T S/I</v>
      </c>
      <c r="F248" s="11" t="s">
        <v>1033</v>
      </c>
      <c r="G248" s="11" t="s">
        <v>11</v>
      </c>
      <c r="H248" s="25" t="s">
        <v>1065</v>
      </c>
      <c r="I248" s="25" t="s">
        <v>1064</v>
      </c>
      <c r="J248" s="15">
        <v>3</v>
      </c>
      <c r="K248" s="11">
        <v>3</v>
      </c>
      <c r="L248" s="11">
        <f t="shared" si="32"/>
        <v>0</v>
      </c>
      <c r="M248" s="133"/>
      <c r="N248" s="96">
        <v>46050</v>
      </c>
    </row>
    <row r="249" spans="1:14" x14ac:dyDescent="0.25">
      <c r="A249" s="11">
        <f t="shared" ca="1" si="30"/>
        <v>-72</v>
      </c>
      <c r="B249" s="37">
        <f t="shared" si="31"/>
        <v>12</v>
      </c>
      <c r="C249" s="11" t="s">
        <v>591</v>
      </c>
      <c r="D249" s="11" t="str">
        <f>VLOOKUP(VALUE(MID($C249,13,2)), codigos!$A$2:$B$60, 2, 1) &amp; " " &amp; VLOOKUP(VALUE(MID($C249,15,4)), codigos!$E$2:$F$102, 2, FALSE)</f>
        <v>POCILLO 14</v>
      </c>
      <c r="E249" s="11" t="str">
        <f>VLOOKUP(VALUE(MID($C249,19,2)),codigos!$H$2:$I$62,2,1) &amp; " " &amp; VLOOKUP(VALUE(MID($C249,21,2)),codigos!$K$2:$L$12,2,FALSE)</f>
        <v>BICOLOR AZUL S/I</v>
      </c>
      <c r="F249" s="11" t="s">
        <v>1033</v>
      </c>
      <c r="G249" s="20" t="s">
        <v>11</v>
      </c>
      <c r="H249" s="11" t="s">
        <v>1065</v>
      </c>
      <c r="I249" s="11" t="s">
        <v>1064</v>
      </c>
      <c r="J249" s="11">
        <v>2</v>
      </c>
      <c r="K249" s="11">
        <v>2</v>
      </c>
      <c r="L249" s="11">
        <f t="shared" si="32"/>
        <v>0</v>
      </c>
      <c r="M249" s="133"/>
      <c r="N249" s="96">
        <v>46050</v>
      </c>
    </row>
    <row r="250" spans="1:14" x14ac:dyDescent="0.25">
      <c r="A250" s="11">
        <f t="shared" ca="1" si="30"/>
        <v>-72</v>
      </c>
      <c r="B250" s="37">
        <f t="shared" si="31"/>
        <v>12</v>
      </c>
      <c r="C250" s="11" t="s">
        <v>592</v>
      </c>
      <c r="D250" s="11" t="str">
        <f>VLOOKUP(VALUE(MID($C250,13,2)), codigos!$A$2:$B$60, 2, 1) &amp; " " &amp; VLOOKUP(VALUE(MID($C250,15,4)), codigos!$E$2:$F$102, 2, FALSE)</f>
        <v>POCILLO 14</v>
      </c>
      <c r="E250" s="11" t="str">
        <f>VLOOKUP(VALUE(MID($C250,19,2)),codigos!$H$2:$I$62,2,1) &amp; " " &amp; VLOOKUP(VALUE(MID($C250,21,2)),codigos!$K$2:$L$12,2,FALSE)</f>
        <v>BICOLOR NARANJA S/I</v>
      </c>
      <c r="F250" s="11" t="s">
        <v>1033</v>
      </c>
      <c r="G250" s="11" t="s">
        <v>11</v>
      </c>
      <c r="H250" s="25" t="s">
        <v>1065</v>
      </c>
      <c r="I250" s="25" t="s">
        <v>1064</v>
      </c>
      <c r="J250" s="15">
        <v>1</v>
      </c>
      <c r="K250" s="11">
        <v>1</v>
      </c>
      <c r="L250" s="11">
        <f t="shared" si="32"/>
        <v>0</v>
      </c>
      <c r="M250" s="130"/>
      <c r="N250" s="96">
        <v>46050</v>
      </c>
    </row>
    <row r="251" spans="1:14" x14ac:dyDescent="0.25">
      <c r="A251" s="11">
        <f t="shared" ca="1" si="30"/>
        <v>-72</v>
      </c>
      <c r="B251" s="37">
        <f t="shared" si="31"/>
        <v>12</v>
      </c>
      <c r="C251" s="11" t="s">
        <v>578</v>
      </c>
      <c r="D251" s="11" t="str">
        <f>VLOOKUP(VALUE(MID($C251,13,2)), codigos!$A$2:$B$60, 2, 1) &amp; " " &amp; VLOOKUP(VALUE(MID($C251,15,4)), codigos!$E$2:$F$102, 2, FALSE)</f>
        <v>COMAL 28</v>
      </c>
      <c r="E251" s="11" t="str">
        <f>VLOOKUP(VALUE(MID($C251,19,2)),codigos!$H$2:$I$62,2,1) &amp; " " &amp; VLOOKUP(VALUE(MID($C251,21,2)),codigos!$K$2:$L$12,2,FALSE)</f>
        <v>NEGRO S/I</v>
      </c>
      <c r="F251" s="11" t="s">
        <v>1033</v>
      </c>
      <c r="G251" s="20" t="s">
        <v>11</v>
      </c>
      <c r="H251" s="11" t="s">
        <v>1066</v>
      </c>
      <c r="I251" s="11" t="s">
        <v>1064</v>
      </c>
      <c r="J251" s="11">
        <v>1</v>
      </c>
      <c r="K251" s="11">
        <v>1</v>
      </c>
      <c r="L251" s="11">
        <f t="shared" si="32"/>
        <v>0</v>
      </c>
      <c r="M251" s="102">
        <f>(SUM(K251))/(SUM(J251))</f>
        <v>1</v>
      </c>
      <c r="N251" s="96">
        <v>46050</v>
      </c>
    </row>
    <row r="252" spans="1:14" x14ac:dyDescent="0.25">
      <c r="A252" s="11">
        <f t="shared" ca="1" si="30"/>
        <v>-72</v>
      </c>
      <c r="B252" s="37">
        <f t="shared" si="31"/>
        <v>12</v>
      </c>
      <c r="C252" s="11" t="s">
        <v>592</v>
      </c>
      <c r="D252" s="11" t="str">
        <f>VLOOKUP(VALUE(MID($C252,13,2)), codigos!$A$2:$B$60, 2, 1) &amp; " " &amp; VLOOKUP(VALUE(MID($C252,15,4)), codigos!$E$2:$F$102, 2, FALSE)</f>
        <v>POCILLO 14</v>
      </c>
      <c r="E252" s="11" t="str">
        <f>VLOOKUP(VALUE(MID($C252,19,2)),codigos!$H$2:$I$62,2,1) &amp; " " &amp; VLOOKUP(VALUE(MID($C252,21,2)),codigos!$K$2:$L$12,2,FALSE)</f>
        <v>BICOLOR NARANJA S/I</v>
      </c>
      <c r="F252" s="11" t="s">
        <v>1033</v>
      </c>
      <c r="G252" s="11" t="s">
        <v>11</v>
      </c>
      <c r="H252" s="25" t="s">
        <v>1067</v>
      </c>
      <c r="I252" s="25" t="s">
        <v>1064</v>
      </c>
      <c r="J252" s="15">
        <v>1</v>
      </c>
      <c r="K252" s="11">
        <v>1</v>
      </c>
      <c r="L252" s="11">
        <f t="shared" si="32"/>
        <v>0</v>
      </c>
      <c r="M252" s="95">
        <f>(SUM(K252))/(SUM(J252))</f>
        <v>1</v>
      </c>
      <c r="N252" s="96">
        <v>46050</v>
      </c>
    </row>
    <row r="253" spans="1:14" x14ac:dyDescent="0.25">
      <c r="A253" s="11">
        <f ca="1">DAYS360($B$1,I253)</f>
        <v>-414</v>
      </c>
      <c r="B253" s="37">
        <f>+N253-I253</f>
        <v>358</v>
      </c>
      <c r="C253" s="11" t="s">
        <v>23</v>
      </c>
      <c r="D253" s="11" t="str">
        <f>VLOOKUP(VALUE(MID($C253,13,2)), codigos!$A$2:$B$60, 2, 1) &amp; " " &amp; VLOOKUP(VALUE(MID($C253,15,4)), codigos!$E$2:$F$102, 2, FALSE)</f>
        <v>TORTILLERO  18</v>
      </c>
      <c r="E253" s="11" t="str">
        <f>VLOOKUP(VALUE(MID($C253,19,2)),codigos!$H$2:$I$62,2,1) &amp; " " &amp; VLOOKUP(VALUE(MID($C253,21,2)),codigos!$K$2:$L$12,2,FALSE)</f>
        <v>ROJO S/I</v>
      </c>
      <c r="F253" s="11" t="s">
        <v>24</v>
      </c>
      <c r="G253" s="11" t="s">
        <v>16</v>
      </c>
      <c r="H253" s="52" t="s">
        <v>25</v>
      </c>
      <c r="I253" s="20" t="s">
        <v>26</v>
      </c>
      <c r="J253" s="11">
        <v>48</v>
      </c>
      <c r="K253" s="11">
        <v>48</v>
      </c>
      <c r="L253" s="11">
        <f t="shared" si="32"/>
        <v>0</v>
      </c>
      <c r="M253" s="17">
        <f>(SUM(K253))/(SUM(J253))</f>
        <v>1</v>
      </c>
      <c r="N253" s="96">
        <v>46050</v>
      </c>
    </row>
    <row r="254" spans="1:14" x14ac:dyDescent="0.25">
      <c r="A254" s="11">
        <f t="shared" ref="A254:A272" ca="1" si="33">DAYS360($B$1,I254)</f>
        <v>-83</v>
      </c>
      <c r="B254" s="37">
        <f t="shared" ref="B254:B272" si="34">+N254-I254</f>
        <v>24</v>
      </c>
      <c r="C254" s="11" t="s">
        <v>255</v>
      </c>
      <c r="D254" s="11" t="str">
        <f>VLOOKUP(VALUE(MID($C254,13,2)), [2]codigos!$A$2:$B$60, 2, 1) &amp; " " &amp; VLOOKUP(VALUE(MID($C254,15,4)), [2]codigos!$E$2:$F$102, 2, FALSE)</f>
        <v>BUDINERA   12</v>
      </c>
      <c r="E254" s="11" t="str">
        <f>VLOOKUP(VALUE(MID($C254,19,2)),[2]codigos!$H$2:$I$62,2,1) &amp; " " &amp; VLOOKUP(VALUE(MID($C254,21,2)),[2]codigos!$K$2:$L$12,2,FALSE)</f>
        <v>A/T S/I</v>
      </c>
      <c r="F254" s="11" t="s">
        <v>991</v>
      </c>
      <c r="G254" s="11" t="s">
        <v>11</v>
      </c>
      <c r="H254" s="52" t="s">
        <v>992</v>
      </c>
      <c r="I254" s="20" t="s">
        <v>990</v>
      </c>
      <c r="J254" s="11">
        <v>72</v>
      </c>
      <c r="K254" s="11">
        <f>6+13+1+15+36+1</f>
        <v>72</v>
      </c>
      <c r="L254" s="11">
        <f t="shared" ref="L254:L272" si="35">J254-K254</f>
        <v>0</v>
      </c>
      <c r="M254" s="134">
        <f>(SUM(K254:K272))/(SUM(J254:J272))</f>
        <v>0.84856143079315705</v>
      </c>
      <c r="N254" s="96">
        <v>46051</v>
      </c>
    </row>
    <row r="255" spans="1:14" x14ac:dyDescent="0.25">
      <c r="A255" s="11">
        <f t="shared" ca="1" si="33"/>
        <v>-83</v>
      </c>
      <c r="B255" s="37">
        <f t="shared" si="34"/>
        <v>24</v>
      </c>
      <c r="C255" s="11" t="s">
        <v>256</v>
      </c>
      <c r="D255" s="11" t="str">
        <f>VLOOKUP(VALUE(MID($C255,13,2)), [2]codigos!$A$2:$B$60, 2, 1) &amp; " " &amp; VLOOKUP(VALUE(MID($C255,15,4)), [2]codigos!$E$2:$F$102, 2, FALSE)</f>
        <v>BUDINERA   14</v>
      </c>
      <c r="E255" s="11" t="str">
        <f>VLOOKUP(VALUE(MID($C255,19,2)),[2]codigos!$H$2:$I$62,2,1) &amp; " " &amp; VLOOKUP(VALUE(MID($C255,21,2)),[2]codigos!$K$2:$L$12,2,FALSE)</f>
        <v>A/T S/I</v>
      </c>
      <c r="F255" s="11" t="s">
        <v>991</v>
      </c>
      <c r="G255" s="11" t="s">
        <v>11</v>
      </c>
      <c r="H255" s="52" t="s">
        <v>992</v>
      </c>
      <c r="I255" s="20" t="s">
        <v>990</v>
      </c>
      <c r="J255" s="11">
        <v>360</v>
      </c>
      <c r="K255" s="11">
        <f>108+10+234+8</f>
        <v>360</v>
      </c>
      <c r="L255" s="11">
        <f t="shared" si="35"/>
        <v>0</v>
      </c>
      <c r="M255" s="134"/>
      <c r="N255" s="96">
        <v>46051</v>
      </c>
    </row>
    <row r="256" spans="1:14" x14ac:dyDescent="0.25">
      <c r="A256" s="11">
        <f t="shared" ca="1" si="33"/>
        <v>-83</v>
      </c>
      <c r="B256" s="37">
        <f t="shared" si="34"/>
        <v>24</v>
      </c>
      <c r="C256" s="11" t="s">
        <v>214</v>
      </c>
      <c r="D256" s="11" t="str">
        <f>VLOOKUP(VALUE(MID($C256,13,2)), [2]codigos!$A$2:$B$60, 2, 1) &amp; " " &amp; VLOOKUP(VALUE(MID($C256,15,4)), [2]codigos!$E$2:$F$102, 2, FALSE)</f>
        <v>BUDINERA   18</v>
      </c>
      <c r="E256" s="11" t="str">
        <f>VLOOKUP(VALUE(MID($C256,19,2)),[2]codigos!$H$2:$I$62,2,1) &amp; " " &amp; VLOOKUP(VALUE(MID($C256,21,2)),[2]codigos!$K$2:$L$12,2,FALSE)</f>
        <v>A/T S/I</v>
      </c>
      <c r="F256" s="11" t="s">
        <v>991</v>
      </c>
      <c r="G256" s="11" t="s">
        <v>11</v>
      </c>
      <c r="H256" s="52" t="s">
        <v>992</v>
      </c>
      <c r="I256" s="20" t="s">
        <v>990</v>
      </c>
      <c r="J256" s="11">
        <v>288</v>
      </c>
      <c r="K256" s="11">
        <v>288</v>
      </c>
      <c r="L256" s="11">
        <f t="shared" si="35"/>
        <v>0</v>
      </c>
      <c r="M256" s="134"/>
      <c r="N256" s="96">
        <v>46051</v>
      </c>
    </row>
    <row r="257" spans="1:14" x14ac:dyDescent="0.25">
      <c r="A257" s="11">
        <f t="shared" ca="1" si="33"/>
        <v>-83</v>
      </c>
      <c r="B257" s="37">
        <f t="shared" si="34"/>
        <v>24</v>
      </c>
      <c r="C257" s="11" t="s">
        <v>215</v>
      </c>
      <c r="D257" s="11" t="str">
        <f>VLOOKUP(VALUE(MID($C257,13,2)), [2]codigos!$A$2:$B$60, 2, 1) &amp; " " &amp; VLOOKUP(VALUE(MID($C257,15,4)), [2]codigos!$E$2:$F$102, 2, FALSE)</f>
        <v>BUDINERA   20</v>
      </c>
      <c r="E257" s="11" t="str">
        <f>VLOOKUP(VALUE(MID($C257,19,2)),[2]codigos!$H$2:$I$62,2,1) &amp; " " &amp; VLOOKUP(VALUE(MID($C257,21,2)),[2]codigos!$K$2:$L$12,2,FALSE)</f>
        <v>A/T S/I</v>
      </c>
      <c r="F257" s="11" t="s">
        <v>991</v>
      </c>
      <c r="G257" s="11" t="s">
        <v>11</v>
      </c>
      <c r="H257" s="52" t="s">
        <v>992</v>
      </c>
      <c r="I257" s="20" t="s">
        <v>990</v>
      </c>
      <c r="J257" s="11">
        <v>576</v>
      </c>
      <c r="K257" s="11">
        <f>10+18+18+18+198+108+162+18+26</f>
        <v>576</v>
      </c>
      <c r="L257" s="11">
        <f t="shared" si="35"/>
        <v>0</v>
      </c>
      <c r="M257" s="134"/>
      <c r="N257" s="96">
        <v>46051</v>
      </c>
    </row>
    <row r="258" spans="1:14" x14ac:dyDescent="0.25">
      <c r="A258" s="11">
        <f t="shared" ca="1" si="33"/>
        <v>-83</v>
      </c>
      <c r="B258" s="37">
        <f t="shared" si="34"/>
        <v>24</v>
      </c>
      <c r="C258" s="11" t="s">
        <v>241</v>
      </c>
      <c r="D258" s="11" t="str">
        <f>VLOOKUP(VALUE(MID($C258,13,2)), [2]codigos!$A$2:$B$60, 2, 1) &amp; " " &amp; VLOOKUP(VALUE(MID($C258,15,4)), [2]codigos!$E$2:$F$102, 2, FALSE)</f>
        <v>BUDINERA   22</v>
      </c>
      <c r="E258" s="11" t="str">
        <f>VLOOKUP(VALUE(MID($C258,19,2)),[2]codigos!$H$2:$I$62,2,1) &amp; " " &amp; VLOOKUP(VALUE(MID($C258,21,2)),[2]codigos!$K$2:$L$12,2,FALSE)</f>
        <v>A/T S/I</v>
      </c>
      <c r="F258" s="11" t="s">
        <v>991</v>
      </c>
      <c r="G258" s="11" t="s">
        <v>11</v>
      </c>
      <c r="H258" s="52" t="s">
        <v>992</v>
      </c>
      <c r="I258" s="20" t="s">
        <v>990</v>
      </c>
      <c r="J258" s="11">
        <v>108</v>
      </c>
      <c r="K258" s="11">
        <v>108</v>
      </c>
      <c r="L258" s="11">
        <f t="shared" si="35"/>
        <v>0</v>
      </c>
      <c r="M258" s="134"/>
      <c r="N258" s="96">
        <v>46051</v>
      </c>
    </row>
    <row r="259" spans="1:14" x14ac:dyDescent="0.25">
      <c r="A259" s="11">
        <f t="shared" ca="1" si="33"/>
        <v>-83</v>
      </c>
      <c r="B259" s="37">
        <f t="shared" si="34"/>
        <v>24</v>
      </c>
      <c r="C259" s="11" t="s">
        <v>173</v>
      </c>
      <c r="D259" s="11" t="str">
        <f>VLOOKUP(VALUE(MID($C259,13,2)), [2]codigos!$A$2:$B$60, 2, 1) &amp; " " &amp; VLOOKUP(VALUE(MID($C259,15,4)), [2]codigos!$E$2:$F$102, 2, FALSE)</f>
        <v>BUDINERA   34</v>
      </c>
      <c r="E259" s="11" t="str">
        <f>VLOOKUP(VALUE(MID($C259,19,2)),[2]codigos!$H$2:$I$62,2,1) &amp; " " &amp; VLOOKUP(VALUE(MID($C259,21,2)),[2]codigos!$K$2:$L$12,2,FALSE)</f>
        <v>A/T S/I</v>
      </c>
      <c r="F259" s="11" t="s">
        <v>991</v>
      </c>
      <c r="G259" s="11" t="s">
        <v>11</v>
      </c>
      <c r="H259" s="52" t="s">
        <v>992</v>
      </c>
      <c r="I259" s="20" t="s">
        <v>990</v>
      </c>
      <c r="J259" s="11">
        <v>52</v>
      </c>
      <c r="K259" s="11">
        <v>16</v>
      </c>
      <c r="L259" s="11">
        <f t="shared" si="35"/>
        <v>36</v>
      </c>
      <c r="M259" s="134"/>
      <c r="N259" s="96">
        <v>46051</v>
      </c>
    </row>
    <row r="260" spans="1:14" x14ac:dyDescent="0.25">
      <c r="A260" s="11">
        <f t="shared" ca="1" si="33"/>
        <v>-83</v>
      </c>
      <c r="B260" s="37">
        <f t="shared" si="34"/>
        <v>24</v>
      </c>
      <c r="C260" s="11" t="s">
        <v>242</v>
      </c>
      <c r="D260" s="11" t="str">
        <f>VLOOKUP(VALUE(MID($C260,13,2)), [2]codigos!$A$2:$B$60, 2, 1) &amp; " " &amp; VLOOKUP(VALUE(MID($C260,15,4)), [2]codigos!$E$2:$F$102, 2, FALSE)</f>
        <v>COMAL 22</v>
      </c>
      <c r="E260" s="11" t="str">
        <f>VLOOKUP(VALUE(MID($C260,19,2)),[2]codigos!$H$2:$I$62,2,1) &amp; " " &amp; VLOOKUP(VALUE(MID($C260,21,2)),[2]codigos!$K$2:$L$12,2,FALSE)</f>
        <v>NEGRO MOTAS S/I</v>
      </c>
      <c r="F260" s="11" t="s">
        <v>991</v>
      </c>
      <c r="G260" s="11" t="s">
        <v>11</v>
      </c>
      <c r="H260" s="52" t="s">
        <v>992</v>
      </c>
      <c r="I260" s="20" t="s">
        <v>990</v>
      </c>
      <c r="J260" s="11">
        <v>264</v>
      </c>
      <c r="K260" s="11">
        <v>264</v>
      </c>
      <c r="L260" s="11">
        <f t="shared" si="35"/>
        <v>0</v>
      </c>
      <c r="M260" s="134"/>
      <c r="N260" s="96">
        <v>46051</v>
      </c>
    </row>
    <row r="261" spans="1:14" x14ac:dyDescent="0.25">
      <c r="A261" s="11">
        <f t="shared" ca="1" si="33"/>
        <v>-83</v>
      </c>
      <c r="B261" s="37">
        <f t="shared" si="34"/>
        <v>24</v>
      </c>
      <c r="C261" s="11" t="s">
        <v>149</v>
      </c>
      <c r="D261" s="11" t="str">
        <f>VLOOKUP(VALUE(MID($C261,13,2)), [2]codigos!$A$2:$B$60, 2, 1) &amp; " " &amp; VLOOKUP(VALUE(MID($C261,15,4)), [2]codigos!$E$2:$F$102, 2, FALSE)</f>
        <v>COMAL 28</v>
      </c>
      <c r="E261" s="11" t="str">
        <f>VLOOKUP(VALUE(MID($C261,19,2)),[2]codigos!$H$2:$I$62,2,1) &amp; " " &amp; VLOOKUP(VALUE(MID($C261,21,2)),[2]codigos!$K$2:$L$12,2,FALSE)</f>
        <v>NEGRO MOTAS S/I</v>
      </c>
      <c r="F261" s="11" t="s">
        <v>991</v>
      </c>
      <c r="G261" s="11" t="s">
        <v>11</v>
      </c>
      <c r="H261" s="52" t="s">
        <v>992</v>
      </c>
      <c r="I261" s="20" t="s">
        <v>990</v>
      </c>
      <c r="J261" s="11">
        <v>864</v>
      </c>
      <c r="K261" s="11">
        <v>864</v>
      </c>
      <c r="L261" s="11">
        <f t="shared" si="35"/>
        <v>0</v>
      </c>
      <c r="M261" s="134"/>
      <c r="N261" s="96">
        <v>46051</v>
      </c>
    </row>
    <row r="262" spans="1:14" x14ac:dyDescent="0.25">
      <c r="A262" s="11">
        <f t="shared" ca="1" si="33"/>
        <v>-83</v>
      </c>
      <c r="B262" s="37">
        <f t="shared" si="34"/>
        <v>24</v>
      </c>
      <c r="C262" s="11" t="s">
        <v>187</v>
      </c>
      <c r="D262" s="11" t="str">
        <f>VLOOKUP(VALUE(MID($C262,13,2)), [2]codigos!$A$2:$B$60, 2, 1) &amp; " " &amp; VLOOKUP(VALUE(MID($C262,15,4)), [2]codigos!$E$2:$F$102, 2, FALSE)</f>
        <v>OLLA CONVEXA 12</v>
      </c>
      <c r="E262" s="11" t="str">
        <f>VLOOKUP(VALUE(MID($C262,19,2)),[2]codigos!$H$2:$I$62,2,1) &amp; " " &amp; VLOOKUP(VALUE(MID($C262,21,2)),[2]codigos!$K$2:$L$12,2,FALSE)</f>
        <v>A/T S/I</v>
      </c>
      <c r="F262" s="11" t="s">
        <v>991</v>
      </c>
      <c r="G262" s="11" t="s">
        <v>11</v>
      </c>
      <c r="H262" s="52" t="s">
        <v>992</v>
      </c>
      <c r="I262" s="20" t="s">
        <v>990</v>
      </c>
      <c r="J262" s="11">
        <v>198</v>
      </c>
      <c r="K262" s="11">
        <f>110+36+36+9+7</f>
        <v>198</v>
      </c>
      <c r="L262" s="11">
        <f t="shared" si="35"/>
        <v>0</v>
      </c>
      <c r="M262" s="134"/>
      <c r="N262" s="96">
        <v>46051</v>
      </c>
    </row>
    <row r="263" spans="1:14" x14ac:dyDescent="0.25">
      <c r="A263" s="11">
        <f t="shared" ca="1" si="33"/>
        <v>-83</v>
      </c>
      <c r="B263" s="37">
        <f t="shared" si="34"/>
        <v>24</v>
      </c>
      <c r="C263" s="11" t="s">
        <v>333</v>
      </c>
      <c r="D263" s="11" t="str">
        <f>VLOOKUP(VALUE(MID($C263,13,2)), [2]codigos!$A$2:$B$60, 2, 1) &amp; " " &amp; VLOOKUP(VALUE(MID($C263,15,4)), [2]codigos!$E$2:$F$102, 2, FALSE)</f>
        <v>OLLA CONVEXA 14</v>
      </c>
      <c r="E263" s="11" t="str">
        <f>VLOOKUP(VALUE(MID($C263,19,2)),[2]codigos!$H$2:$I$62,2,1) &amp; " " &amp; VLOOKUP(VALUE(MID($C263,21,2)),[2]codigos!$K$2:$L$12,2,FALSE)</f>
        <v>A/T S/I</v>
      </c>
      <c r="F263" s="11" t="s">
        <v>991</v>
      </c>
      <c r="G263" s="11" t="s">
        <v>11</v>
      </c>
      <c r="H263" s="52" t="s">
        <v>992</v>
      </c>
      <c r="I263" s="20" t="s">
        <v>990</v>
      </c>
      <c r="J263" s="11">
        <v>360</v>
      </c>
      <c r="K263" s="11">
        <v>0</v>
      </c>
      <c r="L263" s="11">
        <f t="shared" si="35"/>
        <v>360</v>
      </c>
      <c r="M263" s="134"/>
      <c r="N263" s="96">
        <v>46051</v>
      </c>
    </row>
    <row r="264" spans="1:14" x14ac:dyDescent="0.25">
      <c r="A264" s="11">
        <f t="shared" ca="1" si="33"/>
        <v>-83</v>
      </c>
      <c r="B264" s="37">
        <f t="shared" si="34"/>
        <v>24</v>
      </c>
      <c r="C264" s="11" t="s">
        <v>150</v>
      </c>
      <c r="D264" s="11" t="str">
        <f>VLOOKUP(VALUE(MID($C264,13,2)), [2]codigos!$A$2:$B$60, 2, 1) &amp; " " &amp; VLOOKUP(VALUE(MID($C264,15,4)), [2]codigos!$E$2:$F$102, 2, FALSE)</f>
        <v>OLLA CONVEXA 18</v>
      </c>
      <c r="E264" s="11" t="str">
        <f>VLOOKUP(VALUE(MID($C264,19,2)),[2]codigos!$H$2:$I$62,2,1) &amp; " " &amp; VLOOKUP(VALUE(MID($C264,21,2)),[2]codigos!$K$2:$L$12,2,FALSE)</f>
        <v>A/T S/I</v>
      </c>
      <c r="F264" s="11" t="s">
        <v>991</v>
      </c>
      <c r="G264" s="11" t="s">
        <v>11</v>
      </c>
      <c r="H264" s="52" t="s">
        <v>992</v>
      </c>
      <c r="I264" s="20" t="s">
        <v>990</v>
      </c>
      <c r="J264" s="11">
        <v>24</v>
      </c>
      <c r="K264" s="11">
        <v>24</v>
      </c>
      <c r="L264" s="11">
        <f t="shared" si="35"/>
        <v>0</v>
      </c>
      <c r="M264" s="134"/>
      <c r="N264" s="96">
        <v>46051</v>
      </c>
    </row>
    <row r="265" spans="1:14" x14ac:dyDescent="0.25">
      <c r="A265" s="11">
        <f t="shared" ca="1" si="33"/>
        <v>-83</v>
      </c>
      <c r="B265" s="37">
        <f t="shared" si="34"/>
        <v>24</v>
      </c>
      <c r="C265" s="11" t="s">
        <v>152</v>
      </c>
      <c r="D265" s="11" t="str">
        <f>VLOOKUP(VALUE(MID($C265,13,2)), [2]codigos!$A$2:$B$60, 2, 1) &amp; " " &amp; VLOOKUP(VALUE(MID($C265,15,4)), [2]codigos!$E$2:$F$102, 2, FALSE)</f>
        <v>OLLA CONVEXA 24</v>
      </c>
      <c r="E265" s="11" t="str">
        <f>VLOOKUP(VALUE(MID($C265,19,2)),[2]codigos!$H$2:$I$62,2,1) &amp; " " &amp; VLOOKUP(VALUE(MID($C265,21,2)),[2]codigos!$K$2:$L$12,2,FALSE)</f>
        <v>A/T S/I</v>
      </c>
      <c r="F265" s="11" t="s">
        <v>991</v>
      </c>
      <c r="G265" s="11" t="s">
        <v>11</v>
      </c>
      <c r="H265" s="52" t="s">
        <v>992</v>
      </c>
      <c r="I265" s="20" t="s">
        <v>990</v>
      </c>
      <c r="J265" s="11">
        <v>72</v>
      </c>
      <c r="K265" s="11">
        <v>0</v>
      </c>
      <c r="L265" s="11">
        <f t="shared" si="35"/>
        <v>72</v>
      </c>
      <c r="M265" s="134"/>
      <c r="N265" s="96">
        <v>46051</v>
      </c>
    </row>
    <row r="266" spans="1:14" x14ac:dyDescent="0.25">
      <c r="A266" s="11">
        <f t="shared" ca="1" si="33"/>
        <v>-83</v>
      </c>
      <c r="B266" s="37">
        <f t="shared" si="34"/>
        <v>24</v>
      </c>
      <c r="C266" s="11" t="s">
        <v>153</v>
      </c>
      <c r="D266" s="11" t="str">
        <f>VLOOKUP(VALUE(MID($C266,13,2)), [2]codigos!$A$2:$B$60, 2, 1) &amp; " " &amp; VLOOKUP(VALUE(MID($C266,15,4)), [2]codigos!$E$2:$F$102, 2, FALSE)</f>
        <v>OLLA CONVEXA 26</v>
      </c>
      <c r="E266" s="11" t="str">
        <f>VLOOKUP(VALUE(MID($C266,19,2)),[2]codigos!$H$2:$I$62,2,1) &amp; " " &amp; VLOOKUP(VALUE(MID($C266,21,2)),[2]codigos!$K$2:$L$12,2,FALSE)</f>
        <v>A/T S/I</v>
      </c>
      <c r="F266" s="11" t="s">
        <v>991</v>
      </c>
      <c r="G266" s="11" t="s">
        <v>11</v>
      </c>
      <c r="H266" s="52" t="s">
        <v>992</v>
      </c>
      <c r="I266" s="20" t="s">
        <v>990</v>
      </c>
      <c r="J266" s="11">
        <v>54</v>
      </c>
      <c r="K266" s="11">
        <v>54</v>
      </c>
      <c r="L266" s="11">
        <f t="shared" si="35"/>
        <v>0</v>
      </c>
      <c r="M266" s="134"/>
      <c r="N266" s="96">
        <v>46051</v>
      </c>
    </row>
    <row r="267" spans="1:14" x14ac:dyDescent="0.25">
      <c r="A267" s="11">
        <f t="shared" ca="1" si="33"/>
        <v>-83</v>
      </c>
      <c r="B267" s="37">
        <f t="shared" si="34"/>
        <v>24</v>
      </c>
      <c r="C267" s="11" t="s">
        <v>154</v>
      </c>
      <c r="D267" s="11" t="str">
        <f>VLOOKUP(VALUE(MID($C267,13,2)), [2]codigos!$A$2:$B$60, 2, 1) &amp; " " &amp; VLOOKUP(VALUE(MID($C267,15,4)), [2]codigos!$E$2:$F$102, 2, FALSE)</f>
        <v>OLLA CONVEXA 30</v>
      </c>
      <c r="E267" s="11" t="str">
        <f>VLOOKUP(VALUE(MID($C267,19,2)),[2]codigos!$H$2:$I$62,2,1) &amp; " " &amp; VLOOKUP(VALUE(MID($C267,21,2)),[2]codigos!$K$2:$L$12,2,FALSE)</f>
        <v>A/T S/I</v>
      </c>
      <c r="F267" s="11" t="s">
        <v>991</v>
      </c>
      <c r="G267" s="11" t="s">
        <v>11</v>
      </c>
      <c r="H267" s="52" t="s">
        <v>992</v>
      </c>
      <c r="I267" s="20" t="s">
        <v>990</v>
      </c>
      <c r="J267" s="11">
        <v>52</v>
      </c>
      <c r="K267" s="11">
        <v>0</v>
      </c>
      <c r="L267" s="11">
        <f t="shared" si="35"/>
        <v>52</v>
      </c>
      <c r="M267" s="134"/>
      <c r="N267" s="96">
        <v>46051</v>
      </c>
    </row>
    <row r="268" spans="1:14" x14ac:dyDescent="0.25">
      <c r="A268" s="11">
        <f t="shared" ca="1" si="33"/>
        <v>-83</v>
      </c>
      <c r="B268" s="37">
        <f t="shared" si="34"/>
        <v>24</v>
      </c>
      <c r="C268" s="11" t="s">
        <v>222</v>
      </c>
      <c r="D268" s="11" t="str">
        <f>VLOOKUP(VALUE(MID($C268,13,2)), [2]codigos!$A$2:$B$60, 2, 1) &amp; " " &amp; VLOOKUP(VALUE(MID($C268,15,4)), [2]codigos!$E$2:$F$102, 2, FALSE)</f>
        <v>OLLA RECTA 12</v>
      </c>
      <c r="E268" s="11" t="str">
        <f>VLOOKUP(VALUE(MID($C268,19,2)),[2]codigos!$H$2:$I$62,2,1) &amp; " " &amp; VLOOKUP(VALUE(MID($C268,21,2)),[2]codigos!$K$2:$L$12,2,FALSE)</f>
        <v>A/T S/I</v>
      </c>
      <c r="F268" s="11" t="s">
        <v>991</v>
      </c>
      <c r="G268" s="11" t="s">
        <v>11</v>
      </c>
      <c r="H268" s="52" t="s">
        <v>992</v>
      </c>
      <c r="I268" s="20" t="s">
        <v>990</v>
      </c>
      <c r="J268" s="11">
        <v>360</v>
      </c>
      <c r="K268" s="11">
        <f>128+180</f>
        <v>308</v>
      </c>
      <c r="L268" s="11">
        <f t="shared" si="35"/>
        <v>52</v>
      </c>
      <c r="M268" s="134"/>
      <c r="N268" s="96">
        <v>46051</v>
      </c>
    </row>
    <row r="269" spans="1:14" x14ac:dyDescent="0.25">
      <c r="A269" s="11">
        <f t="shared" ca="1" si="33"/>
        <v>-83</v>
      </c>
      <c r="B269" s="37">
        <f t="shared" si="34"/>
        <v>24</v>
      </c>
      <c r="C269" s="11" t="s">
        <v>257</v>
      </c>
      <c r="D269" s="11" t="str">
        <f>VLOOKUP(VALUE(MID($C269,13,2)), [2]codigos!$A$2:$B$60, 2, 1) &amp; " " &amp; VLOOKUP(VALUE(MID($C269,15,4)), [2]codigos!$E$2:$F$102, 2, FALSE)</f>
        <v>OLLA RECTA 14</v>
      </c>
      <c r="E269" s="11" t="str">
        <f>VLOOKUP(VALUE(MID($C269,19,2)),[2]codigos!$H$2:$I$62,2,1) &amp; " " &amp; VLOOKUP(VALUE(MID($C269,21,2)),[2]codigos!$K$2:$L$12,2,FALSE)</f>
        <v>A/T S/I</v>
      </c>
      <c r="F269" s="11" t="s">
        <v>991</v>
      </c>
      <c r="G269" s="11" t="s">
        <v>11</v>
      </c>
      <c r="H269" s="52" t="s">
        <v>992</v>
      </c>
      <c r="I269" s="20" t="s">
        <v>990</v>
      </c>
      <c r="J269" s="11">
        <v>774</v>
      </c>
      <c r="K269" s="11">
        <f>324+33+162+36+12</f>
        <v>567</v>
      </c>
      <c r="L269" s="11">
        <f t="shared" si="35"/>
        <v>207</v>
      </c>
      <c r="M269" s="134"/>
      <c r="N269" s="96">
        <v>46051</v>
      </c>
    </row>
    <row r="270" spans="1:14" x14ac:dyDescent="0.25">
      <c r="A270" s="11">
        <f t="shared" ca="1" si="33"/>
        <v>-83</v>
      </c>
      <c r="B270" s="37">
        <f t="shared" si="34"/>
        <v>24</v>
      </c>
      <c r="C270" s="11" t="s">
        <v>180</v>
      </c>
      <c r="D270" s="11" t="str">
        <f>VLOOKUP(VALUE(MID($C270,13,2)), [2]codigos!$A$2:$B$60, 2, 1) &amp; " " &amp; VLOOKUP(VALUE(MID($C270,15,4)), [2]codigos!$E$2:$F$102, 2, FALSE)</f>
        <v>POCILLO 12</v>
      </c>
      <c r="E270" s="11" t="str">
        <f>VLOOKUP(VALUE(MID($C270,19,2)),[2]codigos!$H$2:$I$62,2,1) &amp; " " &amp; VLOOKUP(VALUE(MID($C270,21,2)),[2]codigos!$K$2:$L$12,2,FALSE)</f>
        <v>A/T S/I</v>
      </c>
      <c r="F270" s="11" t="s">
        <v>991</v>
      </c>
      <c r="G270" s="11" t="s">
        <v>11</v>
      </c>
      <c r="H270" s="52" t="s">
        <v>992</v>
      </c>
      <c r="I270" s="20" t="s">
        <v>990</v>
      </c>
      <c r="J270" s="11">
        <v>252</v>
      </c>
      <c r="K270" s="11">
        <f>54+180+18</f>
        <v>252</v>
      </c>
      <c r="L270" s="11">
        <f t="shared" si="35"/>
        <v>0</v>
      </c>
      <c r="M270" s="134"/>
      <c r="N270" s="96">
        <v>46051</v>
      </c>
    </row>
    <row r="271" spans="1:14" x14ac:dyDescent="0.25">
      <c r="A271" s="11">
        <f t="shared" ca="1" si="33"/>
        <v>-83</v>
      </c>
      <c r="B271" s="37">
        <f t="shared" si="34"/>
        <v>24</v>
      </c>
      <c r="C271" s="11" t="s">
        <v>182</v>
      </c>
      <c r="D271" s="11" t="str">
        <f>VLOOKUP(VALUE(MID($C271,13,2)), [2]codigos!$A$2:$B$60, 2, 1) &amp; " " &amp; VLOOKUP(VALUE(MID($C271,15,4)), [2]codigos!$E$2:$F$102, 2, FALSE)</f>
        <v>POCILLO 14</v>
      </c>
      <c r="E271" s="11" t="str">
        <f>VLOOKUP(VALUE(MID($C271,19,2)),[2]codigos!$H$2:$I$62,2,1) &amp; " " &amp; VLOOKUP(VALUE(MID($C271,21,2)),[2]codigos!$K$2:$L$12,2,FALSE)</f>
        <v>A/T S/I</v>
      </c>
      <c r="F271" s="11" t="s">
        <v>991</v>
      </c>
      <c r="G271" s="11" t="s">
        <v>11</v>
      </c>
      <c r="H271" s="52" t="s">
        <v>992</v>
      </c>
      <c r="I271" s="20" t="s">
        <v>990</v>
      </c>
      <c r="J271" s="11">
        <v>270</v>
      </c>
      <c r="K271" s="11">
        <v>270</v>
      </c>
      <c r="L271" s="11">
        <f t="shared" si="35"/>
        <v>0</v>
      </c>
      <c r="M271" s="134"/>
      <c r="N271" s="96">
        <v>46051</v>
      </c>
    </row>
    <row r="272" spans="1:14" x14ac:dyDescent="0.25">
      <c r="A272" s="11">
        <f t="shared" ca="1" si="33"/>
        <v>-83</v>
      </c>
      <c r="B272" s="37">
        <f t="shared" si="34"/>
        <v>24</v>
      </c>
      <c r="C272" s="11" t="s">
        <v>188</v>
      </c>
      <c r="D272" s="11" t="str">
        <f>VLOOKUP(VALUE(MID($C272,13,2)), [2]codigos!$A$2:$B$60, 2, 1) &amp; " " &amp; VLOOKUP(VALUE(MID($C272,15,4)), [2]codigos!$E$2:$F$102, 2, FALSE)</f>
        <v>POCILLO 14</v>
      </c>
      <c r="E272" s="11" t="str">
        <f>VLOOKUP(VALUE(MID($C272,19,2)),[2]codigos!$H$2:$I$62,2,1) &amp; " " &amp; VLOOKUP(VALUE(MID($C272,21,2)),[2]codigos!$K$2:$L$12,2,FALSE)</f>
        <v>S/I S/I</v>
      </c>
      <c r="F272" s="11" t="s">
        <v>991</v>
      </c>
      <c r="G272" s="11" t="s">
        <v>11</v>
      </c>
      <c r="H272" s="52" t="s">
        <v>992</v>
      </c>
      <c r="I272" s="20" t="s">
        <v>990</v>
      </c>
      <c r="J272" s="11">
        <v>144</v>
      </c>
      <c r="K272" s="11">
        <v>144</v>
      </c>
      <c r="L272" s="11">
        <f t="shared" si="35"/>
        <v>0</v>
      </c>
      <c r="M272" s="134"/>
      <c r="N272" s="96">
        <v>46051</v>
      </c>
    </row>
    <row r="273" spans="1:14" x14ac:dyDescent="0.25">
      <c r="A273" s="11">
        <f t="shared" ref="A273:A289" ca="1" si="36">DAYS360($B$1,I273)</f>
        <v>-113</v>
      </c>
      <c r="B273" s="37">
        <f t="shared" ref="B273:B289" si="37">+N273-I273</f>
        <v>55</v>
      </c>
      <c r="C273" s="64" t="s">
        <v>229</v>
      </c>
      <c r="D273" s="64" t="str">
        <f>VLOOKUP(VALUE(MID($C273,13,2)), codigos!$A$2:$B$60, 2, 1) &amp; " " &amp; VLOOKUP(VALUE(MID($C273,15,4)), codigos!$E$2:$F$102, 2, FALSE)</f>
        <v>BATERIA ALASKA</v>
      </c>
      <c r="E273" s="64" t="str">
        <f>VLOOKUP(VALUE(MID($C273,19,2)),codigos!$H$2:$I$62,2,1) &amp; " " &amp; VLOOKUP(VALUE(MID($C273,21,2)),codigos!$K$2:$L$12,2,FALSE)</f>
        <v>S/I S/I</v>
      </c>
      <c r="F273" s="64" t="s">
        <v>413</v>
      </c>
      <c r="G273" s="64" t="s">
        <v>145</v>
      </c>
      <c r="H273" s="66" t="s">
        <v>870</v>
      </c>
      <c r="I273" s="64" t="s">
        <v>871</v>
      </c>
      <c r="J273" s="64">
        <v>10</v>
      </c>
      <c r="K273" s="64">
        <v>0</v>
      </c>
      <c r="L273" s="64">
        <f t="shared" ref="L273:L306" si="38">+J273-K273</f>
        <v>10</v>
      </c>
      <c r="M273" s="131">
        <f>(SUM(K273:K289))/(SUM(J273:J289))</f>
        <v>0.5787937743190662</v>
      </c>
      <c r="N273" s="96">
        <v>46051</v>
      </c>
    </row>
    <row r="274" spans="1:14" x14ac:dyDescent="0.25">
      <c r="A274" s="11">
        <f t="shared" ca="1" si="36"/>
        <v>-113</v>
      </c>
      <c r="B274" s="37">
        <f t="shared" si="37"/>
        <v>55</v>
      </c>
      <c r="C274" s="64" t="s">
        <v>232</v>
      </c>
      <c r="D274" s="64" t="str">
        <f>VLOOKUP(VALUE(MID($C274,13,2)), codigos!$A$2:$B$60, 2, 1) &amp; " " &amp; VLOOKUP(VALUE(MID($C274,15,4)), codigos!$E$2:$F$102, 2, FALSE)</f>
        <v>BATERIA ALEGRIA</v>
      </c>
      <c r="E274" s="64" t="str">
        <f>VLOOKUP(VALUE(MID($C274,19,2)),codigos!$H$2:$I$62,2,1) &amp; " " &amp; VLOOKUP(VALUE(MID($C274,21,2)),codigos!$K$2:$L$12,2,FALSE)</f>
        <v>S/I S/I</v>
      </c>
      <c r="F274" s="64" t="s">
        <v>413</v>
      </c>
      <c r="G274" s="64" t="s">
        <v>145</v>
      </c>
      <c r="H274" s="66" t="s">
        <v>870</v>
      </c>
      <c r="I274" s="64" t="s">
        <v>871</v>
      </c>
      <c r="J274" s="64">
        <v>10</v>
      </c>
      <c r="K274" s="64">
        <v>0</v>
      </c>
      <c r="L274" s="64">
        <f t="shared" si="38"/>
        <v>10</v>
      </c>
      <c r="M274" s="131"/>
      <c r="N274" s="96">
        <v>46051</v>
      </c>
    </row>
    <row r="275" spans="1:14" x14ac:dyDescent="0.25">
      <c r="A275" s="11">
        <f t="shared" ca="1" si="36"/>
        <v>-113</v>
      </c>
      <c r="B275" s="37">
        <f t="shared" si="37"/>
        <v>55</v>
      </c>
      <c r="C275" s="64" t="s">
        <v>235</v>
      </c>
      <c r="D275" s="64" t="str">
        <f>VLOOKUP(VALUE(MID($C275,13,2)), codigos!$A$2:$B$60, 2, 1) &amp; " " &amp; VLOOKUP(VALUE(MID($C275,15,4)), codigos!$E$2:$F$102, 2, FALSE)</f>
        <v>BATERIA XOCHITL</v>
      </c>
      <c r="E275" s="64" t="str">
        <f>VLOOKUP(VALUE(MID($C275,19,2)),codigos!$H$2:$I$62,2,1) &amp; " " &amp; VLOOKUP(VALUE(MID($C275,21,2)),codigos!$K$2:$L$12,2,FALSE)</f>
        <v>S/I S/I</v>
      </c>
      <c r="F275" s="64" t="s">
        <v>413</v>
      </c>
      <c r="G275" s="64" t="s">
        <v>145</v>
      </c>
      <c r="H275" s="66" t="s">
        <v>870</v>
      </c>
      <c r="I275" s="64" t="s">
        <v>871</v>
      </c>
      <c r="J275" s="64">
        <v>10</v>
      </c>
      <c r="K275" s="64">
        <v>0</v>
      </c>
      <c r="L275" s="64">
        <f t="shared" si="38"/>
        <v>10</v>
      </c>
      <c r="M275" s="131"/>
      <c r="N275" s="96">
        <v>46051</v>
      </c>
    </row>
    <row r="276" spans="1:14" x14ac:dyDescent="0.25">
      <c r="A276" s="11">
        <f t="shared" ca="1" si="36"/>
        <v>-113</v>
      </c>
      <c r="B276" s="37">
        <f t="shared" si="37"/>
        <v>55</v>
      </c>
      <c r="C276" s="11" t="s">
        <v>255</v>
      </c>
      <c r="D276" s="11" t="str">
        <f>VLOOKUP(VALUE(MID($C276,13,2)), codigos!$A$2:$B$60, 2, 1) &amp; " " &amp; VLOOKUP(VALUE(MID($C276,15,4)), codigos!$E$2:$F$102, 2, FALSE)</f>
        <v>BUDINERA 12</v>
      </c>
      <c r="E276" s="11" t="str">
        <f>VLOOKUP(VALUE(MID($C276,19,2)),codigos!$H$2:$I$62,2,1) &amp; " " &amp; VLOOKUP(VALUE(MID($C276,21,2)),codigos!$K$2:$L$12,2,FALSE)</f>
        <v>A/T S/I</v>
      </c>
      <c r="F276" s="11" t="s">
        <v>413</v>
      </c>
      <c r="G276" s="11" t="s">
        <v>145</v>
      </c>
      <c r="H276" s="52" t="s">
        <v>870</v>
      </c>
      <c r="I276" s="20" t="s">
        <v>871</v>
      </c>
      <c r="J276" s="11">
        <v>108</v>
      </c>
      <c r="K276" s="11">
        <f>6+90+12</f>
        <v>108</v>
      </c>
      <c r="L276" s="11">
        <f t="shared" si="38"/>
        <v>0</v>
      </c>
      <c r="M276" s="131"/>
      <c r="N276" s="96">
        <v>46051</v>
      </c>
    </row>
    <row r="277" spans="1:14" x14ac:dyDescent="0.25">
      <c r="A277" s="11">
        <f t="shared" ca="1" si="36"/>
        <v>-113</v>
      </c>
      <c r="B277" s="37">
        <f t="shared" si="37"/>
        <v>55</v>
      </c>
      <c r="C277" s="11" t="s">
        <v>256</v>
      </c>
      <c r="D277" s="11" t="str">
        <f>VLOOKUP(VALUE(MID($C277,13,2)), codigos!$A$2:$B$60, 2, 1) &amp; " " &amp; VLOOKUP(VALUE(MID($C277,15,4)), codigos!$E$2:$F$102, 2, FALSE)</f>
        <v>BUDINERA 14</v>
      </c>
      <c r="E277" s="11" t="str">
        <f>VLOOKUP(VALUE(MID($C277,19,2)),codigos!$H$2:$I$62,2,1) &amp; " " &amp; VLOOKUP(VALUE(MID($C277,21,2)),codigos!$K$2:$L$12,2,FALSE)</f>
        <v>A/T S/I</v>
      </c>
      <c r="F277" s="11" t="s">
        <v>413</v>
      </c>
      <c r="G277" s="11" t="s">
        <v>145</v>
      </c>
      <c r="H277" s="52" t="s">
        <v>870</v>
      </c>
      <c r="I277" s="20" t="s">
        <v>871</v>
      </c>
      <c r="J277" s="11">
        <v>108</v>
      </c>
      <c r="K277" s="11">
        <v>108</v>
      </c>
      <c r="L277" s="11">
        <f t="shared" si="38"/>
        <v>0</v>
      </c>
      <c r="M277" s="131"/>
      <c r="N277" s="96">
        <v>46051</v>
      </c>
    </row>
    <row r="278" spans="1:14" x14ac:dyDescent="0.25">
      <c r="A278" s="11">
        <f t="shared" ca="1" si="36"/>
        <v>-113</v>
      </c>
      <c r="B278" s="37">
        <f t="shared" si="37"/>
        <v>55</v>
      </c>
      <c r="C278" s="11" t="s">
        <v>189</v>
      </c>
      <c r="D278" s="11" t="str">
        <f>VLOOKUP(VALUE(MID($C278,13,2)), codigos!$A$2:$B$60, 2, 1) &amp; " " &amp; VLOOKUP(VALUE(MID($C278,15,4)), codigos!$E$2:$F$102, 2, FALSE)</f>
        <v>BUDINERA 16</v>
      </c>
      <c r="E278" s="11" t="str">
        <f>VLOOKUP(VALUE(MID($C278,19,2)),codigos!$H$2:$I$62,2,1) &amp; " " &amp; VLOOKUP(VALUE(MID($C278,21,2)),codigos!$K$2:$L$12,2,FALSE)</f>
        <v>A/T S/I</v>
      </c>
      <c r="F278" s="11" t="s">
        <v>413</v>
      </c>
      <c r="G278" s="11" t="s">
        <v>145</v>
      </c>
      <c r="H278" s="52" t="s">
        <v>870</v>
      </c>
      <c r="I278" s="20" t="s">
        <v>871</v>
      </c>
      <c r="J278" s="11">
        <v>108</v>
      </c>
      <c r="K278" s="11">
        <v>0</v>
      </c>
      <c r="L278" s="11">
        <f t="shared" si="38"/>
        <v>108</v>
      </c>
      <c r="M278" s="131"/>
      <c r="N278" s="96">
        <v>46051</v>
      </c>
    </row>
    <row r="279" spans="1:14" x14ac:dyDescent="0.25">
      <c r="A279" s="11">
        <f t="shared" ca="1" si="36"/>
        <v>-113</v>
      </c>
      <c r="B279" s="37">
        <f t="shared" si="37"/>
        <v>55</v>
      </c>
      <c r="C279" s="11" t="s">
        <v>214</v>
      </c>
      <c r="D279" s="11" t="str">
        <f>VLOOKUP(VALUE(MID($C279,13,2)), codigos!$A$2:$B$60, 2, 1) &amp; " " &amp; VLOOKUP(VALUE(MID($C279,15,4)), codigos!$E$2:$F$102, 2, FALSE)</f>
        <v>BUDINERA 18</v>
      </c>
      <c r="E279" s="11" t="str">
        <f>VLOOKUP(VALUE(MID($C279,19,2)),codigos!$H$2:$I$62,2,1) &amp; " " &amp; VLOOKUP(VALUE(MID($C279,21,2)),codigos!$K$2:$L$12,2,FALSE)</f>
        <v>A/T S/I</v>
      </c>
      <c r="F279" s="11" t="s">
        <v>413</v>
      </c>
      <c r="G279" s="11" t="s">
        <v>145</v>
      </c>
      <c r="H279" s="52" t="s">
        <v>870</v>
      </c>
      <c r="I279" s="20" t="s">
        <v>871</v>
      </c>
      <c r="J279" s="11">
        <v>90</v>
      </c>
      <c r="K279" s="11">
        <v>90</v>
      </c>
      <c r="L279" s="11">
        <f t="shared" si="38"/>
        <v>0</v>
      </c>
      <c r="M279" s="131"/>
      <c r="N279" s="96">
        <v>46051</v>
      </c>
    </row>
    <row r="280" spans="1:14" x14ac:dyDescent="0.25">
      <c r="A280" s="11">
        <f t="shared" ca="1" si="36"/>
        <v>-113</v>
      </c>
      <c r="B280" s="37">
        <f t="shared" si="37"/>
        <v>55</v>
      </c>
      <c r="C280" s="11" t="s">
        <v>215</v>
      </c>
      <c r="D280" s="11" t="str">
        <f>VLOOKUP(VALUE(MID($C280,13,2)), codigos!$A$2:$B$60, 2, 1) &amp; " " &amp; VLOOKUP(VALUE(MID($C280,15,4)), codigos!$E$2:$F$102, 2, FALSE)</f>
        <v>BUDINERA 20</v>
      </c>
      <c r="E280" s="11" t="str">
        <f>VLOOKUP(VALUE(MID($C280,19,2)),codigos!$H$2:$I$62,2,1) &amp; " " &amp; VLOOKUP(VALUE(MID($C280,21,2)),codigos!$K$2:$L$12,2,FALSE)</f>
        <v>A/T S/I</v>
      </c>
      <c r="F280" s="11" t="s">
        <v>413</v>
      </c>
      <c r="G280" s="11" t="s">
        <v>145</v>
      </c>
      <c r="H280" s="52" t="s">
        <v>870</v>
      </c>
      <c r="I280" s="20" t="s">
        <v>871</v>
      </c>
      <c r="J280" s="11">
        <v>90</v>
      </c>
      <c r="K280" s="11">
        <f>18+10+1</f>
        <v>29</v>
      </c>
      <c r="L280" s="11">
        <f t="shared" si="38"/>
        <v>61</v>
      </c>
      <c r="M280" s="131"/>
      <c r="N280" s="96">
        <v>46051</v>
      </c>
    </row>
    <row r="281" spans="1:14" x14ac:dyDescent="0.25">
      <c r="A281" s="11">
        <f t="shared" ca="1" si="36"/>
        <v>-113</v>
      </c>
      <c r="B281" s="37">
        <f t="shared" si="37"/>
        <v>55</v>
      </c>
      <c r="C281" s="11" t="s">
        <v>344</v>
      </c>
      <c r="D281" s="11" t="str">
        <f>VLOOKUP(VALUE(MID($C281,13,2)), codigos!$A$2:$B$60, 2, 1) &amp; " " &amp; VLOOKUP(VALUE(MID($C281,15,4)), codigos!$E$2:$F$102, 2, FALSE)</f>
        <v>COMAL 36</v>
      </c>
      <c r="E281" s="11" t="str">
        <f>VLOOKUP(VALUE(MID($C281,19,2)),codigos!$H$2:$I$62,2,1) &amp; " " &amp; VLOOKUP(VALUE(MID($C281,21,2)),codigos!$K$2:$L$12,2,FALSE)</f>
        <v>NEGRO MOTAS S/I</v>
      </c>
      <c r="F281" s="11" t="s">
        <v>413</v>
      </c>
      <c r="G281" s="11" t="s">
        <v>145</v>
      </c>
      <c r="H281" s="52" t="s">
        <v>870</v>
      </c>
      <c r="I281" s="20" t="s">
        <v>871</v>
      </c>
      <c r="J281" s="11">
        <v>36</v>
      </c>
      <c r="K281" s="11">
        <v>36</v>
      </c>
      <c r="L281" s="11">
        <f t="shared" si="38"/>
        <v>0</v>
      </c>
      <c r="M281" s="131"/>
      <c r="N281" s="96">
        <v>46051</v>
      </c>
    </row>
    <row r="282" spans="1:14" x14ac:dyDescent="0.25">
      <c r="A282" s="11">
        <f t="shared" ca="1" si="36"/>
        <v>-113</v>
      </c>
      <c r="B282" s="37">
        <f t="shared" si="37"/>
        <v>55</v>
      </c>
      <c r="C282" s="11" t="s">
        <v>394</v>
      </c>
      <c r="D282" s="11" t="str">
        <f>VLOOKUP(VALUE(MID($C282,13,2)), codigos!$A$2:$B$60, 2, 1) &amp; " " &amp; VLOOKUP(VALUE(MID($C282,15,4)), codigos!$E$2:$F$102, 2, FALSE)</f>
        <v>JUEGO 5+5</v>
      </c>
      <c r="E282" s="11" t="str">
        <f>VLOOKUP(VALUE(MID($C282,19,2)),codigos!$H$2:$I$62,2,1) &amp; " " &amp; VLOOKUP(VALUE(MID($C282,21,2)),codigos!$K$2:$L$12,2,FALSE)</f>
        <v>S/I S/I</v>
      </c>
      <c r="F282" s="11" t="s">
        <v>413</v>
      </c>
      <c r="G282" s="11" t="s">
        <v>145</v>
      </c>
      <c r="H282" s="52" t="s">
        <v>870</v>
      </c>
      <c r="I282" s="20" t="s">
        <v>871</v>
      </c>
      <c r="J282" s="11">
        <v>50</v>
      </c>
      <c r="K282" s="11">
        <v>0</v>
      </c>
      <c r="L282" s="11">
        <f t="shared" si="38"/>
        <v>50</v>
      </c>
      <c r="M282" s="131"/>
      <c r="N282" s="96">
        <v>46051</v>
      </c>
    </row>
    <row r="283" spans="1:14" x14ac:dyDescent="0.25">
      <c r="A283" s="11">
        <f t="shared" ca="1" si="36"/>
        <v>-113</v>
      </c>
      <c r="B283" s="37">
        <f t="shared" si="37"/>
        <v>55</v>
      </c>
      <c r="C283" s="11" t="s">
        <v>220</v>
      </c>
      <c r="D283" s="11" t="str">
        <f>VLOOKUP(VALUE(MID($C283,13,2)), codigos!$A$2:$B$60, 2, 1) &amp; " " &amp; VLOOKUP(VALUE(MID($C283,15,4)), codigos!$E$2:$F$102, 2, FALSE)</f>
        <v>OLLA CONVEXA 16</v>
      </c>
      <c r="E283" s="11" t="str">
        <f>VLOOKUP(VALUE(MID($C283,19,2)),codigos!$H$2:$I$62,2,1) &amp; " " &amp; VLOOKUP(VALUE(MID($C283,21,2)),codigos!$K$2:$L$12,2,FALSE)</f>
        <v>A/T S/I</v>
      </c>
      <c r="F283" s="11" t="s">
        <v>413</v>
      </c>
      <c r="G283" s="11" t="s">
        <v>145</v>
      </c>
      <c r="H283" s="52" t="s">
        <v>870</v>
      </c>
      <c r="I283" s="20" t="s">
        <v>871</v>
      </c>
      <c r="J283" s="11">
        <v>60</v>
      </c>
      <c r="K283" s="11">
        <v>0</v>
      </c>
      <c r="L283" s="11">
        <f t="shared" si="38"/>
        <v>60</v>
      </c>
      <c r="M283" s="131"/>
      <c r="N283" s="96">
        <v>46051</v>
      </c>
    </row>
    <row r="284" spans="1:14" x14ac:dyDescent="0.25">
      <c r="A284" s="11">
        <f t="shared" ca="1" si="36"/>
        <v>-113</v>
      </c>
      <c r="B284" s="37">
        <f t="shared" si="37"/>
        <v>55</v>
      </c>
      <c r="C284" s="11" t="s">
        <v>150</v>
      </c>
      <c r="D284" s="11" t="str">
        <f>VLOOKUP(VALUE(MID($C284,13,2)), codigos!$A$2:$B$60, 2, 1) &amp; " " &amp; VLOOKUP(VALUE(MID($C284,15,4)), codigos!$E$2:$F$102, 2, FALSE)</f>
        <v>OLLA CONVEXA 18</v>
      </c>
      <c r="E284" s="11" t="str">
        <f>VLOOKUP(VALUE(MID($C284,19,2)),codigos!$H$2:$I$62,2,1) &amp; " " &amp; VLOOKUP(VALUE(MID($C284,21,2)),codigos!$K$2:$L$12,2,FALSE)</f>
        <v>A/T S/I</v>
      </c>
      <c r="F284" s="11" t="s">
        <v>413</v>
      </c>
      <c r="G284" s="11" t="s">
        <v>145</v>
      </c>
      <c r="H284" s="52" t="s">
        <v>870</v>
      </c>
      <c r="I284" s="20" t="s">
        <v>871</v>
      </c>
      <c r="J284" s="11">
        <v>60</v>
      </c>
      <c r="K284" s="11">
        <v>60</v>
      </c>
      <c r="L284" s="11">
        <f t="shared" si="38"/>
        <v>0</v>
      </c>
      <c r="M284" s="131"/>
      <c r="N284" s="96">
        <v>46051</v>
      </c>
    </row>
    <row r="285" spans="1:14" x14ac:dyDescent="0.25">
      <c r="A285" s="11">
        <f t="shared" ca="1" si="36"/>
        <v>-113</v>
      </c>
      <c r="B285" s="37">
        <f t="shared" si="37"/>
        <v>55</v>
      </c>
      <c r="C285" s="11" t="s">
        <v>151</v>
      </c>
      <c r="D285" s="11" t="str">
        <f>VLOOKUP(VALUE(MID($C285,13,2)), codigos!$A$2:$B$60, 2, 1) &amp; " " &amp; VLOOKUP(VALUE(MID($C285,15,4)), codigos!$E$2:$F$102, 2, FALSE)</f>
        <v>OLLA CONVEXA 20</v>
      </c>
      <c r="E285" s="11" t="str">
        <f>VLOOKUP(VALUE(MID($C285,19,2)),codigos!$H$2:$I$62,2,1) &amp; " " &amp; VLOOKUP(VALUE(MID($C285,21,2)),codigos!$K$2:$L$12,2,FALSE)</f>
        <v>A/T S/I</v>
      </c>
      <c r="F285" s="11" t="s">
        <v>413</v>
      </c>
      <c r="G285" s="11" t="s">
        <v>145</v>
      </c>
      <c r="H285" s="52" t="s">
        <v>870</v>
      </c>
      <c r="I285" s="20" t="s">
        <v>871</v>
      </c>
      <c r="J285" s="11">
        <v>60</v>
      </c>
      <c r="K285" s="11">
        <v>20</v>
      </c>
      <c r="L285" s="11">
        <f t="shared" si="38"/>
        <v>40</v>
      </c>
      <c r="M285" s="131"/>
      <c r="N285" s="96">
        <v>46051</v>
      </c>
    </row>
    <row r="286" spans="1:14" x14ac:dyDescent="0.25">
      <c r="A286" s="11">
        <f t="shared" ca="1" si="36"/>
        <v>-113</v>
      </c>
      <c r="B286" s="37">
        <f t="shared" si="37"/>
        <v>55</v>
      </c>
      <c r="C286" s="11" t="s">
        <v>262</v>
      </c>
      <c r="D286" s="11" t="str">
        <f>VLOOKUP(VALUE(MID($C286,13,2)), codigos!$A$2:$B$60, 2, 1) &amp; " " &amp; VLOOKUP(VALUE(MID($C286,15,4)), codigos!$E$2:$F$102, 2, FALSE)</f>
        <v>SARTEN 20</v>
      </c>
      <c r="E286" s="11" t="str">
        <f>VLOOKUP(VALUE(MID($C286,19,2)),codigos!$H$2:$I$62,2,1) &amp; " " &amp; VLOOKUP(VALUE(MID($C286,21,2)),codigos!$K$2:$L$12,2,FALSE)</f>
        <v>A/T S/I</v>
      </c>
      <c r="F286" s="11" t="s">
        <v>413</v>
      </c>
      <c r="G286" s="11" t="s">
        <v>145</v>
      </c>
      <c r="H286" s="52" t="s">
        <v>870</v>
      </c>
      <c r="I286" s="20" t="s">
        <v>871</v>
      </c>
      <c r="J286" s="11">
        <v>36</v>
      </c>
      <c r="K286" s="11">
        <v>36</v>
      </c>
      <c r="L286" s="11">
        <f t="shared" si="38"/>
        <v>0</v>
      </c>
      <c r="M286" s="131"/>
      <c r="N286" s="96">
        <v>46051</v>
      </c>
    </row>
    <row r="287" spans="1:14" x14ac:dyDescent="0.25">
      <c r="A287" s="11">
        <f t="shared" ca="1" si="36"/>
        <v>-113</v>
      </c>
      <c r="B287" s="37">
        <f t="shared" si="37"/>
        <v>55</v>
      </c>
      <c r="C287" s="11" t="s">
        <v>227</v>
      </c>
      <c r="D287" s="11" t="str">
        <f>VLOOKUP(VALUE(MID($C287,13,2)), codigos!$A$2:$B$60, 2, 1) &amp; " " &amp; VLOOKUP(VALUE(MID($C287,15,4)), codigos!$E$2:$F$102, 2, FALSE)</f>
        <v>SARTEN 22</v>
      </c>
      <c r="E287" s="11" t="str">
        <f>VLOOKUP(VALUE(MID($C287,19,2)),codigos!$H$2:$I$62,2,1) &amp; " " &amp; VLOOKUP(VALUE(MID($C287,21,2)),codigos!$K$2:$L$12,2,FALSE)</f>
        <v>A/T S/I</v>
      </c>
      <c r="F287" s="11" t="s">
        <v>413</v>
      </c>
      <c r="G287" s="11" t="s">
        <v>145</v>
      </c>
      <c r="H287" s="52" t="s">
        <v>870</v>
      </c>
      <c r="I287" s="20" t="s">
        <v>871</v>
      </c>
      <c r="J287" s="11">
        <v>36</v>
      </c>
      <c r="K287" s="11">
        <v>12</v>
      </c>
      <c r="L287" s="11">
        <f t="shared" si="38"/>
        <v>24</v>
      </c>
      <c r="M287" s="131"/>
      <c r="N287" s="96">
        <v>46051</v>
      </c>
    </row>
    <row r="288" spans="1:14" x14ac:dyDescent="0.25">
      <c r="A288" s="11">
        <f t="shared" ca="1" si="36"/>
        <v>-113</v>
      </c>
      <c r="B288" s="37">
        <f t="shared" si="37"/>
        <v>55</v>
      </c>
      <c r="C288" s="11" t="s">
        <v>44</v>
      </c>
      <c r="D288" s="11" t="str">
        <f>VLOOKUP(VALUE(MID($C288,13,2)), codigos!$A$2:$B$60, 2, 1) &amp; " " &amp; VLOOKUP(VALUE(MID($C288,15,4)), codigos!$E$2:$F$102, 2, FALSE)</f>
        <v>SARTEN 24</v>
      </c>
      <c r="E288" s="11" t="str">
        <f>VLOOKUP(VALUE(MID($C288,19,2)),codigos!$H$2:$I$62,2,1) &amp; " " &amp; VLOOKUP(VALUE(MID($C288,21,2)),codigos!$K$2:$L$12,2,FALSE)</f>
        <v>A/T S/I</v>
      </c>
      <c r="F288" s="11" t="s">
        <v>413</v>
      </c>
      <c r="G288" s="11" t="s">
        <v>145</v>
      </c>
      <c r="H288" s="52" t="s">
        <v>870</v>
      </c>
      <c r="I288" s="20" t="s">
        <v>871</v>
      </c>
      <c r="J288" s="11">
        <v>36</v>
      </c>
      <c r="K288" s="11">
        <v>36</v>
      </c>
      <c r="L288" s="11">
        <f t="shared" si="38"/>
        <v>0</v>
      </c>
      <c r="M288" s="131"/>
      <c r="N288" s="96">
        <v>46051</v>
      </c>
    </row>
    <row r="289" spans="1:14" x14ac:dyDescent="0.25">
      <c r="A289" s="11">
        <f t="shared" ca="1" si="36"/>
        <v>-113</v>
      </c>
      <c r="B289" s="37">
        <f t="shared" si="37"/>
        <v>55</v>
      </c>
      <c r="C289" s="11" t="s">
        <v>847</v>
      </c>
      <c r="D289" s="11" t="str">
        <f>VLOOKUP(VALUE(MID($C289,13,2)), codigos!$A$2:$B$60, 2, 1) &amp; " " &amp; VLOOKUP(VALUE(MID($C289,15,4)), codigos!$E$2:$F$102, 2, FALSE)</f>
        <v>VASO RECTO 14</v>
      </c>
      <c r="E289" s="11" t="str">
        <f>VLOOKUP(VALUE(MID($C289,19,2)),codigos!$H$2:$I$62,2,1) &amp; " " &amp; VLOOKUP(VALUE(MID($C289,21,2)),codigos!$K$2:$L$12,2,FALSE)</f>
        <v>A/T S/I</v>
      </c>
      <c r="F289" s="11" t="s">
        <v>413</v>
      </c>
      <c r="G289" s="11" t="s">
        <v>145</v>
      </c>
      <c r="H289" s="52" t="s">
        <v>870</v>
      </c>
      <c r="I289" s="20" t="s">
        <v>871</v>
      </c>
      <c r="J289" s="11">
        <v>120</v>
      </c>
      <c r="K289" s="11">
        <f>16+2+42</f>
        <v>60</v>
      </c>
      <c r="L289" s="11">
        <f t="shared" si="38"/>
        <v>60</v>
      </c>
      <c r="M289" s="131"/>
      <c r="N289" s="96">
        <v>46051</v>
      </c>
    </row>
    <row r="290" spans="1:14" x14ac:dyDescent="0.25">
      <c r="A290" s="11">
        <f t="shared" ref="A290:A300" ca="1" si="39">DAYS360($B$1,I290)</f>
        <v>-149</v>
      </c>
      <c r="B290" s="37">
        <f t="shared" ref="B290:B300" si="40">+N290-I290</f>
        <v>92</v>
      </c>
      <c r="C290" s="11" t="s">
        <v>332</v>
      </c>
      <c r="D290" s="11" t="s">
        <v>890</v>
      </c>
      <c r="E290" s="11" t="s">
        <v>891</v>
      </c>
      <c r="F290" s="11" t="s">
        <v>892</v>
      </c>
      <c r="G290" s="11" t="s">
        <v>34</v>
      </c>
      <c r="H290" s="52" t="s">
        <v>893</v>
      </c>
      <c r="I290" s="20" t="s">
        <v>894</v>
      </c>
      <c r="J290" s="11">
        <v>24</v>
      </c>
      <c r="K290" s="11">
        <v>24</v>
      </c>
      <c r="L290" s="11">
        <f t="shared" si="38"/>
        <v>0</v>
      </c>
      <c r="M290" s="131">
        <f>(SUM(K290:K300))/(SUM(J290:J300))</f>
        <v>0.94208494208494209</v>
      </c>
      <c r="N290" s="96">
        <v>46051</v>
      </c>
    </row>
    <row r="291" spans="1:14" x14ac:dyDescent="0.25">
      <c r="A291" s="11">
        <f t="shared" ca="1" si="39"/>
        <v>-149</v>
      </c>
      <c r="B291" s="37">
        <f t="shared" si="40"/>
        <v>92</v>
      </c>
      <c r="C291" s="11" t="s">
        <v>148</v>
      </c>
      <c r="D291" s="11" t="s">
        <v>895</v>
      </c>
      <c r="E291" s="11" t="s">
        <v>896</v>
      </c>
      <c r="F291" s="11" t="s">
        <v>892</v>
      </c>
      <c r="G291" s="11" t="s">
        <v>34</v>
      </c>
      <c r="H291" s="52" t="s">
        <v>893</v>
      </c>
      <c r="I291" s="20" t="s">
        <v>894</v>
      </c>
      <c r="J291" s="11">
        <v>60</v>
      </c>
      <c r="K291" s="11">
        <f>3+36+12+9</f>
        <v>60</v>
      </c>
      <c r="L291" s="11">
        <f t="shared" si="38"/>
        <v>0</v>
      </c>
      <c r="M291" s="131"/>
      <c r="N291" s="96">
        <v>46051</v>
      </c>
    </row>
    <row r="292" spans="1:14" x14ac:dyDescent="0.25">
      <c r="A292" s="11">
        <f t="shared" ca="1" si="39"/>
        <v>-149</v>
      </c>
      <c r="B292" s="37">
        <f t="shared" si="40"/>
        <v>92</v>
      </c>
      <c r="C292" s="11" t="s">
        <v>169</v>
      </c>
      <c r="D292" s="11" t="s">
        <v>897</v>
      </c>
      <c r="E292" s="11" t="s">
        <v>896</v>
      </c>
      <c r="F292" s="11" t="s">
        <v>892</v>
      </c>
      <c r="G292" s="11" t="s">
        <v>34</v>
      </c>
      <c r="H292" s="52" t="s">
        <v>893</v>
      </c>
      <c r="I292" s="20" t="s">
        <v>894</v>
      </c>
      <c r="J292" s="11">
        <v>20</v>
      </c>
      <c r="K292" s="11">
        <v>20</v>
      </c>
      <c r="L292" s="11">
        <f t="shared" si="38"/>
        <v>0</v>
      </c>
      <c r="M292" s="131"/>
      <c r="N292" s="96">
        <v>46051</v>
      </c>
    </row>
    <row r="293" spans="1:14" x14ac:dyDescent="0.25">
      <c r="A293" s="11">
        <f t="shared" ca="1" si="39"/>
        <v>-149</v>
      </c>
      <c r="B293" s="37">
        <f t="shared" si="40"/>
        <v>92</v>
      </c>
      <c r="C293" s="11" t="s">
        <v>175</v>
      </c>
      <c r="D293" s="11" t="s">
        <v>898</v>
      </c>
      <c r="E293" s="11" t="s">
        <v>899</v>
      </c>
      <c r="F293" s="11" t="s">
        <v>892</v>
      </c>
      <c r="G293" s="11" t="s">
        <v>34</v>
      </c>
      <c r="H293" s="52" t="s">
        <v>893</v>
      </c>
      <c r="I293" s="20" t="s">
        <v>894</v>
      </c>
      <c r="J293" s="11">
        <v>10</v>
      </c>
      <c r="K293" s="11">
        <v>0</v>
      </c>
      <c r="L293" s="11">
        <f t="shared" si="38"/>
        <v>10</v>
      </c>
      <c r="M293" s="131"/>
      <c r="N293" s="96">
        <v>46051</v>
      </c>
    </row>
    <row r="294" spans="1:14" x14ac:dyDescent="0.25">
      <c r="A294" s="11">
        <f t="shared" ca="1" si="39"/>
        <v>-149</v>
      </c>
      <c r="B294" s="37">
        <f t="shared" si="40"/>
        <v>92</v>
      </c>
      <c r="C294" s="11" t="s">
        <v>394</v>
      </c>
      <c r="D294" s="11" t="s">
        <v>900</v>
      </c>
      <c r="E294" s="11" t="s">
        <v>899</v>
      </c>
      <c r="F294" s="11" t="s">
        <v>892</v>
      </c>
      <c r="G294" s="11" t="s">
        <v>34</v>
      </c>
      <c r="H294" s="52" t="s">
        <v>893</v>
      </c>
      <c r="I294" s="20" t="s">
        <v>894</v>
      </c>
      <c r="J294" s="11">
        <v>10</v>
      </c>
      <c r="K294" s="11">
        <v>0</v>
      </c>
      <c r="L294" s="11">
        <f t="shared" si="38"/>
        <v>10</v>
      </c>
      <c r="M294" s="131"/>
      <c r="N294" s="96">
        <v>46051</v>
      </c>
    </row>
    <row r="295" spans="1:14" x14ac:dyDescent="0.25">
      <c r="A295" s="11">
        <f t="shared" ca="1" si="39"/>
        <v>-149</v>
      </c>
      <c r="B295" s="37">
        <f t="shared" si="40"/>
        <v>92</v>
      </c>
      <c r="C295" s="11" t="s">
        <v>215</v>
      </c>
      <c r="D295" s="11" t="s">
        <v>901</v>
      </c>
      <c r="E295" s="11" t="s">
        <v>896</v>
      </c>
      <c r="F295" s="11" t="s">
        <v>892</v>
      </c>
      <c r="G295" s="11" t="s">
        <v>34</v>
      </c>
      <c r="H295" s="52" t="s">
        <v>893</v>
      </c>
      <c r="I295" s="20" t="s">
        <v>894</v>
      </c>
      <c r="J295" s="11">
        <v>90</v>
      </c>
      <c r="K295" s="11">
        <v>90</v>
      </c>
      <c r="L295" s="11">
        <f t="shared" si="38"/>
        <v>0</v>
      </c>
      <c r="M295" s="131"/>
      <c r="N295" s="96">
        <v>46051</v>
      </c>
    </row>
    <row r="296" spans="1:14" x14ac:dyDescent="0.25">
      <c r="A296" s="11">
        <f t="shared" ca="1" si="39"/>
        <v>-149</v>
      </c>
      <c r="B296" s="37">
        <f t="shared" si="40"/>
        <v>92</v>
      </c>
      <c r="C296" s="11" t="s">
        <v>333</v>
      </c>
      <c r="D296" s="11" t="s">
        <v>902</v>
      </c>
      <c r="E296" s="11" t="s">
        <v>896</v>
      </c>
      <c r="F296" s="11" t="s">
        <v>892</v>
      </c>
      <c r="G296" s="11" t="s">
        <v>34</v>
      </c>
      <c r="H296" s="52" t="s">
        <v>893</v>
      </c>
      <c r="I296" s="20" t="s">
        <v>894</v>
      </c>
      <c r="J296" s="11">
        <v>90</v>
      </c>
      <c r="K296" s="11">
        <v>90</v>
      </c>
      <c r="L296" s="11">
        <f t="shared" si="38"/>
        <v>0</v>
      </c>
      <c r="M296" s="131"/>
      <c r="N296" s="96">
        <v>46051</v>
      </c>
    </row>
    <row r="297" spans="1:14" x14ac:dyDescent="0.25">
      <c r="A297" s="11">
        <f t="shared" ca="1" si="39"/>
        <v>-149</v>
      </c>
      <c r="B297" s="37">
        <f t="shared" si="40"/>
        <v>92</v>
      </c>
      <c r="C297" s="11" t="s">
        <v>154</v>
      </c>
      <c r="D297" s="11" t="s">
        <v>903</v>
      </c>
      <c r="E297" s="11" t="s">
        <v>896</v>
      </c>
      <c r="F297" s="11" t="s">
        <v>892</v>
      </c>
      <c r="G297" s="11" t="s">
        <v>34</v>
      </c>
      <c r="H297" s="52" t="s">
        <v>893</v>
      </c>
      <c r="I297" s="20" t="s">
        <v>894</v>
      </c>
      <c r="J297" s="11">
        <v>10</v>
      </c>
      <c r="K297" s="11">
        <v>0</v>
      </c>
      <c r="L297" s="11">
        <f t="shared" si="38"/>
        <v>10</v>
      </c>
      <c r="M297" s="131"/>
      <c r="N297" s="96">
        <v>46051</v>
      </c>
    </row>
    <row r="298" spans="1:14" x14ac:dyDescent="0.25">
      <c r="A298" s="11">
        <f t="shared" ca="1" si="39"/>
        <v>-149</v>
      </c>
      <c r="B298" s="37">
        <f t="shared" si="40"/>
        <v>92</v>
      </c>
      <c r="C298" s="11" t="s">
        <v>260</v>
      </c>
      <c r="D298" s="11" t="s">
        <v>904</v>
      </c>
      <c r="E298" s="11" t="s">
        <v>896</v>
      </c>
      <c r="F298" s="11" t="s">
        <v>892</v>
      </c>
      <c r="G298" s="11" t="s">
        <v>34</v>
      </c>
      <c r="H298" s="52" t="s">
        <v>893</v>
      </c>
      <c r="I298" s="20" t="s">
        <v>894</v>
      </c>
      <c r="J298" s="11">
        <v>24</v>
      </c>
      <c r="K298" s="11">
        <v>24</v>
      </c>
      <c r="L298" s="11">
        <f t="shared" si="38"/>
        <v>0</v>
      </c>
      <c r="M298" s="131"/>
      <c r="N298" s="96">
        <v>46051</v>
      </c>
    </row>
    <row r="299" spans="1:14" x14ac:dyDescent="0.25">
      <c r="A299" s="11">
        <f t="shared" ca="1" si="39"/>
        <v>-149</v>
      </c>
      <c r="B299" s="37">
        <f t="shared" si="40"/>
        <v>92</v>
      </c>
      <c r="C299" s="11" t="s">
        <v>182</v>
      </c>
      <c r="D299" s="11" t="s">
        <v>905</v>
      </c>
      <c r="E299" s="11" t="s">
        <v>896</v>
      </c>
      <c r="F299" s="11" t="s">
        <v>892</v>
      </c>
      <c r="G299" s="11" t="s">
        <v>34</v>
      </c>
      <c r="H299" s="52" t="s">
        <v>893</v>
      </c>
      <c r="I299" s="20" t="s">
        <v>894</v>
      </c>
      <c r="J299" s="11">
        <v>60</v>
      </c>
      <c r="K299" s="11">
        <f>60</f>
        <v>60</v>
      </c>
      <c r="L299" s="11">
        <f t="shared" si="38"/>
        <v>0</v>
      </c>
      <c r="M299" s="131"/>
      <c r="N299" s="96">
        <v>46051</v>
      </c>
    </row>
    <row r="300" spans="1:14" x14ac:dyDescent="0.25">
      <c r="A300" s="11">
        <f t="shared" ca="1" si="39"/>
        <v>-149</v>
      </c>
      <c r="B300" s="37">
        <f t="shared" si="40"/>
        <v>92</v>
      </c>
      <c r="C300" s="11" t="s">
        <v>847</v>
      </c>
      <c r="D300" s="11" t="s">
        <v>906</v>
      </c>
      <c r="E300" s="11" t="s">
        <v>896</v>
      </c>
      <c r="F300" s="11" t="s">
        <v>892</v>
      </c>
      <c r="G300" s="11" t="s">
        <v>34</v>
      </c>
      <c r="H300" s="52" t="s">
        <v>893</v>
      </c>
      <c r="I300" s="20" t="s">
        <v>894</v>
      </c>
      <c r="J300" s="11">
        <v>120</v>
      </c>
      <c r="K300" s="11">
        <f>72+24+8+10+6</f>
        <v>120</v>
      </c>
      <c r="L300" s="11">
        <f t="shared" si="38"/>
        <v>0</v>
      </c>
      <c r="M300" s="131"/>
      <c r="N300" s="96">
        <v>46051</v>
      </c>
    </row>
    <row r="301" spans="1:14" x14ac:dyDescent="0.25">
      <c r="A301" s="11">
        <f t="shared" ref="A301:A306" ca="1" si="41">DAYS360($B$1,I301)</f>
        <v>-141</v>
      </c>
      <c r="B301" s="37">
        <f t="shared" ref="B301:B306" si="42">+N301-I301</f>
        <v>83</v>
      </c>
      <c r="C301" s="11" t="s">
        <v>255</v>
      </c>
      <c r="D301" s="11" t="str">
        <f ca="1">VLOOKUP(VALUE(MID($D301,13,2)), [3]codigos!$A$2:$B$60, 2, 1) &amp; " " &amp; VLOOKUP(VALUE(MID($D301,15,4)), [3]codigos!$E$2:$F$102, 2, FALSE)</f>
        <v>BUDINERA   12</v>
      </c>
      <c r="E301" s="11" t="str">
        <f ca="1">VLOOKUP(VALUE(MID($D301,19,2)),[3]codigos!$H$2:$I$62,2,1) &amp; " " &amp; VLOOKUP(VALUE(MID($D301,21,2)),[3]codigos!$K$2:$L$12,2,FALSE)</f>
        <v>A/T S/I</v>
      </c>
      <c r="F301" s="11" t="s">
        <v>942</v>
      </c>
      <c r="G301" s="11" t="s">
        <v>34</v>
      </c>
      <c r="H301" s="52" t="s">
        <v>943</v>
      </c>
      <c r="I301" s="20" t="s">
        <v>852</v>
      </c>
      <c r="J301" s="11">
        <v>36</v>
      </c>
      <c r="K301" s="11">
        <v>36</v>
      </c>
      <c r="L301" s="11">
        <f t="shared" si="38"/>
        <v>0</v>
      </c>
      <c r="M301" s="131">
        <f>(SUM(K301:K306))/(SUM(J301:J306))</f>
        <v>1</v>
      </c>
      <c r="N301" s="96">
        <v>46051</v>
      </c>
    </row>
    <row r="302" spans="1:14" x14ac:dyDescent="0.25">
      <c r="A302" s="11">
        <f t="shared" ca="1" si="41"/>
        <v>-141</v>
      </c>
      <c r="B302" s="37">
        <f t="shared" si="42"/>
        <v>83</v>
      </c>
      <c r="C302" s="11" t="s">
        <v>215</v>
      </c>
      <c r="D302" s="11" t="str">
        <f ca="1">VLOOKUP(VALUE(MID($D302,13,2)), [3]codigos!$A$2:$B$60, 2, 1) &amp; " " &amp; VLOOKUP(VALUE(MID($D302,15,4)), [3]codigos!$E$2:$F$102, 2, FALSE)</f>
        <v>BUDINERA   20</v>
      </c>
      <c r="E302" s="11" t="str">
        <f ca="1">VLOOKUP(VALUE(MID($D302,19,2)),[3]codigos!$H$2:$I$62,2,1) &amp; " " &amp; VLOOKUP(VALUE(MID($D302,21,2)),[3]codigos!$K$2:$L$12,2,FALSE)</f>
        <v>A/T S/I</v>
      </c>
      <c r="F302" s="11" t="s">
        <v>942</v>
      </c>
      <c r="G302" s="11" t="s">
        <v>34</v>
      </c>
      <c r="H302" s="52" t="s">
        <v>943</v>
      </c>
      <c r="I302" s="20" t="s">
        <v>852</v>
      </c>
      <c r="J302" s="11">
        <v>24</v>
      </c>
      <c r="K302" s="11">
        <v>24</v>
      </c>
      <c r="L302" s="11">
        <f t="shared" si="38"/>
        <v>0</v>
      </c>
      <c r="M302" s="131"/>
      <c r="N302" s="96">
        <v>46051</v>
      </c>
    </row>
    <row r="303" spans="1:14" x14ac:dyDescent="0.25">
      <c r="A303" s="11">
        <f t="shared" ca="1" si="41"/>
        <v>-141</v>
      </c>
      <c r="B303" s="37">
        <f t="shared" si="42"/>
        <v>83</v>
      </c>
      <c r="C303" s="11" t="s">
        <v>241</v>
      </c>
      <c r="D303" s="11" t="str">
        <f ca="1">VLOOKUP(VALUE(MID($D303,13,2)), [3]codigos!$A$2:$B$60, 2, 1) &amp; " " &amp; VLOOKUP(VALUE(MID($D303,15,4)), [3]codigos!$E$2:$F$102, 2, FALSE)</f>
        <v>BUDINERA   22</v>
      </c>
      <c r="E303" s="11" t="str">
        <f ca="1">VLOOKUP(VALUE(MID($D303,19,2)),[3]codigos!$H$2:$I$62,2,1) &amp; " " &amp; VLOOKUP(VALUE(MID($D303,21,2)),[3]codigos!$K$2:$L$12,2,FALSE)</f>
        <v>A/T S/I</v>
      </c>
      <c r="F303" s="11" t="s">
        <v>942</v>
      </c>
      <c r="G303" s="11" t="s">
        <v>34</v>
      </c>
      <c r="H303" s="52" t="s">
        <v>943</v>
      </c>
      <c r="I303" s="20" t="s">
        <v>852</v>
      </c>
      <c r="J303" s="11">
        <v>24</v>
      </c>
      <c r="K303" s="11">
        <v>24</v>
      </c>
      <c r="L303" s="11">
        <f t="shared" si="38"/>
        <v>0</v>
      </c>
      <c r="M303" s="131"/>
      <c r="N303" s="96">
        <v>46051</v>
      </c>
    </row>
    <row r="304" spans="1:14" x14ac:dyDescent="0.25">
      <c r="A304" s="11">
        <f t="shared" ca="1" si="41"/>
        <v>-141</v>
      </c>
      <c r="B304" s="37">
        <f t="shared" si="42"/>
        <v>83</v>
      </c>
      <c r="C304" s="11" t="s">
        <v>344</v>
      </c>
      <c r="D304" s="11" t="str">
        <f ca="1">VLOOKUP(VALUE(MID($D304,13,2)), [3]codigos!$A$2:$B$60, 2, 1) &amp; " " &amp; VLOOKUP(VALUE(MID($D304,15,4)), [3]codigos!$E$2:$F$102, 2, FALSE)</f>
        <v>COMAL 36</v>
      </c>
      <c r="E304" s="11" t="str">
        <f ca="1">VLOOKUP(VALUE(MID($D304,19,2)),[3]codigos!$H$2:$I$62,2,1) &amp; " " &amp; VLOOKUP(VALUE(MID($D304,21,2)),[3]codigos!$K$2:$L$12,2,FALSE)</f>
        <v>NEGRO MOTAS S/I</v>
      </c>
      <c r="F304" s="11" t="s">
        <v>942</v>
      </c>
      <c r="G304" s="11" t="s">
        <v>34</v>
      </c>
      <c r="H304" s="52" t="s">
        <v>943</v>
      </c>
      <c r="I304" s="20" t="s">
        <v>852</v>
      </c>
      <c r="J304" s="11">
        <v>72</v>
      </c>
      <c r="K304" s="11">
        <v>72</v>
      </c>
      <c r="L304" s="11">
        <f t="shared" si="38"/>
        <v>0</v>
      </c>
      <c r="M304" s="131"/>
      <c r="N304" s="96">
        <v>46051</v>
      </c>
    </row>
    <row r="305" spans="1:14" x14ac:dyDescent="0.25">
      <c r="A305" s="11">
        <f t="shared" ca="1" si="41"/>
        <v>-141</v>
      </c>
      <c r="B305" s="37">
        <f t="shared" si="42"/>
        <v>83</v>
      </c>
      <c r="C305" s="11" t="s">
        <v>151</v>
      </c>
      <c r="D305" s="11" t="str">
        <f ca="1">VLOOKUP(VALUE(MID($D305,13,2)), [3]codigos!$A$2:$B$60, 2, 1) &amp; " " &amp; VLOOKUP(VALUE(MID($D305,15,4)), [3]codigos!$E$2:$F$102, 2, FALSE)</f>
        <v>OLLA CONVEXA 20</v>
      </c>
      <c r="E305" s="11" t="str">
        <f ca="1">VLOOKUP(VALUE(MID($D305,19,2)),[3]codigos!$H$2:$I$62,2,1) &amp; " " &amp; VLOOKUP(VALUE(MID($D305,21,2)),[3]codigos!$K$2:$L$12,2,FALSE)</f>
        <v>A/T S/I</v>
      </c>
      <c r="F305" s="11" t="s">
        <v>942</v>
      </c>
      <c r="G305" s="11" t="s">
        <v>34</v>
      </c>
      <c r="H305" s="52" t="s">
        <v>943</v>
      </c>
      <c r="I305" s="20" t="s">
        <v>852</v>
      </c>
      <c r="J305" s="11">
        <v>12</v>
      </c>
      <c r="K305" s="11">
        <v>12</v>
      </c>
      <c r="L305" s="11">
        <f t="shared" si="38"/>
        <v>0</v>
      </c>
      <c r="M305" s="131"/>
      <c r="N305" s="96">
        <v>46051</v>
      </c>
    </row>
    <row r="306" spans="1:14" x14ac:dyDescent="0.25">
      <c r="A306" s="11">
        <f t="shared" ca="1" si="41"/>
        <v>-141</v>
      </c>
      <c r="B306" s="37">
        <f t="shared" si="42"/>
        <v>83</v>
      </c>
      <c r="C306" s="11" t="s">
        <v>182</v>
      </c>
      <c r="D306" s="11" t="str">
        <f ca="1">VLOOKUP(VALUE(MID($D306,13,2)), [3]codigos!$A$2:$B$60, 2, 1) &amp; " " &amp; VLOOKUP(VALUE(MID($D306,15,4)), [3]codigos!$E$2:$F$102, 2, FALSE)</f>
        <v>POCILLO 14</v>
      </c>
      <c r="E306" s="11" t="str">
        <f ca="1">VLOOKUP(VALUE(MID($D306,19,2)),[3]codigos!$H$2:$I$62,2,1) &amp; " " &amp; VLOOKUP(VALUE(MID($D306,21,2)),[3]codigos!$K$2:$L$12,2,FALSE)</f>
        <v>A/T S/I</v>
      </c>
      <c r="F306" s="11" t="s">
        <v>942</v>
      </c>
      <c r="G306" s="11" t="s">
        <v>34</v>
      </c>
      <c r="H306" s="52" t="s">
        <v>943</v>
      </c>
      <c r="I306" s="20" t="s">
        <v>852</v>
      </c>
      <c r="J306" s="11">
        <v>18</v>
      </c>
      <c r="K306" s="11">
        <f>5+12+1</f>
        <v>18</v>
      </c>
      <c r="L306" s="11">
        <f t="shared" si="38"/>
        <v>0</v>
      </c>
      <c r="M306" s="131"/>
      <c r="N306" s="96">
        <v>46051</v>
      </c>
    </row>
    <row r="307" spans="1:14" x14ac:dyDescent="0.25">
      <c r="A307" s="11">
        <f ca="1">DAYS360($B$1,I307)</f>
        <v>-82</v>
      </c>
      <c r="B307" s="37">
        <f>+N307-I307</f>
        <v>23</v>
      </c>
      <c r="C307" s="11" t="s">
        <v>211</v>
      </c>
      <c r="D307" s="11" t="s">
        <v>1293</v>
      </c>
      <c r="E307" s="11" t="s">
        <v>1294</v>
      </c>
      <c r="F307" s="11" t="s">
        <v>600</v>
      </c>
      <c r="G307" s="11" t="s">
        <v>11</v>
      </c>
      <c r="H307" s="52" t="s">
        <v>1004</v>
      </c>
      <c r="I307" s="20" t="s">
        <v>995</v>
      </c>
      <c r="J307" s="11">
        <v>10</v>
      </c>
      <c r="K307" s="11">
        <v>0</v>
      </c>
      <c r="L307" s="11">
        <v>10</v>
      </c>
      <c r="M307" s="134">
        <v>0.6</v>
      </c>
      <c r="N307" s="96">
        <v>46051</v>
      </c>
    </row>
    <row r="308" spans="1:14" x14ac:dyDescent="0.25">
      <c r="A308" s="11">
        <f ca="1">DAYS360($B$1,I308)</f>
        <v>-82</v>
      </c>
      <c r="B308" s="37">
        <f>+N308-I308</f>
        <v>23</v>
      </c>
      <c r="C308" s="11" t="s">
        <v>212</v>
      </c>
      <c r="D308" s="11" t="s">
        <v>1295</v>
      </c>
      <c r="E308" s="11" t="s">
        <v>1294</v>
      </c>
      <c r="F308" s="11" t="s">
        <v>600</v>
      </c>
      <c r="G308" s="11" t="s">
        <v>11</v>
      </c>
      <c r="H308" s="52" t="s">
        <v>1004</v>
      </c>
      <c r="I308" s="20" t="s">
        <v>995</v>
      </c>
      <c r="J308" s="11">
        <v>15</v>
      </c>
      <c r="K308" s="11">
        <v>15</v>
      </c>
      <c r="L308" s="11">
        <v>0</v>
      </c>
      <c r="M308" s="134"/>
      <c r="N308" s="96">
        <v>46051</v>
      </c>
    </row>
    <row r="309" spans="1:14" x14ac:dyDescent="0.25">
      <c r="A309" s="11">
        <f ca="1">DAYS360($B$1,I309)</f>
        <v>-82</v>
      </c>
      <c r="B309" s="37">
        <f>+N309-I309</f>
        <v>23</v>
      </c>
      <c r="C309" s="11" t="s">
        <v>19</v>
      </c>
      <c r="D309" s="11" t="s">
        <v>1296</v>
      </c>
      <c r="E309" s="11" t="s">
        <v>926</v>
      </c>
      <c r="F309" s="11" t="s">
        <v>600</v>
      </c>
      <c r="G309" s="11" t="s">
        <v>11</v>
      </c>
      <c r="H309" s="52" t="s">
        <v>1005</v>
      </c>
      <c r="I309" s="20" t="s">
        <v>995</v>
      </c>
      <c r="J309" s="11">
        <v>36</v>
      </c>
      <c r="K309" s="11">
        <v>36</v>
      </c>
      <c r="L309" s="11">
        <v>0</v>
      </c>
      <c r="M309" s="95">
        <v>1</v>
      </c>
      <c r="N309" s="96">
        <v>46051</v>
      </c>
    </row>
    <row r="310" spans="1:14" x14ac:dyDescent="0.25">
      <c r="A310" s="11">
        <f ca="1">DAYS360($B$1,I310)</f>
        <v>-82</v>
      </c>
      <c r="B310" s="37">
        <f>+N310-I310</f>
        <v>23</v>
      </c>
      <c r="C310" s="11" t="s">
        <v>1006</v>
      </c>
      <c r="D310" s="11" t="s">
        <v>1297</v>
      </c>
      <c r="E310" s="11" t="s">
        <v>926</v>
      </c>
      <c r="F310" s="11" t="s">
        <v>600</v>
      </c>
      <c r="G310" s="11" t="s">
        <v>11</v>
      </c>
      <c r="H310" s="52" t="s">
        <v>1007</v>
      </c>
      <c r="I310" s="20" t="s">
        <v>995</v>
      </c>
      <c r="J310" s="11">
        <v>10</v>
      </c>
      <c r="K310" s="11">
        <v>10</v>
      </c>
      <c r="L310" s="11">
        <v>0</v>
      </c>
      <c r="M310" s="95">
        <v>1</v>
      </c>
      <c r="N310" s="96">
        <v>46051</v>
      </c>
    </row>
    <row r="311" spans="1:14" x14ac:dyDescent="0.25">
      <c r="A311" s="11">
        <f ca="1">DAYS360($B$1,I311)</f>
        <v>-68</v>
      </c>
      <c r="B311" s="37">
        <f>+N311-I311</f>
        <v>9</v>
      </c>
      <c r="C311" s="11" t="s">
        <v>212</v>
      </c>
      <c r="D311" s="11" t="s">
        <v>1295</v>
      </c>
      <c r="E311" s="11" t="s">
        <v>1294</v>
      </c>
      <c r="F311" s="11" t="s">
        <v>600</v>
      </c>
      <c r="G311" s="11" t="s">
        <v>11</v>
      </c>
      <c r="H311" s="11" t="s">
        <v>1083</v>
      </c>
      <c r="I311" s="11" t="s">
        <v>1080</v>
      </c>
      <c r="J311" s="25">
        <v>10</v>
      </c>
      <c r="K311" s="25">
        <v>10</v>
      </c>
      <c r="L311" s="15">
        <v>0</v>
      </c>
      <c r="M311" s="88">
        <v>1</v>
      </c>
      <c r="N311" s="96">
        <v>46051</v>
      </c>
    </row>
    <row r="312" spans="1:14" x14ac:dyDescent="0.25">
      <c r="A312" s="11">
        <f t="shared" ref="A312:A322" ca="1" si="43">DAYS360($B$1,I312)</f>
        <v>-141</v>
      </c>
      <c r="B312" s="37">
        <f t="shared" ref="B312:B322" si="44">+N312-I312</f>
        <v>83</v>
      </c>
      <c r="C312" s="11" t="s">
        <v>255</v>
      </c>
      <c r="D312" s="11" t="str">
        <f>VLOOKUP(VALUE(MID($C312,13,2)), codigos!$A$2:$B$60, 2, 1) &amp; " " &amp; VLOOKUP(VALUE(MID($C312,15,4)), codigos!$E$2:$F$102, 2, FALSE)</f>
        <v>BUDINERA 12</v>
      </c>
      <c r="E312" s="11" t="str">
        <f>VLOOKUP(VALUE(MID($C312,19,2)),codigos!$H$2:$I$62,2,1) &amp; " " &amp; VLOOKUP(VALUE(MID($C312,21,2)),codigos!$K$2:$L$12,2,FALSE)</f>
        <v>A/T S/I</v>
      </c>
      <c r="F312" s="11" t="s">
        <v>979</v>
      </c>
      <c r="G312" s="11" t="s">
        <v>340</v>
      </c>
      <c r="H312" s="52" t="s">
        <v>980</v>
      </c>
      <c r="I312" s="20" t="s">
        <v>852</v>
      </c>
      <c r="J312" s="11">
        <v>90</v>
      </c>
      <c r="K312" s="11">
        <v>90</v>
      </c>
      <c r="L312" s="11">
        <f t="shared" ref="L312:L322" si="45">+J312-K312</f>
        <v>0</v>
      </c>
      <c r="M312" s="144">
        <f>(SUM(K312:K322))/(SUM(J312:J322))</f>
        <v>0.67213114754098358</v>
      </c>
      <c r="N312" s="96">
        <v>46051</v>
      </c>
    </row>
    <row r="313" spans="1:14" x14ac:dyDescent="0.25">
      <c r="A313" s="11">
        <f t="shared" ca="1" si="43"/>
        <v>-141</v>
      </c>
      <c r="B313" s="37">
        <f t="shared" si="44"/>
        <v>83</v>
      </c>
      <c r="C313" s="11" t="s">
        <v>256</v>
      </c>
      <c r="D313" s="11" t="str">
        <f>VLOOKUP(VALUE(MID($C313,13,2)), codigos!$A$2:$B$60, 2, 1) &amp; " " &amp; VLOOKUP(VALUE(MID($C313,15,4)), codigos!$E$2:$F$102, 2, FALSE)</f>
        <v>BUDINERA 14</v>
      </c>
      <c r="E313" s="11" t="str">
        <f>VLOOKUP(VALUE(MID($C313,19,2)),codigos!$H$2:$I$62,2,1) &amp; " " &amp; VLOOKUP(VALUE(MID($C313,21,2)),codigos!$K$2:$L$12,2,FALSE)</f>
        <v>A/T S/I</v>
      </c>
      <c r="F313" s="11" t="s">
        <v>979</v>
      </c>
      <c r="G313" s="11" t="s">
        <v>340</v>
      </c>
      <c r="H313" s="52" t="s">
        <v>980</v>
      </c>
      <c r="I313" s="20" t="s">
        <v>852</v>
      </c>
      <c r="J313" s="11">
        <v>108</v>
      </c>
      <c r="K313" s="11">
        <v>108</v>
      </c>
      <c r="L313" s="11">
        <f t="shared" si="45"/>
        <v>0</v>
      </c>
      <c r="M313" s="145"/>
      <c r="N313" s="96">
        <v>46051</v>
      </c>
    </row>
    <row r="314" spans="1:14" x14ac:dyDescent="0.25">
      <c r="A314" s="11">
        <f t="shared" ca="1" si="43"/>
        <v>-141</v>
      </c>
      <c r="B314" s="37">
        <f t="shared" si="44"/>
        <v>83</v>
      </c>
      <c r="C314" s="11" t="s">
        <v>189</v>
      </c>
      <c r="D314" s="11" t="str">
        <f>VLOOKUP(VALUE(MID($C314,13,2)), codigos!$A$2:$B$60, 2, 1) &amp; " " &amp; VLOOKUP(VALUE(MID($C314,15,4)), codigos!$E$2:$F$102, 2, FALSE)</f>
        <v>BUDINERA 16</v>
      </c>
      <c r="E314" s="11" t="str">
        <f>VLOOKUP(VALUE(MID($C314,19,2)),codigos!$H$2:$I$62,2,1) &amp; " " &amp; VLOOKUP(VALUE(MID($C314,21,2)),codigos!$K$2:$L$12,2,FALSE)</f>
        <v>A/T S/I</v>
      </c>
      <c r="F314" s="11" t="s">
        <v>979</v>
      </c>
      <c r="G314" s="11" t="s">
        <v>340</v>
      </c>
      <c r="H314" s="52" t="s">
        <v>980</v>
      </c>
      <c r="I314" s="20" t="s">
        <v>852</v>
      </c>
      <c r="J314" s="11">
        <v>126</v>
      </c>
      <c r="K314" s="11">
        <v>3</v>
      </c>
      <c r="L314" s="11">
        <f t="shared" si="45"/>
        <v>123</v>
      </c>
      <c r="M314" s="145"/>
      <c r="N314" s="96">
        <v>46051</v>
      </c>
    </row>
    <row r="315" spans="1:14" x14ac:dyDescent="0.25">
      <c r="A315" s="11">
        <f t="shared" ca="1" si="43"/>
        <v>-141</v>
      </c>
      <c r="B315" s="37">
        <f t="shared" si="44"/>
        <v>83</v>
      </c>
      <c r="C315" s="11" t="s">
        <v>214</v>
      </c>
      <c r="D315" s="11" t="str">
        <f>VLOOKUP(VALUE(MID($C315,13,2)), codigos!$A$2:$B$60, 2, 1) &amp; " " &amp; VLOOKUP(VALUE(MID($C315,15,4)), codigos!$E$2:$F$102, 2, FALSE)</f>
        <v>BUDINERA 18</v>
      </c>
      <c r="E315" s="11" t="str">
        <f>VLOOKUP(VALUE(MID($C315,19,2)),codigos!$H$2:$I$62,2,1) &amp; " " &amp; VLOOKUP(VALUE(MID($C315,21,2)),codigos!$K$2:$L$12,2,FALSE)</f>
        <v>A/T S/I</v>
      </c>
      <c r="F315" s="11" t="s">
        <v>979</v>
      </c>
      <c r="G315" s="11" t="s">
        <v>340</v>
      </c>
      <c r="H315" s="52" t="s">
        <v>980</v>
      </c>
      <c r="I315" s="20" t="s">
        <v>852</v>
      </c>
      <c r="J315" s="11">
        <v>72</v>
      </c>
      <c r="K315" s="11">
        <v>72</v>
      </c>
      <c r="L315" s="11">
        <f t="shared" si="45"/>
        <v>0</v>
      </c>
      <c r="M315" s="145"/>
      <c r="N315" s="96">
        <v>46051</v>
      </c>
    </row>
    <row r="316" spans="1:14" x14ac:dyDescent="0.25">
      <c r="A316" s="11">
        <f t="shared" ca="1" si="43"/>
        <v>-141</v>
      </c>
      <c r="B316" s="37">
        <f t="shared" si="44"/>
        <v>83</v>
      </c>
      <c r="C316" s="11" t="s">
        <v>215</v>
      </c>
      <c r="D316" s="11" t="str">
        <f>VLOOKUP(VALUE(MID($C316,13,2)), codigos!$A$2:$B$60, 2, 1) &amp; " " &amp; VLOOKUP(VALUE(MID($C316,15,4)), codigos!$E$2:$F$102, 2, FALSE)</f>
        <v>BUDINERA 20</v>
      </c>
      <c r="E316" s="11" t="str">
        <f>VLOOKUP(VALUE(MID($C316,19,2)),codigos!$H$2:$I$62,2,1) &amp; " " &amp; VLOOKUP(VALUE(MID($C316,21,2)),codigos!$K$2:$L$12,2,FALSE)</f>
        <v>A/T S/I</v>
      </c>
      <c r="F316" s="11" t="s">
        <v>979</v>
      </c>
      <c r="G316" s="11" t="s">
        <v>340</v>
      </c>
      <c r="H316" s="52" t="s">
        <v>980</v>
      </c>
      <c r="I316" s="20" t="s">
        <v>852</v>
      </c>
      <c r="J316" s="11">
        <v>54</v>
      </c>
      <c r="K316" s="11">
        <v>54</v>
      </c>
      <c r="L316" s="11">
        <f t="shared" si="45"/>
        <v>0</v>
      </c>
      <c r="M316" s="145"/>
      <c r="N316" s="96">
        <v>46051</v>
      </c>
    </row>
    <row r="317" spans="1:14" x14ac:dyDescent="0.25">
      <c r="A317" s="11">
        <f t="shared" ca="1" si="43"/>
        <v>-141</v>
      </c>
      <c r="B317" s="37">
        <f t="shared" si="44"/>
        <v>83</v>
      </c>
      <c r="C317" s="11" t="s">
        <v>241</v>
      </c>
      <c r="D317" s="11" t="str">
        <f>VLOOKUP(VALUE(MID($C317,13,2)), codigos!$A$2:$B$60, 2, 1) &amp; " " &amp; VLOOKUP(VALUE(MID($C317,15,4)), codigos!$E$2:$F$102, 2, FALSE)</f>
        <v>BUDINERA 22</v>
      </c>
      <c r="E317" s="11" t="str">
        <f>VLOOKUP(VALUE(MID($C317,19,2)),codigos!$H$2:$I$62,2,1) &amp; " " &amp; VLOOKUP(VALUE(MID($C317,21,2)),codigos!$K$2:$L$12,2,FALSE)</f>
        <v>A/T S/I</v>
      </c>
      <c r="F317" s="11" t="s">
        <v>979</v>
      </c>
      <c r="G317" s="11" t="s">
        <v>340</v>
      </c>
      <c r="H317" s="52" t="s">
        <v>980</v>
      </c>
      <c r="I317" s="20" t="s">
        <v>852</v>
      </c>
      <c r="J317" s="11">
        <v>36</v>
      </c>
      <c r="K317" s="11">
        <v>36</v>
      </c>
      <c r="L317" s="11">
        <f t="shared" si="45"/>
        <v>0</v>
      </c>
      <c r="M317" s="145"/>
      <c r="N317" s="96">
        <v>46051</v>
      </c>
    </row>
    <row r="318" spans="1:14" x14ac:dyDescent="0.25">
      <c r="A318" s="11">
        <f t="shared" ca="1" si="43"/>
        <v>-141</v>
      </c>
      <c r="B318" s="37">
        <f t="shared" si="44"/>
        <v>83</v>
      </c>
      <c r="C318" s="11" t="s">
        <v>187</v>
      </c>
      <c r="D318" s="11" t="str">
        <f>VLOOKUP(VALUE(MID($C318,13,2)), codigos!$A$2:$B$60, 2, 1) &amp; " " &amp; VLOOKUP(VALUE(MID($C318,15,4)), codigos!$E$2:$F$102, 2, FALSE)</f>
        <v>OLLA CONVEXA 12</v>
      </c>
      <c r="E318" s="11" t="str">
        <f>VLOOKUP(VALUE(MID($C318,19,2)),codigos!$H$2:$I$62,2,1) &amp; " " &amp; VLOOKUP(VALUE(MID($C318,21,2)),codigos!$K$2:$L$12,2,FALSE)</f>
        <v>A/T S/I</v>
      </c>
      <c r="F318" s="11" t="s">
        <v>979</v>
      </c>
      <c r="G318" s="11" t="s">
        <v>340</v>
      </c>
      <c r="H318" s="52" t="s">
        <v>980</v>
      </c>
      <c r="I318" s="20" t="s">
        <v>852</v>
      </c>
      <c r="J318" s="11">
        <v>18</v>
      </c>
      <c r="K318" s="11">
        <v>18</v>
      </c>
      <c r="L318" s="11">
        <f t="shared" si="45"/>
        <v>0</v>
      </c>
      <c r="M318" s="145"/>
      <c r="N318" s="96">
        <v>46051</v>
      </c>
    </row>
    <row r="319" spans="1:14" x14ac:dyDescent="0.25">
      <c r="A319" s="11">
        <f t="shared" ca="1" si="43"/>
        <v>-141</v>
      </c>
      <c r="B319" s="37">
        <f t="shared" si="44"/>
        <v>83</v>
      </c>
      <c r="C319" s="11" t="s">
        <v>333</v>
      </c>
      <c r="D319" s="11" t="str">
        <f>VLOOKUP(VALUE(MID($C319,13,2)), codigos!$A$2:$B$60, 2, 1) &amp; " " &amp; VLOOKUP(VALUE(MID($C319,15,4)), codigos!$E$2:$F$102, 2, FALSE)</f>
        <v>OLLA CONVEXA 14</v>
      </c>
      <c r="E319" s="11" t="str">
        <f>VLOOKUP(VALUE(MID($C319,19,2)),codigos!$H$2:$I$62,2,1) &amp; " " &amp; VLOOKUP(VALUE(MID($C319,21,2)),codigos!$K$2:$L$12,2,FALSE)</f>
        <v>A/T S/I</v>
      </c>
      <c r="F319" s="11" t="s">
        <v>979</v>
      </c>
      <c r="G319" s="11" t="s">
        <v>340</v>
      </c>
      <c r="H319" s="52" t="s">
        <v>980</v>
      </c>
      <c r="I319" s="20" t="s">
        <v>852</v>
      </c>
      <c r="J319" s="11">
        <v>72</v>
      </c>
      <c r="K319" s="11">
        <v>0</v>
      </c>
      <c r="L319" s="11">
        <f t="shared" si="45"/>
        <v>72</v>
      </c>
      <c r="M319" s="145"/>
      <c r="N319" s="96">
        <v>46051</v>
      </c>
    </row>
    <row r="320" spans="1:14" x14ac:dyDescent="0.25">
      <c r="A320" s="11">
        <f t="shared" ca="1" si="43"/>
        <v>-141</v>
      </c>
      <c r="B320" s="37">
        <f t="shared" si="44"/>
        <v>83</v>
      </c>
      <c r="C320" s="11" t="s">
        <v>220</v>
      </c>
      <c r="D320" s="11" t="str">
        <f>VLOOKUP(VALUE(MID($C320,13,2)), codigos!$A$2:$B$60, 2, 1) &amp; " " &amp; VLOOKUP(VALUE(MID($C320,15,4)), codigos!$E$2:$F$102, 2, FALSE)</f>
        <v>OLLA CONVEXA 16</v>
      </c>
      <c r="E320" s="11" t="str">
        <f>VLOOKUP(VALUE(MID($C320,19,2)),codigos!$H$2:$I$62,2,1) &amp; " " &amp; VLOOKUP(VALUE(MID($C320,21,2)),codigos!$K$2:$L$12,2,FALSE)</f>
        <v>A/T S/I</v>
      </c>
      <c r="F320" s="11" t="s">
        <v>979</v>
      </c>
      <c r="G320" s="11" t="s">
        <v>340</v>
      </c>
      <c r="H320" s="52" t="s">
        <v>980</v>
      </c>
      <c r="I320" s="20" t="s">
        <v>852</v>
      </c>
      <c r="J320" s="11">
        <v>60</v>
      </c>
      <c r="K320" s="11">
        <v>15</v>
      </c>
      <c r="L320" s="11">
        <f t="shared" si="45"/>
        <v>45</v>
      </c>
      <c r="M320" s="145"/>
      <c r="N320" s="96">
        <v>46051</v>
      </c>
    </row>
    <row r="321" spans="1:14" x14ac:dyDescent="0.25">
      <c r="A321" s="11">
        <f t="shared" ca="1" si="43"/>
        <v>-141</v>
      </c>
      <c r="B321" s="37">
        <f t="shared" si="44"/>
        <v>83</v>
      </c>
      <c r="C321" s="11" t="s">
        <v>66</v>
      </c>
      <c r="D321" s="11" t="str">
        <f>VLOOKUP(VALUE(MID($C321,13,2)), codigos!$A$2:$B$60, 2, 1) &amp; " " &amp; VLOOKUP(VALUE(MID($C321,15,4)), codigos!$E$2:$F$102, 2, FALSE)</f>
        <v>PLATO AVENERO 20</v>
      </c>
      <c r="E321" s="11" t="str">
        <f>VLOOKUP(VALUE(MID($C321,19,2)),codigos!$H$2:$I$62,2,1) &amp; " " &amp; VLOOKUP(VALUE(MID($C321,21,2)),codigos!$K$2:$L$12,2,FALSE)</f>
        <v>A/T S/I</v>
      </c>
      <c r="F321" s="11" t="s">
        <v>979</v>
      </c>
      <c r="G321" s="11" t="s">
        <v>340</v>
      </c>
      <c r="H321" s="52" t="s">
        <v>980</v>
      </c>
      <c r="I321" s="20" t="s">
        <v>852</v>
      </c>
      <c r="J321" s="11">
        <v>24</v>
      </c>
      <c r="K321" s="11">
        <v>24</v>
      </c>
      <c r="L321" s="11">
        <f t="shared" si="45"/>
        <v>0</v>
      </c>
      <c r="M321" s="145"/>
      <c r="N321" s="96">
        <v>46051</v>
      </c>
    </row>
    <row r="322" spans="1:14" x14ac:dyDescent="0.25">
      <c r="A322" s="11">
        <f t="shared" ca="1" si="43"/>
        <v>-141</v>
      </c>
      <c r="B322" s="37">
        <f t="shared" si="44"/>
        <v>83</v>
      </c>
      <c r="C322" s="11" t="s">
        <v>182</v>
      </c>
      <c r="D322" s="11" t="str">
        <f>VLOOKUP(VALUE(MID($C322,13,2)), codigos!$A$2:$B$60, 2, 1) &amp; " " &amp; VLOOKUP(VALUE(MID($C322,15,4)), codigos!$E$2:$F$102, 2, FALSE)</f>
        <v>POCILLO 14</v>
      </c>
      <c r="E322" s="11" t="str">
        <f>VLOOKUP(VALUE(MID($C322,19,2)),codigos!$H$2:$I$62,2,1) &amp; " " &amp; VLOOKUP(VALUE(MID($C322,21,2)),codigos!$K$2:$L$12,2,FALSE)</f>
        <v>A/T S/I</v>
      </c>
      <c r="F322" s="11" t="s">
        <v>979</v>
      </c>
      <c r="G322" s="11" t="s">
        <v>340</v>
      </c>
      <c r="H322" s="52" t="s">
        <v>980</v>
      </c>
      <c r="I322" s="20" t="s">
        <v>852</v>
      </c>
      <c r="J322" s="11">
        <v>72</v>
      </c>
      <c r="K322" s="11">
        <v>72</v>
      </c>
      <c r="L322" s="11">
        <f t="shared" si="45"/>
        <v>0</v>
      </c>
      <c r="M322" s="146"/>
      <c r="N322" s="96">
        <v>46051</v>
      </c>
    </row>
    <row r="323" spans="1:14" x14ac:dyDescent="0.25">
      <c r="A323" s="11">
        <f t="shared" ref="A323:A333" ca="1" si="46">DAYS360($B$1,I323)</f>
        <v>-82</v>
      </c>
      <c r="B323" s="37">
        <f t="shared" ref="B323:B333" si="47">+N323-I323</f>
        <v>24</v>
      </c>
      <c r="C323" s="11" t="s">
        <v>537</v>
      </c>
      <c r="D323" s="11" t="str">
        <f>VLOOKUP(VALUE(MID($C323,13,2)), [2]codigos!$A$2:$B$60, 2, 1) &amp; " " &amp; VLOOKUP(VALUE(MID($C323,15,4)), [2]codigos!$E$2:$F$102, 2, FALSE)</f>
        <v>TAMALERA 4</v>
      </c>
      <c r="E323" s="11" t="str">
        <f>VLOOKUP(VALUE(MID($C323,19,2)),[2]codigos!$H$2:$I$62,2,1) &amp; " " &amp; VLOOKUP(VALUE(MID($C323,21,2)),[2]codigos!$K$2:$L$12,2,FALSE)</f>
        <v>GALVANIZADO S/I</v>
      </c>
      <c r="F323" s="11" t="s">
        <v>993</v>
      </c>
      <c r="G323" s="11" t="s">
        <v>11</v>
      </c>
      <c r="H323" s="52" t="s">
        <v>994</v>
      </c>
      <c r="I323" s="20" t="s">
        <v>995</v>
      </c>
      <c r="J323" s="11">
        <v>10</v>
      </c>
      <c r="K323" s="11">
        <v>10</v>
      </c>
      <c r="L323" s="11">
        <f t="shared" ref="L323:L333" si="48">J323-K323</f>
        <v>0</v>
      </c>
      <c r="M323" s="95">
        <f>(SUM(K323))/(SUM(J323))</f>
        <v>1</v>
      </c>
      <c r="N323" s="96">
        <v>46052</v>
      </c>
    </row>
    <row r="324" spans="1:14" x14ac:dyDescent="0.25">
      <c r="A324" s="11">
        <f t="shared" ca="1" si="46"/>
        <v>-82</v>
      </c>
      <c r="B324" s="37">
        <f t="shared" si="47"/>
        <v>24</v>
      </c>
      <c r="C324" s="11" t="s">
        <v>996</v>
      </c>
      <c r="D324" s="11" t="str">
        <f>VLOOKUP(VALUE(MID($C324,13,2)), [2]codigos!$A$2:$B$60, 2, 1) &amp; " " &amp; VLOOKUP(VALUE(MID($C324,15,4)), [2]codigos!$E$2:$F$102, 2, FALSE)</f>
        <v>BANDEJA 3</v>
      </c>
      <c r="E324" s="11" t="str">
        <f>VLOOKUP(VALUE(MID($C324,19,2)),[2]codigos!$H$2:$I$62,2,1) &amp; " " &amp; VLOOKUP(VALUE(MID($C324,21,2)),[2]codigos!$K$2:$L$12,2,FALSE)</f>
        <v>GALVANIZADO S/I</v>
      </c>
      <c r="F324" s="11" t="s">
        <v>993</v>
      </c>
      <c r="G324" s="11" t="s">
        <v>11</v>
      </c>
      <c r="H324" s="52" t="s">
        <v>997</v>
      </c>
      <c r="I324" s="20" t="s">
        <v>995</v>
      </c>
      <c r="J324" s="11">
        <v>25</v>
      </c>
      <c r="K324" s="11">
        <v>25</v>
      </c>
      <c r="L324" s="11">
        <f t="shared" si="48"/>
        <v>0</v>
      </c>
      <c r="M324" s="134">
        <f>(SUM(K324:K333))/(SUM(J324:J333))</f>
        <v>1</v>
      </c>
      <c r="N324" s="96">
        <v>46052</v>
      </c>
    </row>
    <row r="325" spans="1:14" x14ac:dyDescent="0.25">
      <c r="A325" s="11">
        <f t="shared" ca="1" si="46"/>
        <v>-82</v>
      </c>
      <c r="B325" s="37">
        <f t="shared" si="47"/>
        <v>24</v>
      </c>
      <c r="C325" s="11" t="s">
        <v>417</v>
      </c>
      <c r="D325" s="11" t="str">
        <f>VLOOKUP(VALUE(MID($C325,13,2)), [2]codigos!$A$2:$B$60, 2, 1) &amp; " " &amp; VLOOKUP(VALUE(MID($C325,15,4)), [2]codigos!$E$2:$F$102, 2, FALSE)</f>
        <v>BAÑO 0</v>
      </c>
      <c r="E325" s="11" t="str">
        <f>VLOOKUP(VALUE(MID($C325,19,2)),[2]codigos!$H$2:$I$62,2,1) &amp; " " &amp; VLOOKUP(VALUE(MID($C325,21,2)),[2]codigos!$K$2:$L$12,2,FALSE)</f>
        <v>GALVANIZADO S/I</v>
      </c>
      <c r="F325" s="11" t="s">
        <v>993</v>
      </c>
      <c r="G325" s="11" t="s">
        <v>11</v>
      </c>
      <c r="H325" s="52" t="s">
        <v>997</v>
      </c>
      <c r="I325" s="20" t="s">
        <v>995</v>
      </c>
      <c r="J325" s="11">
        <v>5</v>
      </c>
      <c r="K325" s="11">
        <v>5</v>
      </c>
      <c r="L325" s="11">
        <f t="shared" si="48"/>
        <v>0</v>
      </c>
      <c r="M325" s="134"/>
      <c r="N325" s="96">
        <v>46052</v>
      </c>
    </row>
    <row r="326" spans="1:14" x14ac:dyDescent="0.25">
      <c r="A326" s="11">
        <f t="shared" ca="1" si="46"/>
        <v>-82</v>
      </c>
      <c r="B326" s="37">
        <f t="shared" si="47"/>
        <v>24</v>
      </c>
      <c r="C326" s="11" t="s">
        <v>419</v>
      </c>
      <c r="D326" s="11" t="str">
        <f>VLOOKUP(VALUE(MID($C326,13,2)), [2]codigos!$A$2:$B$60, 2, 1) &amp; " " &amp; VLOOKUP(VALUE(MID($C326,15,4)), [2]codigos!$E$2:$F$102, 2, FALSE)</f>
        <v>BAÑO 1</v>
      </c>
      <c r="E326" s="11" t="str">
        <f>VLOOKUP(VALUE(MID($C326,19,2)),[2]codigos!$H$2:$I$62,2,1) &amp; " " &amp; VLOOKUP(VALUE(MID($C326,21,2)),[2]codigos!$K$2:$L$12,2,FALSE)</f>
        <v>GALVANIZADO S/I</v>
      </c>
      <c r="F326" s="11" t="s">
        <v>993</v>
      </c>
      <c r="G326" s="11" t="s">
        <v>11</v>
      </c>
      <c r="H326" s="52" t="s">
        <v>997</v>
      </c>
      <c r="I326" s="20" t="s">
        <v>995</v>
      </c>
      <c r="J326" s="11">
        <v>10</v>
      </c>
      <c r="K326" s="11">
        <v>10</v>
      </c>
      <c r="L326" s="11">
        <f t="shared" si="48"/>
        <v>0</v>
      </c>
      <c r="M326" s="134"/>
      <c r="N326" s="96">
        <v>46052</v>
      </c>
    </row>
    <row r="327" spans="1:14" x14ac:dyDescent="0.25">
      <c r="A327" s="11">
        <f t="shared" ca="1" si="46"/>
        <v>-82</v>
      </c>
      <c r="B327" s="37">
        <f t="shared" si="47"/>
        <v>24</v>
      </c>
      <c r="C327" s="11" t="s">
        <v>424</v>
      </c>
      <c r="D327" s="11" t="str">
        <f>VLOOKUP(VALUE(MID($C327,13,2)), [2]codigos!$A$2:$B$60, 2, 1) &amp; " " &amp; VLOOKUP(VALUE(MID($C327,15,4)), [2]codigos!$E$2:$F$102, 2, FALSE)</f>
        <v>BAÑO 7</v>
      </c>
      <c r="E327" s="11" t="str">
        <f>VLOOKUP(VALUE(MID($C327,19,2)),[2]codigos!$H$2:$I$62,2,1) &amp; " " &amp; VLOOKUP(VALUE(MID($C327,21,2)),[2]codigos!$K$2:$L$12,2,FALSE)</f>
        <v>GALVANIZADO S/I</v>
      </c>
      <c r="F327" s="11" t="s">
        <v>993</v>
      </c>
      <c r="G327" s="11" t="s">
        <v>11</v>
      </c>
      <c r="H327" s="52" t="s">
        <v>997</v>
      </c>
      <c r="I327" s="20" t="s">
        <v>995</v>
      </c>
      <c r="J327" s="11">
        <v>5</v>
      </c>
      <c r="K327" s="11">
        <v>5</v>
      </c>
      <c r="L327" s="11">
        <f t="shared" si="48"/>
        <v>0</v>
      </c>
      <c r="M327" s="134"/>
      <c r="N327" s="96">
        <v>46052</v>
      </c>
    </row>
    <row r="328" spans="1:14" x14ac:dyDescent="0.25">
      <c r="A328" s="11">
        <f t="shared" ca="1" si="46"/>
        <v>-82</v>
      </c>
      <c r="B328" s="37">
        <f t="shared" si="47"/>
        <v>24</v>
      </c>
      <c r="C328" s="11" t="s">
        <v>998</v>
      </c>
      <c r="D328" s="11" t="str">
        <f>VLOOKUP(VALUE(MID($C328,13,2)), [2]codigos!$A$2:$B$60, 2, 1) &amp; " " &amp; VLOOKUP(VALUE(MID($C328,15,4)), [2]codigos!$E$2:$F$102, 2, FALSE)</f>
        <v>BAÑO A</v>
      </c>
      <c r="E328" s="11" t="str">
        <f>VLOOKUP(VALUE(MID($C328,19,2)),[2]codigos!$H$2:$I$62,2,1) &amp; " " &amp; VLOOKUP(VALUE(MID($C328,21,2)),[2]codigos!$K$2:$L$12,2,FALSE)</f>
        <v>GALVANIZADO S/I</v>
      </c>
      <c r="F328" s="11" t="s">
        <v>993</v>
      </c>
      <c r="G328" s="11" t="s">
        <v>11</v>
      </c>
      <c r="H328" s="52" t="s">
        <v>997</v>
      </c>
      <c r="I328" s="20" t="s">
        <v>995</v>
      </c>
      <c r="J328" s="11">
        <v>50</v>
      </c>
      <c r="K328" s="11">
        <v>50</v>
      </c>
      <c r="L328" s="11">
        <f t="shared" si="48"/>
        <v>0</v>
      </c>
      <c r="M328" s="134"/>
      <c r="N328" s="96">
        <v>46052</v>
      </c>
    </row>
    <row r="329" spans="1:14" x14ac:dyDescent="0.25">
      <c r="A329" s="11">
        <f t="shared" ca="1" si="46"/>
        <v>-82</v>
      </c>
      <c r="B329" s="37">
        <f t="shared" si="47"/>
        <v>24</v>
      </c>
      <c r="C329" s="11" t="s">
        <v>999</v>
      </c>
      <c r="D329" s="11" t="str">
        <f>VLOOKUP(VALUE(MID($C329,13,2)), [2]codigos!$A$2:$B$60, 2, 1) &amp; " " &amp; VLOOKUP(VALUE(MID($C329,15,4)), [2]codigos!$E$2:$F$102, 2, FALSE)</f>
        <v>BAÑO B</v>
      </c>
      <c r="E329" s="11" t="str">
        <f>VLOOKUP(VALUE(MID($C329,19,2)),[2]codigos!$H$2:$I$62,2,1) &amp; " " &amp; VLOOKUP(VALUE(MID($C329,21,2)),[2]codigos!$K$2:$L$12,2,FALSE)</f>
        <v>GALVANIZADO S/I</v>
      </c>
      <c r="F329" s="11" t="s">
        <v>993</v>
      </c>
      <c r="G329" s="11" t="s">
        <v>11</v>
      </c>
      <c r="H329" s="52" t="s">
        <v>997</v>
      </c>
      <c r="I329" s="20" t="s">
        <v>995</v>
      </c>
      <c r="J329" s="11">
        <v>25</v>
      </c>
      <c r="K329" s="11">
        <v>25</v>
      </c>
      <c r="L329" s="11">
        <f t="shared" si="48"/>
        <v>0</v>
      </c>
      <c r="M329" s="134"/>
      <c r="N329" s="96">
        <v>46052</v>
      </c>
    </row>
    <row r="330" spans="1:14" x14ac:dyDescent="0.25">
      <c r="A330" s="11">
        <f t="shared" ca="1" si="46"/>
        <v>-82</v>
      </c>
      <c r="B330" s="37">
        <f t="shared" si="47"/>
        <v>24</v>
      </c>
      <c r="C330" s="11" t="s">
        <v>1000</v>
      </c>
      <c r="D330" s="11" t="str">
        <f>VLOOKUP(VALUE(MID($C330,13,2)), [2]codigos!$A$2:$B$60, 2, 1) &amp; " " &amp; VLOOKUP(VALUE(MID($C330,15,4)), [2]codigos!$E$2:$F$102, 2, FALSE)</f>
        <v>CUBETA 6</v>
      </c>
      <c r="E330" s="11" t="str">
        <f>VLOOKUP(VALUE(MID($C330,19,2)),[2]codigos!$H$2:$I$62,2,1) &amp; " " &amp; VLOOKUP(VALUE(MID($C330,21,2)),[2]codigos!$K$2:$L$12,2,FALSE)</f>
        <v>GALVANIZADO S/I</v>
      </c>
      <c r="F330" s="11" t="s">
        <v>993</v>
      </c>
      <c r="G330" s="11" t="s">
        <v>11</v>
      </c>
      <c r="H330" s="52" t="s">
        <v>997</v>
      </c>
      <c r="I330" s="20" t="s">
        <v>995</v>
      </c>
      <c r="J330" s="11">
        <v>25</v>
      </c>
      <c r="K330" s="11">
        <v>25</v>
      </c>
      <c r="L330" s="11">
        <f t="shared" si="48"/>
        <v>0</v>
      </c>
      <c r="M330" s="134"/>
      <c r="N330" s="96">
        <v>46052</v>
      </c>
    </row>
    <row r="331" spans="1:14" x14ac:dyDescent="0.25">
      <c r="A331" s="11">
        <f t="shared" ca="1" si="46"/>
        <v>-82</v>
      </c>
      <c r="B331" s="37">
        <f t="shared" si="47"/>
        <v>24</v>
      </c>
      <c r="C331" s="11" t="s">
        <v>1001</v>
      </c>
      <c r="D331" s="11" t="str">
        <f>VLOOKUP(VALUE(MID($C331,13,2)), [2]codigos!$A$2:$B$60, 2, 1) &amp; " " &amp; VLOOKUP(VALUE(MID($C331,15,4)), [2]codigos!$E$2:$F$102, 2, FALSE)</f>
        <v>CUBETA 8</v>
      </c>
      <c r="E331" s="11" t="str">
        <f>VLOOKUP(VALUE(MID($C331,19,2)),[2]codigos!$H$2:$I$62,2,1) &amp; " " &amp; VLOOKUP(VALUE(MID($C331,21,2)),[2]codigos!$K$2:$L$12,2,FALSE)</f>
        <v>GALVANIZADO S/I</v>
      </c>
      <c r="F331" s="11" t="s">
        <v>993</v>
      </c>
      <c r="G331" s="11" t="s">
        <v>11</v>
      </c>
      <c r="H331" s="52" t="s">
        <v>997</v>
      </c>
      <c r="I331" s="20" t="s">
        <v>995</v>
      </c>
      <c r="J331" s="11">
        <v>25</v>
      </c>
      <c r="K331" s="11">
        <v>25</v>
      </c>
      <c r="L331" s="11">
        <f t="shared" si="48"/>
        <v>0</v>
      </c>
      <c r="M331" s="134"/>
      <c r="N331" s="96">
        <v>46052</v>
      </c>
    </row>
    <row r="332" spans="1:14" x14ac:dyDescent="0.25">
      <c r="A332" s="11">
        <f t="shared" ca="1" si="46"/>
        <v>-82</v>
      </c>
      <c r="B332" s="37">
        <f t="shared" si="47"/>
        <v>24</v>
      </c>
      <c r="C332" s="11" t="s">
        <v>1002</v>
      </c>
      <c r="D332" s="11" t="str">
        <f>VLOOKUP(VALUE(MID($C332,13,2)), [2]codigos!$A$2:$B$60, 2, 1) &amp; " " &amp; VLOOKUP(VALUE(MID($C332,15,4)), [2]codigos!$E$2:$F$102, 2, FALSE)</f>
        <v>CUBETA 10</v>
      </c>
      <c r="E332" s="11" t="str">
        <f>VLOOKUP(VALUE(MID($C332,19,2)),[2]codigos!$H$2:$I$62,2,1) &amp; " " &amp; VLOOKUP(VALUE(MID($C332,21,2)),[2]codigos!$K$2:$L$12,2,FALSE)</f>
        <v>GALVANIZADO S/I</v>
      </c>
      <c r="F332" s="11" t="s">
        <v>993</v>
      </c>
      <c r="G332" s="11" t="s">
        <v>11</v>
      </c>
      <c r="H332" s="52" t="s">
        <v>997</v>
      </c>
      <c r="I332" s="20" t="s">
        <v>995</v>
      </c>
      <c r="J332" s="11">
        <v>25</v>
      </c>
      <c r="K332" s="11">
        <v>25</v>
      </c>
      <c r="L332" s="11">
        <f t="shared" si="48"/>
        <v>0</v>
      </c>
      <c r="M332" s="134"/>
      <c r="N332" s="96">
        <v>46052</v>
      </c>
    </row>
    <row r="333" spans="1:14" x14ac:dyDescent="0.25">
      <c r="A333" s="11">
        <f t="shared" ca="1" si="46"/>
        <v>-82</v>
      </c>
      <c r="B333" s="37">
        <f t="shared" si="47"/>
        <v>24</v>
      </c>
      <c r="C333" s="11" t="s">
        <v>1003</v>
      </c>
      <c r="D333" s="11" t="str">
        <f>VLOOKUP(VALUE(MID($C333,13,2)), [2]codigos!$A$2:$B$60, 2, 1) &amp; " " &amp; VLOOKUP(VALUE(MID($C333,15,4)), [2]codigos!$E$2:$F$102, 2, FALSE)</f>
        <v>CUBETA 5</v>
      </c>
      <c r="E333" s="11" t="str">
        <f>VLOOKUP(VALUE(MID($C333,19,2)),[2]codigos!$H$2:$I$62,2,1) &amp; " " &amp; VLOOKUP(VALUE(MID($C333,21,2)),[2]codigos!$K$2:$L$12,2,FALSE)</f>
        <v>GALVANIZADO S/I</v>
      </c>
      <c r="F333" s="11" t="s">
        <v>993</v>
      </c>
      <c r="G333" s="11" t="s">
        <v>11</v>
      </c>
      <c r="H333" s="52" t="s">
        <v>997</v>
      </c>
      <c r="I333" s="20" t="s">
        <v>995</v>
      </c>
      <c r="J333" s="11">
        <v>25</v>
      </c>
      <c r="K333" s="11">
        <v>25</v>
      </c>
      <c r="L333" s="11">
        <f t="shared" si="48"/>
        <v>0</v>
      </c>
      <c r="M333" s="134"/>
      <c r="N333" s="96">
        <v>46052</v>
      </c>
    </row>
    <row r="334" spans="1:14" x14ac:dyDescent="0.25">
      <c r="A334" s="11">
        <f t="shared" ref="A334:A347" ca="1" si="49">DAYS360($B$1,I334)</f>
        <v>-137</v>
      </c>
      <c r="B334" s="37">
        <f t="shared" ref="B334:B347" si="50">+N334-I334</f>
        <v>80</v>
      </c>
      <c r="C334" s="11" t="s">
        <v>148</v>
      </c>
      <c r="D334" s="11" t="str">
        <f>VLOOKUP(VALUE(MID($C334,13,2)), codigos!$A$2:$B$60, 2, 1) &amp; " " &amp; VLOOKUP(VALUE(MID($C334,15,4)), codigos!$E$2:$F$102, 2, FALSE)</f>
        <v>BUDINERA 26</v>
      </c>
      <c r="E334" s="11" t="str">
        <f>VLOOKUP(VALUE(MID($C334,19,2)),codigos!$H$2:$I$62,2,1) &amp; " " &amp; VLOOKUP(VALUE(MID($C334,21,2)),codigos!$K$2:$L$12,2,FALSE)</f>
        <v>A/T S/I</v>
      </c>
      <c r="F334" s="11" t="s">
        <v>505</v>
      </c>
      <c r="G334" s="11" t="s">
        <v>11</v>
      </c>
      <c r="H334" s="52" t="s">
        <v>853</v>
      </c>
      <c r="I334" s="20" t="s">
        <v>854</v>
      </c>
      <c r="J334" s="11">
        <v>12</v>
      </c>
      <c r="K334" s="11">
        <v>12</v>
      </c>
      <c r="L334" s="11">
        <f t="shared" ref="L334:L347" si="51">+J334-K334</f>
        <v>0</v>
      </c>
      <c r="M334" s="143">
        <f>(SUM(K334:K347))/(SUM(J334:J347))</f>
        <v>1</v>
      </c>
      <c r="N334" s="96">
        <v>46052</v>
      </c>
    </row>
    <row r="335" spans="1:14" x14ac:dyDescent="0.25">
      <c r="A335" s="11">
        <f t="shared" ca="1" si="49"/>
        <v>-137</v>
      </c>
      <c r="B335" s="37">
        <f t="shared" si="50"/>
        <v>80</v>
      </c>
      <c r="C335" s="11" t="s">
        <v>169</v>
      </c>
      <c r="D335" s="11" t="str">
        <f>VLOOKUP(VALUE(MID($C335,13,2)), codigos!$A$2:$B$60, 2, 1) &amp; " " &amp; VLOOKUP(VALUE(MID($C335,15,4)), codigos!$E$2:$F$102, 2, FALSE)</f>
        <v>BUDINERA 30</v>
      </c>
      <c r="E335" s="11" t="str">
        <f>VLOOKUP(VALUE(MID($C335,19,2)),codigos!$H$2:$I$62,2,1) &amp; " " &amp; VLOOKUP(VALUE(MID($C335,21,2)),codigos!$K$2:$L$12,2,FALSE)</f>
        <v>A/T S/I</v>
      </c>
      <c r="F335" s="11" t="s">
        <v>505</v>
      </c>
      <c r="G335" s="11" t="s">
        <v>11</v>
      </c>
      <c r="H335" s="52" t="s">
        <v>853</v>
      </c>
      <c r="I335" s="20" t="s">
        <v>854</v>
      </c>
      <c r="J335" s="11">
        <v>4</v>
      </c>
      <c r="K335" s="11">
        <v>4</v>
      </c>
      <c r="L335" s="11">
        <f t="shared" si="51"/>
        <v>0</v>
      </c>
      <c r="M335" s="143"/>
      <c r="N335" s="96">
        <v>46052</v>
      </c>
    </row>
    <row r="336" spans="1:14" x14ac:dyDescent="0.25">
      <c r="A336" s="11">
        <f t="shared" ca="1" si="49"/>
        <v>-137</v>
      </c>
      <c r="B336" s="37">
        <f t="shared" si="50"/>
        <v>80</v>
      </c>
      <c r="C336" s="11" t="s">
        <v>38</v>
      </c>
      <c r="D336" s="11" t="str">
        <f>VLOOKUP(VALUE(MID($C336,13,2)), codigos!$A$2:$B$60, 2, 1) &amp; " " &amp; VLOOKUP(VALUE(MID($C336,15,4)), codigos!$E$2:$F$102, 2, FALSE)</f>
        <v>BUDINERA 42</v>
      </c>
      <c r="E336" s="11" t="str">
        <f>VLOOKUP(VALUE(MID($C336,19,2)),codigos!$H$2:$I$62,2,1) &amp; " " &amp; VLOOKUP(VALUE(MID($C336,21,2)),codigos!$K$2:$L$12,2,FALSE)</f>
        <v>A/T S/I</v>
      </c>
      <c r="F336" s="11" t="s">
        <v>505</v>
      </c>
      <c r="G336" s="11" t="s">
        <v>11</v>
      </c>
      <c r="H336" s="52" t="s">
        <v>853</v>
      </c>
      <c r="I336" s="20" t="s">
        <v>854</v>
      </c>
      <c r="J336" s="11">
        <v>2</v>
      </c>
      <c r="K336" s="11">
        <v>2</v>
      </c>
      <c r="L336" s="11">
        <f t="shared" si="51"/>
        <v>0</v>
      </c>
      <c r="M336" s="143"/>
      <c r="N336" s="96">
        <v>46052</v>
      </c>
    </row>
    <row r="337" spans="1:14" x14ac:dyDescent="0.25">
      <c r="A337" s="11">
        <f t="shared" ca="1" si="49"/>
        <v>-137</v>
      </c>
      <c r="B337" s="37">
        <f t="shared" si="50"/>
        <v>80</v>
      </c>
      <c r="C337" s="11" t="s">
        <v>149</v>
      </c>
      <c r="D337" s="11" t="str">
        <f>VLOOKUP(VALUE(MID($C337,13,2)), codigos!$A$2:$B$60, 2, 1) &amp; " " &amp; VLOOKUP(VALUE(MID($C337,15,4)), codigos!$E$2:$F$102, 2, FALSE)</f>
        <v>COMAL 28</v>
      </c>
      <c r="E337" s="11" t="str">
        <f>VLOOKUP(VALUE(MID($C337,19,2)),codigos!$H$2:$I$62,2,1) &amp; " " &amp; VLOOKUP(VALUE(MID($C337,21,2)),codigos!$K$2:$L$12,2,FALSE)</f>
        <v>NEGRO MOTAS S/I</v>
      </c>
      <c r="F337" s="11" t="s">
        <v>505</v>
      </c>
      <c r="G337" s="11" t="s">
        <v>11</v>
      </c>
      <c r="H337" s="52" t="s">
        <v>853</v>
      </c>
      <c r="I337" s="20" t="s">
        <v>854</v>
      </c>
      <c r="J337" s="11">
        <v>36</v>
      </c>
      <c r="K337" s="11">
        <v>36</v>
      </c>
      <c r="L337" s="11">
        <f t="shared" si="51"/>
        <v>0</v>
      </c>
      <c r="M337" s="143"/>
      <c r="N337" s="96">
        <v>46052</v>
      </c>
    </row>
    <row r="338" spans="1:14" x14ac:dyDescent="0.25">
      <c r="A338" s="11">
        <f t="shared" ca="1" si="49"/>
        <v>-137</v>
      </c>
      <c r="B338" s="37">
        <f t="shared" si="50"/>
        <v>80</v>
      </c>
      <c r="C338" s="11" t="s">
        <v>150</v>
      </c>
      <c r="D338" s="11" t="str">
        <f>VLOOKUP(VALUE(MID($C338,13,2)), codigos!$A$2:$B$60, 2, 1) &amp; " " &amp; VLOOKUP(VALUE(MID($C338,15,4)), codigos!$E$2:$F$102, 2, FALSE)</f>
        <v>OLLA CONVEXA 18</v>
      </c>
      <c r="E338" s="11" t="str">
        <f>VLOOKUP(VALUE(MID($C338,19,2)),codigos!$H$2:$I$62,2,1) &amp; " " &amp; VLOOKUP(VALUE(MID($C338,21,2)),codigos!$K$2:$L$12,2,FALSE)</f>
        <v>A/T S/I</v>
      </c>
      <c r="F338" s="11" t="s">
        <v>505</v>
      </c>
      <c r="G338" s="11" t="s">
        <v>11</v>
      </c>
      <c r="H338" s="52" t="s">
        <v>853</v>
      </c>
      <c r="I338" s="20" t="s">
        <v>854</v>
      </c>
      <c r="J338" s="11">
        <v>12</v>
      </c>
      <c r="K338" s="11">
        <v>12</v>
      </c>
      <c r="L338" s="11">
        <f t="shared" si="51"/>
        <v>0</v>
      </c>
      <c r="M338" s="143"/>
      <c r="N338" s="96">
        <v>46052</v>
      </c>
    </row>
    <row r="339" spans="1:14" x14ac:dyDescent="0.25">
      <c r="A339" s="11">
        <f t="shared" ca="1" si="49"/>
        <v>-137</v>
      </c>
      <c r="B339" s="37">
        <f t="shared" si="50"/>
        <v>80</v>
      </c>
      <c r="C339" s="11" t="s">
        <v>226</v>
      </c>
      <c r="D339" s="11" t="str">
        <f>VLOOKUP(VALUE(MID($C339,13,2)), codigos!$A$2:$B$60, 2, 1) &amp; " " &amp; VLOOKUP(VALUE(MID($C339,15,4)), codigos!$E$2:$F$102, 2, FALSE)</f>
        <v>POCILLO 10</v>
      </c>
      <c r="E339" s="11" t="str">
        <f>VLOOKUP(VALUE(MID($C339,19,2)),codigos!$H$2:$I$62,2,1) &amp; " " &amp; VLOOKUP(VALUE(MID($C339,21,2)),codigos!$K$2:$L$12,2,FALSE)</f>
        <v>A/T S/I</v>
      </c>
      <c r="F339" s="11" t="s">
        <v>505</v>
      </c>
      <c r="G339" s="11" t="s">
        <v>11</v>
      </c>
      <c r="H339" s="52" t="s">
        <v>853</v>
      </c>
      <c r="I339" s="20" t="s">
        <v>854</v>
      </c>
      <c r="J339" s="11">
        <v>24</v>
      </c>
      <c r="K339" s="11">
        <v>24</v>
      </c>
      <c r="L339" s="11">
        <f t="shared" si="51"/>
        <v>0</v>
      </c>
      <c r="M339" s="143"/>
      <c r="N339" s="96">
        <v>46052</v>
      </c>
    </row>
    <row r="340" spans="1:14" x14ac:dyDescent="0.25">
      <c r="A340" s="11">
        <f t="shared" ca="1" si="49"/>
        <v>-137</v>
      </c>
      <c r="B340" s="37">
        <f t="shared" si="50"/>
        <v>80</v>
      </c>
      <c r="C340" s="11" t="s">
        <v>180</v>
      </c>
      <c r="D340" s="11" t="str">
        <f>VLOOKUP(VALUE(MID($C340,13,2)), codigos!$A$2:$B$60, 2, 1) &amp; " " &amp; VLOOKUP(VALUE(MID($C340,15,4)), codigos!$E$2:$F$102, 2, FALSE)</f>
        <v>POCILLO 12</v>
      </c>
      <c r="E340" s="11" t="str">
        <f>VLOOKUP(VALUE(MID($C340,19,2)),codigos!$H$2:$I$62,2,1) &amp; " " &amp; VLOOKUP(VALUE(MID($C340,21,2)),codigos!$K$2:$L$12,2,FALSE)</f>
        <v>A/T S/I</v>
      </c>
      <c r="F340" s="11" t="s">
        <v>505</v>
      </c>
      <c r="G340" s="11" t="s">
        <v>11</v>
      </c>
      <c r="H340" s="52" t="s">
        <v>853</v>
      </c>
      <c r="I340" s="20" t="s">
        <v>854</v>
      </c>
      <c r="J340" s="11">
        <v>24</v>
      </c>
      <c r="K340" s="11">
        <v>24</v>
      </c>
      <c r="L340" s="11">
        <f t="shared" si="51"/>
        <v>0</v>
      </c>
      <c r="M340" s="143"/>
      <c r="N340" s="96">
        <v>46052</v>
      </c>
    </row>
    <row r="341" spans="1:14" x14ac:dyDescent="0.25">
      <c r="A341" s="11">
        <f t="shared" ca="1" si="49"/>
        <v>-137</v>
      </c>
      <c r="B341" s="37">
        <f t="shared" si="50"/>
        <v>80</v>
      </c>
      <c r="C341" s="11" t="s">
        <v>182</v>
      </c>
      <c r="D341" s="11" t="str">
        <f>VLOOKUP(VALUE(MID($C341,13,2)), codigos!$A$2:$B$60, 2, 1) &amp; " " &amp; VLOOKUP(VALUE(MID($C341,15,4)), codigos!$E$2:$F$102, 2, FALSE)</f>
        <v>POCILLO 14</v>
      </c>
      <c r="E341" s="11" t="str">
        <f>VLOOKUP(VALUE(MID($C341,19,2)),codigos!$H$2:$I$62,2,1) &amp; " " &amp; VLOOKUP(VALUE(MID($C341,21,2)),codigos!$K$2:$L$12,2,FALSE)</f>
        <v>A/T S/I</v>
      </c>
      <c r="F341" s="11" t="s">
        <v>505</v>
      </c>
      <c r="G341" s="11" t="s">
        <v>11</v>
      </c>
      <c r="H341" s="52" t="s">
        <v>853</v>
      </c>
      <c r="I341" s="20" t="s">
        <v>854</v>
      </c>
      <c r="J341" s="11">
        <v>36</v>
      </c>
      <c r="K341" s="11">
        <v>36</v>
      </c>
      <c r="L341" s="11">
        <f t="shared" si="51"/>
        <v>0</v>
      </c>
      <c r="M341" s="143"/>
      <c r="N341" s="96">
        <v>46052</v>
      </c>
    </row>
    <row r="342" spans="1:14" x14ac:dyDescent="0.25">
      <c r="A342" s="11">
        <f t="shared" ca="1" si="49"/>
        <v>-137</v>
      </c>
      <c r="B342" s="37">
        <f t="shared" si="50"/>
        <v>80</v>
      </c>
      <c r="C342" s="11" t="s">
        <v>262</v>
      </c>
      <c r="D342" s="11" t="str">
        <f>VLOOKUP(VALUE(MID($C342,13,2)), codigos!$A$2:$B$60, 2, 1) &amp; " " &amp; VLOOKUP(VALUE(MID($C342,15,4)), codigos!$E$2:$F$102, 2, FALSE)</f>
        <v>SARTEN 20</v>
      </c>
      <c r="E342" s="11" t="str">
        <f>VLOOKUP(VALUE(MID($C342,19,2)),codigos!$H$2:$I$62,2,1) &amp; " " &amp; VLOOKUP(VALUE(MID($C342,21,2)),codigos!$K$2:$L$12,2,FALSE)</f>
        <v>A/T S/I</v>
      </c>
      <c r="F342" s="11" t="s">
        <v>505</v>
      </c>
      <c r="G342" s="11" t="s">
        <v>11</v>
      </c>
      <c r="H342" s="52" t="s">
        <v>853</v>
      </c>
      <c r="I342" s="20" t="s">
        <v>854</v>
      </c>
      <c r="J342" s="11">
        <v>24</v>
      </c>
      <c r="K342" s="11">
        <v>24</v>
      </c>
      <c r="L342" s="11">
        <f t="shared" si="51"/>
        <v>0</v>
      </c>
      <c r="M342" s="143"/>
      <c r="N342" s="96">
        <v>46052</v>
      </c>
    </row>
    <row r="343" spans="1:14" x14ac:dyDescent="0.25">
      <c r="A343" s="11">
        <f t="shared" ca="1" si="49"/>
        <v>-137</v>
      </c>
      <c r="B343" s="37">
        <f t="shared" si="50"/>
        <v>80</v>
      </c>
      <c r="C343" s="11" t="s">
        <v>227</v>
      </c>
      <c r="D343" s="11" t="str">
        <f>VLOOKUP(VALUE(MID($C343,13,2)), codigos!$A$2:$B$60, 2, 1) &amp; " " &amp; VLOOKUP(VALUE(MID($C343,15,4)), codigos!$E$2:$F$102, 2, FALSE)</f>
        <v>SARTEN 22</v>
      </c>
      <c r="E343" s="11" t="str">
        <f>VLOOKUP(VALUE(MID($C343,19,2)),codigos!$H$2:$I$62,2,1) &amp; " " &amp; VLOOKUP(VALUE(MID($C343,21,2)),codigos!$K$2:$L$12,2,FALSE)</f>
        <v>A/T S/I</v>
      </c>
      <c r="F343" s="11" t="s">
        <v>505</v>
      </c>
      <c r="G343" s="11" t="s">
        <v>11</v>
      </c>
      <c r="H343" s="52" t="s">
        <v>853</v>
      </c>
      <c r="I343" s="20" t="s">
        <v>854</v>
      </c>
      <c r="J343" s="11">
        <v>24</v>
      </c>
      <c r="K343" s="11">
        <v>24</v>
      </c>
      <c r="L343" s="11">
        <f t="shared" si="51"/>
        <v>0</v>
      </c>
      <c r="M343" s="143"/>
      <c r="N343" s="96">
        <v>46052</v>
      </c>
    </row>
    <row r="344" spans="1:14" x14ac:dyDescent="0.25">
      <c r="A344" s="11">
        <f t="shared" ca="1" si="49"/>
        <v>-137</v>
      </c>
      <c r="B344" s="37">
        <f t="shared" si="50"/>
        <v>80</v>
      </c>
      <c r="C344" s="11" t="s">
        <v>44</v>
      </c>
      <c r="D344" s="11" t="str">
        <f>VLOOKUP(VALUE(MID($C344,13,2)), codigos!$A$2:$B$60, 2, 1) &amp; " " &amp; VLOOKUP(VALUE(MID($C344,15,4)), codigos!$E$2:$F$102, 2, FALSE)</f>
        <v>SARTEN 24</v>
      </c>
      <c r="E344" s="11" t="str">
        <f>VLOOKUP(VALUE(MID($C344,19,2)),codigos!$H$2:$I$62,2,1) &amp; " " &amp; VLOOKUP(VALUE(MID($C344,21,2)),codigos!$K$2:$L$12,2,FALSE)</f>
        <v>A/T S/I</v>
      </c>
      <c r="F344" s="11" t="s">
        <v>505</v>
      </c>
      <c r="G344" s="11" t="s">
        <v>11</v>
      </c>
      <c r="H344" s="52" t="s">
        <v>853</v>
      </c>
      <c r="I344" s="20" t="s">
        <v>854</v>
      </c>
      <c r="J344" s="11">
        <v>24</v>
      </c>
      <c r="K344" s="11">
        <v>24</v>
      </c>
      <c r="L344" s="11">
        <f t="shared" si="51"/>
        <v>0</v>
      </c>
      <c r="M344" s="143"/>
      <c r="N344" s="96">
        <v>46052</v>
      </c>
    </row>
    <row r="345" spans="1:14" x14ac:dyDescent="0.25">
      <c r="A345" s="11">
        <f t="shared" ca="1" si="49"/>
        <v>-137</v>
      </c>
      <c r="B345" s="37">
        <f t="shared" si="50"/>
        <v>80</v>
      </c>
      <c r="C345" s="11" t="s">
        <v>239</v>
      </c>
      <c r="D345" s="11" t="str">
        <f>VLOOKUP(VALUE(MID($C345,13,2)), codigos!$A$2:$B$60, 2, 1) &amp; " " &amp; VLOOKUP(VALUE(MID($C345,15,4)), codigos!$E$2:$F$102, 2, FALSE)</f>
        <v>SARTEN 26</v>
      </c>
      <c r="E345" s="11" t="str">
        <f>VLOOKUP(VALUE(MID($C345,19,2)),codigos!$H$2:$I$62,2,1) &amp; " " &amp; VLOOKUP(VALUE(MID($C345,21,2)),codigos!$K$2:$L$12,2,FALSE)</f>
        <v>A/T S/I</v>
      </c>
      <c r="F345" s="11" t="s">
        <v>505</v>
      </c>
      <c r="G345" s="11" t="s">
        <v>11</v>
      </c>
      <c r="H345" s="52" t="s">
        <v>853</v>
      </c>
      <c r="I345" s="20" t="s">
        <v>854</v>
      </c>
      <c r="J345" s="11">
        <v>12</v>
      </c>
      <c r="K345" s="11">
        <v>12</v>
      </c>
      <c r="L345" s="11">
        <f t="shared" si="51"/>
        <v>0</v>
      </c>
      <c r="M345" s="143"/>
      <c r="N345" s="96">
        <v>46052</v>
      </c>
    </row>
    <row r="346" spans="1:14" x14ac:dyDescent="0.25">
      <c r="A346" s="11">
        <f t="shared" ca="1" si="49"/>
        <v>-137</v>
      </c>
      <c r="B346" s="37">
        <f t="shared" si="50"/>
        <v>80</v>
      </c>
      <c r="C346" s="11" t="s">
        <v>855</v>
      </c>
      <c r="D346" s="11" t="str">
        <f>VLOOKUP(VALUE(MID($C346,13,2)), codigos!$A$2:$B$60, 2, 1) &amp; " " &amp; VLOOKUP(VALUE(MID($C346,15,4)), codigos!$E$2:$F$102, 2, FALSE)</f>
        <v>OLLA RECTA PROFUNDA 14</v>
      </c>
      <c r="E346" s="11" t="str">
        <f>VLOOKUP(VALUE(MID($C346,19,2)),codigos!$H$2:$I$62,2,1) &amp; " " &amp; VLOOKUP(VALUE(MID($C346,21,2)),codigos!$K$2:$L$12,2,FALSE)</f>
        <v>A/T S/I</v>
      </c>
      <c r="F346" s="11" t="s">
        <v>505</v>
      </c>
      <c r="G346" s="11" t="s">
        <v>11</v>
      </c>
      <c r="H346" s="52" t="s">
        <v>853</v>
      </c>
      <c r="I346" s="20" t="s">
        <v>854</v>
      </c>
      <c r="J346" s="11">
        <v>24</v>
      </c>
      <c r="K346" s="11">
        <f>12+12</f>
        <v>24</v>
      </c>
      <c r="L346" s="11">
        <f t="shared" si="51"/>
        <v>0</v>
      </c>
      <c r="M346" s="143"/>
      <c r="N346" s="96">
        <v>46052</v>
      </c>
    </row>
    <row r="347" spans="1:14" x14ac:dyDescent="0.25">
      <c r="A347" s="11">
        <f t="shared" ca="1" si="49"/>
        <v>-137</v>
      </c>
      <c r="B347" s="37">
        <f t="shared" si="50"/>
        <v>80</v>
      </c>
      <c r="C347" s="11" t="s">
        <v>188</v>
      </c>
      <c r="D347" s="11" t="str">
        <f>VLOOKUP(VALUE(MID($C347,13,2)), codigos!$A$2:$B$60, 2, 1) &amp; " " &amp; VLOOKUP(VALUE(MID($C347,15,4)), codigos!$E$2:$F$102, 2, FALSE)</f>
        <v>POCILLO 14</v>
      </c>
      <c r="E347" s="11" t="str">
        <f>VLOOKUP(VALUE(MID($C347,19,2)),codigos!$H$2:$I$62,2,1) &amp; " " &amp; VLOOKUP(VALUE(MID($C347,21,2)),codigos!$K$2:$L$12,2,FALSE)</f>
        <v>S/I S/I</v>
      </c>
      <c r="F347" s="11" t="s">
        <v>505</v>
      </c>
      <c r="G347" s="11" t="s">
        <v>11</v>
      </c>
      <c r="H347" s="52" t="s">
        <v>853</v>
      </c>
      <c r="I347" s="20" t="s">
        <v>854</v>
      </c>
      <c r="J347" s="11">
        <v>12</v>
      </c>
      <c r="K347" s="11">
        <v>12</v>
      </c>
      <c r="L347" s="11">
        <f t="shared" si="51"/>
        <v>0</v>
      </c>
      <c r="M347" s="143"/>
      <c r="N347" s="96">
        <v>46052</v>
      </c>
    </row>
    <row r="348" spans="1:14" x14ac:dyDescent="0.25">
      <c r="A348" s="11">
        <f ca="1">DAYS360($B$1,I348)</f>
        <v>-267</v>
      </c>
      <c r="B348" s="37">
        <f>+N348-I348</f>
        <v>217</v>
      </c>
      <c r="C348" s="11" t="s">
        <v>400</v>
      </c>
      <c r="D348" s="11" t="s">
        <v>795</v>
      </c>
      <c r="E348" s="11" t="s">
        <v>926</v>
      </c>
      <c r="F348" s="11" t="s">
        <v>401</v>
      </c>
      <c r="G348" s="11" t="s">
        <v>11</v>
      </c>
      <c r="H348" s="52" t="s">
        <v>829</v>
      </c>
      <c r="I348" s="20" t="s">
        <v>830</v>
      </c>
      <c r="J348" s="11">
        <v>2400</v>
      </c>
      <c r="K348" s="11">
        <v>2400</v>
      </c>
      <c r="L348" s="11">
        <v>0</v>
      </c>
      <c r="M348" s="24"/>
      <c r="N348" s="96">
        <v>46056</v>
      </c>
    </row>
    <row r="349" spans="1:14" x14ac:dyDescent="0.25">
      <c r="A349" s="11">
        <f ca="1">DAYS360($B$1,I349)</f>
        <v>-267</v>
      </c>
      <c r="B349" s="37">
        <f>+N349-I349</f>
        <v>217</v>
      </c>
      <c r="C349" s="11" t="s">
        <v>404</v>
      </c>
      <c r="D349" s="11" t="s">
        <v>796</v>
      </c>
      <c r="E349" s="11" t="s">
        <v>926</v>
      </c>
      <c r="F349" s="11" t="s">
        <v>401</v>
      </c>
      <c r="G349" s="11" t="s">
        <v>11</v>
      </c>
      <c r="H349" s="52" t="s">
        <v>829</v>
      </c>
      <c r="I349" s="20" t="s">
        <v>830</v>
      </c>
      <c r="J349" s="11">
        <v>2400</v>
      </c>
      <c r="K349" s="11">
        <v>2400</v>
      </c>
      <c r="L349" s="11">
        <v>0</v>
      </c>
      <c r="M349" s="17">
        <v>1</v>
      </c>
      <c r="N349" s="96">
        <v>46056</v>
      </c>
    </row>
    <row r="350" spans="1:14" x14ac:dyDescent="0.25">
      <c r="A350" s="11">
        <f ca="1">DAYS360($B$1,I350)</f>
        <v>-267</v>
      </c>
      <c r="B350" s="37">
        <f>+N350-I350</f>
        <v>217</v>
      </c>
      <c r="C350" s="11" t="s">
        <v>400</v>
      </c>
      <c r="D350" s="11" t="s">
        <v>795</v>
      </c>
      <c r="E350" s="11" t="s">
        <v>926</v>
      </c>
      <c r="F350" s="11" t="s">
        <v>401</v>
      </c>
      <c r="G350" s="11" t="s">
        <v>34</v>
      </c>
      <c r="H350" s="52" t="s">
        <v>850</v>
      </c>
      <c r="I350" s="20" t="s">
        <v>830</v>
      </c>
      <c r="J350" s="11">
        <v>352</v>
      </c>
      <c r="K350" s="11">
        <v>352</v>
      </c>
      <c r="L350" s="11">
        <v>0</v>
      </c>
      <c r="M350" s="143">
        <v>1</v>
      </c>
      <c r="N350" s="96">
        <v>46056</v>
      </c>
    </row>
    <row r="351" spans="1:14" x14ac:dyDescent="0.25">
      <c r="A351" s="11">
        <f ca="1">DAYS360($B$1,I351)</f>
        <v>-267</v>
      </c>
      <c r="B351" s="37">
        <f>+N351-I351</f>
        <v>217</v>
      </c>
      <c r="C351" s="11" t="s">
        <v>404</v>
      </c>
      <c r="D351" s="11" t="s">
        <v>796</v>
      </c>
      <c r="E351" s="11" t="s">
        <v>926</v>
      </c>
      <c r="F351" s="11" t="s">
        <v>401</v>
      </c>
      <c r="G351" s="11" t="s">
        <v>34</v>
      </c>
      <c r="H351" s="52" t="s">
        <v>850</v>
      </c>
      <c r="I351" s="20" t="s">
        <v>830</v>
      </c>
      <c r="J351" s="11">
        <v>617</v>
      </c>
      <c r="K351" s="11">
        <v>617</v>
      </c>
      <c r="L351" s="11">
        <v>0</v>
      </c>
      <c r="M351" s="143"/>
      <c r="N351" s="96">
        <v>46056</v>
      </c>
    </row>
    <row r="352" spans="1:14" x14ac:dyDescent="0.25">
      <c r="A352" s="11">
        <f ca="1">DAYS360($B$1,I352)</f>
        <v>-267</v>
      </c>
      <c r="B352" s="37">
        <f>+N352-I352</f>
        <v>217</v>
      </c>
      <c r="C352" s="11" t="s">
        <v>405</v>
      </c>
      <c r="D352" s="11" t="s">
        <v>796</v>
      </c>
      <c r="E352" s="11" t="s">
        <v>937</v>
      </c>
      <c r="F352" s="11" t="s">
        <v>401</v>
      </c>
      <c r="G352" s="11" t="s">
        <v>34</v>
      </c>
      <c r="H352" s="52" t="s">
        <v>850</v>
      </c>
      <c r="I352" s="20" t="s">
        <v>830</v>
      </c>
      <c r="J352" s="11">
        <v>120</v>
      </c>
      <c r="K352" s="11">
        <v>120</v>
      </c>
      <c r="L352" s="11">
        <v>0</v>
      </c>
      <c r="M352" s="143"/>
      <c r="N352" s="96">
        <v>46056</v>
      </c>
    </row>
    <row r="353" spans="1:14" x14ac:dyDescent="0.25">
      <c r="A353" s="11">
        <f t="shared" ref="A353:A391" ca="1" si="52">DAYS360($B$1,I353)</f>
        <v>-115</v>
      </c>
      <c r="B353" s="37">
        <f t="shared" ref="B353:B391" si="53">+N353-I353</f>
        <v>63</v>
      </c>
      <c r="C353" s="11" t="s">
        <v>83</v>
      </c>
      <c r="D353" s="11" t="str">
        <f>VLOOKUP(VALUE(MID($C353,13,2)), codigos!$A$2:$B$60, 2, 1) &amp; " " &amp; VLOOKUP(VALUE(MID($C353,15,4)), codigos!$E$2:$F$102, 2, FALSE)</f>
        <v>TAZON 15.5</v>
      </c>
      <c r="E353" s="11" t="str">
        <f>VLOOKUP(VALUE(MID($C353,19,2)),codigos!$H$2:$I$62,2,1) &amp; " " &amp; VLOOKUP(VALUE(MID($C353,21,2)),codigos!$K$2:$L$12,2,FALSE)</f>
        <v>BLANCO  NEGRO</v>
      </c>
      <c r="F353" s="11" t="s">
        <v>914</v>
      </c>
      <c r="G353" s="11" t="s">
        <v>34</v>
      </c>
      <c r="H353" s="52" t="s">
        <v>915</v>
      </c>
      <c r="I353" s="20" t="s">
        <v>916</v>
      </c>
      <c r="J353" s="11">
        <v>24</v>
      </c>
      <c r="K353" s="11">
        <v>24</v>
      </c>
      <c r="L353" s="11">
        <f>+J353-K353</f>
        <v>0</v>
      </c>
      <c r="M353" s="131">
        <f>(SUM(K353:K356))/(SUM(J353:J356))</f>
        <v>1</v>
      </c>
      <c r="N353" s="96">
        <v>46057</v>
      </c>
    </row>
    <row r="354" spans="1:14" x14ac:dyDescent="0.25">
      <c r="A354" s="11">
        <f t="shared" ca="1" si="52"/>
        <v>-115</v>
      </c>
      <c r="B354" s="37">
        <f t="shared" si="53"/>
        <v>63</v>
      </c>
      <c r="C354" s="11" t="s">
        <v>387</v>
      </c>
      <c r="D354" s="11" t="str">
        <f>VLOOKUP(VALUE(MID($C354,13,2)), codigos!$A$2:$B$60, 2, 1) &amp; " " &amp; VLOOKUP(VALUE(MID($C354,15,4)), codigos!$E$2:$F$102, 2, FALSE)</f>
        <v>TAZON 20</v>
      </c>
      <c r="E354" s="11" t="str">
        <f>VLOOKUP(VALUE(MID($C354,19,2)),codigos!$H$2:$I$62,2,1) &amp; " " &amp; VLOOKUP(VALUE(MID($C354,21,2)),codigos!$K$2:$L$12,2,FALSE)</f>
        <v>BICOLOR AZUL S/I</v>
      </c>
      <c r="F354" s="11" t="s">
        <v>914</v>
      </c>
      <c r="G354" s="11" t="s">
        <v>34</v>
      </c>
      <c r="H354" s="52" t="s">
        <v>915</v>
      </c>
      <c r="I354" s="20" t="s">
        <v>916</v>
      </c>
      <c r="J354" s="11">
        <v>180</v>
      </c>
      <c r="K354" s="11">
        <v>180</v>
      </c>
      <c r="L354" s="11">
        <f>+J354-K354</f>
        <v>0</v>
      </c>
      <c r="M354" s="131"/>
      <c r="N354" s="96">
        <v>46057</v>
      </c>
    </row>
    <row r="355" spans="1:14" x14ac:dyDescent="0.25">
      <c r="A355" s="11">
        <f t="shared" ca="1" si="52"/>
        <v>-115</v>
      </c>
      <c r="B355" s="37">
        <f t="shared" si="53"/>
        <v>63</v>
      </c>
      <c r="C355" s="11" t="s">
        <v>388</v>
      </c>
      <c r="D355" s="11" t="str">
        <f>VLOOKUP(VALUE(MID($C355,13,2)), codigos!$A$2:$B$60, 2, 1) &amp; " " &amp; VLOOKUP(VALUE(MID($C355,15,4)), codigos!$E$2:$F$102, 2, FALSE)</f>
        <v>TAZON 20</v>
      </c>
      <c r="E355" s="11" t="str">
        <f>VLOOKUP(VALUE(MID($C355,19,2)),codigos!$H$2:$I$62,2,1) &amp; " " &amp; VLOOKUP(VALUE(MID($C355,21,2)),codigos!$K$2:$L$12,2,FALSE)</f>
        <v>BICOLOR NARANJA S/I</v>
      </c>
      <c r="F355" s="11" t="s">
        <v>914</v>
      </c>
      <c r="G355" s="11" t="s">
        <v>34</v>
      </c>
      <c r="H355" s="52" t="s">
        <v>915</v>
      </c>
      <c r="I355" s="20" t="s">
        <v>916</v>
      </c>
      <c r="J355" s="11">
        <v>174</v>
      </c>
      <c r="K355" s="11">
        <f>45+84+3+42</f>
        <v>174</v>
      </c>
      <c r="L355" s="11">
        <f>+J355-K355</f>
        <v>0</v>
      </c>
      <c r="M355" s="131"/>
      <c r="N355" s="96">
        <v>46057</v>
      </c>
    </row>
    <row r="356" spans="1:14" x14ac:dyDescent="0.25">
      <c r="A356" s="11">
        <f t="shared" ca="1" si="52"/>
        <v>-115</v>
      </c>
      <c r="B356" s="37">
        <f t="shared" si="53"/>
        <v>63</v>
      </c>
      <c r="C356" s="11" t="s">
        <v>389</v>
      </c>
      <c r="D356" s="11" t="str">
        <f>VLOOKUP(VALUE(MID($C356,13,2)), codigos!$A$2:$B$60, 2, 1) &amp; " " &amp; VLOOKUP(VALUE(MID($C356,15,4)), codigos!$E$2:$F$102, 2, FALSE)</f>
        <v>TAZON 20</v>
      </c>
      <c r="E356" s="11" t="str">
        <f>VLOOKUP(VALUE(MID($C356,19,2)),codigos!$H$2:$I$62,2,1) &amp; " " &amp; VLOOKUP(VALUE(MID($C356,21,2)),codigos!$K$2:$L$12,2,FALSE)</f>
        <v>BICOLOR ROJO S/I</v>
      </c>
      <c r="F356" s="11" t="s">
        <v>914</v>
      </c>
      <c r="G356" s="11" t="s">
        <v>34</v>
      </c>
      <c r="H356" s="52" t="s">
        <v>915</v>
      </c>
      <c r="I356" s="20" t="s">
        <v>916</v>
      </c>
      <c r="J356" s="11">
        <v>114</v>
      </c>
      <c r="K356" s="11">
        <f>5+108+1</f>
        <v>114</v>
      </c>
      <c r="L356" s="11">
        <f>+J356-K356</f>
        <v>0</v>
      </c>
      <c r="M356" s="131"/>
      <c r="N356" s="96">
        <v>46057</v>
      </c>
    </row>
    <row r="357" spans="1:14" x14ac:dyDescent="0.25">
      <c r="A357" s="11">
        <f t="shared" ca="1" si="52"/>
        <v>-65</v>
      </c>
      <c r="B357" s="37">
        <f t="shared" si="53"/>
        <v>13</v>
      </c>
      <c r="C357" s="11" t="s">
        <v>215</v>
      </c>
      <c r="D357" s="11" t="str">
        <f>VLOOKUP(VALUE(MID($C357,13,2)), codigos!$A$2:$B$60, 2, 1) &amp; " " &amp; VLOOKUP(VALUE(MID($C357,15,4)), codigos!$E$2:$F$102, 2, FALSE)</f>
        <v>BUDINERA 20</v>
      </c>
      <c r="E357" s="11" t="str">
        <f>VLOOKUP(VALUE(MID($C357,19,2)),codigos!$H$2:$I$62,2,1) &amp; " " &amp; VLOOKUP(VALUE(MID($C357,21,2)),codigos!$K$2:$L$12,2,FALSE)</f>
        <v>A/T S/I</v>
      </c>
      <c r="F357" s="11" t="s">
        <v>1156</v>
      </c>
      <c r="G357" s="11" t="s">
        <v>11</v>
      </c>
      <c r="H357" s="11" t="s">
        <v>1269</v>
      </c>
      <c r="I357" s="11" t="s">
        <v>1270</v>
      </c>
      <c r="J357" s="25">
        <v>54</v>
      </c>
      <c r="K357" s="25">
        <v>0</v>
      </c>
      <c r="L357" s="15">
        <f t="shared" ref="L357:L391" si="54">+J357-K357</f>
        <v>54</v>
      </c>
      <c r="M357" s="131">
        <f>(SUM(K357:K383))/(SUM(J357:J383))</f>
        <v>0.48123909249563701</v>
      </c>
      <c r="N357" s="96">
        <v>46058</v>
      </c>
    </row>
    <row r="358" spans="1:14" x14ac:dyDescent="0.25">
      <c r="A358" s="11">
        <f t="shared" ca="1" si="52"/>
        <v>-65</v>
      </c>
      <c r="B358" s="37">
        <f t="shared" si="53"/>
        <v>13</v>
      </c>
      <c r="C358" s="11" t="s">
        <v>241</v>
      </c>
      <c r="D358" s="11" t="str">
        <f>VLOOKUP(VALUE(MID($C358,13,2)), codigos!$A$2:$B$60, 2, 1) &amp; " " &amp; VLOOKUP(VALUE(MID($C358,15,4)), codigos!$E$2:$F$102, 2, FALSE)</f>
        <v>BUDINERA 22</v>
      </c>
      <c r="E358" s="11" t="str">
        <f>VLOOKUP(VALUE(MID($C358,19,2)),codigos!$H$2:$I$62,2,1) &amp; " " &amp; VLOOKUP(VALUE(MID($C358,21,2)),codigos!$K$2:$L$12,2,FALSE)</f>
        <v>A/T S/I</v>
      </c>
      <c r="F358" s="11" t="s">
        <v>1156</v>
      </c>
      <c r="G358" s="11" t="s">
        <v>11</v>
      </c>
      <c r="H358" s="11" t="s">
        <v>1269</v>
      </c>
      <c r="I358" s="11" t="s">
        <v>1270</v>
      </c>
      <c r="J358" s="25">
        <v>36</v>
      </c>
      <c r="K358" s="25">
        <v>0</v>
      </c>
      <c r="L358" s="15">
        <f t="shared" si="54"/>
        <v>36</v>
      </c>
      <c r="M358" s="131"/>
      <c r="N358" s="96">
        <v>46058</v>
      </c>
    </row>
    <row r="359" spans="1:14" x14ac:dyDescent="0.25">
      <c r="A359" s="11">
        <f t="shared" ca="1" si="52"/>
        <v>-65</v>
      </c>
      <c r="B359" s="37">
        <f t="shared" si="53"/>
        <v>13</v>
      </c>
      <c r="C359" s="11" t="s">
        <v>143</v>
      </c>
      <c r="D359" s="11" t="str">
        <f>VLOOKUP(VALUE(MID($C359,13,2)), codigos!$A$2:$B$60, 2, 1) &amp; " " &amp; VLOOKUP(VALUE(MID($C359,15,4)), codigos!$E$2:$F$102, 2, FALSE)</f>
        <v>BUDINERA 24</v>
      </c>
      <c r="E359" s="11" t="str">
        <f>VLOOKUP(VALUE(MID($C359,19,2)),codigos!$H$2:$I$62,2,1) &amp; " " &amp; VLOOKUP(VALUE(MID($C359,21,2)),codigos!$K$2:$L$12,2,FALSE)</f>
        <v>A/T S/I</v>
      </c>
      <c r="F359" s="11" t="s">
        <v>1156</v>
      </c>
      <c r="G359" s="11" t="s">
        <v>11</v>
      </c>
      <c r="H359" s="11" t="s">
        <v>1269</v>
      </c>
      <c r="I359" s="11" t="s">
        <v>1270</v>
      </c>
      <c r="J359" s="25">
        <v>36</v>
      </c>
      <c r="K359" s="25">
        <f>20+3</f>
        <v>23</v>
      </c>
      <c r="L359" s="15">
        <f t="shared" si="54"/>
        <v>13</v>
      </c>
      <c r="M359" s="131"/>
      <c r="N359" s="96">
        <v>46058</v>
      </c>
    </row>
    <row r="360" spans="1:14" x14ac:dyDescent="0.25">
      <c r="A360" s="11">
        <f t="shared" ca="1" si="52"/>
        <v>-65</v>
      </c>
      <c r="B360" s="37">
        <f t="shared" si="53"/>
        <v>13</v>
      </c>
      <c r="C360" s="11" t="s">
        <v>148</v>
      </c>
      <c r="D360" s="11" t="str">
        <f>VLOOKUP(VALUE(MID($C360,13,2)), codigos!$A$2:$B$60, 2, 1) &amp; " " &amp; VLOOKUP(VALUE(MID($C360,15,4)), codigos!$E$2:$F$102, 2, FALSE)</f>
        <v>BUDINERA 26</v>
      </c>
      <c r="E360" s="11" t="str">
        <f>VLOOKUP(VALUE(MID($C360,19,2)),codigos!$H$2:$I$62,2,1) &amp; " " &amp; VLOOKUP(VALUE(MID($C360,21,2)),codigos!$K$2:$L$12,2,FALSE)</f>
        <v>A/T S/I</v>
      </c>
      <c r="F360" s="11" t="s">
        <v>1156</v>
      </c>
      <c r="G360" s="11" t="s">
        <v>11</v>
      </c>
      <c r="H360" s="11" t="s">
        <v>1269</v>
      </c>
      <c r="I360" s="11" t="s">
        <v>1270</v>
      </c>
      <c r="J360" s="25">
        <v>36</v>
      </c>
      <c r="K360" s="25">
        <v>0</v>
      </c>
      <c r="L360" s="15">
        <f t="shared" si="54"/>
        <v>36</v>
      </c>
      <c r="M360" s="131"/>
      <c r="N360" s="96">
        <v>46058</v>
      </c>
    </row>
    <row r="361" spans="1:14" x14ac:dyDescent="0.25">
      <c r="A361" s="11">
        <f t="shared" ca="1" si="52"/>
        <v>-65</v>
      </c>
      <c r="B361" s="37">
        <f t="shared" si="53"/>
        <v>13</v>
      </c>
      <c r="C361" s="11" t="s">
        <v>242</v>
      </c>
      <c r="D361" s="11" t="str">
        <f>VLOOKUP(VALUE(MID($C361,13,2)), codigos!$A$2:$B$60, 2, 1) &amp; " " &amp; VLOOKUP(VALUE(MID($C361,15,4)), codigos!$E$2:$F$102, 2, FALSE)</f>
        <v>COMAL 22</v>
      </c>
      <c r="E361" s="11" t="str">
        <f>VLOOKUP(VALUE(MID($C361,19,2)),codigos!$H$2:$I$62,2,1) &amp; " " &amp; VLOOKUP(VALUE(MID($C361,21,2)),codigos!$K$2:$L$12,2,FALSE)</f>
        <v>NEGRO MOTAS S/I</v>
      </c>
      <c r="F361" s="11" t="s">
        <v>1156</v>
      </c>
      <c r="G361" s="11" t="s">
        <v>11</v>
      </c>
      <c r="H361" s="11" t="s">
        <v>1269</v>
      </c>
      <c r="I361" s="11" t="s">
        <v>1270</v>
      </c>
      <c r="J361" s="25">
        <v>120</v>
      </c>
      <c r="K361" s="25">
        <v>120</v>
      </c>
      <c r="L361" s="15">
        <f t="shared" si="54"/>
        <v>0</v>
      </c>
      <c r="M361" s="131"/>
      <c r="N361" s="96">
        <v>46058</v>
      </c>
    </row>
    <row r="362" spans="1:14" x14ac:dyDescent="0.25">
      <c r="A362" s="11">
        <f t="shared" ca="1" si="52"/>
        <v>-65</v>
      </c>
      <c r="B362" s="37">
        <f t="shared" si="53"/>
        <v>13</v>
      </c>
      <c r="C362" s="11" t="s">
        <v>149</v>
      </c>
      <c r="D362" s="11" t="str">
        <f>VLOOKUP(VALUE(MID($C362,13,2)), codigos!$A$2:$B$60, 2, 1) &amp; " " &amp; VLOOKUP(VALUE(MID($C362,15,4)), codigos!$E$2:$F$102, 2, FALSE)</f>
        <v>COMAL 28</v>
      </c>
      <c r="E362" s="11" t="str">
        <f>VLOOKUP(VALUE(MID($C362,19,2)),codigos!$H$2:$I$62,2,1) &amp; " " &amp; VLOOKUP(VALUE(MID($C362,21,2)),codigos!$K$2:$L$12,2,FALSE)</f>
        <v>NEGRO MOTAS S/I</v>
      </c>
      <c r="F362" s="11" t="s">
        <v>1156</v>
      </c>
      <c r="G362" s="11" t="s">
        <v>11</v>
      </c>
      <c r="H362" s="11" t="s">
        <v>1269</v>
      </c>
      <c r="I362" s="11" t="s">
        <v>1270</v>
      </c>
      <c r="J362" s="25">
        <v>120</v>
      </c>
      <c r="K362" s="25">
        <v>120</v>
      </c>
      <c r="L362" s="15">
        <f t="shared" si="54"/>
        <v>0</v>
      </c>
      <c r="M362" s="131"/>
      <c r="N362" s="96">
        <v>46058</v>
      </c>
    </row>
    <row r="363" spans="1:14" x14ac:dyDescent="0.25">
      <c r="A363" s="11">
        <f t="shared" ca="1" si="52"/>
        <v>-65</v>
      </c>
      <c r="B363" s="37">
        <f t="shared" si="53"/>
        <v>13</v>
      </c>
      <c r="C363" s="11" t="s">
        <v>344</v>
      </c>
      <c r="D363" s="11" t="str">
        <f>VLOOKUP(VALUE(MID($C363,13,2)), codigos!$A$2:$B$60, 2, 1) &amp; " " &amp; VLOOKUP(VALUE(MID($C363,15,4)), codigos!$E$2:$F$102, 2, FALSE)</f>
        <v>COMAL 36</v>
      </c>
      <c r="E363" s="11" t="str">
        <f>VLOOKUP(VALUE(MID($C363,19,2)),codigos!$H$2:$I$62,2,1) &amp; " " &amp; VLOOKUP(VALUE(MID($C363,21,2)),codigos!$K$2:$L$12,2,FALSE)</f>
        <v>NEGRO MOTAS S/I</v>
      </c>
      <c r="F363" s="11" t="s">
        <v>1156</v>
      </c>
      <c r="G363" s="11" t="s">
        <v>11</v>
      </c>
      <c r="H363" s="11" t="s">
        <v>1269</v>
      </c>
      <c r="I363" s="11" t="s">
        <v>1270</v>
      </c>
      <c r="J363" s="25">
        <v>60</v>
      </c>
      <c r="K363" s="25">
        <v>0</v>
      </c>
      <c r="L363" s="15">
        <f t="shared" si="54"/>
        <v>60</v>
      </c>
      <c r="M363" s="131"/>
      <c r="N363" s="96">
        <v>46058</v>
      </c>
    </row>
    <row r="364" spans="1:14" x14ac:dyDescent="0.25">
      <c r="A364" s="11">
        <f t="shared" ca="1" si="52"/>
        <v>-65</v>
      </c>
      <c r="B364" s="37">
        <f t="shared" si="53"/>
        <v>13</v>
      </c>
      <c r="C364" s="11" t="s">
        <v>187</v>
      </c>
      <c r="D364" s="11" t="str">
        <f>VLOOKUP(VALUE(MID($C364,13,2)), codigos!$A$2:$B$60, 2, 1) &amp; " " &amp; VLOOKUP(VALUE(MID($C364,15,4)), codigos!$E$2:$F$102, 2, FALSE)</f>
        <v>OLLA CONVEXA 12</v>
      </c>
      <c r="E364" s="11" t="str">
        <f>VLOOKUP(VALUE(MID($C364,19,2)),codigos!$H$2:$I$62,2,1) &amp; " " &amp; VLOOKUP(VALUE(MID($C364,21,2)),codigos!$K$2:$L$12,2,FALSE)</f>
        <v>A/T S/I</v>
      </c>
      <c r="F364" s="11" t="s">
        <v>1156</v>
      </c>
      <c r="G364" s="11" t="s">
        <v>11</v>
      </c>
      <c r="H364" s="11" t="s">
        <v>1269</v>
      </c>
      <c r="I364" s="11" t="s">
        <v>1270</v>
      </c>
      <c r="J364" s="25">
        <v>90</v>
      </c>
      <c r="K364" s="25">
        <v>0</v>
      </c>
      <c r="L364" s="15">
        <f t="shared" si="54"/>
        <v>90</v>
      </c>
      <c r="M364" s="131"/>
      <c r="N364" s="96">
        <v>46058</v>
      </c>
    </row>
    <row r="365" spans="1:14" x14ac:dyDescent="0.25">
      <c r="A365" s="11">
        <f t="shared" ca="1" si="52"/>
        <v>-65</v>
      </c>
      <c r="B365" s="37">
        <f t="shared" si="53"/>
        <v>13</v>
      </c>
      <c r="C365" s="11" t="s">
        <v>333</v>
      </c>
      <c r="D365" s="11" t="str">
        <f>VLOOKUP(VALUE(MID($C365,13,2)), codigos!$A$2:$B$60, 2, 1) &amp; " " &amp; VLOOKUP(VALUE(MID($C365,15,4)), codigos!$E$2:$F$102, 2, FALSE)</f>
        <v>OLLA CONVEXA 14</v>
      </c>
      <c r="E365" s="11" t="str">
        <f>VLOOKUP(VALUE(MID($C365,19,2)),codigos!$H$2:$I$62,2,1) &amp; " " &amp; VLOOKUP(VALUE(MID($C365,21,2)),codigos!$K$2:$L$12,2,FALSE)</f>
        <v>A/T S/I</v>
      </c>
      <c r="F365" s="11" t="s">
        <v>1156</v>
      </c>
      <c r="G365" s="11" t="s">
        <v>11</v>
      </c>
      <c r="H365" s="11" t="s">
        <v>1269</v>
      </c>
      <c r="I365" s="11" t="s">
        <v>1270</v>
      </c>
      <c r="J365" s="25">
        <v>90</v>
      </c>
      <c r="K365" s="25">
        <v>0</v>
      </c>
      <c r="L365" s="15">
        <f t="shared" si="54"/>
        <v>90</v>
      </c>
      <c r="M365" s="131"/>
      <c r="N365" s="96">
        <v>46058</v>
      </c>
    </row>
    <row r="366" spans="1:14" x14ac:dyDescent="0.25">
      <c r="A366" s="11">
        <f t="shared" ca="1" si="52"/>
        <v>-65</v>
      </c>
      <c r="B366" s="37">
        <f t="shared" si="53"/>
        <v>13</v>
      </c>
      <c r="C366" s="11" t="s">
        <v>220</v>
      </c>
      <c r="D366" s="11" t="str">
        <f>VLOOKUP(VALUE(MID($C366,13,2)), codigos!$A$2:$B$60, 2, 1) &amp; " " &amp; VLOOKUP(VALUE(MID($C366,15,4)), codigos!$E$2:$F$102, 2, FALSE)</f>
        <v>OLLA CONVEXA 16</v>
      </c>
      <c r="E366" s="11" t="str">
        <f>VLOOKUP(VALUE(MID($C366,19,2)),codigos!$H$2:$I$62,2,1) &amp; " " &amp; VLOOKUP(VALUE(MID($C366,21,2)),codigos!$K$2:$L$12,2,FALSE)</f>
        <v>A/T S/I</v>
      </c>
      <c r="F366" s="11" t="s">
        <v>1156</v>
      </c>
      <c r="G366" s="11" t="s">
        <v>11</v>
      </c>
      <c r="H366" s="11" t="s">
        <v>1269</v>
      </c>
      <c r="I366" s="11" t="s">
        <v>1270</v>
      </c>
      <c r="J366" s="25">
        <v>60</v>
      </c>
      <c r="K366" s="25">
        <v>0</v>
      </c>
      <c r="L366" s="15">
        <f t="shared" si="54"/>
        <v>60</v>
      </c>
      <c r="M366" s="131"/>
      <c r="N366" s="96">
        <v>46058</v>
      </c>
    </row>
    <row r="367" spans="1:14" x14ac:dyDescent="0.25">
      <c r="A367" s="11">
        <f t="shared" ca="1" si="52"/>
        <v>-65</v>
      </c>
      <c r="B367" s="37">
        <f t="shared" si="53"/>
        <v>13</v>
      </c>
      <c r="C367" s="11" t="s">
        <v>150</v>
      </c>
      <c r="D367" s="11" t="str">
        <f>VLOOKUP(VALUE(MID($C367,13,2)), codigos!$A$2:$B$60, 2, 1) &amp; " " &amp; VLOOKUP(VALUE(MID($C367,15,4)), codigos!$E$2:$F$102, 2, FALSE)</f>
        <v>OLLA CONVEXA 18</v>
      </c>
      <c r="E367" s="11" t="str">
        <f>VLOOKUP(VALUE(MID($C367,19,2)),codigos!$H$2:$I$62,2,1) &amp; " " &amp; VLOOKUP(VALUE(MID($C367,21,2)),codigos!$K$2:$L$12,2,FALSE)</f>
        <v>A/T S/I</v>
      </c>
      <c r="F367" s="11" t="s">
        <v>1156</v>
      </c>
      <c r="G367" s="11" t="s">
        <v>11</v>
      </c>
      <c r="H367" s="11" t="s">
        <v>1269</v>
      </c>
      <c r="I367" s="11" t="s">
        <v>1270</v>
      </c>
      <c r="J367" s="25">
        <v>60</v>
      </c>
      <c r="K367" s="25">
        <v>0</v>
      </c>
      <c r="L367" s="15">
        <f t="shared" si="54"/>
        <v>60</v>
      </c>
      <c r="M367" s="131"/>
      <c r="N367" s="96">
        <v>46058</v>
      </c>
    </row>
    <row r="368" spans="1:14" x14ac:dyDescent="0.25">
      <c r="A368" s="11">
        <f t="shared" ca="1" si="52"/>
        <v>-65</v>
      </c>
      <c r="B368" s="37">
        <f t="shared" si="53"/>
        <v>13</v>
      </c>
      <c r="C368" s="11" t="s">
        <v>151</v>
      </c>
      <c r="D368" s="11" t="str">
        <f>VLOOKUP(VALUE(MID($C368,13,2)), codigos!$A$2:$B$60, 2, 1) &amp; " " &amp; VLOOKUP(VALUE(MID($C368,15,4)), codigos!$E$2:$F$102, 2, FALSE)</f>
        <v>OLLA CONVEXA 20</v>
      </c>
      <c r="E368" s="11" t="str">
        <f>VLOOKUP(VALUE(MID($C368,19,2)),codigos!$H$2:$I$62,2,1) &amp; " " &amp; VLOOKUP(VALUE(MID($C368,21,2)),codigos!$K$2:$L$12,2,FALSE)</f>
        <v>A/T S/I</v>
      </c>
      <c r="F368" s="11" t="s">
        <v>1156</v>
      </c>
      <c r="G368" s="11" t="s">
        <v>11</v>
      </c>
      <c r="H368" s="11" t="s">
        <v>1269</v>
      </c>
      <c r="I368" s="11" t="s">
        <v>1270</v>
      </c>
      <c r="J368" s="25">
        <v>60</v>
      </c>
      <c r="K368" s="25">
        <v>0</v>
      </c>
      <c r="L368" s="15">
        <f t="shared" si="54"/>
        <v>60</v>
      </c>
      <c r="M368" s="131"/>
      <c r="N368" s="96">
        <v>46058</v>
      </c>
    </row>
    <row r="369" spans="1:14" x14ac:dyDescent="0.25">
      <c r="A369" s="11">
        <f t="shared" ca="1" si="52"/>
        <v>-65</v>
      </c>
      <c r="B369" s="37">
        <f t="shared" si="53"/>
        <v>13</v>
      </c>
      <c r="C369" s="11" t="s">
        <v>43</v>
      </c>
      <c r="D369" s="11" t="str">
        <f>VLOOKUP(VALUE(MID($C369,13,2)), codigos!$A$2:$B$60, 2, 1) &amp; " " &amp; VLOOKUP(VALUE(MID($C369,15,4)), codigos!$E$2:$F$102, 2, FALSE)</f>
        <v>OLLA CONVEXA 22</v>
      </c>
      <c r="E369" s="11" t="str">
        <f>VLOOKUP(VALUE(MID($C369,19,2)),codigos!$H$2:$I$62,2,1) &amp; " " &amp; VLOOKUP(VALUE(MID($C369,21,2)),codigos!$K$2:$L$12,2,FALSE)</f>
        <v>A/T S/I</v>
      </c>
      <c r="F369" s="11" t="s">
        <v>1156</v>
      </c>
      <c r="G369" s="11" t="s">
        <v>11</v>
      </c>
      <c r="H369" s="11" t="s">
        <v>1269</v>
      </c>
      <c r="I369" s="11" t="s">
        <v>1270</v>
      </c>
      <c r="J369" s="25">
        <v>30</v>
      </c>
      <c r="K369" s="25">
        <v>0</v>
      </c>
      <c r="L369" s="15">
        <f t="shared" si="54"/>
        <v>30</v>
      </c>
      <c r="M369" s="131"/>
      <c r="N369" s="96">
        <v>46058</v>
      </c>
    </row>
    <row r="370" spans="1:14" x14ac:dyDescent="0.25">
      <c r="A370" s="11">
        <f t="shared" ca="1" si="52"/>
        <v>-65</v>
      </c>
      <c r="B370" s="37">
        <f t="shared" si="53"/>
        <v>13</v>
      </c>
      <c r="C370" s="11" t="s">
        <v>152</v>
      </c>
      <c r="D370" s="11" t="str">
        <f>VLOOKUP(VALUE(MID($C370,13,2)), codigos!$A$2:$B$60, 2, 1) &amp; " " &amp; VLOOKUP(VALUE(MID($C370,15,4)), codigos!$E$2:$F$102, 2, FALSE)</f>
        <v>OLLA CONVEXA 24</v>
      </c>
      <c r="E370" s="11" t="str">
        <f>VLOOKUP(VALUE(MID($C370,19,2)),codigos!$H$2:$I$62,2,1) &amp; " " &amp; VLOOKUP(VALUE(MID($C370,21,2)),codigos!$K$2:$L$12,2,FALSE)</f>
        <v>A/T S/I</v>
      </c>
      <c r="F370" s="11" t="s">
        <v>1156</v>
      </c>
      <c r="G370" s="11" t="s">
        <v>11</v>
      </c>
      <c r="H370" s="11" t="s">
        <v>1269</v>
      </c>
      <c r="I370" s="11" t="s">
        <v>1270</v>
      </c>
      <c r="J370" s="25">
        <v>30</v>
      </c>
      <c r="K370" s="25">
        <v>0</v>
      </c>
      <c r="L370" s="15">
        <f t="shared" si="54"/>
        <v>30</v>
      </c>
      <c r="M370" s="131"/>
      <c r="N370" s="96">
        <v>46058</v>
      </c>
    </row>
    <row r="371" spans="1:14" x14ac:dyDescent="0.25">
      <c r="A371" s="11">
        <f t="shared" ca="1" si="52"/>
        <v>-65</v>
      </c>
      <c r="B371" s="37">
        <f t="shared" si="53"/>
        <v>13</v>
      </c>
      <c r="C371" s="11" t="s">
        <v>153</v>
      </c>
      <c r="D371" s="11" t="str">
        <f>VLOOKUP(VALUE(MID($C371,13,2)), codigos!$A$2:$B$60, 2, 1) &amp; " " &amp; VLOOKUP(VALUE(MID($C371,15,4)), codigos!$E$2:$F$102, 2, FALSE)</f>
        <v>OLLA CONVEXA 26</v>
      </c>
      <c r="E371" s="11" t="str">
        <f>VLOOKUP(VALUE(MID($C371,19,2)),codigos!$H$2:$I$62,2,1) &amp; " " &amp; VLOOKUP(VALUE(MID($C371,21,2)),codigos!$K$2:$L$12,2,FALSE)</f>
        <v>A/T S/I</v>
      </c>
      <c r="F371" s="11" t="s">
        <v>1156</v>
      </c>
      <c r="G371" s="11" t="s">
        <v>11</v>
      </c>
      <c r="H371" s="11" t="s">
        <v>1269</v>
      </c>
      <c r="I371" s="11" t="s">
        <v>1270</v>
      </c>
      <c r="J371" s="25">
        <v>30</v>
      </c>
      <c r="K371" s="25">
        <f>12+18</f>
        <v>30</v>
      </c>
      <c r="L371" s="15">
        <f t="shared" si="54"/>
        <v>0</v>
      </c>
      <c r="M371" s="131"/>
      <c r="N371" s="96">
        <v>46058</v>
      </c>
    </row>
    <row r="372" spans="1:14" x14ac:dyDescent="0.25">
      <c r="A372" s="11">
        <f t="shared" ca="1" si="52"/>
        <v>-65</v>
      </c>
      <c r="B372" s="37">
        <f t="shared" si="53"/>
        <v>13</v>
      </c>
      <c r="C372" s="11" t="s">
        <v>259</v>
      </c>
      <c r="D372" s="11" t="str">
        <f>VLOOKUP(VALUE(MID($C372,13,2)), codigos!$A$2:$B$60, 2, 1) &amp; " " &amp; VLOOKUP(VALUE(MID($C372,15,4)), codigos!$E$2:$F$102, 2, FALSE)</f>
        <v>OLLA RECTA 18</v>
      </c>
      <c r="E372" s="11" t="str">
        <f>VLOOKUP(VALUE(MID($C372,19,2)),codigos!$H$2:$I$62,2,1) &amp; " " &amp; VLOOKUP(VALUE(MID($C372,21,2)),codigos!$K$2:$L$12,2,FALSE)</f>
        <v>A/T S/I</v>
      </c>
      <c r="F372" s="11" t="s">
        <v>1156</v>
      </c>
      <c r="G372" s="11" t="s">
        <v>11</v>
      </c>
      <c r="H372" s="11" t="s">
        <v>1269</v>
      </c>
      <c r="I372" s="11" t="s">
        <v>1270</v>
      </c>
      <c r="J372" s="25">
        <v>60</v>
      </c>
      <c r="K372" s="25">
        <v>60</v>
      </c>
      <c r="L372" s="15">
        <f t="shared" si="54"/>
        <v>0</v>
      </c>
      <c r="M372" s="131"/>
      <c r="N372" s="96">
        <v>46058</v>
      </c>
    </row>
    <row r="373" spans="1:14" x14ac:dyDescent="0.25">
      <c r="A373" s="11">
        <f t="shared" ca="1" si="52"/>
        <v>-65</v>
      </c>
      <c r="B373" s="37">
        <f t="shared" si="53"/>
        <v>13</v>
      </c>
      <c r="C373" s="11" t="s">
        <v>260</v>
      </c>
      <c r="D373" s="11" t="str">
        <f>VLOOKUP(VALUE(MID($C373,13,2)), codigos!$A$2:$B$60, 2, 1) &amp; " " &amp; VLOOKUP(VALUE(MID($C373,15,4)), codigos!$E$2:$F$102, 2, FALSE)</f>
        <v>OLLA RECTA 20</v>
      </c>
      <c r="E373" s="11" t="str">
        <f>VLOOKUP(VALUE(MID($C373,19,2)),codigos!$H$2:$I$62,2,1) &amp; " " &amp; VLOOKUP(VALUE(MID($C373,21,2)),codigos!$K$2:$L$12,2,FALSE)</f>
        <v>A/T S/I</v>
      </c>
      <c r="F373" s="11" t="s">
        <v>1156</v>
      </c>
      <c r="G373" s="11" t="s">
        <v>11</v>
      </c>
      <c r="H373" s="11" t="s">
        <v>1269</v>
      </c>
      <c r="I373" s="11" t="s">
        <v>1270</v>
      </c>
      <c r="J373" s="25">
        <v>60</v>
      </c>
      <c r="K373" s="25">
        <v>60</v>
      </c>
      <c r="L373" s="15">
        <f t="shared" si="54"/>
        <v>0</v>
      </c>
      <c r="M373" s="131"/>
      <c r="N373" s="96">
        <v>46058</v>
      </c>
    </row>
    <row r="374" spans="1:14" x14ac:dyDescent="0.25">
      <c r="A374" s="11">
        <f t="shared" ca="1" si="52"/>
        <v>-65</v>
      </c>
      <c r="B374" s="37">
        <f t="shared" si="53"/>
        <v>13</v>
      </c>
      <c r="C374" s="11" t="s">
        <v>236</v>
      </c>
      <c r="D374" s="11" t="str">
        <f>VLOOKUP(VALUE(MID($C374,13,2)), codigos!$A$2:$B$60, 2, 1) &amp; " " &amp; VLOOKUP(VALUE(MID($C374,15,4)), codigos!$E$2:$F$102, 2, FALSE)</f>
        <v>OLLA RECTA 22</v>
      </c>
      <c r="E374" s="11" t="str">
        <f>VLOOKUP(VALUE(MID($C374,19,2)),codigos!$H$2:$I$62,2,1) &amp; " " &amp; VLOOKUP(VALUE(MID($C374,21,2)),codigos!$K$2:$L$12,2,FALSE)</f>
        <v>A/T S/I</v>
      </c>
      <c r="F374" s="11" t="s">
        <v>1156</v>
      </c>
      <c r="G374" s="11" t="s">
        <v>11</v>
      </c>
      <c r="H374" s="11" t="s">
        <v>1269</v>
      </c>
      <c r="I374" s="11" t="s">
        <v>1270</v>
      </c>
      <c r="J374" s="25">
        <v>30</v>
      </c>
      <c r="K374" s="25">
        <v>30</v>
      </c>
      <c r="L374" s="15">
        <f t="shared" si="54"/>
        <v>0</v>
      </c>
      <c r="M374" s="131"/>
      <c r="N374" s="96">
        <v>46058</v>
      </c>
    </row>
    <row r="375" spans="1:14" x14ac:dyDescent="0.25">
      <c r="A375" s="11">
        <f t="shared" ca="1" si="52"/>
        <v>-65</v>
      </c>
      <c r="B375" s="37">
        <f t="shared" si="53"/>
        <v>13</v>
      </c>
      <c r="C375" s="11" t="s">
        <v>237</v>
      </c>
      <c r="D375" s="11" t="str">
        <f>VLOOKUP(VALUE(MID($C375,13,2)), codigos!$A$2:$B$60, 2, 1) &amp; " " &amp; VLOOKUP(VALUE(MID($C375,15,4)), codigos!$E$2:$F$102, 2, FALSE)</f>
        <v>OLLA RECTA 24</v>
      </c>
      <c r="E375" s="11" t="str">
        <f>VLOOKUP(VALUE(MID($C375,19,2)),codigos!$H$2:$I$62,2,1) &amp; " " &amp; VLOOKUP(VALUE(MID($C375,21,2)),codigos!$K$2:$L$12,2,FALSE)</f>
        <v>A/T S/I</v>
      </c>
      <c r="F375" s="11" t="s">
        <v>1156</v>
      </c>
      <c r="G375" s="11" t="s">
        <v>11</v>
      </c>
      <c r="H375" s="11" t="s">
        <v>1269</v>
      </c>
      <c r="I375" s="11" t="s">
        <v>1270</v>
      </c>
      <c r="J375" s="25">
        <v>30</v>
      </c>
      <c r="K375" s="25">
        <v>0</v>
      </c>
      <c r="L375" s="15">
        <f t="shared" si="54"/>
        <v>30</v>
      </c>
      <c r="M375" s="131"/>
      <c r="N375" s="96">
        <v>46058</v>
      </c>
    </row>
    <row r="376" spans="1:14" x14ac:dyDescent="0.25">
      <c r="A376" s="11">
        <f t="shared" ca="1" si="52"/>
        <v>-65</v>
      </c>
      <c r="B376" s="37">
        <f t="shared" si="53"/>
        <v>13</v>
      </c>
      <c r="C376" s="11" t="s">
        <v>224</v>
      </c>
      <c r="D376" s="11" t="str">
        <f>VLOOKUP(VALUE(MID($C376,13,2)), codigos!$A$2:$B$60, 2, 1) &amp; " " &amp; VLOOKUP(VALUE(MID($C376,15,4)), codigos!$E$2:$F$102, 2, FALSE)</f>
        <v>OLLA RECTA 26</v>
      </c>
      <c r="E376" s="11" t="str">
        <f>VLOOKUP(VALUE(MID($C376,19,2)),codigos!$H$2:$I$62,2,1) &amp; " " &amp; VLOOKUP(VALUE(MID($C376,21,2)),codigos!$K$2:$L$12,2,FALSE)</f>
        <v>A/T S/I</v>
      </c>
      <c r="F376" s="11" t="s">
        <v>1156</v>
      </c>
      <c r="G376" s="11" t="s">
        <v>11</v>
      </c>
      <c r="H376" s="11" t="s">
        <v>1269</v>
      </c>
      <c r="I376" s="11" t="s">
        <v>1270</v>
      </c>
      <c r="J376" s="25">
        <v>30</v>
      </c>
      <c r="K376" s="25">
        <v>0</v>
      </c>
      <c r="L376" s="15">
        <f t="shared" si="54"/>
        <v>30</v>
      </c>
      <c r="M376" s="131"/>
      <c r="N376" s="96">
        <v>46058</v>
      </c>
    </row>
    <row r="377" spans="1:14" x14ac:dyDescent="0.25">
      <c r="A377" s="11">
        <f t="shared" ca="1" si="52"/>
        <v>-65</v>
      </c>
      <c r="B377" s="37">
        <f t="shared" si="53"/>
        <v>13</v>
      </c>
      <c r="C377" s="11" t="s">
        <v>283</v>
      </c>
      <c r="D377" s="11" t="str">
        <f>VLOOKUP(VALUE(MID($C377,13,2)), codigos!$A$2:$B$60, 2, 1) &amp; " " &amp; VLOOKUP(VALUE(MID($C377,15,4)), codigos!$E$2:$F$102, 2, FALSE)</f>
        <v>PLATO AVENERO 20</v>
      </c>
      <c r="E377" s="11" t="str">
        <f>VLOOKUP(VALUE(MID($C377,19,2)),codigos!$H$2:$I$62,2,1) &amp; " " &amp; VLOOKUP(VALUE(MID($C377,21,2)),codigos!$K$2:$L$12,2,FALSE)</f>
        <v>BLANCO  NEGRO</v>
      </c>
      <c r="F377" s="11" t="s">
        <v>1156</v>
      </c>
      <c r="G377" s="11" t="s">
        <v>11</v>
      </c>
      <c r="H377" s="11" t="s">
        <v>1269</v>
      </c>
      <c r="I377" s="11" t="s">
        <v>1270</v>
      </c>
      <c r="J377" s="25">
        <v>120</v>
      </c>
      <c r="K377" s="25">
        <v>120</v>
      </c>
      <c r="L377" s="15">
        <f t="shared" si="54"/>
        <v>0</v>
      </c>
      <c r="M377" s="131"/>
      <c r="N377" s="96">
        <v>46058</v>
      </c>
    </row>
    <row r="378" spans="1:14" x14ac:dyDescent="0.25">
      <c r="A378" s="11">
        <f t="shared" ca="1" si="52"/>
        <v>-65</v>
      </c>
      <c r="B378" s="37">
        <f t="shared" si="53"/>
        <v>13</v>
      </c>
      <c r="C378" s="11" t="s">
        <v>225</v>
      </c>
      <c r="D378" s="11" t="str">
        <f>VLOOKUP(VALUE(MID($C378,13,2)), codigos!$A$2:$B$60, 2, 1) &amp; " " &amp; VLOOKUP(VALUE(MID($C378,15,4)), codigos!$E$2:$F$102, 2, FALSE)</f>
        <v>POCILLO 8</v>
      </c>
      <c r="E378" s="11" t="str">
        <f>VLOOKUP(VALUE(MID($C378,19,2)),codigos!$H$2:$I$62,2,1) &amp; " " &amp; VLOOKUP(VALUE(MID($C378,21,2)),codigos!$K$2:$L$12,2,FALSE)</f>
        <v>A/T S/I</v>
      </c>
      <c r="F378" s="11" t="s">
        <v>1156</v>
      </c>
      <c r="G378" s="11" t="s">
        <v>11</v>
      </c>
      <c r="H378" s="11" t="s">
        <v>1269</v>
      </c>
      <c r="I378" s="11" t="s">
        <v>1270</v>
      </c>
      <c r="J378" s="25">
        <v>120</v>
      </c>
      <c r="K378" s="25">
        <v>0</v>
      </c>
      <c r="L378" s="15">
        <f t="shared" si="54"/>
        <v>120</v>
      </c>
      <c r="M378" s="131"/>
      <c r="N378" s="96">
        <v>46058</v>
      </c>
    </row>
    <row r="379" spans="1:14" x14ac:dyDescent="0.25">
      <c r="A379" s="11">
        <f t="shared" ca="1" si="52"/>
        <v>-65</v>
      </c>
      <c r="B379" s="37">
        <f t="shared" si="53"/>
        <v>13</v>
      </c>
      <c r="C379" s="11" t="s">
        <v>226</v>
      </c>
      <c r="D379" s="11" t="str">
        <f>VLOOKUP(VALUE(MID($C379,13,2)), codigos!$A$2:$B$60, 2, 1) &amp; " " &amp; VLOOKUP(VALUE(MID($C379,15,4)), codigos!$E$2:$F$102, 2, FALSE)</f>
        <v>POCILLO 10</v>
      </c>
      <c r="E379" s="11" t="str">
        <f>VLOOKUP(VALUE(MID($C379,19,2)),codigos!$H$2:$I$62,2,1) &amp; " " &amp; VLOOKUP(VALUE(MID($C379,21,2)),codigos!$K$2:$L$12,2,FALSE)</f>
        <v>A/T S/I</v>
      </c>
      <c r="F379" s="11" t="s">
        <v>1156</v>
      </c>
      <c r="G379" s="11" t="s">
        <v>11</v>
      </c>
      <c r="H379" s="11" t="s">
        <v>1269</v>
      </c>
      <c r="I379" s="11" t="s">
        <v>1270</v>
      </c>
      <c r="J379" s="25">
        <v>120</v>
      </c>
      <c r="K379" s="25">
        <v>120</v>
      </c>
      <c r="L379" s="15">
        <f t="shared" si="54"/>
        <v>0</v>
      </c>
      <c r="M379" s="131"/>
      <c r="N379" s="96">
        <v>46058</v>
      </c>
    </row>
    <row r="380" spans="1:14" x14ac:dyDescent="0.25">
      <c r="A380" s="11">
        <f t="shared" ca="1" si="52"/>
        <v>-65</v>
      </c>
      <c r="B380" s="37">
        <f t="shared" si="53"/>
        <v>13</v>
      </c>
      <c r="C380" s="11" t="s">
        <v>180</v>
      </c>
      <c r="D380" s="11" t="str">
        <f>VLOOKUP(VALUE(MID($C380,13,2)), codigos!$A$2:$B$60, 2, 1) &amp; " " &amp; VLOOKUP(VALUE(MID($C380,15,4)), codigos!$E$2:$F$102, 2, FALSE)</f>
        <v>POCILLO 12</v>
      </c>
      <c r="E380" s="11" t="str">
        <f>VLOOKUP(VALUE(MID($C380,19,2)),codigos!$H$2:$I$62,2,1) &amp; " " &amp; VLOOKUP(VALUE(MID($C380,21,2)),codigos!$K$2:$L$12,2,FALSE)</f>
        <v>A/T S/I</v>
      </c>
      <c r="F380" s="11" t="s">
        <v>1156</v>
      </c>
      <c r="G380" s="11" t="s">
        <v>11</v>
      </c>
      <c r="H380" s="11" t="s">
        <v>1269</v>
      </c>
      <c r="I380" s="11" t="s">
        <v>1270</v>
      </c>
      <c r="J380" s="25">
        <v>60</v>
      </c>
      <c r="K380" s="25">
        <v>60</v>
      </c>
      <c r="L380" s="15">
        <f t="shared" si="54"/>
        <v>0</v>
      </c>
      <c r="M380" s="131"/>
      <c r="N380" s="96">
        <v>46058</v>
      </c>
    </row>
    <row r="381" spans="1:14" x14ac:dyDescent="0.25">
      <c r="A381" s="11">
        <f t="shared" ca="1" si="52"/>
        <v>-65</v>
      </c>
      <c r="B381" s="37">
        <f t="shared" si="53"/>
        <v>13</v>
      </c>
      <c r="C381" s="11" t="s">
        <v>182</v>
      </c>
      <c r="D381" s="11" t="str">
        <f>VLOOKUP(VALUE(MID($C381,13,2)), codigos!$A$2:$B$60, 2, 1) &amp; " " &amp; VLOOKUP(VALUE(MID($C381,15,4)), codigos!$E$2:$F$102, 2, FALSE)</f>
        <v>POCILLO 14</v>
      </c>
      <c r="E381" s="11" t="str">
        <f>VLOOKUP(VALUE(MID($C381,19,2)),codigos!$H$2:$I$62,2,1) &amp; " " &amp; VLOOKUP(VALUE(MID($C381,21,2)),codigos!$K$2:$L$12,2,FALSE)</f>
        <v>A/T S/I</v>
      </c>
      <c r="F381" s="11" t="s">
        <v>1156</v>
      </c>
      <c r="G381" s="11" t="s">
        <v>11</v>
      </c>
      <c r="H381" s="11" t="s">
        <v>1269</v>
      </c>
      <c r="I381" s="11" t="s">
        <v>1270</v>
      </c>
      <c r="J381" s="25">
        <v>30</v>
      </c>
      <c r="K381" s="25">
        <v>0</v>
      </c>
      <c r="L381" s="15">
        <f t="shared" si="54"/>
        <v>30</v>
      </c>
      <c r="M381" s="131"/>
      <c r="N381" s="96">
        <v>46058</v>
      </c>
    </row>
    <row r="382" spans="1:14" x14ac:dyDescent="0.25">
      <c r="A382" s="11">
        <f t="shared" ca="1" si="52"/>
        <v>-65</v>
      </c>
      <c r="B382" s="37">
        <f t="shared" si="53"/>
        <v>13</v>
      </c>
      <c r="C382" s="11" t="s">
        <v>83</v>
      </c>
      <c r="D382" s="11" t="str">
        <f>VLOOKUP(VALUE(MID($C382,13,2)), codigos!$A$2:$B$60, 2, 1) &amp; " " &amp; VLOOKUP(VALUE(MID($C382,15,4)), codigos!$E$2:$F$102, 2, FALSE)</f>
        <v>TAZON 15.5</v>
      </c>
      <c r="E382" s="11" t="str">
        <f>VLOOKUP(VALUE(MID($C382,19,2)),codigos!$H$2:$I$62,2,1) &amp; " " &amp; VLOOKUP(VALUE(MID($C382,21,2)),codigos!$K$2:$L$12,2,FALSE)</f>
        <v>BLANCO  NEGRO</v>
      </c>
      <c r="F382" s="11" t="s">
        <v>1156</v>
      </c>
      <c r="G382" s="11" t="s">
        <v>11</v>
      </c>
      <c r="H382" s="11" t="s">
        <v>1269</v>
      </c>
      <c r="I382" s="11" t="s">
        <v>1270</v>
      </c>
      <c r="J382" s="25">
        <v>360</v>
      </c>
      <c r="K382" s="25">
        <v>0</v>
      </c>
      <c r="L382" s="15">
        <f t="shared" si="54"/>
        <v>360</v>
      </c>
      <c r="M382" s="131"/>
      <c r="N382" s="96">
        <v>46058</v>
      </c>
    </row>
    <row r="383" spans="1:14" x14ac:dyDescent="0.25">
      <c r="A383" s="11">
        <f t="shared" ca="1" si="52"/>
        <v>-65</v>
      </c>
      <c r="B383" s="37">
        <f t="shared" si="53"/>
        <v>13</v>
      </c>
      <c r="C383" s="11" t="s">
        <v>390</v>
      </c>
      <c r="D383" s="11" t="str">
        <f>VLOOKUP(VALUE(MID($C383,13,2)), codigos!$A$2:$B$60, 2, 1) &amp; " " &amp; VLOOKUP(VALUE(MID($C383,15,4)), codigos!$E$2:$F$102, 2, FALSE)</f>
        <v>TAZON 20</v>
      </c>
      <c r="E383" s="11" t="str">
        <f>VLOOKUP(VALUE(MID($C383,19,2)),codigos!$H$2:$I$62,2,1) &amp; " " &amp; VLOOKUP(VALUE(MID($C383,21,2)),codigos!$K$2:$L$12,2,FALSE)</f>
        <v>BLANCO  NEGRO</v>
      </c>
      <c r="F383" s="11" t="s">
        <v>1156</v>
      </c>
      <c r="G383" s="11" t="s">
        <v>11</v>
      </c>
      <c r="H383" s="11" t="s">
        <v>1269</v>
      </c>
      <c r="I383" s="11" t="s">
        <v>1270</v>
      </c>
      <c r="J383" s="25">
        <v>360</v>
      </c>
      <c r="K383" s="25">
        <f>66+264+30</f>
        <v>360</v>
      </c>
      <c r="L383" s="15">
        <f t="shared" si="54"/>
        <v>0</v>
      </c>
      <c r="M383" s="131"/>
      <c r="N383" s="96">
        <v>46058</v>
      </c>
    </row>
    <row r="384" spans="1:14" x14ac:dyDescent="0.25">
      <c r="A384" s="11">
        <f t="shared" ca="1" si="52"/>
        <v>-65</v>
      </c>
      <c r="B384" s="37">
        <f t="shared" si="53"/>
        <v>13</v>
      </c>
      <c r="C384" s="11" t="s">
        <v>199</v>
      </c>
      <c r="D384" s="11" t="str">
        <f>VLOOKUP(VALUE(MID($C384,13,2)), codigos!$A$2:$B$60, 2, 1) &amp; " " &amp; VLOOKUP(VALUE(MID($C384,15,4)), codigos!$E$2:$F$102, 2, FALSE)</f>
        <v>BAÑO 0</v>
      </c>
      <c r="E384" s="11" t="str">
        <f>VLOOKUP(VALUE(MID($C384,19,2)),codigos!$H$2:$I$62,2,1) &amp; " " &amp; VLOOKUP(VALUE(MID($C384,21,2)),codigos!$K$2:$L$12,2,FALSE)</f>
        <v>GALVANIZADO S/I</v>
      </c>
      <c r="F384" s="11" t="s">
        <v>1157</v>
      </c>
      <c r="G384" s="11" t="s">
        <v>11</v>
      </c>
      <c r="H384" s="11" t="s">
        <v>1271</v>
      </c>
      <c r="I384" s="11" t="s">
        <v>1270</v>
      </c>
      <c r="J384" s="25">
        <v>30</v>
      </c>
      <c r="K384" s="25">
        <f>14+16</f>
        <v>30</v>
      </c>
      <c r="L384" s="15">
        <f t="shared" si="54"/>
        <v>0</v>
      </c>
      <c r="M384" s="131">
        <f>(SUM(K384:K391))/(SUM(J384:J391))</f>
        <v>0.79166666666666663</v>
      </c>
      <c r="N384" s="96">
        <v>46058</v>
      </c>
    </row>
    <row r="385" spans="1:14" x14ac:dyDescent="0.25">
      <c r="A385" s="11">
        <f t="shared" ca="1" si="52"/>
        <v>-65</v>
      </c>
      <c r="B385" s="37">
        <f t="shared" si="53"/>
        <v>13</v>
      </c>
      <c r="C385" s="11" t="s">
        <v>206</v>
      </c>
      <c r="D385" s="11" t="str">
        <f>VLOOKUP(VALUE(MID($C385,13,2)), codigos!$A$2:$B$60, 2, 1) &amp; " " &amp; VLOOKUP(VALUE(MID($C385,15,4)), codigos!$E$2:$F$102, 2, FALSE)</f>
        <v>BAÑO 1</v>
      </c>
      <c r="E385" s="11" t="str">
        <f>VLOOKUP(VALUE(MID($C385,19,2)),codigos!$H$2:$I$62,2,1) &amp; " " &amp; VLOOKUP(VALUE(MID($C385,21,2)),codigos!$K$2:$L$12,2,FALSE)</f>
        <v>GALVANIZADO S/I</v>
      </c>
      <c r="F385" s="11" t="s">
        <v>1157</v>
      </c>
      <c r="G385" s="11" t="s">
        <v>11</v>
      </c>
      <c r="H385" s="11" t="s">
        <v>1271</v>
      </c>
      <c r="I385" s="11" t="s">
        <v>1270</v>
      </c>
      <c r="J385" s="25">
        <v>30</v>
      </c>
      <c r="K385" s="25">
        <f>17+13</f>
        <v>30</v>
      </c>
      <c r="L385" s="15">
        <f t="shared" si="54"/>
        <v>0</v>
      </c>
      <c r="M385" s="131"/>
      <c r="N385" s="96">
        <v>46058</v>
      </c>
    </row>
    <row r="386" spans="1:14" x14ac:dyDescent="0.25">
      <c r="A386" s="11">
        <f t="shared" ca="1" si="52"/>
        <v>-65</v>
      </c>
      <c r="B386" s="37">
        <f t="shared" si="53"/>
        <v>13</v>
      </c>
      <c r="C386" s="11" t="s">
        <v>209</v>
      </c>
      <c r="D386" s="11" t="str">
        <f>VLOOKUP(VALUE(MID($C386,13,2)), codigos!$A$2:$B$60, 2, 1) &amp; " " &amp; VLOOKUP(VALUE(MID($C386,15,4)), codigos!$E$2:$F$102, 2, FALSE)</f>
        <v>BAÑO 2</v>
      </c>
      <c r="E386" s="11" t="str">
        <f>VLOOKUP(VALUE(MID($C386,19,2)),codigos!$H$2:$I$62,2,1) &amp; " " &amp; VLOOKUP(VALUE(MID($C386,21,2)),codigos!$K$2:$L$12,2,FALSE)</f>
        <v>GALVANIZADO S/I</v>
      </c>
      <c r="F386" s="11" t="s">
        <v>1157</v>
      </c>
      <c r="G386" s="11" t="s">
        <v>11</v>
      </c>
      <c r="H386" s="11" t="s">
        <v>1271</v>
      </c>
      <c r="I386" s="11" t="s">
        <v>1270</v>
      </c>
      <c r="J386" s="25">
        <v>20</v>
      </c>
      <c r="K386" s="25">
        <v>20</v>
      </c>
      <c r="L386" s="15">
        <f t="shared" si="54"/>
        <v>0</v>
      </c>
      <c r="M386" s="131"/>
      <c r="N386" s="96">
        <v>46058</v>
      </c>
    </row>
    <row r="387" spans="1:14" x14ac:dyDescent="0.25">
      <c r="A387" s="11">
        <f t="shared" ca="1" si="52"/>
        <v>-65</v>
      </c>
      <c r="B387" s="37">
        <f t="shared" si="53"/>
        <v>13</v>
      </c>
      <c r="C387" s="11" t="s">
        <v>158</v>
      </c>
      <c r="D387" s="11" t="str">
        <f>VLOOKUP(VALUE(MID($C387,13,2)), codigos!$A$2:$B$60, 2, 1) &amp; " " &amp; VLOOKUP(VALUE(MID($C387,15,4)), codigos!$E$2:$F$102, 2, FALSE)</f>
        <v>BAÑO 3</v>
      </c>
      <c r="E387" s="11" t="str">
        <f>VLOOKUP(VALUE(MID($C387,19,2)),codigos!$H$2:$I$62,2,1) &amp; " " &amp; VLOOKUP(VALUE(MID($C387,21,2)),codigos!$K$2:$L$12,2,FALSE)</f>
        <v>GALVANIZADO S/I</v>
      </c>
      <c r="F387" s="11" t="s">
        <v>1157</v>
      </c>
      <c r="G387" s="11" t="s">
        <v>11</v>
      </c>
      <c r="H387" s="11" t="s">
        <v>1271</v>
      </c>
      <c r="I387" s="11" t="s">
        <v>1270</v>
      </c>
      <c r="J387" s="25">
        <v>20</v>
      </c>
      <c r="K387" s="25">
        <f>11+3+3+3</f>
        <v>20</v>
      </c>
      <c r="L387" s="15">
        <f t="shared" si="54"/>
        <v>0</v>
      </c>
      <c r="M387" s="131"/>
      <c r="N387" s="96">
        <v>46058</v>
      </c>
    </row>
    <row r="388" spans="1:14" x14ac:dyDescent="0.25">
      <c r="A388" s="11">
        <f t="shared" ca="1" si="52"/>
        <v>-65</v>
      </c>
      <c r="B388" s="37">
        <f t="shared" si="53"/>
        <v>13</v>
      </c>
      <c r="C388" s="11" t="s">
        <v>45</v>
      </c>
      <c r="D388" s="11" t="str">
        <f>VLOOKUP(VALUE(MID($C388,13,2)), codigos!$A$2:$B$60, 2, 1) &amp; " " &amp; VLOOKUP(VALUE(MID($C388,15,4)), codigos!$E$2:$F$102, 2, FALSE)</f>
        <v>BAÑO 4</v>
      </c>
      <c r="E388" s="11" t="str">
        <f>VLOOKUP(VALUE(MID($C388,19,2)),codigos!$H$2:$I$62,2,1) &amp; " " &amp; VLOOKUP(VALUE(MID($C388,21,2)),codigos!$K$2:$L$12,2,FALSE)</f>
        <v>GALVANIZADO S/I</v>
      </c>
      <c r="F388" s="11" t="s">
        <v>1157</v>
      </c>
      <c r="G388" s="11" t="s">
        <v>11</v>
      </c>
      <c r="H388" s="11" t="s">
        <v>1271</v>
      </c>
      <c r="I388" s="11" t="s">
        <v>1270</v>
      </c>
      <c r="J388" s="25">
        <v>50</v>
      </c>
      <c r="K388" s="25">
        <v>0</v>
      </c>
      <c r="L388" s="15">
        <f t="shared" si="54"/>
        <v>50</v>
      </c>
      <c r="M388" s="131"/>
      <c r="N388" s="96">
        <v>46058</v>
      </c>
    </row>
    <row r="389" spans="1:14" x14ac:dyDescent="0.25">
      <c r="A389" s="11">
        <f t="shared" ca="1" si="52"/>
        <v>-65</v>
      </c>
      <c r="B389" s="37">
        <f t="shared" si="53"/>
        <v>13</v>
      </c>
      <c r="C389" s="11" t="s">
        <v>32</v>
      </c>
      <c r="D389" s="11" t="str">
        <f>VLOOKUP(VALUE(MID($C389,13,2)), codigos!$A$2:$B$60, 2, 1) &amp; " " &amp; VLOOKUP(VALUE(MID($C389,15,4)), codigos!$E$2:$F$102, 2, FALSE)</f>
        <v>BAÑO 5</v>
      </c>
      <c r="E389" s="11" t="str">
        <f>VLOOKUP(VALUE(MID($C389,19,2)),codigos!$H$2:$I$62,2,1) &amp; " " &amp; VLOOKUP(VALUE(MID($C389,21,2)),codigos!$K$2:$L$12,2,FALSE)</f>
        <v>GALVANIZADO S/I</v>
      </c>
      <c r="F389" s="11" t="s">
        <v>1157</v>
      </c>
      <c r="G389" s="11" t="s">
        <v>11</v>
      </c>
      <c r="H389" s="11" t="s">
        <v>1271</v>
      </c>
      <c r="I389" s="11" t="s">
        <v>1270</v>
      </c>
      <c r="J389" s="25">
        <v>40</v>
      </c>
      <c r="K389" s="25">
        <f>26+14</f>
        <v>40</v>
      </c>
      <c r="L389" s="15">
        <f t="shared" si="54"/>
        <v>0</v>
      </c>
      <c r="M389" s="131"/>
      <c r="N389" s="96">
        <v>46058</v>
      </c>
    </row>
    <row r="390" spans="1:14" x14ac:dyDescent="0.25">
      <c r="A390" s="11">
        <f t="shared" ca="1" si="52"/>
        <v>-65</v>
      </c>
      <c r="B390" s="37">
        <f t="shared" si="53"/>
        <v>13</v>
      </c>
      <c r="C390" s="11" t="s">
        <v>37</v>
      </c>
      <c r="D390" s="11" t="str">
        <f>VLOOKUP(VALUE(MID($C390,13,2)), codigos!$A$2:$B$60, 2, 1) &amp; " " &amp; VLOOKUP(VALUE(MID($C390,15,4)), codigos!$E$2:$F$102, 2, FALSE)</f>
        <v>BAÑO 6</v>
      </c>
      <c r="E390" s="11" t="str">
        <f>VLOOKUP(VALUE(MID($C390,19,2)),codigos!$H$2:$I$62,2,1) &amp; " " &amp; VLOOKUP(VALUE(MID($C390,21,2)),codigos!$K$2:$L$12,2,FALSE)</f>
        <v>GALVANIZADO S/I</v>
      </c>
      <c r="F390" s="11" t="s">
        <v>1157</v>
      </c>
      <c r="G390" s="11" t="s">
        <v>11</v>
      </c>
      <c r="H390" s="11" t="s">
        <v>1271</v>
      </c>
      <c r="I390" s="11" t="s">
        <v>1270</v>
      </c>
      <c r="J390" s="25">
        <v>30</v>
      </c>
      <c r="K390" s="25">
        <f>14+16</f>
        <v>30</v>
      </c>
      <c r="L390" s="15">
        <f t="shared" si="54"/>
        <v>0</v>
      </c>
      <c r="M390" s="131"/>
      <c r="N390" s="96">
        <v>46058</v>
      </c>
    </row>
    <row r="391" spans="1:14" x14ac:dyDescent="0.25">
      <c r="A391" s="11">
        <f t="shared" ca="1" si="52"/>
        <v>-65</v>
      </c>
      <c r="B391" s="37">
        <f t="shared" si="53"/>
        <v>13</v>
      </c>
      <c r="C391" s="11" t="s">
        <v>210</v>
      </c>
      <c r="D391" s="11" t="str">
        <f>VLOOKUP(VALUE(MID($C391,13,2)), codigos!$A$2:$B$60, 2, 1) &amp; " " &amp; VLOOKUP(VALUE(MID($C391,15,4)), codigos!$E$2:$F$102, 2, FALSE)</f>
        <v>BAÑO 8</v>
      </c>
      <c r="E391" s="11" t="str">
        <f>VLOOKUP(VALUE(MID($C391,19,2)),codigos!$H$2:$I$62,2,1) &amp; " " &amp; VLOOKUP(VALUE(MID($C391,21,2)),codigos!$K$2:$L$12,2,FALSE)</f>
        <v>GALVANIZADO S/I</v>
      </c>
      <c r="F391" s="11" t="s">
        <v>1157</v>
      </c>
      <c r="G391" s="11" t="s">
        <v>11</v>
      </c>
      <c r="H391" s="11" t="s">
        <v>1271</v>
      </c>
      <c r="I391" s="11" t="s">
        <v>1270</v>
      </c>
      <c r="J391" s="25">
        <v>20</v>
      </c>
      <c r="K391" s="25">
        <f>12+8</f>
        <v>20</v>
      </c>
      <c r="L391" s="15">
        <f t="shared" si="54"/>
        <v>0</v>
      </c>
      <c r="M391" s="131"/>
      <c r="N391" s="96">
        <v>46058</v>
      </c>
    </row>
    <row r="392" spans="1:14" x14ac:dyDescent="0.25">
      <c r="A392" s="11">
        <f t="shared" ref="A392:A420" ca="1" si="55">DAYS360($B$1,I392)</f>
        <v>-81</v>
      </c>
      <c r="B392" s="37">
        <f t="shared" ref="B392:B420" si="56">+N392-I392</f>
        <v>30</v>
      </c>
      <c r="C392" s="11" t="s">
        <v>255</v>
      </c>
      <c r="D392" s="11" t="str">
        <f>VLOOKUP(VALUE(MID($C392,13,2)), [2]codigos!$A$2:$B$60, 2, 1) &amp; " " &amp; VLOOKUP(VALUE(MID($C392,15,4)), [2]codigos!$E$2:$F$102, 2, FALSE)</f>
        <v>BUDINERA   12</v>
      </c>
      <c r="E392" s="11" t="str">
        <f>VLOOKUP(VALUE(MID($C392,19,2)),[2]codigos!$H$2:$I$62,2,1) &amp; " " &amp; VLOOKUP(VALUE(MID($C392,21,2)),[2]codigos!$K$2:$L$12,2,FALSE)</f>
        <v>A/T S/I</v>
      </c>
      <c r="F392" s="11" t="s">
        <v>539</v>
      </c>
      <c r="G392" s="11" t="s">
        <v>11</v>
      </c>
      <c r="H392" s="52" t="s">
        <v>1024</v>
      </c>
      <c r="I392" s="20" t="s">
        <v>1025</v>
      </c>
      <c r="J392" s="11">
        <v>90</v>
      </c>
      <c r="K392" s="11">
        <v>0</v>
      </c>
      <c r="L392" s="11">
        <f t="shared" ref="L392:L430" si="57">J392-K392</f>
        <v>90</v>
      </c>
      <c r="M392" s="134">
        <f>(SUM(K392:K419))/(SUM(J392:J419))</f>
        <v>0.6807760141093474</v>
      </c>
      <c r="N392" s="96">
        <v>46059</v>
      </c>
    </row>
    <row r="393" spans="1:14" x14ac:dyDescent="0.25">
      <c r="A393" s="11">
        <f t="shared" ca="1" si="55"/>
        <v>-81</v>
      </c>
      <c r="B393" s="37">
        <f t="shared" si="56"/>
        <v>30</v>
      </c>
      <c r="C393" s="11" t="s">
        <v>256</v>
      </c>
      <c r="D393" s="11" t="str">
        <f>VLOOKUP(VALUE(MID($C393,13,2)), [2]codigos!$A$2:$B$60, 2, 1) &amp; " " &amp; VLOOKUP(VALUE(MID($C393,15,4)), [2]codigos!$E$2:$F$102, 2, FALSE)</f>
        <v>BUDINERA   14</v>
      </c>
      <c r="E393" s="11" t="str">
        <f>VLOOKUP(VALUE(MID($C393,19,2)),[2]codigos!$H$2:$I$62,2,1) &amp; " " &amp; VLOOKUP(VALUE(MID($C393,21,2)),[2]codigos!$K$2:$L$12,2,FALSE)</f>
        <v>A/T S/I</v>
      </c>
      <c r="F393" s="11" t="s">
        <v>539</v>
      </c>
      <c r="G393" s="11" t="s">
        <v>11</v>
      </c>
      <c r="H393" s="52" t="s">
        <v>1024</v>
      </c>
      <c r="I393" s="20" t="s">
        <v>1025</v>
      </c>
      <c r="J393" s="11">
        <v>90</v>
      </c>
      <c r="K393" s="11">
        <v>90</v>
      </c>
      <c r="L393" s="11">
        <f t="shared" si="57"/>
        <v>0</v>
      </c>
      <c r="M393" s="134"/>
      <c r="N393" s="96">
        <v>46059</v>
      </c>
    </row>
    <row r="394" spans="1:14" x14ac:dyDescent="0.25">
      <c r="A394" s="11">
        <f t="shared" ca="1" si="55"/>
        <v>-81</v>
      </c>
      <c r="B394" s="37">
        <f t="shared" si="56"/>
        <v>30</v>
      </c>
      <c r="C394" s="11" t="s">
        <v>189</v>
      </c>
      <c r="D394" s="11" t="str">
        <f>VLOOKUP(VALUE(MID($C394,13,2)), [2]codigos!$A$2:$B$60, 2, 1) &amp; " " &amp; VLOOKUP(VALUE(MID($C394,15,4)), [2]codigos!$E$2:$F$102, 2, FALSE)</f>
        <v>BUDINERA   16</v>
      </c>
      <c r="E394" s="11" t="str">
        <f>VLOOKUP(VALUE(MID($C394,19,2)),[2]codigos!$H$2:$I$62,2,1) &amp; " " &amp; VLOOKUP(VALUE(MID($C394,21,2)),[2]codigos!$K$2:$L$12,2,FALSE)</f>
        <v>A/T S/I</v>
      </c>
      <c r="F394" s="11" t="s">
        <v>539</v>
      </c>
      <c r="G394" s="11" t="s">
        <v>11</v>
      </c>
      <c r="H394" s="52" t="s">
        <v>1024</v>
      </c>
      <c r="I394" s="20" t="s">
        <v>1025</v>
      </c>
      <c r="J394" s="11">
        <v>90</v>
      </c>
      <c r="K394" s="11">
        <v>0</v>
      </c>
      <c r="L394" s="11">
        <f t="shared" si="57"/>
        <v>90</v>
      </c>
      <c r="M394" s="134"/>
      <c r="N394" s="96">
        <v>46059</v>
      </c>
    </row>
    <row r="395" spans="1:14" x14ac:dyDescent="0.25">
      <c r="A395" s="11">
        <f t="shared" ca="1" si="55"/>
        <v>-81</v>
      </c>
      <c r="B395" s="37">
        <f t="shared" si="56"/>
        <v>30</v>
      </c>
      <c r="C395" s="11" t="s">
        <v>215</v>
      </c>
      <c r="D395" s="11" t="str">
        <f>VLOOKUP(VALUE(MID($C395,13,2)), [2]codigos!$A$2:$B$60, 2, 1) &amp; " " &amp; VLOOKUP(VALUE(MID($C395,15,4)), [2]codigos!$E$2:$F$102, 2, FALSE)</f>
        <v>BUDINERA   20</v>
      </c>
      <c r="E395" s="11" t="str">
        <f>VLOOKUP(VALUE(MID($C395,19,2)),[2]codigos!$H$2:$I$62,2,1) &amp; " " &amp; VLOOKUP(VALUE(MID($C395,21,2)),[2]codigos!$K$2:$L$12,2,FALSE)</f>
        <v>A/T S/I</v>
      </c>
      <c r="F395" s="11" t="s">
        <v>539</v>
      </c>
      <c r="G395" s="11" t="s">
        <v>11</v>
      </c>
      <c r="H395" s="52" t="s">
        <v>1024</v>
      </c>
      <c r="I395" s="20" t="s">
        <v>1025</v>
      </c>
      <c r="J395" s="11">
        <v>72</v>
      </c>
      <c r="K395" s="11">
        <f>72-12+11+1</f>
        <v>72</v>
      </c>
      <c r="L395" s="11">
        <f t="shared" si="57"/>
        <v>0</v>
      </c>
      <c r="M395" s="134"/>
      <c r="N395" s="96">
        <v>46059</v>
      </c>
    </row>
    <row r="396" spans="1:14" x14ac:dyDescent="0.25">
      <c r="A396" s="11">
        <f t="shared" ca="1" si="55"/>
        <v>-81</v>
      </c>
      <c r="B396" s="37">
        <f t="shared" si="56"/>
        <v>30</v>
      </c>
      <c r="C396" s="11" t="s">
        <v>241</v>
      </c>
      <c r="D396" s="11" t="str">
        <f>VLOOKUP(VALUE(MID($C396,13,2)), [2]codigos!$A$2:$B$60, 2, 1) &amp; " " &amp; VLOOKUP(VALUE(MID($C396,15,4)), [2]codigos!$E$2:$F$102, 2, FALSE)</f>
        <v>BUDINERA   22</v>
      </c>
      <c r="E396" s="11" t="str">
        <f>VLOOKUP(VALUE(MID($C396,19,2)),[2]codigos!$H$2:$I$62,2,1) &amp; " " &amp; VLOOKUP(VALUE(MID($C396,21,2)),[2]codigos!$K$2:$L$12,2,FALSE)</f>
        <v>A/T S/I</v>
      </c>
      <c r="F396" s="11" t="s">
        <v>539</v>
      </c>
      <c r="G396" s="11" t="s">
        <v>11</v>
      </c>
      <c r="H396" s="52" t="s">
        <v>1024</v>
      </c>
      <c r="I396" s="20" t="s">
        <v>1025</v>
      </c>
      <c r="J396" s="11">
        <v>36</v>
      </c>
      <c r="K396" s="11">
        <v>0</v>
      </c>
      <c r="L396" s="11">
        <f t="shared" si="57"/>
        <v>36</v>
      </c>
      <c r="M396" s="134"/>
      <c r="N396" s="96">
        <v>46059</v>
      </c>
    </row>
    <row r="397" spans="1:14" x14ac:dyDescent="0.25">
      <c r="A397" s="11">
        <f t="shared" ca="1" si="55"/>
        <v>-81</v>
      </c>
      <c r="B397" s="37">
        <f t="shared" si="56"/>
        <v>30</v>
      </c>
      <c r="C397" s="11" t="s">
        <v>169</v>
      </c>
      <c r="D397" s="11" t="str">
        <f>VLOOKUP(VALUE(MID($C397,13,2)), [2]codigos!$A$2:$B$60, 2, 1) &amp; " " &amp; VLOOKUP(VALUE(MID($C397,15,4)), [2]codigos!$E$2:$F$102, 2, FALSE)</f>
        <v>BUDINERA   30</v>
      </c>
      <c r="E397" s="11" t="str">
        <f>VLOOKUP(VALUE(MID($C397,19,2)),[2]codigos!$H$2:$I$62,2,1) &amp; " " &amp; VLOOKUP(VALUE(MID($C397,21,2)),[2]codigos!$K$2:$L$12,2,FALSE)</f>
        <v>A/T S/I</v>
      </c>
      <c r="F397" s="11" t="s">
        <v>539</v>
      </c>
      <c r="G397" s="11" t="s">
        <v>11</v>
      </c>
      <c r="H397" s="52" t="s">
        <v>1024</v>
      </c>
      <c r="I397" s="20" t="s">
        <v>1025</v>
      </c>
      <c r="J397" s="11">
        <v>20</v>
      </c>
      <c r="K397" s="11">
        <v>20</v>
      </c>
      <c r="L397" s="11">
        <f t="shared" si="57"/>
        <v>0</v>
      </c>
      <c r="M397" s="134"/>
      <c r="N397" s="96">
        <v>46059</v>
      </c>
    </row>
    <row r="398" spans="1:14" x14ac:dyDescent="0.25">
      <c r="A398" s="11">
        <f t="shared" ca="1" si="55"/>
        <v>-81</v>
      </c>
      <c r="B398" s="37">
        <f t="shared" si="56"/>
        <v>30</v>
      </c>
      <c r="C398" s="11" t="s">
        <v>173</v>
      </c>
      <c r="D398" s="11" t="str">
        <f>VLOOKUP(VALUE(MID($C398,13,2)), [2]codigos!$A$2:$B$60, 2, 1) &amp; " " &amp; VLOOKUP(VALUE(MID($C398,15,4)), [2]codigos!$E$2:$F$102, 2, FALSE)</f>
        <v>BUDINERA   34</v>
      </c>
      <c r="E398" s="11" t="str">
        <f>VLOOKUP(VALUE(MID($C398,19,2)),[2]codigos!$H$2:$I$62,2,1) &amp; " " &amp; VLOOKUP(VALUE(MID($C398,21,2)),[2]codigos!$K$2:$L$12,2,FALSE)</f>
        <v>A/T S/I</v>
      </c>
      <c r="F398" s="11" t="s">
        <v>539</v>
      </c>
      <c r="G398" s="11" t="s">
        <v>11</v>
      </c>
      <c r="H398" s="52" t="s">
        <v>1024</v>
      </c>
      <c r="I398" s="20" t="s">
        <v>1025</v>
      </c>
      <c r="J398" s="11">
        <v>12</v>
      </c>
      <c r="K398" s="11">
        <v>0</v>
      </c>
      <c r="L398" s="11">
        <f t="shared" si="57"/>
        <v>12</v>
      </c>
      <c r="M398" s="134"/>
      <c r="N398" s="96">
        <v>46059</v>
      </c>
    </row>
    <row r="399" spans="1:14" x14ac:dyDescent="0.25">
      <c r="A399" s="11">
        <f t="shared" ca="1" si="55"/>
        <v>-81</v>
      </c>
      <c r="B399" s="37">
        <f t="shared" si="56"/>
        <v>30</v>
      </c>
      <c r="C399" s="11" t="s">
        <v>344</v>
      </c>
      <c r="D399" s="11" t="str">
        <f>VLOOKUP(VALUE(MID($C399,13,2)), [2]codigos!$A$2:$B$60, 2, 1) &amp; " " &amp; VLOOKUP(VALUE(MID($C399,15,4)), [2]codigos!$E$2:$F$102, 2, FALSE)</f>
        <v>COMAL 36</v>
      </c>
      <c r="E399" s="11" t="str">
        <f>VLOOKUP(VALUE(MID($C399,19,2)),[2]codigos!$H$2:$I$62,2,1) &amp; " " &amp; VLOOKUP(VALUE(MID($C399,21,2)),[2]codigos!$K$2:$L$12,2,FALSE)</f>
        <v>NEGRO MOTAS S/I</v>
      </c>
      <c r="F399" s="11" t="s">
        <v>539</v>
      </c>
      <c r="G399" s="11" t="s">
        <v>11</v>
      </c>
      <c r="H399" s="52" t="s">
        <v>1024</v>
      </c>
      <c r="I399" s="20" t="s">
        <v>1025</v>
      </c>
      <c r="J399" s="11">
        <v>60</v>
      </c>
      <c r="K399" s="11">
        <v>36</v>
      </c>
      <c r="L399" s="11">
        <f t="shared" si="57"/>
        <v>24</v>
      </c>
      <c r="M399" s="134"/>
      <c r="N399" s="96">
        <v>46059</v>
      </c>
    </row>
    <row r="400" spans="1:14" x14ac:dyDescent="0.25">
      <c r="A400" s="11">
        <f t="shared" ca="1" si="55"/>
        <v>-81</v>
      </c>
      <c r="B400" s="37">
        <f t="shared" si="56"/>
        <v>30</v>
      </c>
      <c r="C400" s="11" t="s">
        <v>187</v>
      </c>
      <c r="D400" s="11" t="str">
        <f>VLOOKUP(VALUE(MID($C400,13,2)), [2]codigos!$A$2:$B$60, 2, 1) &amp; " " &amp; VLOOKUP(VALUE(MID($C400,15,4)), [2]codigos!$E$2:$F$102, 2, FALSE)</f>
        <v>OLLA CONVEXA 12</v>
      </c>
      <c r="E400" s="11" t="str">
        <f>VLOOKUP(VALUE(MID($C400,19,2)),[2]codigos!$H$2:$I$62,2,1) &amp; " " &amp; VLOOKUP(VALUE(MID($C400,21,2)),[2]codigos!$K$2:$L$12,2,FALSE)</f>
        <v>A/T S/I</v>
      </c>
      <c r="F400" s="11" t="s">
        <v>539</v>
      </c>
      <c r="G400" s="11" t="s">
        <v>11</v>
      </c>
      <c r="H400" s="52" t="s">
        <v>1024</v>
      </c>
      <c r="I400" s="20" t="s">
        <v>1025</v>
      </c>
      <c r="J400" s="11">
        <v>72</v>
      </c>
      <c r="K400" s="11">
        <v>72</v>
      </c>
      <c r="L400" s="11">
        <f t="shared" si="57"/>
        <v>0</v>
      </c>
      <c r="M400" s="134"/>
      <c r="N400" s="96">
        <v>46059</v>
      </c>
    </row>
    <row r="401" spans="1:14" x14ac:dyDescent="0.25">
      <c r="A401" s="11">
        <f t="shared" ca="1" si="55"/>
        <v>-81</v>
      </c>
      <c r="B401" s="37">
        <f t="shared" si="56"/>
        <v>30</v>
      </c>
      <c r="C401" s="11" t="s">
        <v>333</v>
      </c>
      <c r="D401" s="11" t="str">
        <f>VLOOKUP(VALUE(MID($C401,13,2)), [2]codigos!$A$2:$B$60, 2, 1) &amp; " " &amp; VLOOKUP(VALUE(MID($C401,15,4)), [2]codigos!$E$2:$F$102, 2, FALSE)</f>
        <v>OLLA CONVEXA 14</v>
      </c>
      <c r="E401" s="11" t="str">
        <f>VLOOKUP(VALUE(MID($C401,19,2)),[2]codigos!$H$2:$I$62,2,1) &amp; " " &amp; VLOOKUP(VALUE(MID($C401,21,2)),[2]codigos!$K$2:$L$12,2,FALSE)</f>
        <v>A/T S/I</v>
      </c>
      <c r="F401" s="11" t="s">
        <v>539</v>
      </c>
      <c r="G401" s="11" t="s">
        <v>11</v>
      </c>
      <c r="H401" s="52" t="s">
        <v>1024</v>
      </c>
      <c r="I401" s="20" t="s">
        <v>1025</v>
      </c>
      <c r="J401" s="11">
        <v>36</v>
      </c>
      <c r="K401" s="11">
        <v>36</v>
      </c>
      <c r="L401" s="11">
        <f t="shared" si="57"/>
        <v>0</v>
      </c>
      <c r="M401" s="134"/>
      <c r="N401" s="96">
        <v>46059</v>
      </c>
    </row>
    <row r="402" spans="1:14" x14ac:dyDescent="0.25">
      <c r="A402" s="11">
        <f t="shared" ca="1" si="55"/>
        <v>-81</v>
      </c>
      <c r="B402" s="37">
        <f t="shared" si="56"/>
        <v>30</v>
      </c>
      <c r="C402" s="11" t="s">
        <v>220</v>
      </c>
      <c r="D402" s="11" t="str">
        <f>VLOOKUP(VALUE(MID($C402,13,2)), [2]codigos!$A$2:$B$60, 2, 1) &amp; " " &amp; VLOOKUP(VALUE(MID($C402,15,4)), [2]codigos!$E$2:$F$102, 2, FALSE)</f>
        <v>OLLA CONVEXA 16</v>
      </c>
      <c r="E402" s="11" t="str">
        <f>VLOOKUP(VALUE(MID($C402,19,2)),[2]codigos!$H$2:$I$62,2,1) &amp; " " &amp; VLOOKUP(VALUE(MID($C402,21,2)),[2]codigos!$K$2:$L$12,2,FALSE)</f>
        <v>A/T S/I</v>
      </c>
      <c r="F402" s="11" t="s">
        <v>539</v>
      </c>
      <c r="G402" s="11" t="s">
        <v>11</v>
      </c>
      <c r="H402" s="52" t="s">
        <v>1024</v>
      </c>
      <c r="I402" s="20" t="s">
        <v>1025</v>
      </c>
      <c r="J402" s="11">
        <v>48</v>
      </c>
      <c r="K402" s="11">
        <v>0</v>
      </c>
      <c r="L402" s="11">
        <f t="shared" si="57"/>
        <v>48</v>
      </c>
      <c r="M402" s="134"/>
      <c r="N402" s="96">
        <v>46059</v>
      </c>
    </row>
    <row r="403" spans="1:14" x14ac:dyDescent="0.25">
      <c r="A403" s="11">
        <f t="shared" ca="1" si="55"/>
        <v>-81</v>
      </c>
      <c r="B403" s="37">
        <f t="shared" si="56"/>
        <v>30</v>
      </c>
      <c r="C403" s="11" t="s">
        <v>150</v>
      </c>
      <c r="D403" s="11" t="str">
        <f>VLOOKUP(VALUE(MID($C403,13,2)), [2]codigos!$A$2:$B$60, 2, 1) &amp; " " &amp; VLOOKUP(VALUE(MID($C403,15,4)), [2]codigos!$E$2:$F$102, 2, FALSE)</f>
        <v>OLLA CONVEXA 18</v>
      </c>
      <c r="E403" s="11" t="str">
        <f>VLOOKUP(VALUE(MID($C403,19,2)),[2]codigos!$H$2:$I$62,2,1) &amp; " " &amp; VLOOKUP(VALUE(MID($C403,21,2)),[2]codigos!$K$2:$L$12,2,FALSE)</f>
        <v>A/T S/I</v>
      </c>
      <c r="F403" s="11" t="s">
        <v>539</v>
      </c>
      <c r="G403" s="11" t="s">
        <v>11</v>
      </c>
      <c r="H403" s="52" t="s">
        <v>1024</v>
      </c>
      <c r="I403" s="20" t="s">
        <v>1025</v>
      </c>
      <c r="J403" s="11">
        <v>24</v>
      </c>
      <c r="K403" s="11">
        <v>24</v>
      </c>
      <c r="L403" s="11">
        <f t="shared" si="57"/>
        <v>0</v>
      </c>
      <c r="M403" s="134"/>
      <c r="N403" s="96">
        <v>46059</v>
      </c>
    </row>
    <row r="404" spans="1:14" x14ac:dyDescent="0.25">
      <c r="A404" s="11">
        <f t="shared" ca="1" si="55"/>
        <v>-81</v>
      </c>
      <c r="B404" s="37">
        <f t="shared" si="56"/>
        <v>30</v>
      </c>
      <c r="C404" s="11" t="s">
        <v>43</v>
      </c>
      <c r="D404" s="11" t="str">
        <f>VLOOKUP(VALUE(MID($C404,13,2)), [2]codigos!$A$2:$B$60, 2, 1) &amp; " " &amp; VLOOKUP(VALUE(MID($C404,15,4)), [2]codigos!$E$2:$F$102, 2, FALSE)</f>
        <v>OLLA CONVEXA 22</v>
      </c>
      <c r="E404" s="11" t="str">
        <f>VLOOKUP(VALUE(MID($C404,19,2)),[2]codigos!$H$2:$I$62,2,1) &amp; " " &amp; VLOOKUP(VALUE(MID($C404,21,2)),[2]codigos!$K$2:$L$12,2,FALSE)</f>
        <v>A/T S/I</v>
      </c>
      <c r="F404" s="11" t="s">
        <v>539</v>
      </c>
      <c r="G404" s="11" t="s">
        <v>11</v>
      </c>
      <c r="H404" s="52" t="s">
        <v>1024</v>
      </c>
      <c r="I404" s="20" t="s">
        <v>1025</v>
      </c>
      <c r="J404" s="11">
        <v>12</v>
      </c>
      <c r="K404" s="11">
        <v>12</v>
      </c>
      <c r="L404" s="11">
        <f t="shared" si="57"/>
        <v>0</v>
      </c>
      <c r="M404" s="134"/>
      <c r="N404" s="96">
        <v>46059</v>
      </c>
    </row>
    <row r="405" spans="1:14" x14ac:dyDescent="0.25">
      <c r="A405" s="11">
        <f t="shared" ca="1" si="55"/>
        <v>-81</v>
      </c>
      <c r="B405" s="37">
        <f t="shared" si="56"/>
        <v>30</v>
      </c>
      <c r="C405" s="11" t="s">
        <v>152</v>
      </c>
      <c r="D405" s="11" t="str">
        <f>VLOOKUP(VALUE(MID($C405,13,2)), [2]codigos!$A$2:$B$60, 2, 1) &amp; " " &amp; VLOOKUP(VALUE(MID($C405,15,4)), [2]codigos!$E$2:$F$102, 2, FALSE)</f>
        <v>OLLA CONVEXA 24</v>
      </c>
      <c r="E405" s="11" t="str">
        <f>VLOOKUP(VALUE(MID($C405,19,2)),[2]codigos!$H$2:$I$62,2,1) &amp; " " &amp; VLOOKUP(VALUE(MID($C405,21,2)),[2]codigos!$K$2:$L$12,2,FALSE)</f>
        <v>A/T S/I</v>
      </c>
      <c r="F405" s="11" t="s">
        <v>539</v>
      </c>
      <c r="G405" s="11" t="s">
        <v>11</v>
      </c>
      <c r="H405" s="52" t="s">
        <v>1024</v>
      </c>
      <c r="I405" s="20" t="s">
        <v>1025</v>
      </c>
      <c r="J405" s="11">
        <v>12</v>
      </c>
      <c r="K405" s="11">
        <f>2+6+4</f>
        <v>12</v>
      </c>
      <c r="L405" s="11">
        <f t="shared" si="57"/>
        <v>0</v>
      </c>
      <c r="M405" s="134"/>
      <c r="N405" s="96">
        <v>46059</v>
      </c>
    </row>
    <row r="406" spans="1:14" x14ac:dyDescent="0.25">
      <c r="A406" s="11">
        <f t="shared" ca="1" si="55"/>
        <v>-81</v>
      </c>
      <c r="B406" s="37">
        <f t="shared" si="56"/>
        <v>30</v>
      </c>
      <c r="C406" s="11" t="s">
        <v>154</v>
      </c>
      <c r="D406" s="11" t="str">
        <f>VLOOKUP(VALUE(MID($C406,13,2)), [2]codigos!$A$2:$B$60, 2, 1) &amp; " " &amp; VLOOKUP(VALUE(MID($C406,15,4)), [2]codigos!$E$2:$F$102, 2, FALSE)</f>
        <v>OLLA CONVEXA 30</v>
      </c>
      <c r="E406" s="11" t="str">
        <f>VLOOKUP(VALUE(MID($C406,19,2)),[2]codigos!$H$2:$I$62,2,1) &amp; " " &amp; VLOOKUP(VALUE(MID($C406,21,2)),[2]codigos!$K$2:$L$12,2,FALSE)</f>
        <v>A/T S/I</v>
      </c>
      <c r="F406" s="11" t="s">
        <v>539</v>
      </c>
      <c r="G406" s="11" t="s">
        <v>11</v>
      </c>
      <c r="H406" s="52" t="s">
        <v>1024</v>
      </c>
      <c r="I406" s="20" t="s">
        <v>1025</v>
      </c>
      <c r="J406" s="11">
        <v>8</v>
      </c>
      <c r="K406" s="11">
        <v>0</v>
      </c>
      <c r="L406" s="11">
        <f t="shared" si="57"/>
        <v>8</v>
      </c>
      <c r="M406" s="134"/>
      <c r="N406" s="96">
        <v>46059</v>
      </c>
    </row>
    <row r="407" spans="1:14" x14ac:dyDescent="0.25">
      <c r="A407" s="11">
        <f t="shared" ca="1" si="55"/>
        <v>-81</v>
      </c>
      <c r="B407" s="37">
        <f t="shared" si="56"/>
        <v>30</v>
      </c>
      <c r="C407" s="11" t="s">
        <v>221</v>
      </c>
      <c r="D407" s="11" t="str">
        <f>VLOOKUP(VALUE(MID($C407,13,2)), [2]codigos!$A$2:$B$60, 2, 1) &amp; " " &amp; VLOOKUP(VALUE(MID($C407,15,4)), [2]codigos!$E$2:$F$102, 2, FALSE)</f>
        <v>OLLA CONVEXA 34</v>
      </c>
      <c r="E407" s="11" t="str">
        <f>VLOOKUP(VALUE(MID($C407,19,2)),[2]codigos!$H$2:$I$62,2,1) &amp; " " &amp; VLOOKUP(VALUE(MID($C407,21,2)),[2]codigos!$K$2:$L$12,2,FALSE)</f>
        <v>A/T S/I</v>
      </c>
      <c r="F407" s="11" t="s">
        <v>539</v>
      </c>
      <c r="G407" s="11" t="s">
        <v>11</v>
      </c>
      <c r="H407" s="52" t="s">
        <v>1024</v>
      </c>
      <c r="I407" s="20" t="s">
        <v>1025</v>
      </c>
      <c r="J407" s="11">
        <v>4</v>
      </c>
      <c r="K407" s="11">
        <v>4</v>
      </c>
      <c r="L407" s="11">
        <f t="shared" si="57"/>
        <v>0</v>
      </c>
      <c r="M407" s="134"/>
      <c r="N407" s="96">
        <v>46059</v>
      </c>
    </row>
    <row r="408" spans="1:14" x14ac:dyDescent="0.25">
      <c r="A408" s="11">
        <f t="shared" ca="1" si="55"/>
        <v>-81</v>
      </c>
      <c r="B408" s="37">
        <f t="shared" si="56"/>
        <v>30</v>
      </c>
      <c r="C408" s="11" t="s">
        <v>222</v>
      </c>
      <c r="D408" s="11" t="str">
        <f>VLOOKUP(VALUE(MID($C408,13,2)), [2]codigos!$A$2:$B$60, 2, 1) &amp; " " &amp; VLOOKUP(VALUE(MID($C408,15,4)), [2]codigos!$E$2:$F$102, 2, FALSE)</f>
        <v>OLLA RECTA 12</v>
      </c>
      <c r="E408" s="11" t="str">
        <f>VLOOKUP(VALUE(MID($C408,19,2)),[2]codigos!$H$2:$I$62,2,1) &amp; " " &amp; VLOOKUP(VALUE(MID($C408,21,2)),[2]codigos!$K$2:$L$12,2,FALSE)</f>
        <v>A/T S/I</v>
      </c>
      <c r="F408" s="11" t="s">
        <v>539</v>
      </c>
      <c r="G408" s="11" t="s">
        <v>11</v>
      </c>
      <c r="H408" s="52" t="s">
        <v>1024</v>
      </c>
      <c r="I408" s="20" t="s">
        <v>1025</v>
      </c>
      <c r="J408" s="11">
        <v>36</v>
      </c>
      <c r="K408" s="11">
        <v>0</v>
      </c>
      <c r="L408" s="11">
        <f t="shared" si="57"/>
        <v>36</v>
      </c>
      <c r="M408" s="134"/>
      <c r="N408" s="96">
        <v>46059</v>
      </c>
    </row>
    <row r="409" spans="1:14" x14ac:dyDescent="0.25">
      <c r="A409" s="11">
        <f t="shared" ca="1" si="55"/>
        <v>-81</v>
      </c>
      <c r="B409" s="37">
        <f t="shared" si="56"/>
        <v>30</v>
      </c>
      <c r="C409" s="11" t="s">
        <v>260</v>
      </c>
      <c r="D409" s="11" t="str">
        <f>VLOOKUP(VALUE(MID($C409,13,2)), [2]codigos!$A$2:$B$60, 2, 1) &amp; " " &amp; VLOOKUP(VALUE(MID($C409,15,4)), [2]codigos!$E$2:$F$102, 2, FALSE)</f>
        <v>OLLA RECTA 20</v>
      </c>
      <c r="E409" s="11" t="str">
        <f>VLOOKUP(VALUE(MID($C409,19,2)),[2]codigos!$H$2:$I$62,2,1) &amp; " " &amp; VLOOKUP(VALUE(MID($C409,21,2)),[2]codigos!$K$2:$L$12,2,FALSE)</f>
        <v>A/T S/I</v>
      </c>
      <c r="F409" s="11" t="s">
        <v>539</v>
      </c>
      <c r="G409" s="11" t="s">
        <v>11</v>
      </c>
      <c r="H409" s="52" t="s">
        <v>1024</v>
      </c>
      <c r="I409" s="20" t="s">
        <v>1025</v>
      </c>
      <c r="J409" s="11">
        <v>36</v>
      </c>
      <c r="K409" s="11">
        <f>24+12</f>
        <v>36</v>
      </c>
      <c r="L409" s="11">
        <f t="shared" si="57"/>
        <v>0</v>
      </c>
      <c r="M409" s="134"/>
      <c r="N409" s="96">
        <v>46059</v>
      </c>
    </row>
    <row r="410" spans="1:14" x14ac:dyDescent="0.25">
      <c r="A410" s="11">
        <f t="shared" ca="1" si="55"/>
        <v>-81</v>
      </c>
      <c r="B410" s="37">
        <f t="shared" si="56"/>
        <v>30</v>
      </c>
      <c r="C410" s="11" t="s">
        <v>224</v>
      </c>
      <c r="D410" s="11" t="str">
        <f>VLOOKUP(VALUE(MID($C410,13,2)), [2]codigos!$A$2:$B$60, 2, 1) &amp; " " &amp; VLOOKUP(VALUE(MID($C410,15,4)), [2]codigos!$E$2:$F$102, 2, FALSE)</f>
        <v>OLLA RECTA 26</v>
      </c>
      <c r="E410" s="11" t="str">
        <f>VLOOKUP(VALUE(MID($C410,19,2)),[2]codigos!$H$2:$I$62,2,1) &amp; " " &amp; VLOOKUP(VALUE(MID($C410,21,2)),[2]codigos!$K$2:$L$12,2,FALSE)</f>
        <v>A/T S/I</v>
      </c>
      <c r="F410" s="11" t="s">
        <v>539</v>
      </c>
      <c r="G410" s="11" t="s">
        <v>11</v>
      </c>
      <c r="H410" s="52" t="s">
        <v>1024</v>
      </c>
      <c r="I410" s="20" t="s">
        <v>1025</v>
      </c>
      <c r="J410" s="11">
        <v>12</v>
      </c>
      <c r="K410" s="11">
        <v>0</v>
      </c>
      <c r="L410" s="11">
        <f t="shared" si="57"/>
        <v>12</v>
      </c>
      <c r="M410" s="134"/>
      <c r="N410" s="96">
        <v>46059</v>
      </c>
    </row>
    <row r="411" spans="1:14" x14ac:dyDescent="0.25">
      <c r="A411" s="11">
        <f t="shared" ca="1" si="55"/>
        <v>-81</v>
      </c>
      <c r="B411" s="37">
        <f t="shared" si="56"/>
        <v>30</v>
      </c>
      <c r="C411" s="11" t="s">
        <v>336</v>
      </c>
      <c r="D411" s="11" t="str">
        <f>VLOOKUP(VALUE(MID($C411,13,2)), [2]codigos!$A$2:$B$60, 2, 1) &amp; " " &amp; VLOOKUP(VALUE(MID($C411,15,4)), [2]codigos!$E$2:$F$102, 2, FALSE)</f>
        <v>OLLA RECTA 28</v>
      </c>
      <c r="E411" s="11" t="str">
        <f>VLOOKUP(VALUE(MID($C411,19,2)),[2]codigos!$H$2:$I$62,2,1) &amp; " " &amp; VLOOKUP(VALUE(MID($C411,21,2)),[2]codigos!$K$2:$L$12,2,FALSE)</f>
        <v>A/T S/I</v>
      </c>
      <c r="F411" s="11" t="s">
        <v>539</v>
      </c>
      <c r="G411" s="11" t="s">
        <v>11</v>
      </c>
      <c r="H411" s="52" t="s">
        <v>1024</v>
      </c>
      <c r="I411" s="20" t="s">
        <v>1025</v>
      </c>
      <c r="J411" s="11">
        <v>4</v>
      </c>
      <c r="K411" s="11">
        <v>4</v>
      </c>
      <c r="L411" s="11">
        <f t="shared" si="57"/>
        <v>0</v>
      </c>
      <c r="M411" s="134"/>
      <c r="N411" s="96">
        <v>46059</v>
      </c>
    </row>
    <row r="412" spans="1:14" x14ac:dyDescent="0.25">
      <c r="A412" s="11">
        <f t="shared" ca="1" si="55"/>
        <v>-81</v>
      </c>
      <c r="B412" s="37">
        <f t="shared" si="56"/>
        <v>30</v>
      </c>
      <c r="C412" s="11" t="s">
        <v>155</v>
      </c>
      <c r="D412" s="11" t="str">
        <f>VLOOKUP(VALUE(MID($C412,13,2)), [2]codigos!$A$2:$B$60, 2, 1) &amp; " " &amp; VLOOKUP(VALUE(MID($C412,15,4)), [2]codigos!$E$2:$F$102, 2, FALSE)</f>
        <v>OLLA RECTA 30</v>
      </c>
      <c r="E412" s="11" t="str">
        <f>VLOOKUP(VALUE(MID($C412,19,2)),[2]codigos!$H$2:$I$62,2,1) &amp; " " &amp; VLOOKUP(VALUE(MID($C412,21,2)),[2]codigos!$K$2:$L$12,2,FALSE)</f>
        <v>A/T S/I</v>
      </c>
      <c r="F412" s="11" t="s">
        <v>539</v>
      </c>
      <c r="G412" s="11" t="s">
        <v>11</v>
      </c>
      <c r="H412" s="52" t="s">
        <v>1024</v>
      </c>
      <c r="I412" s="20" t="s">
        <v>1025</v>
      </c>
      <c r="J412" s="11">
        <v>8</v>
      </c>
      <c r="K412" s="11">
        <v>8</v>
      </c>
      <c r="L412" s="11">
        <f t="shared" si="57"/>
        <v>0</v>
      </c>
      <c r="M412" s="134"/>
      <c r="N412" s="96">
        <v>46059</v>
      </c>
    </row>
    <row r="413" spans="1:14" x14ac:dyDescent="0.25">
      <c r="A413" s="11">
        <f t="shared" ca="1" si="55"/>
        <v>-81</v>
      </c>
      <c r="B413" s="37">
        <f t="shared" si="56"/>
        <v>30</v>
      </c>
      <c r="C413" s="11" t="s">
        <v>156</v>
      </c>
      <c r="D413" s="11" t="str">
        <f>VLOOKUP(VALUE(MID($C413,13,2)), [2]codigos!$A$2:$B$60, 2, 1) &amp; " " &amp; VLOOKUP(VALUE(MID($C413,15,4)), [2]codigos!$E$2:$F$102, 2, FALSE)</f>
        <v>OLLA RECTA 34</v>
      </c>
      <c r="E413" s="11" t="str">
        <f>VLOOKUP(VALUE(MID($C413,19,2)),[2]codigos!$H$2:$I$62,2,1) &amp; " " &amp; VLOOKUP(VALUE(MID($C413,21,2)),[2]codigos!$K$2:$L$12,2,FALSE)</f>
        <v>A/T S/I</v>
      </c>
      <c r="F413" s="11" t="s">
        <v>539</v>
      </c>
      <c r="G413" s="11" t="s">
        <v>11</v>
      </c>
      <c r="H413" s="52" t="s">
        <v>1024</v>
      </c>
      <c r="I413" s="20" t="s">
        <v>1025</v>
      </c>
      <c r="J413" s="11">
        <v>4</v>
      </c>
      <c r="K413" s="11">
        <v>0</v>
      </c>
      <c r="L413" s="11">
        <f t="shared" si="57"/>
        <v>4</v>
      </c>
      <c r="M413" s="134"/>
      <c r="N413" s="96">
        <v>46059</v>
      </c>
    </row>
    <row r="414" spans="1:14" x14ac:dyDescent="0.25">
      <c r="A414" s="11">
        <f t="shared" ca="1" si="55"/>
        <v>-81</v>
      </c>
      <c r="B414" s="37">
        <f t="shared" si="56"/>
        <v>30</v>
      </c>
      <c r="C414" s="11" t="s">
        <v>157</v>
      </c>
      <c r="D414" s="11" t="str">
        <f>VLOOKUP(VALUE(MID($C414,13,2)), [2]codigos!$A$2:$B$60, 2, 1) &amp; " " &amp; VLOOKUP(VALUE(MID($C414,15,4)), [2]codigos!$E$2:$F$102, 2, FALSE)</f>
        <v>OLLA RECTA 42</v>
      </c>
      <c r="E414" s="11" t="str">
        <f>VLOOKUP(VALUE(MID($C414,19,2)),[2]codigos!$H$2:$I$62,2,1) &amp; " " &amp; VLOOKUP(VALUE(MID($C414,21,2)),[2]codigos!$K$2:$L$12,2,FALSE)</f>
        <v>A/T S/I</v>
      </c>
      <c r="F414" s="11" t="s">
        <v>539</v>
      </c>
      <c r="G414" s="11" t="s">
        <v>11</v>
      </c>
      <c r="H414" s="52" t="s">
        <v>1024</v>
      </c>
      <c r="I414" s="20" t="s">
        <v>1025</v>
      </c>
      <c r="J414" s="11">
        <v>2</v>
      </c>
      <c r="K414" s="11">
        <v>0</v>
      </c>
      <c r="L414" s="11">
        <f t="shared" si="57"/>
        <v>2</v>
      </c>
      <c r="M414" s="134"/>
      <c r="N414" s="96">
        <v>46059</v>
      </c>
    </row>
    <row r="415" spans="1:14" x14ac:dyDescent="0.25">
      <c r="A415" s="11">
        <f t="shared" ca="1" si="55"/>
        <v>-81</v>
      </c>
      <c r="B415" s="37">
        <f t="shared" si="56"/>
        <v>30</v>
      </c>
      <c r="C415" s="11" t="s">
        <v>66</v>
      </c>
      <c r="D415" s="11" t="str">
        <f>VLOOKUP(VALUE(MID($C415,13,2)), [2]codigos!$A$2:$B$60, 2, 1) &amp; " " &amp; VLOOKUP(VALUE(MID($C415,15,4)), [2]codigos!$E$2:$F$102, 2, FALSE)</f>
        <v>PLATO AVENERO 20</v>
      </c>
      <c r="E415" s="11" t="str">
        <f>VLOOKUP(VALUE(MID($C415,19,2)),[2]codigos!$H$2:$I$62,2,1) &amp; " " &amp; VLOOKUP(VALUE(MID($C415,21,2)),[2]codigos!$K$2:$L$12,2,FALSE)</f>
        <v>A/T S/I</v>
      </c>
      <c r="F415" s="11" t="s">
        <v>539</v>
      </c>
      <c r="G415" s="11" t="s">
        <v>11</v>
      </c>
      <c r="H415" s="52" t="s">
        <v>1024</v>
      </c>
      <c r="I415" s="20" t="s">
        <v>1025</v>
      </c>
      <c r="J415" s="11">
        <v>72</v>
      </c>
      <c r="K415" s="11">
        <v>72</v>
      </c>
      <c r="L415" s="11">
        <f t="shared" si="57"/>
        <v>0</v>
      </c>
      <c r="M415" s="134"/>
      <c r="N415" s="96">
        <v>46059</v>
      </c>
    </row>
    <row r="416" spans="1:14" x14ac:dyDescent="0.25">
      <c r="A416" s="11">
        <f t="shared" ca="1" si="55"/>
        <v>-81</v>
      </c>
      <c r="B416" s="37">
        <f t="shared" si="56"/>
        <v>30</v>
      </c>
      <c r="C416" s="11" t="s">
        <v>182</v>
      </c>
      <c r="D416" s="11" t="str">
        <f>VLOOKUP(VALUE(MID($C416,13,2)), [2]codigos!$A$2:$B$60, 2, 1) &amp; " " &amp; VLOOKUP(VALUE(MID($C416,15,4)), [2]codigos!$E$2:$F$102, 2, FALSE)</f>
        <v>POCILLO 14</v>
      </c>
      <c r="E416" s="11" t="str">
        <f>VLOOKUP(VALUE(MID($C416,19,2)),[2]codigos!$H$2:$I$62,2,1) &amp; " " &amp; VLOOKUP(VALUE(MID($C416,21,2)),[2]codigos!$K$2:$L$12,2,FALSE)</f>
        <v>A/T S/I</v>
      </c>
      <c r="F416" s="11" t="s">
        <v>539</v>
      </c>
      <c r="G416" s="11" t="s">
        <v>11</v>
      </c>
      <c r="H416" s="52" t="s">
        <v>1024</v>
      </c>
      <c r="I416" s="20" t="s">
        <v>1025</v>
      </c>
      <c r="J416" s="11">
        <v>180</v>
      </c>
      <c r="K416" s="11">
        <f>5+120+30+24+1</f>
        <v>180</v>
      </c>
      <c r="L416" s="11">
        <f t="shared" si="57"/>
        <v>0</v>
      </c>
      <c r="M416" s="134"/>
      <c r="N416" s="96">
        <v>46059</v>
      </c>
    </row>
    <row r="417" spans="1:14" x14ac:dyDescent="0.25">
      <c r="A417" s="11">
        <f t="shared" ca="1" si="55"/>
        <v>-81</v>
      </c>
      <c r="B417" s="37">
        <f t="shared" si="56"/>
        <v>30</v>
      </c>
      <c r="C417" s="11" t="s">
        <v>125</v>
      </c>
      <c r="D417" s="11" t="str">
        <f>VLOOKUP(VALUE(MID($C417,13,2)), [2]codigos!$A$2:$B$60, 2, 1) &amp; " " &amp; VLOOKUP(VALUE(MID($C417,15,4)), [2]codigos!$E$2:$F$102, 2, FALSE)</f>
        <v>POCILLO 14</v>
      </c>
      <c r="E417" s="11" t="str">
        <f>VLOOKUP(VALUE(MID($C417,19,2)),[2]codigos!$H$2:$I$62,2,1) &amp; " " &amp; VLOOKUP(VALUE(MID($C417,21,2)),[2]codigos!$K$2:$L$12,2,FALSE)</f>
        <v>BICOLOR AZUL S/I</v>
      </c>
      <c r="F417" s="11" t="s">
        <v>539</v>
      </c>
      <c r="G417" s="11" t="s">
        <v>11</v>
      </c>
      <c r="H417" s="52" t="s">
        <v>1024</v>
      </c>
      <c r="I417" s="20" t="s">
        <v>1025</v>
      </c>
      <c r="J417" s="11">
        <v>60</v>
      </c>
      <c r="K417" s="11">
        <f>19+4+1+36</f>
        <v>60</v>
      </c>
      <c r="L417" s="11">
        <f t="shared" si="57"/>
        <v>0</v>
      </c>
      <c r="M417" s="134"/>
      <c r="N417" s="96">
        <v>46059</v>
      </c>
    </row>
    <row r="418" spans="1:14" x14ac:dyDescent="0.25">
      <c r="A418" s="11">
        <f t="shared" ca="1" si="55"/>
        <v>-81</v>
      </c>
      <c r="B418" s="37">
        <f t="shared" si="56"/>
        <v>30</v>
      </c>
      <c r="C418" s="11" t="s">
        <v>129</v>
      </c>
      <c r="D418" s="11" t="str">
        <f>VLOOKUP(VALUE(MID($C418,13,2)), [2]codigos!$A$2:$B$60, 2, 1) &amp; " " &amp; VLOOKUP(VALUE(MID($C418,15,4)), [2]codigos!$E$2:$F$102, 2, FALSE)</f>
        <v>POCILLO 14</v>
      </c>
      <c r="E418" s="11" t="str">
        <f>VLOOKUP(VALUE(MID($C418,19,2)),[2]codigos!$H$2:$I$62,2,1) &amp; " " &amp; VLOOKUP(VALUE(MID($C418,21,2)),[2]codigos!$K$2:$L$12,2,FALSE)</f>
        <v>BICOLOR NARANJA S/I</v>
      </c>
      <c r="F418" s="11" t="s">
        <v>539</v>
      </c>
      <c r="G418" s="11" t="s">
        <v>11</v>
      </c>
      <c r="H418" s="52" t="s">
        <v>1024</v>
      </c>
      <c r="I418" s="20" t="s">
        <v>1025</v>
      </c>
      <c r="J418" s="11">
        <v>30</v>
      </c>
      <c r="K418" s="11">
        <v>30</v>
      </c>
      <c r="L418" s="11">
        <f t="shared" si="57"/>
        <v>0</v>
      </c>
      <c r="M418" s="134"/>
      <c r="N418" s="96">
        <v>46059</v>
      </c>
    </row>
    <row r="419" spans="1:14" x14ac:dyDescent="0.25">
      <c r="A419" s="11">
        <f t="shared" ca="1" si="55"/>
        <v>-81</v>
      </c>
      <c r="B419" s="37">
        <f t="shared" si="56"/>
        <v>30</v>
      </c>
      <c r="C419" s="11" t="s">
        <v>238</v>
      </c>
      <c r="D419" s="11" t="str">
        <f>VLOOKUP(VALUE(MID($C419,13,2)), [2]codigos!$A$2:$B$60, 2, 1) &amp; " " &amp; VLOOKUP(VALUE(MID($C419,15,4)), [2]codigos!$E$2:$F$102, 2, FALSE)</f>
        <v>OLLA RECTA 38</v>
      </c>
      <c r="E419" s="11" t="str">
        <f>VLOOKUP(VALUE(MID($C419,19,2)),[2]codigos!$H$2:$I$62,2,1) &amp; " " &amp; VLOOKUP(VALUE(MID($C419,21,2)),[2]codigos!$K$2:$L$12,2,FALSE)</f>
        <v>A/T S/I</v>
      </c>
      <c r="F419" s="11" t="s">
        <v>539</v>
      </c>
      <c r="G419" s="11" t="s">
        <v>11</v>
      </c>
      <c r="H419" s="52" t="s">
        <v>1024</v>
      </c>
      <c r="I419" s="20" t="s">
        <v>1025</v>
      </c>
      <c r="J419" s="11">
        <v>4</v>
      </c>
      <c r="K419" s="11">
        <v>4</v>
      </c>
      <c r="L419" s="11">
        <f t="shared" si="57"/>
        <v>0</v>
      </c>
      <c r="M419" s="134"/>
      <c r="N419" s="96">
        <v>46059</v>
      </c>
    </row>
    <row r="420" spans="1:14" x14ac:dyDescent="0.25">
      <c r="A420" s="11">
        <f t="shared" ca="1" si="55"/>
        <v>-81</v>
      </c>
      <c r="B420" s="37">
        <f t="shared" si="56"/>
        <v>30</v>
      </c>
      <c r="C420" s="11" t="s">
        <v>299</v>
      </c>
      <c r="D420" s="11" t="str">
        <f>VLOOKUP(VALUE(MID($C420,13,2)), [2]codigos!$A$2:$B$60, 2, 1) &amp; " " &amp; VLOOKUP(VALUE(MID($C420,15,4)), [2]codigos!$E$2:$F$102, 2, FALSE)</f>
        <v>POCILLO 8</v>
      </c>
      <c r="E420" s="11" t="str">
        <f>VLOOKUP(VALUE(MID($C420,19,2)),[2]codigos!$H$2:$I$62,2,1) &amp; " " &amp; VLOOKUP(VALUE(MID($C420,21,2)),[2]codigos!$K$2:$L$12,2,FALSE)</f>
        <v>BLANCO  NEGRO</v>
      </c>
      <c r="F420" s="11" t="s">
        <v>539</v>
      </c>
      <c r="G420" s="11" t="s">
        <v>11</v>
      </c>
      <c r="H420" s="52" t="s">
        <v>1026</v>
      </c>
      <c r="I420" s="20" t="s">
        <v>1025</v>
      </c>
      <c r="J420" s="11">
        <v>96</v>
      </c>
      <c r="K420" s="11">
        <f>24+72</f>
        <v>96</v>
      </c>
      <c r="L420" s="11">
        <f t="shared" si="57"/>
        <v>0</v>
      </c>
      <c r="M420" s="95">
        <f>(SUM(K420))/(SUM(J420))</f>
        <v>1</v>
      </c>
      <c r="N420" s="96">
        <v>46059</v>
      </c>
    </row>
    <row r="421" spans="1:14" x14ac:dyDescent="0.25">
      <c r="A421" s="11">
        <f t="shared" ref="A421:A430" ca="1" si="58">DAYS360($B$1,I421)</f>
        <v>-99</v>
      </c>
      <c r="B421" s="37">
        <f t="shared" ref="B421:B430" si="59">+N421-I421</f>
        <v>52</v>
      </c>
      <c r="C421" s="11" t="s">
        <v>206</v>
      </c>
      <c r="D421" s="11" t="str">
        <f>VLOOKUP(VALUE(MID($C421,13,2)), [2]codigos!$A$2:$B$60, 2, 1) &amp; " " &amp; VLOOKUP(VALUE(MID($C421,15,4)), [2]codigos!$E$2:$F$102, 2, FALSE)</f>
        <v>BAÑO 1</v>
      </c>
      <c r="E421" s="11" t="str">
        <f>VLOOKUP(VALUE(MID($C421,19,2)),[2]codigos!$H$2:$I$62,2,1) &amp; " " &amp; VLOOKUP(VALUE(MID($C421,21,2)),[2]codigos!$K$2:$L$12,2,FALSE)</f>
        <v>GALVANIZADO S/I</v>
      </c>
      <c r="F421" s="11" t="s">
        <v>509</v>
      </c>
      <c r="G421" s="11" t="s">
        <v>145</v>
      </c>
      <c r="H421" s="52" t="s">
        <v>950</v>
      </c>
      <c r="I421" s="20" t="s">
        <v>949</v>
      </c>
      <c r="J421" s="11">
        <v>10</v>
      </c>
      <c r="K421" s="11">
        <f>10-3+3</f>
        <v>10</v>
      </c>
      <c r="L421" s="11">
        <f t="shared" si="57"/>
        <v>0</v>
      </c>
      <c r="M421" s="134">
        <f>(SUM(K421:K430))/(SUM(J421:J430))</f>
        <v>0.70731707317073167</v>
      </c>
      <c r="N421" s="96">
        <v>46062</v>
      </c>
    </row>
    <row r="422" spans="1:14" x14ac:dyDescent="0.25">
      <c r="A422" s="11">
        <f t="shared" ca="1" si="58"/>
        <v>-99</v>
      </c>
      <c r="B422" s="37">
        <f t="shared" si="59"/>
        <v>52</v>
      </c>
      <c r="C422" s="11" t="s">
        <v>209</v>
      </c>
      <c r="D422" s="11" t="str">
        <f>VLOOKUP(VALUE(MID($C422,13,2)), [2]codigos!$A$2:$B$60, 2, 1) &amp; " " &amp; VLOOKUP(VALUE(MID($C422,15,4)), [2]codigos!$E$2:$F$102, 2, FALSE)</f>
        <v>BAÑO 2</v>
      </c>
      <c r="E422" s="11" t="str">
        <f>VLOOKUP(VALUE(MID($C422,19,2)),[2]codigos!$H$2:$I$62,2,1) &amp; " " &amp; VLOOKUP(VALUE(MID($C422,21,2)),[2]codigos!$K$2:$L$12,2,FALSE)</f>
        <v>GALVANIZADO S/I</v>
      </c>
      <c r="F422" s="11" t="s">
        <v>509</v>
      </c>
      <c r="G422" s="11" t="s">
        <v>145</v>
      </c>
      <c r="H422" s="52" t="s">
        <v>950</v>
      </c>
      <c r="I422" s="20" t="s">
        <v>949</v>
      </c>
      <c r="J422" s="11">
        <v>10</v>
      </c>
      <c r="K422" s="11">
        <v>10</v>
      </c>
      <c r="L422" s="11">
        <f t="shared" si="57"/>
        <v>0</v>
      </c>
      <c r="M422" s="134"/>
      <c r="N422" s="96">
        <v>46062</v>
      </c>
    </row>
    <row r="423" spans="1:14" x14ac:dyDescent="0.25">
      <c r="A423" s="11">
        <f t="shared" ca="1" si="58"/>
        <v>-99</v>
      </c>
      <c r="B423" s="37">
        <f t="shared" si="59"/>
        <v>52</v>
      </c>
      <c r="C423" s="11" t="s">
        <v>158</v>
      </c>
      <c r="D423" s="11" t="str">
        <f>VLOOKUP(VALUE(MID($C423,13,2)), [2]codigos!$A$2:$B$60, 2, 1) &amp; " " &amp; VLOOKUP(VALUE(MID($C423,15,4)), [2]codigos!$E$2:$F$102, 2, FALSE)</f>
        <v>BAÑO 3</v>
      </c>
      <c r="E423" s="11" t="str">
        <f>VLOOKUP(VALUE(MID($C423,19,2)),[2]codigos!$H$2:$I$62,2,1) &amp; " " &amp; VLOOKUP(VALUE(MID($C423,21,2)),[2]codigos!$K$2:$L$12,2,FALSE)</f>
        <v>GALVANIZADO S/I</v>
      </c>
      <c r="F423" s="11" t="s">
        <v>509</v>
      </c>
      <c r="G423" s="11" t="s">
        <v>145</v>
      </c>
      <c r="H423" s="52" t="s">
        <v>950</v>
      </c>
      <c r="I423" s="20" t="s">
        <v>949</v>
      </c>
      <c r="J423" s="11">
        <v>10</v>
      </c>
      <c r="K423" s="11">
        <v>10</v>
      </c>
      <c r="L423" s="11">
        <f t="shared" si="57"/>
        <v>0</v>
      </c>
      <c r="M423" s="134"/>
      <c r="N423" s="96">
        <v>46062</v>
      </c>
    </row>
    <row r="424" spans="1:14" x14ac:dyDescent="0.25">
      <c r="A424" s="11">
        <f t="shared" ca="1" si="58"/>
        <v>-99</v>
      </c>
      <c r="B424" s="37">
        <f t="shared" si="59"/>
        <v>52</v>
      </c>
      <c r="C424" s="64" t="s">
        <v>45</v>
      </c>
      <c r="D424" s="64" t="str">
        <f>VLOOKUP(VALUE(MID($C424,13,2)), [2]codigos!$A$2:$B$60, 2, 1) &amp; " " &amp; VLOOKUP(VALUE(MID($C424,15,4)), [2]codigos!$E$2:$F$102, 2, FALSE)</f>
        <v>BAÑO 4</v>
      </c>
      <c r="E424" s="64" t="str">
        <f>VLOOKUP(VALUE(MID($C424,19,2)),[2]codigos!$H$2:$I$62,2,1) &amp; " " &amp; VLOOKUP(VALUE(MID($C424,21,2)),[2]codigos!$K$2:$L$12,2,FALSE)</f>
        <v>GALVANIZADO S/I</v>
      </c>
      <c r="F424" s="64" t="s">
        <v>509</v>
      </c>
      <c r="G424" s="64" t="s">
        <v>145</v>
      </c>
      <c r="H424" s="66" t="s">
        <v>950</v>
      </c>
      <c r="I424" s="64" t="s">
        <v>949</v>
      </c>
      <c r="J424" s="64">
        <v>20</v>
      </c>
      <c r="K424" s="64">
        <v>0</v>
      </c>
      <c r="L424" s="64">
        <f t="shared" si="57"/>
        <v>20</v>
      </c>
      <c r="M424" s="134"/>
      <c r="N424" s="96">
        <v>46062</v>
      </c>
    </row>
    <row r="425" spans="1:14" x14ac:dyDescent="0.25">
      <c r="A425" s="11">
        <f t="shared" ca="1" si="58"/>
        <v>-99</v>
      </c>
      <c r="B425" s="37">
        <f t="shared" si="59"/>
        <v>52</v>
      </c>
      <c r="C425" s="11" t="s">
        <v>32</v>
      </c>
      <c r="D425" s="11" t="str">
        <f>VLOOKUP(VALUE(MID($C425,13,2)), [2]codigos!$A$2:$B$60, 2, 1) &amp; " " &amp; VLOOKUP(VALUE(MID($C425,15,4)), [2]codigos!$E$2:$F$102, 2, FALSE)</f>
        <v>BAÑO 5</v>
      </c>
      <c r="E425" s="11" t="str">
        <f>VLOOKUP(VALUE(MID($C425,19,2)),[2]codigos!$H$2:$I$62,2,1) &amp; " " &amp; VLOOKUP(VALUE(MID($C425,21,2)),[2]codigos!$K$2:$L$12,2,FALSE)</f>
        <v>GALVANIZADO S/I</v>
      </c>
      <c r="F425" s="11" t="s">
        <v>509</v>
      </c>
      <c r="G425" s="11" t="s">
        <v>145</v>
      </c>
      <c r="H425" s="52" t="s">
        <v>950</v>
      </c>
      <c r="I425" s="20" t="s">
        <v>949</v>
      </c>
      <c r="J425" s="11">
        <v>20</v>
      </c>
      <c r="K425" s="11">
        <v>20</v>
      </c>
      <c r="L425" s="11">
        <f t="shared" si="57"/>
        <v>0</v>
      </c>
      <c r="M425" s="134"/>
      <c r="N425" s="96">
        <v>46062</v>
      </c>
    </row>
    <row r="426" spans="1:14" x14ac:dyDescent="0.25">
      <c r="A426" s="11">
        <f t="shared" ca="1" si="58"/>
        <v>-99</v>
      </c>
      <c r="B426" s="37">
        <f t="shared" si="59"/>
        <v>52</v>
      </c>
      <c r="C426" s="11" t="s">
        <v>37</v>
      </c>
      <c r="D426" s="11" t="str">
        <f>VLOOKUP(VALUE(MID($C426,13,2)), [2]codigos!$A$2:$B$60, 2, 1) &amp; " " &amp; VLOOKUP(VALUE(MID($C426,15,4)), [2]codigos!$E$2:$F$102, 2, FALSE)</f>
        <v>BAÑO 6</v>
      </c>
      <c r="E426" s="11" t="str">
        <f>VLOOKUP(VALUE(MID($C426,19,2)),[2]codigos!$H$2:$I$62,2,1) &amp; " " &amp; VLOOKUP(VALUE(MID($C426,21,2)),[2]codigos!$K$2:$L$12,2,FALSE)</f>
        <v>GALVANIZADO S/I</v>
      </c>
      <c r="F426" s="11" t="s">
        <v>509</v>
      </c>
      <c r="G426" s="11" t="s">
        <v>145</v>
      </c>
      <c r="H426" s="52" t="s">
        <v>950</v>
      </c>
      <c r="I426" s="20" t="s">
        <v>949</v>
      </c>
      <c r="J426" s="11">
        <v>20</v>
      </c>
      <c r="K426" s="11">
        <f>11+9</f>
        <v>20</v>
      </c>
      <c r="L426" s="11">
        <f t="shared" si="57"/>
        <v>0</v>
      </c>
      <c r="M426" s="134"/>
      <c r="N426" s="96">
        <v>46062</v>
      </c>
    </row>
    <row r="427" spans="1:14" x14ac:dyDescent="0.25">
      <c r="A427" s="11">
        <f t="shared" ca="1" si="58"/>
        <v>-99</v>
      </c>
      <c r="B427" s="37">
        <f t="shared" si="59"/>
        <v>52</v>
      </c>
      <c r="C427" s="11" t="s">
        <v>416</v>
      </c>
      <c r="D427" s="11" t="str">
        <f>VLOOKUP(VALUE(MID($C427,13,2)), [2]codigos!$A$2:$B$60, 2, 1) &amp; " " &amp; VLOOKUP(VALUE(MID($C427,15,4)), [2]codigos!$E$2:$F$102, 2, FALSE)</f>
        <v>BAÑO 7</v>
      </c>
      <c r="E427" s="11" t="str">
        <f>VLOOKUP(VALUE(MID($C427,19,2)),[2]codigos!$H$2:$I$62,2,1) &amp; " " &amp; VLOOKUP(VALUE(MID($C427,21,2)),[2]codigos!$K$2:$L$12,2,FALSE)</f>
        <v>GALVANIZADO S/I</v>
      </c>
      <c r="F427" s="11" t="s">
        <v>509</v>
      </c>
      <c r="G427" s="11" t="s">
        <v>145</v>
      </c>
      <c r="H427" s="52" t="s">
        <v>950</v>
      </c>
      <c r="I427" s="20" t="s">
        <v>949</v>
      </c>
      <c r="J427" s="11">
        <v>20</v>
      </c>
      <c r="K427" s="11">
        <f>3+17</f>
        <v>20</v>
      </c>
      <c r="L427" s="11">
        <f t="shared" si="57"/>
        <v>0</v>
      </c>
      <c r="M427" s="134"/>
      <c r="N427" s="96">
        <v>46062</v>
      </c>
    </row>
    <row r="428" spans="1:14" x14ac:dyDescent="0.25">
      <c r="A428" s="11">
        <f t="shared" ca="1" si="58"/>
        <v>-99</v>
      </c>
      <c r="B428" s="37">
        <f t="shared" si="59"/>
        <v>52</v>
      </c>
      <c r="C428" s="11" t="s">
        <v>210</v>
      </c>
      <c r="D428" s="11" t="str">
        <f>VLOOKUP(VALUE(MID($C428,13,2)), [2]codigos!$A$2:$B$60, 2, 1) &amp; " " &amp; VLOOKUP(VALUE(MID($C428,15,4)), [2]codigos!$E$2:$F$102, 2, FALSE)</f>
        <v>BAÑO 8</v>
      </c>
      <c r="E428" s="11" t="str">
        <f>VLOOKUP(VALUE(MID($C428,19,2)),[2]codigos!$H$2:$I$62,2,1) &amp; " " &amp; VLOOKUP(VALUE(MID($C428,21,2)),[2]codigos!$K$2:$L$12,2,FALSE)</f>
        <v>GALVANIZADO S/I</v>
      </c>
      <c r="F428" s="11" t="s">
        <v>509</v>
      </c>
      <c r="G428" s="11" t="s">
        <v>145</v>
      </c>
      <c r="H428" s="52" t="s">
        <v>950</v>
      </c>
      <c r="I428" s="20" t="s">
        <v>949</v>
      </c>
      <c r="J428" s="11">
        <v>100</v>
      </c>
      <c r="K428" s="11">
        <v>100</v>
      </c>
      <c r="L428" s="11">
        <f t="shared" si="57"/>
        <v>0</v>
      </c>
      <c r="M428" s="134"/>
      <c r="N428" s="96">
        <v>46062</v>
      </c>
    </row>
    <row r="429" spans="1:14" x14ac:dyDescent="0.25">
      <c r="A429" s="11">
        <f t="shared" ca="1" si="58"/>
        <v>-99</v>
      </c>
      <c r="B429" s="37">
        <f t="shared" si="59"/>
        <v>52</v>
      </c>
      <c r="C429" s="64" t="s">
        <v>211</v>
      </c>
      <c r="D429" s="64" t="str">
        <f>VLOOKUP(VALUE(MID($C429,13,2)), [2]codigos!$A$2:$B$60, 2, 1) &amp; " " &amp; VLOOKUP(VALUE(MID($C429,15,4)), [2]codigos!$E$2:$F$102, 2, FALSE)</f>
        <v>BAÑO 10</v>
      </c>
      <c r="E429" s="64" t="str">
        <f>VLOOKUP(VALUE(MID($C429,19,2)),[2]codigos!$H$2:$I$62,2,1) &amp; " " &amp; VLOOKUP(VALUE(MID($C429,21,2)),[2]codigos!$K$2:$L$12,2,FALSE)</f>
        <v>GALVANIZADO S/I</v>
      </c>
      <c r="F429" s="64" t="s">
        <v>509</v>
      </c>
      <c r="G429" s="64" t="s">
        <v>145</v>
      </c>
      <c r="H429" s="66" t="s">
        <v>950</v>
      </c>
      <c r="I429" s="64" t="s">
        <v>949</v>
      </c>
      <c r="J429" s="64">
        <v>100</v>
      </c>
      <c r="K429" s="64">
        <v>0</v>
      </c>
      <c r="L429" s="64">
        <f t="shared" si="57"/>
        <v>100</v>
      </c>
      <c r="M429" s="134"/>
      <c r="N429" s="96">
        <v>46062</v>
      </c>
    </row>
    <row r="430" spans="1:14" x14ac:dyDescent="0.25">
      <c r="A430" s="11">
        <f t="shared" ca="1" si="58"/>
        <v>-99</v>
      </c>
      <c r="B430" s="37">
        <f t="shared" si="59"/>
        <v>52</v>
      </c>
      <c r="C430" s="11" t="s">
        <v>212</v>
      </c>
      <c r="D430" s="11" t="str">
        <f>VLOOKUP(VALUE(MID($C430,13,2)), [2]codigos!$A$2:$B$60, 2, 1) &amp; " " &amp; VLOOKUP(VALUE(MID($C430,15,4)), [2]codigos!$E$2:$F$102, 2, FALSE)</f>
        <v>BAÑO 12</v>
      </c>
      <c r="E430" s="11" t="str">
        <f>VLOOKUP(VALUE(MID($C430,19,2)),[2]codigos!$H$2:$I$62,2,1) &amp; " " &amp; VLOOKUP(VALUE(MID($C430,21,2)),[2]codigos!$K$2:$L$12,2,FALSE)</f>
        <v>GALVANIZADO S/I</v>
      </c>
      <c r="F430" s="11" t="s">
        <v>509</v>
      </c>
      <c r="G430" s="11" t="s">
        <v>145</v>
      </c>
      <c r="H430" s="52" t="s">
        <v>950</v>
      </c>
      <c r="I430" s="20" t="s">
        <v>949</v>
      </c>
      <c r="J430" s="11">
        <v>100</v>
      </c>
      <c r="K430" s="11">
        <f>12+12+76</f>
        <v>100</v>
      </c>
      <c r="L430" s="11">
        <f t="shared" si="57"/>
        <v>0</v>
      </c>
      <c r="M430" s="134"/>
      <c r="N430" s="96">
        <v>46062</v>
      </c>
    </row>
    <row r="431" spans="1:14" x14ac:dyDescent="0.25">
      <c r="A431" s="11">
        <f t="shared" ref="A431:A436" ca="1" si="60">DAYS360($B$1,I431)</f>
        <v>-142</v>
      </c>
      <c r="B431" s="37">
        <f t="shared" ref="B431:B436" si="61">+N431-I431</f>
        <v>95</v>
      </c>
      <c r="C431" s="11" t="s">
        <v>169</v>
      </c>
      <c r="D431" s="11" t="s">
        <v>897</v>
      </c>
      <c r="E431" s="11" t="s">
        <v>896</v>
      </c>
      <c r="F431" s="11" t="s">
        <v>976</v>
      </c>
      <c r="G431" s="11" t="s">
        <v>34</v>
      </c>
      <c r="H431" s="52" t="s">
        <v>977</v>
      </c>
      <c r="I431" s="20" t="s">
        <v>978</v>
      </c>
      <c r="J431" s="11">
        <v>8</v>
      </c>
      <c r="K431" s="11">
        <v>8</v>
      </c>
      <c r="L431" s="11">
        <v>0</v>
      </c>
      <c r="M431" s="134">
        <v>1</v>
      </c>
      <c r="N431" s="96">
        <v>46062</v>
      </c>
    </row>
    <row r="432" spans="1:14" x14ac:dyDescent="0.25">
      <c r="A432" s="11">
        <f t="shared" ca="1" si="60"/>
        <v>-142</v>
      </c>
      <c r="B432" s="37">
        <f t="shared" si="61"/>
        <v>95</v>
      </c>
      <c r="C432" s="11" t="s">
        <v>38</v>
      </c>
      <c r="D432" s="11" t="s">
        <v>1328</v>
      </c>
      <c r="E432" s="11" t="s">
        <v>896</v>
      </c>
      <c r="F432" s="11" t="s">
        <v>976</v>
      </c>
      <c r="G432" s="11" t="s">
        <v>34</v>
      </c>
      <c r="H432" s="52" t="s">
        <v>977</v>
      </c>
      <c r="I432" s="20" t="s">
        <v>978</v>
      </c>
      <c r="J432" s="11">
        <v>20</v>
      </c>
      <c r="K432" s="11">
        <v>20</v>
      </c>
      <c r="L432" s="11">
        <v>0</v>
      </c>
      <c r="M432" s="134"/>
      <c r="N432" s="96">
        <v>46062</v>
      </c>
    </row>
    <row r="433" spans="1:14" x14ac:dyDescent="0.25">
      <c r="A433" s="11">
        <f t="shared" ca="1" si="60"/>
        <v>-72</v>
      </c>
      <c r="B433" s="37">
        <f t="shared" si="61"/>
        <v>24</v>
      </c>
      <c r="C433" s="11" t="s">
        <v>169</v>
      </c>
      <c r="D433" s="11" t="s">
        <v>897</v>
      </c>
      <c r="E433" s="11" t="s">
        <v>896</v>
      </c>
      <c r="F433" s="11" t="s">
        <v>976</v>
      </c>
      <c r="G433" s="11" t="s">
        <v>11</v>
      </c>
      <c r="H433" s="11" t="s">
        <v>1069</v>
      </c>
      <c r="I433" s="11" t="s">
        <v>1064</v>
      </c>
      <c r="J433" s="25">
        <v>40</v>
      </c>
      <c r="K433" s="25">
        <v>40</v>
      </c>
      <c r="L433" s="15">
        <v>0</v>
      </c>
      <c r="M433" s="131">
        <v>1</v>
      </c>
      <c r="N433" s="96">
        <v>46062</v>
      </c>
    </row>
    <row r="434" spans="1:14" x14ac:dyDescent="0.25">
      <c r="A434" s="11">
        <f t="shared" ca="1" si="60"/>
        <v>-72</v>
      </c>
      <c r="B434" s="37">
        <f t="shared" si="61"/>
        <v>24</v>
      </c>
      <c r="C434" s="11" t="s">
        <v>242</v>
      </c>
      <c r="D434" s="11" t="s">
        <v>1329</v>
      </c>
      <c r="E434" s="11" t="s">
        <v>937</v>
      </c>
      <c r="F434" s="11" t="s">
        <v>976</v>
      </c>
      <c r="G434" s="11" t="s">
        <v>11</v>
      </c>
      <c r="H434" s="11" t="s">
        <v>1069</v>
      </c>
      <c r="I434" s="11" t="s">
        <v>1064</v>
      </c>
      <c r="J434" s="25">
        <v>360</v>
      </c>
      <c r="K434" s="25">
        <v>360</v>
      </c>
      <c r="L434" s="15">
        <v>0</v>
      </c>
      <c r="M434" s="131"/>
      <c r="N434" s="96">
        <v>46062</v>
      </c>
    </row>
    <row r="435" spans="1:14" x14ac:dyDescent="0.25">
      <c r="A435" s="11">
        <f t="shared" ca="1" si="60"/>
        <v>-72</v>
      </c>
      <c r="B435" s="37">
        <f t="shared" si="61"/>
        <v>24</v>
      </c>
      <c r="C435" s="11" t="s">
        <v>149</v>
      </c>
      <c r="D435" s="11" t="s">
        <v>1117</v>
      </c>
      <c r="E435" s="11" t="s">
        <v>937</v>
      </c>
      <c r="F435" s="11" t="s">
        <v>976</v>
      </c>
      <c r="G435" s="11" t="s">
        <v>11</v>
      </c>
      <c r="H435" s="11" t="s">
        <v>1069</v>
      </c>
      <c r="I435" s="11" t="s">
        <v>1064</v>
      </c>
      <c r="J435" s="25">
        <v>240</v>
      </c>
      <c r="K435" s="25">
        <v>240</v>
      </c>
      <c r="L435" s="15">
        <v>0</v>
      </c>
      <c r="M435" s="131"/>
      <c r="N435" s="96">
        <v>46062</v>
      </c>
    </row>
    <row r="436" spans="1:14" x14ac:dyDescent="0.25">
      <c r="A436" s="11">
        <f t="shared" ca="1" si="60"/>
        <v>-72</v>
      </c>
      <c r="B436" s="37">
        <f t="shared" si="61"/>
        <v>24</v>
      </c>
      <c r="C436" s="11" t="s">
        <v>344</v>
      </c>
      <c r="D436" s="11" t="s">
        <v>1330</v>
      </c>
      <c r="E436" s="11" t="s">
        <v>937</v>
      </c>
      <c r="F436" s="11" t="s">
        <v>976</v>
      </c>
      <c r="G436" s="11" t="s">
        <v>11</v>
      </c>
      <c r="H436" s="11" t="s">
        <v>1069</v>
      </c>
      <c r="I436" s="11" t="s">
        <v>1064</v>
      </c>
      <c r="J436" s="25">
        <v>240</v>
      </c>
      <c r="K436" s="25">
        <v>240</v>
      </c>
      <c r="L436" s="15">
        <v>0</v>
      </c>
      <c r="M436" s="131"/>
      <c r="N436" s="96">
        <v>46062</v>
      </c>
    </row>
    <row r="437" spans="1:14" x14ac:dyDescent="0.25">
      <c r="A437" s="11">
        <f t="shared" ref="A437:A447" ca="1" si="62">DAYS360($B$1,I437)</f>
        <v>-62</v>
      </c>
      <c r="B437" s="37">
        <f t="shared" ref="B437:B447" si="63">+N437-I437</f>
        <v>14</v>
      </c>
      <c r="C437" s="11" t="s">
        <v>148</v>
      </c>
      <c r="D437" s="11" t="str">
        <f>VLOOKUP(VALUE(MID($C437,13,2)), codigos!$A$2:$B$60, 2, 1) &amp; " " &amp; VLOOKUP(VALUE(MID($C437,15,4)), codigos!$E$2:$F$102, 2, FALSE)</f>
        <v>BUDINERA 26</v>
      </c>
      <c r="E437" s="11" t="str">
        <f>VLOOKUP(VALUE(MID($C437,19,2)),codigos!$H$2:$I$62,2,1) &amp; " " &amp; VLOOKUP(VALUE(MID($C437,21,2)),codigos!$K$2:$L$12,2,FALSE)</f>
        <v>A/T S/I</v>
      </c>
      <c r="F437" s="11" t="s">
        <v>1283</v>
      </c>
      <c r="G437" s="11" t="s">
        <v>11</v>
      </c>
      <c r="H437" s="11" t="s">
        <v>1282</v>
      </c>
      <c r="I437" s="11" t="s">
        <v>1280</v>
      </c>
      <c r="J437" s="25">
        <v>24</v>
      </c>
      <c r="K437" s="25">
        <v>0</v>
      </c>
      <c r="L437" s="15">
        <f t="shared" ref="L437:L450" si="64">+J437-K437</f>
        <v>24</v>
      </c>
      <c r="M437" s="131">
        <f>(SUM(K437:K443))/(SUM(J437:J443))</f>
        <v>0.375</v>
      </c>
      <c r="N437" s="96">
        <v>46062</v>
      </c>
    </row>
    <row r="438" spans="1:14" x14ac:dyDescent="0.25">
      <c r="A438" s="11">
        <f t="shared" ca="1" si="62"/>
        <v>-62</v>
      </c>
      <c r="B438" s="37">
        <f t="shared" si="63"/>
        <v>14</v>
      </c>
      <c r="C438" s="11" t="s">
        <v>169</v>
      </c>
      <c r="D438" s="11" t="str">
        <f>VLOOKUP(VALUE(MID($C438,13,2)), codigos!$A$2:$B$60, 2, 1) &amp; " " &amp; VLOOKUP(VALUE(MID($C438,15,4)), codigos!$E$2:$F$102, 2, FALSE)</f>
        <v>BUDINERA 30</v>
      </c>
      <c r="E438" s="11" t="str">
        <f>VLOOKUP(VALUE(MID($C438,19,2)),codigos!$H$2:$I$62,2,1) &amp; " " &amp; VLOOKUP(VALUE(MID($C438,21,2)),codigos!$K$2:$L$12,2,FALSE)</f>
        <v>A/T S/I</v>
      </c>
      <c r="F438" s="11" t="s">
        <v>1283</v>
      </c>
      <c r="G438" s="11" t="s">
        <v>11</v>
      </c>
      <c r="H438" s="11" t="s">
        <v>1282</v>
      </c>
      <c r="I438" s="11" t="s">
        <v>1280</v>
      </c>
      <c r="J438" s="25">
        <v>20</v>
      </c>
      <c r="K438" s="25">
        <v>0</v>
      </c>
      <c r="L438" s="15">
        <f t="shared" si="64"/>
        <v>20</v>
      </c>
      <c r="M438" s="131"/>
      <c r="N438" s="96">
        <v>46062</v>
      </c>
    </row>
    <row r="439" spans="1:14" x14ac:dyDescent="0.25">
      <c r="A439" s="11">
        <f t="shared" ca="1" si="62"/>
        <v>-62</v>
      </c>
      <c r="B439" s="37">
        <f t="shared" si="63"/>
        <v>14</v>
      </c>
      <c r="C439" s="11" t="s">
        <v>149</v>
      </c>
      <c r="D439" s="11" t="str">
        <f>VLOOKUP(VALUE(MID($C439,13,2)), codigos!$A$2:$B$60, 2, 1) &amp; " " &amp; VLOOKUP(VALUE(MID($C439,15,4)), codigos!$E$2:$F$102, 2, FALSE)</f>
        <v>COMAL 28</v>
      </c>
      <c r="E439" s="11" t="str">
        <f>VLOOKUP(VALUE(MID($C439,19,2)),codigos!$H$2:$I$62,2,1) &amp; " " &amp; VLOOKUP(VALUE(MID($C439,21,2)),codigos!$K$2:$L$12,2,FALSE)</f>
        <v>NEGRO MOTAS S/I</v>
      </c>
      <c r="F439" s="11" t="s">
        <v>1283</v>
      </c>
      <c r="G439" s="11" t="s">
        <v>11</v>
      </c>
      <c r="H439" s="11" t="s">
        <v>1282</v>
      </c>
      <c r="I439" s="11" t="s">
        <v>1280</v>
      </c>
      <c r="J439" s="25">
        <v>12</v>
      </c>
      <c r="K439" s="25">
        <f>6+6</f>
        <v>12</v>
      </c>
      <c r="L439" s="15">
        <f t="shared" si="64"/>
        <v>0</v>
      </c>
      <c r="M439" s="131"/>
      <c r="N439" s="96">
        <v>46062</v>
      </c>
    </row>
    <row r="440" spans="1:14" x14ac:dyDescent="0.25">
      <c r="A440" s="11">
        <f t="shared" ca="1" si="62"/>
        <v>-62</v>
      </c>
      <c r="B440" s="37">
        <f t="shared" si="63"/>
        <v>14</v>
      </c>
      <c r="C440" s="11" t="s">
        <v>344</v>
      </c>
      <c r="D440" s="11" t="str">
        <f>VLOOKUP(VALUE(MID($C440,13,2)), codigos!$A$2:$B$60, 2, 1) &amp; " " &amp; VLOOKUP(VALUE(MID($C440,15,4)), codigos!$E$2:$F$102, 2, FALSE)</f>
        <v>COMAL 36</v>
      </c>
      <c r="E440" s="11" t="str">
        <f>VLOOKUP(VALUE(MID($C440,19,2)),codigos!$H$2:$I$62,2,1) &amp; " " &amp; VLOOKUP(VALUE(MID($C440,21,2)),codigos!$K$2:$L$12,2,FALSE)</f>
        <v>NEGRO MOTAS S/I</v>
      </c>
      <c r="F440" s="11" t="s">
        <v>1283</v>
      </c>
      <c r="G440" s="11" t="s">
        <v>11</v>
      </c>
      <c r="H440" s="11" t="s">
        <v>1282</v>
      </c>
      <c r="I440" s="11" t="s">
        <v>1280</v>
      </c>
      <c r="J440" s="25">
        <v>24</v>
      </c>
      <c r="K440" s="25">
        <v>0</v>
      </c>
      <c r="L440" s="15">
        <f t="shared" si="64"/>
        <v>24</v>
      </c>
      <c r="M440" s="131"/>
      <c r="N440" s="96">
        <v>46062</v>
      </c>
    </row>
    <row r="441" spans="1:14" x14ac:dyDescent="0.25">
      <c r="A441" s="11">
        <f t="shared" ca="1" si="62"/>
        <v>-62</v>
      </c>
      <c r="B441" s="37">
        <f t="shared" si="63"/>
        <v>14</v>
      </c>
      <c r="C441" s="11" t="s">
        <v>43</v>
      </c>
      <c r="D441" s="11" t="str">
        <f>VLOOKUP(VALUE(MID($C441,13,2)), codigos!$A$2:$B$60, 2, 1) &amp; " " &amp; VLOOKUP(VALUE(MID($C441,15,4)), codigos!$E$2:$F$102, 2, FALSE)</f>
        <v>OLLA CONVEXA 22</v>
      </c>
      <c r="E441" s="11" t="str">
        <f>VLOOKUP(VALUE(MID($C441,19,2)),codigos!$H$2:$I$62,2,1) &amp; " " &amp; VLOOKUP(VALUE(MID($C441,21,2)),codigos!$K$2:$L$12,2,FALSE)</f>
        <v>A/T S/I</v>
      </c>
      <c r="F441" s="11" t="s">
        <v>1283</v>
      </c>
      <c r="G441" s="11" t="s">
        <v>11</v>
      </c>
      <c r="H441" s="11" t="s">
        <v>1282</v>
      </c>
      <c r="I441" s="11" t="s">
        <v>1280</v>
      </c>
      <c r="J441" s="25">
        <v>12</v>
      </c>
      <c r="K441" s="25">
        <v>0</v>
      </c>
      <c r="L441" s="15">
        <f t="shared" si="64"/>
        <v>12</v>
      </c>
      <c r="M441" s="131"/>
      <c r="N441" s="96">
        <v>46062</v>
      </c>
    </row>
    <row r="442" spans="1:14" x14ac:dyDescent="0.25">
      <c r="A442" s="11">
        <f t="shared" ca="1" si="62"/>
        <v>-62</v>
      </c>
      <c r="B442" s="37">
        <f t="shared" si="63"/>
        <v>14</v>
      </c>
      <c r="C442" s="11" t="s">
        <v>152</v>
      </c>
      <c r="D442" s="11" t="str">
        <f>VLOOKUP(VALUE(MID($C442,13,2)), codigos!$A$2:$B$60, 2, 1) &amp; " " &amp; VLOOKUP(VALUE(MID($C442,15,4)), codigos!$E$2:$F$102, 2, FALSE)</f>
        <v>OLLA CONVEXA 24</v>
      </c>
      <c r="E442" s="11" t="str">
        <f>VLOOKUP(VALUE(MID($C442,19,2)),codigos!$H$2:$I$62,2,1) &amp; " " &amp; VLOOKUP(VALUE(MID($C442,21,2)),codigos!$K$2:$L$12,2,FALSE)</f>
        <v>A/T S/I</v>
      </c>
      <c r="F442" s="11" t="s">
        <v>1283</v>
      </c>
      <c r="G442" s="11" t="s">
        <v>11</v>
      </c>
      <c r="H442" s="11" t="s">
        <v>1282</v>
      </c>
      <c r="I442" s="11" t="s">
        <v>1280</v>
      </c>
      <c r="J442" s="25">
        <v>18</v>
      </c>
      <c r="K442" s="25">
        <v>18</v>
      </c>
      <c r="L442" s="15">
        <f t="shared" si="64"/>
        <v>0</v>
      </c>
      <c r="M442" s="131"/>
      <c r="N442" s="96">
        <v>46062</v>
      </c>
    </row>
    <row r="443" spans="1:14" x14ac:dyDescent="0.25">
      <c r="A443" s="11">
        <f t="shared" ca="1" si="62"/>
        <v>-62</v>
      </c>
      <c r="B443" s="37">
        <f t="shared" si="63"/>
        <v>14</v>
      </c>
      <c r="C443" s="11" t="s">
        <v>153</v>
      </c>
      <c r="D443" s="11" t="str">
        <f>VLOOKUP(VALUE(MID($C443,13,2)), codigos!$A$2:$B$60, 2, 1) &amp; " " &amp; VLOOKUP(VALUE(MID($C443,15,4)), codigos!$E$2:$F$102, 2, FALSE)</f>
        <v>OLLA CONVEXA 26</v>
      </c>
      <c r="E443" s="11" t="str">
        <f>VLOOKUP(VALUE(MID($C443,19,2)),codigos!$H$2:$I$62,2,1) &amp; " " &amp; VLOOKUP(VALUE(MID($C443,21,2)),codigos!$K$2:$L$12,2,FALSE)</f>
        <v>A/T S/I</v>
      </c>
      <c r="F443" s="11" t="s">
        <v>1283</v>
      </c>
      <c r="G443" s="11" t="s">
        <v>11</v>
      </c>
      <c r="H443" s="11" t="s">
        <v>1282</v>
      </c>
      <c r="I443" s="11" t="s">
        <v>1280</v>
      </c>
      <c r="J443" s="25">
        <v>18</v>
      </c>
      <c r="K443" s="25">
        <v>18</v>
      </c>
      <c r="L443" s="15">
        <f t="shared" si="64"/>
        <v>0</v>
      </c>
      <c r="M443" s="131"/>
      <c r="N443" s="96">
        <v>46062</v>
      </c>
    </row>
    <row r="444" spans="1:14" x14ac:dyDescent="0.25">
      <c r="A444" s="11">
        <f t="shared" ca="1" si="62"/>
        <v>-62</v>
      </c>
      <c r="B444" s="37">
        <f t="shared" si="63"/>
        <v>14</v>
      </c>
      <c r="C444" s="11" t="s">
        <v>211</v>
      </c>
      <c r="D444" s="11" t="str">
        <f>VLOOKUP(VALUE(MID($C444,13,2)), codigos!$A$2:$B$60, 2, 1) &amp; " " &amp; VLOOKUP(VALUE(MID($C444,15,4)), codigos!$E$2:$F$102, 2, FALSE)</f>
        <v>BAÑO 10</v>
      </c>
      <c r="E444" s="11" t="str">
        <f>VLOOKUP(VALUE(MID($C444,19,2)),codigos!$H$2:$I$62,2,1) &amp; " " &amp; VLOOKUP(VALUE(MID($C444,21,2)),codigos!$K$2:$L$12,2,FALSE)</f>
        <v>GALVANIZADO S/I</v>
      </c>
      <c r="F444" s="11" t="s">
        <v>1283</v>
      </c>
      <c r="G444" s="11" t="s">
        <v>11</v>
      </c>
      <c r="H444" s="11" t="s">
        <v>1284</v>
      </c>
      <c r="I444" s="11" t="s">
        <v>1280</v>
      </c>
      <c r="J444" s="25">
        <v>15</v>
      </c>
      <c r="K444" s="25">
        <v>0</v>
      </c>
      <c r="L444" s="15">
        <f t="shared" si="64"/>
        <v>15</v>
      </c>
      <c r="M444" s="131">
        <f>(SUM(K444:K445))/(SUM(J444:J445))</f>
        <v>0.66666666666666663</v>
      </c>
      <c r="N444" s="96">
        <v>46062</v>
      </c>
    </row>
    <row r="445" spans="1:14" x14ac:dyDescent="0.25">
      <c r="A445" s="11">
        <f t="shared" ca="1" si="62"/>
        <v>-62</v>
      </c>
      <c r="B445" s="37">
        <f t="shared" si="63"/>
        <v>14</v>
      </c>
      <c r="C445" s="11" t="s">
        <v>212</v>
      </c>
      <c r="D445" s="11" t="str">
        <f>VLOOKUP(VALUE(MID($C445,13,2)), codigos!$A$2:$B$60, 2, 1) &amp; " " &amp; VLOOKUP(VALUE(MID($C445,15,4)), codigos!$E$2:$F$102, 2, FALSE)</f>
        <v>BAÑO 12</v>
      </c>
      <c r="E445" s="11" t="str">
        <f>VLOOKUP(VALUE(MID($C445,19,2)),codigos!$H$2:$I$62,2,1) &amp; " " &amp; VLOOKUP(VALUE(MID($C445,21,2)),codigos!$K$2:$L$12,2,FALSE)</f>
        <v>GALVANIZADO S/I</v>
      </c>
      <c r="F445" s="11" t="s">
        <v>1283</v>
      </c>
      <c r="G445" s="11" t="s">
        <v>11</v>
      </c>
      <c r="H445" s="11" t="s">
        <v>1284</v>
      </c>
      <c r="I445" s="11" t="s">
        <v>1280</v>
      </c>
      <c r="J445" s="25">
        <v>30</v>
      </c>
      <c r="K445" s="25">
        <v>30</v>
      </c>
      <c r="L445" s="15">
        <f t="shared" si="64"/>
        <v>0</v>
      </c>
      <c r="M445" s="131"/>
      <c r="N445" s="96">
        <v>46062</v>
      </c>
    </row>
    <row r="446" spans="1:14" x14ac:dyDescent="0.25">
      <c r="A446" s="11">
        <f t="shared" ca="1" si="62"/>
        <v>-66</v>
      </c>
      <c r="B446" s="37">
        <f t="shared" si="63"/>
        <v>18</v>
      </c>
      <c r="C446" s="11" t="s">
        <v>211</v>
      </c>
      <c r="D446" s="11" t="str">
        <f>VLOOKUP(VALUE(MID($C446,13,2)), codigos!$A$2:$B$60, 2, 1) &amp; " " &amp; VLOOKUP(VALUE(MID($C446,15,4)), codigos!$E$2:$F$102, 2, FALSE)</f>
        <v>BAÑO 10</v>
      </c>
      <c r="E446" s="11" t="str">
        <f>VLOOKUP(VALUE(MID($C446,19,2)),codigos!$H$2:$I$62,2,1) &amp; " " &amp; VLOOKUP(VALUE(MID($C446,21,2)),codigos!$K$2:$L$12,2,FALSE)</f>
        <v>GALVANIZADO S/I</v>
      </c>
      <c r="F446" s="11" t="s">
        <v>597</v>
      </c>
      <c r="G446" s="11" t="s">
        <v>11</v>
      </c>
      <c r="H446" s="11" t="s">
        <v>1266</v>
      </c>
      <c r="I446" s="11" t="s">
        <v>1263</v>
      </c>
      <c r="J446" s="25">
        <v>30</v>
      </c>
      <c r="K446" s="25">
        <v>0</v>
      </c>
      <c r="L446" s="15">
        <f t="shared" si="64"/>
        <v>30</v>
      </c>
      <c r="M446" s="131">
        <f>(SUM(K446:K447))/(SUM(J446:J447))</f>
        <v>0.41666666666666669</v>
      </c>
      <c r="N446" s="96">
        <v>46062</v>
      </c>
    </row>
    <row r="447" spans="1:14" x14ac:dyDescent="0.25">
      <c r="A447" s="11">
        <f t="shared" ca="1" si="62"/>
        <v>-66</v>
      </c>
      <c r="B447" s="37">
        <f t="shared" si="63"/>
        <v>18</v>
      </c>
      <c r="C447" s="11" t="s">
        <v>212</v>
      </c>
      <c r="D447" s="11" t="str">
        <f>VLOOKUP(VALUE(MID($C447,13,2)), codigos!$A$2:$B$60, 2, 1) &amp; " " &amp; VLOOKUP(VALUE(MID($C447,15,4)), codigos!$E$2:$F$102, 2, FALSE)</f>
        <v>BAÑO 12</v>
      </c>
      <c r="E447" s="11" t="str">
        <f>VLOOKUP(VALUE(MID($C447,19,2)),codigos!$H$2:$I$62,2,1) &amp; " " &amp; VLOOKUP(VALUE(MID($C447,21,2)),codigos!$K$2:$L$12,2,FALSE)</f>
        <v>GALVANIZADO S/I</v>
      </c>
      <c r="F447" s="11" t="s">
        <v>597</v>
      </c>
      <c r="G447" s="11" t="s">
        <v>11</v>
      </c>
      <c r="H447" s="11" t="s">
        <v>1266</v>
      </c>
      <c r="I447" s="11" t="s">
        <v>1263</v>
      </c>
      <c r="J447" s="25">
        <v>30</v>
      </c>
      <c r="K447" s="25">
        <v>25</v>
      </c>
      <c r="L447" s="15">
        <f t="shared" si="64"/>
        <v>5</v>
      </c>
      <c r="M447" s="131"/>
      <c r="N447" s="96">
        <v>46062</v>
      </c>
    </row>
    <row r="448" spans="1:14" x14ac:dyDescent="0.25">
      <c r="A448" s="11">
        <f t="shared" ref="A448:A455" ca="1" si="65">DAYS360($B$1,I448)</f>
        <v>-259</v>
      </c>
      <c r="B448" s="37">
        <f t="shared" ref="B448:B455" si="66">+N448-I448</f>
        <v>215</v>
      </c>
      <c r="C448" s="11" t="s">
        <v>831</v>
      </c>
      <c r="D448" s="11" t="str">
        <f>VLOOKUP(VALUE(MID($C448,13,2)), codigos!$A$2:$B$60, 2, 1) &amp; " " &amp; VLOOKUP(VALUE(MID($C448,15,4)), codigos!$E$2:$F$102, 2, FALSE)</f>
        <v>TORTILLERO  18</v>
      </c>
      <c r="E448" s="11" t="str">
        <f>VLOOKUP(VALUE(MID($C448,19,2)),codigos!$H$2:$I$62,2,1) &amp; " " &amp; VLOOKUP(VALUE(MID($C448,21,2)),codigos!$K$2:$L$12,2,FALSE)</f>
        <v>COBALTO S/I</v>
      </c>
      <c r="F448" s="11" t="s">
        <v>832</v>
      </c>
      <c r="G448" s="11" t="s">
        <v>16</v>
      </c>
      <c r="H448" s="52" t="s">
        <v>833</v>
      </c>
      <c r="I448" s="20" t="s">
        <v>834</v>
      </c>
      <c r="J448" s="11">
        <v>102</v>
      </c>
      <c r="K448" s="11">
        <f>42+6+30+6+2+16</f>
        <v>102</v>
      </c>
      <c r="L448" s="11">
        <f t="shared" si="64"/>
        <v>0</v>
      </c>
      <c r="M448" s="24"/>
      <c r="N448" s="96">
        <v>46062</v>
      </c>
    </row>
    <row r="449" spans="1:14" x14ac:dyDescent="0.25">
      <c r="A449" s="11">
        <f t="shared" ca="1" si="65"/>
        <v>-259</v>
      </c>
      <c r="B449" s="37">
        <f t="shared" si="66"/>
        <v>215</v>
      </c>
      <c r="C449" s="11" t="s">
        <v>307</v>
      </c>
      <c r="D449" s="11" t="str">
        <f>VLOOKUP(VALUE(MID($C449,13,2)), codigos!$A$2:$B$60, 2, 1) &amp; " " &amp; VLOOKUP(VALUE(MID($C449,15,4)), codigos!$E$2:$F$102, 2, FALSE)</f>
        <v>TORTILLERO  18</v>
      </c>
      <c r="E449" s="11" t="str">
        <f>VLOOKUP(VALUE(MID($C449,19,2)),codigos!$H$2:$I$62,2,1) &amp; " " &amp; VLOOKUP(VALUE(MID($C449,21,2)),codigos!$K$2:$L$12,2,FALSE)</f>
        <v>NEGRO S/I</v>
      </c>
      <c r="F449" s="11" t="s">
        <v>832</v>
      </c>
      <c r="G449" s="11" t="s">
        <v>16</v>
      </c>
      <c r="H449" s="52" t="s">
        <v>833</v>
      </c>
      <c r="I449" s="20" t="s">
        <v>834</v>
      </c>
      <c r="J449" s="11">
        <v>102</v>
      </c>
      <c r="K449" s="11">
        <f>60+42</f>
        <v>102</v>
      </c>
      <c r="L449" s="11">
        <f t="shared" si="64"/>
        <v>0</v>
      </c>
      <c r="M449" s="24"/>
      <c r="N449" s="96">
        <v>46062</v>
      </c>
    </row>
    <row r="450" spans="1:14" x14ac:dyDescent="0.25">
      <c r="A450" s="11">
        <f t="shared" ca="1" si="65"/>
        <v>-259</v>
      </c>
      <c r="B450" s="37">
        <f t="shared" si="66"/>
        <v>215</v>
      </c>
      <c r="C450" s="11" t="s">
        <v>23</v>
      </c>
      <c r="D450" s="11" t="str">
        <f>VLOOKUP(VALUE(MID($C450,13,2)), codigos!$A$2:$B$60, 2, 1) &amp; " " &amp; VLOOKUP(VALUE(MID($C450,15,4)), codigos!$E$2:$F$102, 2, FALSE)</f>
        <v>TORTILLERO  18</v>
      </c>
      <c r="E450" s="11" t="str">
        <f>VLOOKUP(VALUE(MID($C450,19,2)),codigos!$H$2:$I$62,2,1) &amp; " " &amp; VLOOKUP(VALUE(MID($C450,21,2)),codigos!$K$2:$L$12,2,FALSE)</f>
        <v>ROJO S/I</v>
      </c>
      <c r="F450" s="11" t="s">
        <v>832</v>
      </c>
      <c r="G450" s="11" t="s">
        <v>16</v>
      </c>
      <c r="H450" s="52" t="s">
        <v>833</v>
      </c>
      <c r="I450" s="20" t="s">
        <v>834</v>
      </c>
      <c r="J450" s="11">
        <v>102</v>
      </c>
      <c r="K450" s="11">
        <f>1+6+72+18+5</f>
        <v>102</v>
      </c>
      <c r="L450" s="11">
        <f t="shared" si="64"/>
        <v>0</v>
      </c>
      <c r="M450" s="17">
        <f>(SUM(K448:K450))/(SUM(J448:J450))</f>
        <v>1</v>
      </c>
      <c r="N450" s="96">
        <v>46062</v>
      </c>
    </row>
    <row r="451" spans="1:14" x14ac:dyDescent="0.25">
      <c r="A451" s="11">
        <f t="shared" ca="1" si="65"/>
        <v>-141</v>
      </c>
      <c r="B451" s="37">
        <f t="shared" si="66"/>
        <v>94</v>
      </c>
      <c r="C451" s="11" t="s">
        <v>66</v>
      </c>
      <c r="D451" s="11" t="s">
        <v>1331</v>
      </c>
      <c r="E451" s="11" t="s">
        <v>896</v>
      </c>
      <c r="F451" s="11" t="s">
        <v>489</v>
      </c>
      <c r="G451" s="11" t="s">
        <v>11</v>
      </c>
      <c r="H451" s="52" t="s">
        <v>851</v>
      </c>
      <c r="I451" s="20" t="s">
        <v>852</v>
      </c>
      <c r="J451" s="11">
        <v>216</v>
      </c>
      <c r="K451" s="11">
        <v>216</v>
      </c>
      <c r="L451" s="11">
        <v>0</v>
      </c>
      <c r="M451" s="100">
        <v>1</v>
      </c>
      <c r="N451" s="96">
        <v>46062</v>
      </c>
    </row>
    <row r="452" spans="1:14" x14ac:dyDescent="0.25">
      <c r="A452" s="11">
        <f t="shared" ca="1" si="65"/>
        <v>-116</v>
      </c>
      <c r="B452" s="37">
        <f t="shared" si="66"/>
        <v>69</v>
      </c>
      <c r="C452" s="11" t="s">
        <v>151</v>
      </c>
      <c r="D452" s="11" t="s">
        <v>1332</v>
      </c>
      <c r="E452" s="11" t="s">
        <v>896</v>
      </c>
      <c r="F452" s="11" t="s">
        <v>489</v>
      </c>
      <c r="G452" s="11" t="s">
        <v>16</v>
      </c>
      <c r="H452" s="52" t="s">
        <v>868</v>
      </c>
      <c r="I452" s="20" t="s">
        <v>869</v>
      </c>
      <c r="J452" s="11">
        <v>36</v>
      </c>
      <c r="K452" s="11">
        <v>36</v>
      </c>
      <c r="L452" s="11">
        <v>0</v>
      </c>
      <c r="M452" s="131">
        <v>1</v>
      </c>
      <c r="N452" s="96">
        <v>46062</v>
      </c>
    </row>
    <row r="453" spans="1:14" x14ac:dyDescent="0.25">
      <c r="A453" s="11">
        <f t="shared" ca="1" si="65"/>
        <v>-116</v>
      </c>
      <c r="B453" s="37">
        <f t="shared" si="66"/>
        <v>69</v>
      </c>
      <c r="C453" s="11" t="s">
        <v>153</v>
      </c>
      <c r="D453" s="11" t="s">
        <v>1333</v>
      </c>
      <c r="E453" s="11" t="s">
        <v>896</v>
      </c>
      <c r="F453" s="11" t="s">
        <v>489</v>
      </c>
      <c r="G453" s="11" t="s">
        <v>16</v>
      </c>
      <c r="H453" s="52" t="s">
        <v>868</v>
      </c>
      <c r="I453" s="20" t="s">
        <v>869</v>
      </c>
      <c r="J453" s="11">
        <v>12</v>
      </c>
      <c r="K453" s="11">
        <v>12</v>
      </c>
      <c r="L453" s="11">
        <v>0</v>
      </c>
      <c r="M453" s="131"/>
      <c r="N453" s="96">
        <v>46062</v>
      </c>
    </row>
    <row r="454" spans="1:14" x14ac:dyDescent="0.25">
      <c r="A454" s="11">
        <f t="shared" ca="1" si="65"/>
        <v>-116</v>
      </c>
      <c r="B454" s="37">
        <f t="shared" si="66"/>
        <v>69</v>
      </c>
      <c r="C454" s="11" t="s">
        <v>154</v>
      </c>
      <c r="D454" s="11" t="s">
        <v>903</v>
      </c>
      <c r="E454" s="11" t="s">
        <v>896</v>
      </c>
      <c r="F454" s="11" t="s">
        <v>489</v>
      </c>
      <c r="G454" s="11" t="s">
        <v>16</v>
      </c>
      <c r="H454" s="52" t="s">
        <v>868</v>
      </c>
      <c r="I454" s="20" t="s">
        <v>869</v>
      </c>
      <c r="J454" s="11">
        <v>50</v>
      </c>
      <c r="K454" s="11">
        <v>50</v>
      </c>
      <c r="L454" s="11">
        <v>0</v>
      </c>
      <c r="M454" s="131"/>
      <c r="N454" s="96">
        <v>46062</v>
      </c>
    </row>
    <row r="455" spans="1:14" x14ac:dyDescent="0.25">
      <c r="A455" s="11">
        <f t="shared" ca="1" si="65"/>
        <v>-116</v>
      </c>
      <c r="B455" s="37">
        <f t="shared" si="66"/>
        <v>69</v>
      </c>
      <c r="C455" s="11" t="s">
        <v>182</v>
      </c>
      <c r="D455" s="11" t="s">
        <v>905</v>
      </c>
      <c r="E455" s="11" t="s">
        <v>896</v>
      </c>
      <c r="F455" s="11" t="s">
        <v>489</v>
      </c>
      <c r="G455" s="11" t="s">
        <v>16</v>
      </c>
      <c r="H455" s="52" t="s">
        <v>868</v>
      </c>
      <c r="I455" s="20" t="s">
        <v>869</v>
      </c>
      <c r="J455" s="11">
        <v>150</v>
      </c>
      <c r="K455" s="11">
        <v>150</v>
      </c>
      <c r="L455" s="11">
        <v>0</v>
      </c>
      <c r="M455" s="131"/>
      <c r="N455" s="96">
        <v>46062</v>
      </c>
    </row>
    <row r="456" spans="1:14" x14ac:dyDescent="0.25">
      <c r="A456" s="11">
        <f t="shared" ref="A456:A487" ca="1" si="67">DAYS360($B$1,I456)</f>
        <v>-143</v>
      </c>
      <c r="B456" s="37">
        <f t="shared" ref="B456:B487" si="68">+N456-I456</f>
        <v>97</v>
      </c>
      <c r="C456" s="11" t="s">
        <v>215</v>
      </c>
      <c r="D456" s="11" t="str">
        <f>VLOOKUP(VALUE(MID($C456,13,2)), codigos!$A$2:$B$60, 2, 1) &amp; " " &amp; VLOOKUP(VALUE(MID($C456,15,4)), codigos!$E$2:$F$102, 2, FALSE)</f>
        <v>BUDINERA 20</v>
      </c>
      <c r="E456" s="11" t="str">
        <f>VLOOKUP(VALUE(MID($C456,19,2)),codigos!$H$2:$I$62,2,1) &amp; " " &amp; VLOOKUP(VALUE(MID($C456,21,2)),codigos!$K$2:$L$12,2,FALSE)</f>
        <v>A/T S/I</v>
      </c>
      <c r="F456" s="11" t="s">
        <v>469</v>
      </c>
      <c r="G456" s="11" t="s">
        <v>340</v>
      </c>
      <c r="H456" s="52" t="s">
        <v>872</v>
      </c>
      <c r="I456" s="20" t="s">
        <v>873</v>
      </c>
      <c r="J456" s="11">
        <v>108</v>
      </c>
      <c r="K456" s="11">
        <v>108</v>
      </c>
      <c r="L456" s="11">
        <f t="shared" ref="L456:L477" si="69">+J456-K456</f>
        <v>0</v>
      </c>
      <c r="M456" s="131">
        <f>(SUM(K456:K476))/(SUM(J456:J476))</f>
        <v>1</v>
      </c>
      <c r="N456" s="96">
        <v>46063</v>
      </c>
    </row>
    <row r="457" spans="1:14" x14ac:dyDescent="0.25">
      <c r="A457" s="11">
        <f t="shared" ca="1" si="67"/>
        <v>-143</v>
      </c>
      <c r="B457" s="37">
        <f t="shared" si="68"/>
        <v>97</v>
      </c>
      <c r="C457" s="11" t="s">
        <v>241</v>
      </c>
      <c r="D457" s="11" t="str">
        <f>VLOOKUP(VALUE(MID($C457,13,2)), codigos!$A$2:$B$60, 2, 1) &amp; " " &amp; VLOOKUP(VALUE(MID($C457,15,4)), codigos!$E$2:$F$102, 2, FALSE)</f>
        <v>BUDINERA 22</v>
      </c>
      <c r="E457" s="11" t="str">
        <f>VLOOKUP(VALUE(MID($C457,19,2)),codigos!$H$2:$I$62,2,1) &amp; " " &amp; VLOOKUP(VALUE(MID($C457,21,2)),codigos!$K$2:$L$12,2,FALSE)</f>
        <v>A/T S/I</v>
      </c>
      <c r="F457" s="11" t="s">
        <v>469</v>
      </c>
      <c r="G457" s="11" t="s">
        <v>340</v>
      </c>
      <c r="H457" s="52" t="s">
        <v>872</v>
      </c>
      <c r="I457" s="20" t="s">
        <v>873</v>
      </c>
      <c r="J457" s="11">
        <v>36</v>
      </c>
      <c r="K457" s="11">
        <v>36</v>
      </c>
      <c r="L457" s="11">
        <f t="shared" si="69"/>
        <v>0</v>
      </c>
      <c r="M457" s="131"/>
      <c r="N457" s="96">
        <v>46063</v>
      </c>
    </row>
    <row r="458" spans="1:14" x14ac:dyDescent="0.25">
      <c r="A458" s="11">
        <f t="shared" ca="1" si="67"/>
        <v>-143</v>
      </c>
      <c r="B458" s="37">
        <f t="shared" si="68"/>
        <v>97</v>
      </c>
      <c r="C458" s="11" t="s">
        <v>148</v>
      </c>
      <c r="D458" s="11" t="str">
        <f>VLOOKUP(VALUE(MID($C458,13,2)), codigos!$A$2:$B$60, 2, 1) &amp; " " &amp; VLOOKUP(VALUE(MID($C458,15,4)), codigos!$E$2:$F$102, 2, FALSE)</f>
        <v>BUDINERA 26</v>
      </c>
      <c r="E458" s="11" t="str">
        <f>VLOOKUP(VALUE(MID($C458,19,2)),codigos!$H$2:$I$62,2,1) &amp; " " &amp; VLOOKUP(VALUE(MID($C458,21,2)),codigos!$K$2:$L$12,2,FALSE)</f>
        <v>A/T S/I</v>
      </c>
      <c r="F458" s="11" t="s">
        <v>469</v>
      </c>
      <c r="G458" s="11" t="s">
        <v>340</v>
      </c>
      <c r="H458" s="52" t="s">
        <v>872</v>
      </c>
      <c r="I458" s="20" t="s">
        <v>873</v>
      </c>
      <c r="J458" s="11">
        <v>12</v>
      </c>
      <c r="K458" s="11">
        <v>12</v>
      </c>
      <c r="L458" s="11">
        <f t="shared" si="69"/>
        <v>0</v>
      </c>
      <c r="M458" s="131"/>
      <c r="N458" s="96">
        <v>46063</v>
      </c>
    </row>
    <row r="459" spans="1:14" x14ac:dyDescent="0.25">
      <c r="A459" s="11">
        <f t="shared" ca="1" si="67"/>
        <v>-143</v>
      </c>
      <c r="B459" s="37">
        <f t="shared" si="68"/>
        <v>97</v>
      </c>
      <c r="C459" s="11" t="s">
        <v>169</v>
      </c>
      <c r="D459" s="11" t="str">
        <f>VLOOKUP(VALUE(MID($C459,13,2)), codigos!$A$2:$B$60, 2, 1) &amp; " " &amp; VLOOKUP(VALUE(MID($C459,15,4)), codigos!$E$2:$F$102, 2, FALSE)</f>
        <v>BUDINERA 30</v>
      </c>
      <c r="E459" s="11" t="str">
        <f>VLOOKUP(VALUE(MID($C459,19,2)),codigos!$H$2:$I$62,2,1) &amp; " " &amp; VLOOKUP(VALUE(MID($C459,21,2)),codigos!$K$2:$L$12,2,FALSE)</f>
        <v>A/T S/I</v>
      </c>
      <c r="F459" s="11" t="s">
        <v>469</v>
      </c>
      <c r="G459" s="11" t="s">
        <v>340</v>
      </c>
      <c r="H459" s="52" t="s">
        <v>872</v>
      </c>
      <c r="I459" s="20" t="s">
        <v>873</v>
      </c>
      <c r="J459" s="11">
        <v>16</v>
      </c>
      <c r="K459" s="11">
        <v>16</v>
      </c>
      <c r="L459" s="11">
        <f t="shared" si="69"/>
        <v>0</v>
      </c>
      <c r="M459" s="131"/>
      <c r="N459" s="96">
        <v>46063</v>
      </c>
    </row>
    <row r="460" spans="1:14" x14ac:dyDescent="0.25">
      <c r="A460" s="11">
        <f t="shared" ca="1" si="67"/>
        <v>-143</v>
      </c>
      <c r="B460" s="37">
        <f t="shared" si="68"/>
        <v>97</v>
      </c>
      <c r="C460" s="11" t="s">
        <v>38</v>
      </c>
      <c r="D460" s="11" t="str">
        <f>VLOOKUP(VALUE(MID($C460,13,2)), codigos!$A$2:$B$60, 2, 1) &amp; " " &amp; VLOOKUP(VALUE(MID($C460,15,4)), codigos!$E$2:$F$102, 2, FALSE)</f>
        <v>BUDINERA 42</v>
      </c>
      <c r="E460" s="11" t="str">
        <f>VLOOKUP(VALUE(MID($C460,19,2)),codigos!$H$2:$I$62,2,1) &amp; " " &amp; VLOOKUP(VALUE(MID($C460,21,2)),codigos!$K$2:$L$12,2,FALSE)</f>
        <v>A/T S/I</v>
      </c>
      <c r="F460" s="11" t="s">
        <v>469</v>
      </c>
      <c r="G460" s="11" t="s">
        <v>340</v>
      </c>
      <c r="H460" s="52" t="s">
        <v>872</v>
      </c>
      <c r="I460" s="20" t="s">
        <v>873</v>
      </c>
      <c r="J460" s="11">
        <v>6</v>
      </c>
      <c r="K460" s="11">
        <v>6</v>
      </c>
      <c r="L460" s="11">
        <f t="shared" si="69"/>
        <v>0</v>
      </c>
      <c r="M460" s="131"/>
      <c r="N460" s="96">
        <v>46063</v>
      </c>
    </row>
    <row r="461" spans="1:14" x14ac:dyDescent="0.25">
      <c r="A461" s="11">
        <f t="shared" ca="1" si="67"/>
        <v>-143</v>
      </c>
      <c r="B461" s="37">
        <f t="shared" si="68"/>
        <v>97</v>
      </c>
      <c r="C461" s="11" t="s">
        <v>333</v>
      </c>
      <c r="D461" s="11" t="str">
        <f>VLOOKUP(VALUE(MID($C461,13,2)), codigos!$A$2:$B$60, 2, 1) &amp; " " &amp; VLOOKUP(VALUE(MID($C461,15,4)), codigos!$E$2:$F$102, 2, FALSE)</f>
        <v>OLLA CONVEXA 14</v>
      </c>
      <c r="E461" s="11" t="str">
        <f>VLOOKUP(VALUE(MID($C461,19,2)),codigos!$H$2:$I$62,2,1) &amp; " " &amp; VLOOKUP(VALUE(MID($C461,21,2)),codigos!$K$2:$L$12,2,FALSE)</f>
        <v>A/T S/I</v>
      </c>
      <c r="F461" s="11" t="s">
        <v>469</v>
      </c>
      <c r="G461" s="11" t="s">
        <v>340</v>
      </c>
      <c r="H461" s="52" t="s">
        <v>872</v>
      </c>
      <c r="I461" s="20" t="s">
        <v>873</v>
      </c>
      <c r="J461" s="11">
        <v>18</v>
      </c>
      <c r="K461" s="11">
        <v>18</v>
      </c>
      <c r="L461" s="11">
        <f t="shared" si="69"/>
        <v>0</v>
      </c>
      <c r="M461" s="131"/>
      <c r="N461" s="96">
        <v>46063</v>
      </c>
    </row>
    <row r="462" spans="1:14" x14ac:dyDescent="0.25">
      <c r="A462" s="11">
        <f t="shared" ca="1" si="67"/>
        <v>-143</v>
      </c>
      <c r="B462" s="37">
        <f t="shared" si="68"/>
        <v>97</v>
      </c>
      <c r="C462" s="11" t="s">
        <v>150</v>
      </c>
      <c r="D462" s="11" t="str">
        <f>VLOOKUP(VALUE(MID($C462,13,2)), codigos!$A$2:$B$60, 2, 1) &amp; " " &amp; VLOOKUP(VALUE(MID($C462,15,4)), codigos!$E$2:$F$102, 2, FALSE)</f>
        <v>OLLA CONVEXA 18</v>
      </c>
      <c r="E462" s="11" t="str">
        <f>VLOOKUP(VALUE(MID($C462,19,2)),codigos!$H$2:$I$62,2,1) &amp; " " &amp; VLOOKUP(VALUE(MID($C462,21,2)),codigos!$K$2:$L$12,2,FALSE)</f>
        <v>A/T S/I</v>
      </c>
      <c r="F462" s="11" t="s">
        <v>469</v>
      </c>
      <c r="G462" s="11" t="s">
        <v>340</v>
      </c>
      <c r="H462" s="52" t="s">
        <v>872</v>
      </c>
      <c r="I462" s="20" t="s">
        <v>873</v>
      </c>
      <c r="J462" s="11">
        <v>12</v>
      </c>
      <c r="K462" s="11">
        <v>12</v>
      </c>
      <c r="L462" s="11">
        <f t="shared" si="69"/>
        <v>0</v>
      </c>
      <c r="M462" s="131"/>
      <c r="N462" s="96">
        <v>46063</v>
      </c>
    </row>
    <row r="463" spans="1:14" x14ac:dyDescent="0.25">
      <c r="A463" s="11">
        <f t="shared" ca="1" si="67"/>
        <v>-143</v>
      </c>
      <c r="B463" s="37">
        <f t="shared" si="68"/>
        <v>97</v>
      </c>
      <c r="C463" s="11" t="s">
        <v>151</v>
      </c>
      <c r="D463" s="11" t="str">
        <f>VLOOKUP(VALUE(MID($C463,13,2)), codigos!$A$2:$B$60, 2, 1) &amp; " " &amp; VLOOKUP(VALUE(MID($C463,15,4)), codigos!$E$2:$F$102, 2, FALSE)</f>
        <v>OLLA CONVEXA 20</v>
      </c>
      <c r="E463" s="11" t="str">
        <f>VLOOKUP(VALUE(MID($C463,19,2)),codigos!$H$2:$I$62,2,1) &amp; " " &amp; VLOOKUP(VALUE(MID($C463,21,2)),codigos!$K$2:$L$12,2,FALSE)</f>
        <v>A/T S/I</v>
      </c>
      <c r="F463" s="11" t="s">
        <v>469</v>
      </c>
      <c r="G463" s="11" t="s">
        <v>340</v>
      </c>
      <c r="H463" s="52" t="s">
        <v>872</v>
      </c>
      <c r="I463" s="20" t="s">
        <v>873</v>
      </c>
      <c r="J463" s="11">
        <v>36</v>
      </c>
      <c r="K463" s="11">
        <f>16+12+8</f>
        <v>36</v>
      </c>
      <c r="L463" s="11">
        <f t="shared" si="69"/>
        <v>0</v>
      </c>
      <c r="M463" s="131"/>
      <c r="N463" s="96">
        <v>46063</v>
      </c>
    </row>
    <row r="464" spans="1:14" x14ac:dyDescent="0.25">
      <c r="A464" s="11">
        <f t="shared" ca="1" si="67"/>
        <v>-143</v>
      </c>
      <c r="B464" s="37">
        <f t="shared" si="68"/>
        <v>97</v>
      </c>
      <c r="C464" s="11" t="s">
        <v>43</v>
      </c>
      <c r="D464" s="11" t="str">
        <f>VLOOKUP(VALUE(MID($C464,13,2)), codigos!$A$2:$B$60, 2, 1) &amp; " " &amp; VLOOKUP(VALUE(MID($C464,15,4)), codigos!$E$2:$F$102, 2, FALSE)</f>
        <v>OLLA CONVEXA 22</v>
      </c>
      <c r="E464" s="11" t="str">
        <f>VLOOKUP(VALUE(MID($C464,19,2)),codigos!$H$2:$I$62,2,1) &amp; " " &amp; VLOOKUP(VALUE(MID($C464,21,2)),codigos!$K$2:$L$12,2,FALSE)</f>
        <v>A/T S/I</v>
      </c>
      <c r="F464" s="11" t="s">
        <v>469</v>
      </c>
      <c r="G464" s="11" t="s">
        <v>340</v>
      </c>
      <c r="H464" s="52" t="s">
        <v>872</v>
      </c>
      <c r="I464" s="20" t="s">
        <v>873</v>
      </c>
      <c r="J464" s="11">
        <v>12</v>
      </c>
      <c r="K464" s="11">
        <f>3+6+1+2</f>
        <v>12</v>
      </c>
      <c r="L464" s="11">
        <f t="shared" si="69"/>
        <v>0</v>
      </c>
      <c r="M464" s="131"/>
      <c r="N464" s="96">
        <v>46063</v>
      </c>
    </row>
    <row r="465" spans="1:14" x14ac:dyDescent="0.25">
      <c r="A465" s="11">
        <f t="shared" ca="1" si="67"/>
        <v>-143</v>
      </c>
      <c r="B465" s="37">
        <f t="shared" si="68"/>
        <v>97</v>
      </c>
      <c r="C465" s="11" t="s">
        <v>152</v>
      </c>
      <c r="D465" s="11" t="str">
        <f>VLOOKUP(VALUE(MID($C465,13,2)), codigos!$A$2:$B$60, 2, 1) &amp; " " &amp; VLOOKUP(VALUE(MID($C465,15,4)), codigos!$E$2:$F$102, 2, FALSE)</f>
        <v>OLLA CONVEXA 24</v>
      </c>
      <c r="E465" s="11" t="str">
        <f>VLOOKUP(VALUE(MID($C465,19,2)),codigos!$H$2:$I$62,2,1) &amp; " " &amp; VLOOKUP(VALUE(MID($C465,21,2)),codigos!$K$2:$L$12,2,FALSE)</f>
        <v>A/T S/I</v>
      </c>
      <c r="F465" s="11" t="s">
        <v>469</v>
      </c>
      <c r="G465" s="11" t="s">
        <v>340</v>
      </c>
      <c r="H465" s="52" t="s">
        <v>872</v>
      </c>
      <c r="I465" s="20" t="s">
        <v>873</v>
      </c>
      <c r="J465" s="11">
        <v>12</v>
      </c>
      <c r="K465" s="11">
        <f>3+6+3</f>
        <v>12</v>
      </c>
      <c r="L465" s="11">
        <f t="shared" si="69"/>
        <v>0</v>
      </c>
      <c r="M465" s="131"/>
      <c r="N465" s="96">
        <v>46063</v>
      </c>
    </row>
    <row r="466" spans="1:14" x14ac:dyDescent="0.25">
      <c r="A466" s="11">
        <f t="shared" ca="1" si="67"/>
        <v>-143</v>
      </c>
      <c r="B466" s="37">
        <f t="shared" si="68"/>
        <v>97</v>
      </c>
      <c r="C466" s="11" t="s">
        <v>154</v>
      </c>
      <c r="D466" s="11" t="str">
        <f>VLOOKUP(VALUE(MID($C466,13,2)), codigos!$A$2:$B$60, 2, 1) &amp; " " &amp; VLOOKUP(VALUE(MID($C466,15,4)), codigos!$E$2:$F$102, 2, FALSE)</f>
        <v>OLLA CONVEXA 30</v>
      </c>
      <c r="E466" s="11" t="str">
        <f>VLOOKUP(VALUE(MID($C466,19,2)),codigos!$H$2:$I$62,2,1) &amp; " " &amp; VLOOKUP(VALUE(MID($C466,21,2)),codigos!$K$2:$L$12,2,FALSE)</f>
        <v>A/T S/I</v>
      </c>
      <c r="F466" s="11" t="s">
        <v>469</v>
      </c>
      <c r="G466" s="11" t="s">
        <v>340</v>
      </c>
      <c r="H466" s="52" t="s">
        <v>872</v>
      </c>
      <c r="I466" s="20" t="s">
        <v>873</v>
      </c>
      <c r="J466" s="11">
        <v>6</v>
      </c>
      <c r="K466" s="11">
        <f>2+4</f>
        <v>6</v>
      </c>
      <c r="L466" s="11">
        <f t="shared" si="69"/>
        <v>0</v>
      </c>
      <c r="M466" s="131"/>
      <c r="N466" s="96">
        <v>46063</v>
      </c>
    </row>
    <row r="467" spans="1:14" x14ac:dyDescent="0.25">
      <c r="A467" s="11">
        <f t="shared" ca="1" si="67"/>
        <v>-143</v>
      </c>
      <c r="B467" s="37">
        <f t="shared" si="68"/>
        <v>97</v>
      </c>
      <c r="C467" s="11" t="s">
        <v>257</v>
      </c>
      <c r="D467" s="11" t="str">
        <f>VLOOKUP(VALUE(MID($C467,13,2)), codigos!$A$2:$B$60, 2, 1) &amp; " " &amp; VLOOKUP(VALUE(MID($C467,15,4)), codigos!$E$2:$F$102, 2, FALSE)</f>
        <v>OLLA RECTA 14</v>
      </c>
      <c r="E467" s="11" t="str">
        <f>VLOOKUP(VALUE(MID($C467,19,2)),codigos!$H$2:$I$62,2,1) &amp; " " &amp; VLOOKUP(VALUE(MID($C467,21,2)),codigos!$K$2:$L$12,2,FALSE)</f>
        <v>A/T S/I</v>
      </c>
      <c r="F467" s="11" t="s">
        <v>469</v>
      </c>
      <c r="G467" s="11" t="s">
        <v>340</v>
      </c>
      <c r="H467" s="52" t="s">
        <v>872</v>
      </c>
      <c r="I467" s="20" t="s">
        <v>873</v>
      </c>
      <c r="J467" s="11">
        <v>162</v>
      </c>
      <c r="K467" s="11">
        <f>18+144</f>
        <v>162</v>
      </c>
      <c r="L467" s="11">
        <f t="shared" si="69"/>
        <v>0</v>
      </c>
      <c r="M467" s="131"/>
      <c r="N467" s="96">
        <v>46063</v>
      </c>
    </row>
    <row r="468" spans="1:14" x14ac:dyDescent="0.25">
      <c r="A468" s="11">
        <f t="shared" ca="1" si="67"/>
        <v>-143</v>
      </c>
      <c r="B468" s="37">
        <f t="shared" si="68"/>
        <v>97</v>
      </c>
      <c r="C468" s="11" t="s">
        <v>260</v>
      </c>
      <c r="D468" s="11" t="str">
        <f>VLOOKUP(VALUE(MID($C468,13,2)), codigos!$A$2:$B$60, 2, 1) &amp; " " &amp; VLOOKUP(VALUE(MID($C468,15,4)), codigos!$E$2:$F$102, 2, FALSE)</f>
        <v>OLLA RECTA 20</v>
      </c>
      <c r="E468" s="11" t="str">
        <f>VLOOKUP(VALUE(MID($C468,19,2)),codigos!$H$2:$I$62,2,1) &amp; " " &amp; VLOOKUP(VALUE(MID($C468,21,2)),codigos!$K$2:$L$12,2,FALSE)</f>
        <v>A/T S/I</v>
      </c>
      <c r="F468" s="11" t="s">
        <v>469</v>
      </c>
      <c r="G468" s="11" t="s">
        <v>340</v>
      </c>
      <c r="H468" s="52" t="s">
        <v>872</v>
      </c>
      <c r="I468" s="20" t="s">
        <v>873</v>
      </c>
      <c r="J468" s="11">
        <v>36</v>
      </c>
      <c r="K468" s="11">
        <v>36</v>
      </c>
      <c r="L468" s="11">
        <f t="shared" si="69"/>
        <v>0</v>
      </c>
      <c r="M468" s="131"/>
      <c r="N468" s="96">
        <v>46063</v>
      </c>
    </row>
    <row r="469" spans="1:14" x14ac:dyDescent="0.25">
      <c r="A469" s="11">
        <f t="shared" ca="1" si="67"/>
        <v>-143</v>
      </c>
      <c r="B469" s="37">
        <f t="shared" si="68"/>
        <v>97</v>
      </c>
      <c r="C469" s="11" t="s">
        <v>237</v>
      </c>
      <c r="D469" s="11" t="str">
        <f>VLOOKUP(VALUE(MID($C469,13,2)), codigos!$A$2:$B$60, 2, 1) &amp; " " &amp; VLOOKUP(VALUE(MID($C469,15,4)), codigos!$E$2:$F$102, 2, FALSE)</f>
        <v>OLLA RECTA 24</v>
      </c>
      <c r="E469" s="11" t="str">
        <f>VLOOKUP(VALUE(MID($C469,19,2)),codigos!$H$2:$I$62,2,1) &amp; " " &amp; VLOOKUP(VALUE(MID($C469,21,2)),codigos!$K$2:$L$12,2,FALSE)</f>
        <v>A/T S/I</v>
      </c>
      <c r="F469" s="11" t="s">
        <v>469</v>
      </c>
      <c r="G469" s="11" t="s">
        <v>340</v>
      </c>
      <c r="H469" s="52" t="s">
        <v>872</v>
      </c>
      <c r="I469" s="20" t="s">
        <v>873</v>
      </c>
      <c r="J469" s="11">
        <v>18</v>
      </c>
      <c r="K469" s="11">
        <v>18</v>
      </c>
      <c r="L469" s="11">
        <f t="shared" si="69"/>
        <v>0</v>
      </c>
      <c r="M469" s="131"/>
      <c r="N469" s="96">
        <v>46063</v>
      </c>
    </row>
    <row r="470" spans="1:14" x14ac:dyDescent="0.25">
      <c r="A470" s="11">
        <f t="shared" ca="1" si="67"/>
        <v>-143</v>
      </c>
      <c r="B470" s="37">
        <f t="shared" si="68"/>
        <v>97</v>
      </c>
      <c r="C470" s="11" t="s">
        <v>336</v>
      </c>
      <c r="D470" s="11" t="str">
        <f>VLOOKUP(VALUE(MID($C470,13,2)), codigos!$A$2:$B$60, 2, 1) &amp; " " &amp; VLOOKUP(VALUE(MID($C470,15,4)), codigos!$E$2:$F$102, 2, FALSE)</f>
        <v>OLLA RECTA 28</v>
      </c>
      <c r="E470" s="11" t="str">
        <f>VLOOKUP(VALUE(MID($C470,19,2)),codigos!$H$2:$I$62,2,1) &amp; " " &amp; VLOOKUP(VALUE(MID($C470,21,2)),codigos!$K$2:$L$12,2,FALSE)</f>
        <v>A/T S/I</v>
      </c>
      <c r="F470" s="11" t="s">
        <v>469</v>
      </c>
      <c r="G470" s="11" t="s">
        <v>340</v>
      </c>
      <c r="H470" s="52" t="s">
        <v>872</v>
      </c>
      <c r="I470" s="20" t="s">
        <v>873</v>
      </c>
      <c r="J470" s="11">
        <v>4</v>
      </c>
      <c r="K470" s="11">
        <v>4</v>
      </c>
      <c r="L470" s="11">
        <f t="shared" si="69"/>
        <v>0</v>
      </c>
      <c r="M470" s="131"/>
      <c r="N470" s="96">
        <v>46063</v>
      </c>
    </row>
    <row r="471" spans="1:14" x14ac:dyDescent="0.25">
      <c r="A471" s="11">
        <f t="shared" ca="1" si="67"/>
        <v>-143</v>
      </c>
      <c r="B471" s="37">
        <f t="shared" si="68"/>
        <v>97</v>
      </c>
      <c r="C471" s="11" t="s">
        <v>155</v>
      </c>
      <c r="D471" s="11" t="str">
        <f>VLOOKUP(VALUE(MID($C471,13,2)), codigos!$A$2:$B$60, 2, 1) &amp; " " &amp; VLOOKUP(VALUE(MID($C471,15,4)), codigos!$E$2:$F$102, 2, FALSE)</f>
        <v>OLLA RECTA 30</v>
      </c>
      <c r="E471" s="11" t="str">
        <f>VLOOKUP(VALUE(MID($C471,19,2)),codigos!$H$2:$I$62,2,1) &amp; " " &amp; VLOOKUP(VALUE(MID($C471,21,2)),codigos!$K$2:$L$12,2,FALSE)</f>
        <v>A/T S/I</v>
      </c>
      <c r="F471" s="11" t="s">
        <v>469</v>
      </c>
      <c r="G471" s="11" t="s">
        <v>340</v>
      </c>
      <c r="H471" s="52" t="s">
        <v>872</v>
      </c>
      <c r="I471" s="20" t="s">
        <v>873</v>
      </c>
      <c r="J471" s="11">
        <v>6</v>
      </c>
      <c r="K471" s="11">
        <v>6</v>
      </c>
      <c r="L471" s="11">
        <f t="shared" si="69"/>
        <v>0</v>
      </c>
      <c r="M471" s="131"/>
      <c r="N471" s="96">
        <v>46063</v>
      </c>
    </row>
    <row r="472" spans="1:14" x14ac:dyDescent="0.25">
      <c r="A472" s="11">
        <f t="shared" ca="1" si="67"/>
        <v>-143</v>
      </c>
      <c r="B472" s="37">
        <f t="shared" si="68"/>
        <v>97</v>
      </c>
      <c r="C472" s="11" t="s">
        <v>180</v>
      </c>
      <c r="D472" s="11" t="str">
        <f>VLOOKUP(VALUE(MID($C472,13,2)), codigos!$A$2:$B$60, 2, 1) &amp; " " &amp; VLOOKUP(VALUE(MID($C472,15,4)), codigos!$E$2:$F$102, 2, FALSE)</f>
        <v>POCILLO 12</v>
      </c>
      <c r="E472" s="11" t="str">
        <f>VLOOKUP(VALUE(MID($C472,19,2)),codigos!$H$2:$I$62,2,1) &amp; " " &amp; VLOOKUP(VALUE(MID($C472,21,2)),codigos!$K$2:$L$12,2,FALSE)</f>
        <v>A/T S/I</v>
      </c>
      <c r="F472" s="11" t="s">
        <v>469</v>
      </c>
      <c r="G472" s="11" t="s">
        <v>340</v>
      </c>
      <c r="H472" s="52" t="s">
        <v>872</v>
      </c>
      <c r="I472" s="20" t="s">
        <v>873</v>
      </c>
      <c r="J472" s="11">
        <v>24</v>
      </c>
      <c r="K472" s="11">
        <v>24</v>
      </c>
      <c r="L472" s="11">
        <f t="shared" si="69"/>
        <v>0</v>
      </c>
      <c r="M472" s="131"/>
      <c r="N472" s="96">
        <v>46063</v>
      </c>
    </row>
    <row r="473" spans="1:14" x14ac:dyDescent="0.25">
      <c r="A473" s="11">
        <f t="shared" ca="1" si="67"/>
        <v>-143</v>
      </c>
      <c r="B473" s="37">
        <f t="shared" si="68"/>
        <v>97</v>
      </c>
      <c r="C473" s="11" t="s">
        <v>182</v>
      </c>
      <c r="D473" s="11" t="str">
        <f>VLOOKUP(VALUE(MID($C473,13,2)), codigos!$A$2:$B$60, 2, 1) &amp; " " &amp; VLOOKUP(VALUE(MID($C473,15,4)), codigos!$E$2:$F$102, 2, FALSE)</f>
        <v>POCILLO 14</v>
      </c>
      <c r="E473" s="11" t="str">
        <f>VLOOKUP(VALUE(MID($C473,19,2)),codigos!$H$2:$I$62,2,1) &amp; " " &amp; VLOOKUP(VALUE(MID($C473,21,2)),codigos!$K$2:$L$12,2,FALSE)</f>
        <v>A/T S/I</v>
      </c>
      <c r="F473" s="11" t="s">
        <v>469</v>
      </c>
      <c r="G473" s="11" t="s">
        <v>340</v>
      </c>
      <c r="H473" s="52" t="s">
        <v>872</v>
      </c>
      <c r="I473" s="20" t="s">
        <v>873</v>
      </c>
      <c r="J473" s="11">
        <v>120</v>
      </c>
      <c r="K473" s="11">
        <v>120</v>
      </c>
      <c r="L473" s="11">
        <f t="shared" si="69"/>
        <v>0</v>
      </c>
      <c r="M473" s="131"/>
      <c r="N473" s="96">
        <v>46063</v>
      </c>
    </row>
    <row r="474" spans="1:14" x14ac:dyDescent="0.25">
      <c r="A474" s="11">
        <f t="shared" ca="1" si="67"/>
        <v>-143</v>
      </c>
      <c r="B474" s="37">
        <f t="shared" si="68"/>
        <v>97</v>
      </c>
      <c r="C474" s="11" t="s">
        <v>130</v>
      </c>
      <c r="D474" s="11" t="str">
        <f>VLOOKUP(VALUE(MID($C474,13,2)), codigos!$A$2:$B$60, 2, 1) &amp; " " &amp; VLOOKUP(VALUE(MID($C474,15,4)), codigos!$E$2:$F$102, 2, FALSE)</f>
        <v>POCILLO 14</v>
      </c>
      <c r="E474" s="11" t="str">
        <f>VLOOKUP(VALUE(MID($C474,19,2)),codigos!$H$2:$I$62,2,1) &amp; " " &amp; VLOOKUP(VALUE(MID($C474,21,2)),codigos!$K$2:$L$12,2,FALSE)</f>
        <v>BICOLOR ROJO S/I</v>
      </c>
      <c r="F474" s="11" t="s">
        <v>469</v>
      </c>
      <c r="G474" s="11" t="s">
        <v>340</v>
      </c>
      <c r="H474" s="52" t="s">
        <v>872</v>
      </c>
      <c r="I474" s="20" t="s">
        <v>873</v>
      </c>
      <c r="J474" s="11">
        <v>36</v>
      </c>
      <c r="K474" s="11">
        <f>3+6+2+12+5-2+3+6+1</f>
        <v>36</v>
      </c>
      <c r="L474" s="11">
        <f t="shared" si="69"/>
        <v>0</v>
      </c>
      <c r="M474" s="131"/>
      <c r="N474" s="96">
        <v>46063</v>
      </c>
    </row>
    <row r="475" spans="1:14" x14ac:dyDescent="0.25">
      <c r="A475" s="11">
        <f t="shared" ca="1" si="67"/>
        <v>-143</v>
      </c>
      <c r="B475" s="37">
        <f t="shared" si="68"/>
        <v>97</v>
      </c>
      <c r="C475" s="11" t="s">
        <v>227</v>
      </c>
      <c r="D475" s="11" t="str">
        <f>VLOOKUP(VALUE(MID($C475,13,2)), codigos!$A$2:$B$60, 2, 1) &amp; " " &amp; VLOOKUP(VALUE(MID($C475,15,4)), codigos!$E$2:$F$102, 2, FALSE)</f>
        <v>SARTEN 22</v>
      </c>
      <c r="E475" s="11" t="str">
        <f>VLOOKUP(VALUE(MID($C475,19,2)),codigos!$H$2:$I$62,2,1) &amp; " " &amp; VLOOKUP(VALUE(MID($C475,21,2)),codigos!$K$2:$L$12,2,FALSE)</f>
        <v>A/T S/I</v>
      </c>
      <c r="F475" s="11" t="s">
        <v>469</v>
      </c>
      <c r="G475" s="11" t="s">
        <v>340</v>
      </c>
      <c r="H475" s="52" t="s">
        <v>872</v>
      </c>
      <c r="I475" s="20" t="s">
        <v>873</v>
      </c>
      <c r="J475" s="11">
        <v>12</v>
      </c>
      <c r="K475" s="11">
        <v>12</v>
      </c>
      <c r="L475" s="11">
        <f t="shared" si="69"/>
        <v>0</v>
      </c>
      <c r="M475" s="131"/>
      <c r="N475" s="96">
        <v>46063</v>
      </c>
    </row>
    <row r="476" spans="1:14" x14ac:dyDescent="0.25">
      <c r="A476" s="11">
        <f t="shared" ca="1" si="67"/>
        <v>-143</v>
      </c>
      <c r="B476" s="37">
        <f t="shared" si="68"/>
        <v>97</v>
      </c>
      <c r="C476" s="11" t="s">
        <v>44</v>
      </c>
      <c r="D476" s="11" t="str">
        <f>VLOOKUP(VALUE(MID($C476,13,2)), codigos!$A$2:$B$60, 2, 1) &amp; " " &amp; VLOOKUP(VALUE(MID($C476,15,4)), codigos!$E$2:$F$102, 2, FALSE)</f>
        <v>SARTEN 24</v>
      </c>
      <c r="E476" s="11" t="str">
        <f>VLOOKUP(VALUE(MID($C476,19,2)),codigos!$H$2:$I$62,2,1) &amp; " " &amp; VLOOKUP(VALUE(MID($C476,21,2)),codigos!$K$2:$L$12,2,FALSE)</f>
        <v>A/T S/I</v>
      </c>
      <c r="F476" s="11" t="s">
        <v>469</v>
      </c>
      <c r="G476" s="11" t="s">
        <v>340</v>
      </c>
      <c r="H476" s="52" t="s">
        <v>872</v>
      </c>
      <c r="I476" s="20" t="s">
        <v>873</v>
      </c>
      <c r="J476" s="11">
        <v>12</v>
      </c>
      <c r="K476" s="11">
        <v>12</v>
      </c>
      <c r="L476" s="11">
        <f t="shared" si="69"/>
        <v>0</v>
      </c>
      <c r="M476" s="131"/>
      <c r="N476" s="96">
        <v>46063</v>
      </c>
    </row>
    <row r="477" spans="1:14" x14ac:dyDescent="0.25">
      <c r="A477" s="11">
        <f t="shared" ca="1" si="67"/>
        <v>-143</v>
      </c>
      <c r="B477" s="37">
        <f t="shared" si="68"/>
        <v>97</v>
      </c>
      <c r="C477" s="11" t="s">
        <v>855</v>
      </c>
      <c r="D477" s="11" t="str">
        <f>VLOOKUP(VALUE(MID($C477,13,2)), codigos!$A$2:$B$60, 2, 1) &amp; " " &amp; VLOOKUP(VALUE(MID($C477,15,4)), codigos!$E$2:$F$102, 2, FALSE)</f>
        <v>OLLA RECTA PROFUNDA 14</v>
      </c>
      <c r="E477" s="11" t="str">
        <f>VLOOKUP(VALUE(MID($C477,19,2)),codigos!$H$2:$I$62,2,1) &amp; " " &amp; VLOOKUP(VALUE(MID($C477,21,2)),codigos!$K$2:$L$12,2,FALSE)</f>
        <v>A/T S/I</v>
      </c>
      <c r="F477" s="11" t="s">
        <v>469</v>
      </c>
      <c r="G477" s="11" t="s">
        <v>340</v>
      </c>
      <c r="H477" s="52" t="s">
        <v>872</v>
      </c>
      <c r="I477" s="20" t="s">
        <v>873</v>
      </c>
      <c r="J477" s="11">
        <v>132</v>
      </c>
      <c r="K477" s="11">
        <f>47+85</f>
        <v>132</v>
      </c>
      <c r="L477" s="11">
        <f t="shared" si="69"/>
        <v>0</v>
      </c>
      <c r="M477" s="131"/>
      <c r="N477" s="96">
        <v>46063</v>
      </c>
    </row>
    <row r="478" spans="1:14" x14ac:dyDescent="0.25">
      <c r="A478" s="11">
        <f t="shared" ca="1" si="67"/>
        <v>-223</v>
      </c>
      <c r="B478" s="37">
        <f t="shared" si="68"/>
        <v>179</v>
      </c>
      <c r="C478" s="11" t="s">
        <v>227</v>
      </c>
      <c r="D478" s="11" t="s">
        <v>981</v>
      </c>
      <c r="E478" s="11" t="s">
        <v>896</v>
      </c>
      <c r="F478" s="11" t="s">
        <v>982</v>
      </c>
      <c r="G478" s="11" t="s">
        <v>34</v>
      </c>
      <c r="H478" s="52" t="s">
        <v>983</v>
      </c>
      <c r="I478" s="20" t="s">
        <v>984</v>
      </c>
      <c r="J478" s="11">
        <v>120</v>
      </c>
      <c r="K478" s="11">
        <v>120</v>
      </c>
      <c r="L478" s="11">
        <f>+J478-K478</f>
        <v>0</v>
      </c>
      <c r="M478" s="134">
        <f>(SUM(K478:K479))/(SUM(J478:J479))</f>
        <v>1</v>
      </c>
      <c r="N478" s="96">
        <v>46063</v>
      </c>
    </row>
    <row r="479" spans="1:14" x14ac:dyDescent="0.25">
      <c r="A479" s="11">
        <f t="shared" ca="1" si="67"/>
        <v>-143</v>
      </c>
      <c r="B479" s="37">
        <f t="shared" si="68"/>
        <v>97</v>
      </c>
      <c r="C479" s="11" t="s">
        <v>169</v>
      </c>
      <c r="D479" s="11" t="s">
        <v>897</v>
      </c>
      <c r="E479" s="11" t="s">
        <v>896</v>
      </c>
      <c r="F479" s="11" t="s">
        <v>982</v>
      </c>
      <c r="G479" s="11" t="s">
        <v>34</v>
      </c>
      <c r="H479" s="52" t="s">
        <v>983</v>
      </c>
      <c r="I479" s="20" t="s">
        <v>873</v>
      </c>
      <c r="J479" s="11">
        <v>56</v>
      </c>
      <c r="K479" s="11">
        <f>40+16</f>
        <v>56</v>
      </c>
      <c r="L479" s="11">
        <f>+J479-K479</f>
        <v>0</v>
      </c>
      <c r="M479" s="134"/>
      <c r="N479" s="96">
        <v>46063</v>
      </c>
    </row>
    <row r="480" spans="1:14" x14ac:dyDescent="0.25">
      <c r="A480" s="11">
        <f t="shared" ca="1" si="67"/>
        <v>-116</v>
      </c>
      <c r="B480" s="37">
        <f t="shared" si="68"/>
        <v>70</v>
      </c>
      <c r="C480" s="11" t="s">
        <v>214</v>
      </c>
      <c r="D480" s="11" t="str">
        <f>VLOOKUP(VALUE(MID($C480,13,2)), codigos!$A$2:$B$60, 2, 1) &amp; " " &amp; VLOOKUP(VALUE(MID($C480,15,4)), codigos!$E$2:$F$102, 2, FALSE)</f>
        <v>BUDINERA 18</v>
      </c>
      <c r="E480" s="11" t="str">
        <f>VLOOKUP(VALUE(MID($C480,19,2)),codigos!$H$2:$I$62,2,1) &amp; " " &amp; VLOOKUP(VALUE(MID($C480,21,2)),codigos!$K$2:$L$12,2,FALSE)</f>
        <v>A/T S/I</v>
      </c>
      <c r="F480" s="11" t="s">
        <v>482</v>
      </c>
      <c r="G480" s="11" t="s">
        <v>34</v>
      </c>
      <c r="H480" s="52" t="s">
        <v>887</v>
      </c>
      <c r="I480" s="20" t="s">
        <v>869</v>
      </c>
      <c r="J480" s="11">
        <v>18</v>
      </c>
      <c r="K480" s="11">
        <v>18</v>
      </c>
      <c r="L480" s="11">
        <f t="shared" ref="L480:L487" si="70">+J480-K480</f>
        <v>0</v>
      </c>
      <c r="M480" s="131">
        <f>(SUM(K480:K487))/(SUM(J480:J487))</f>
        <v>1</v>
      </c>
      <c r="N480" s="96">
        <v>46063</v>
      </c>
    </row>
    <row r="481" spans="1:14" x14ac:dyDescent="0.25">
      <c r="A481" s="11">
        <f t="shared" ca="1" si="67"/>
        <v>-116</v>
      </c>
      <c r="B481" s="37">
        <f t="shared" si="68"/>
        <v>70</v>
      </c>
      <c r="C481" s="11" t="s">
        <v>215</v>
      </c>
      <c r="D481" s="11" t="str">
        <f>VLOOKUP(VALUE(MID($C481,13,2)), codigos!$A$2:$B$60, 2, 1) &amp; " " &amp; VLOOKUP(VALUE(MID($C481,15,4)), codigos!$E$2:$F$102, 2, FALSE)</f>
        <v>BUDINERA 20</v>
      </c>
      <c r="E481" s="11" t="str">
        <f>VLOOKUP(VALUE(MID($C481,19,2)),codigos!$H$2:$I$62,2,1) &amp; " " &amp; VLOOKUP(VALUE(MID($C481,21,2)),codigos!$K$2:$L$12,2,FALSE)</f>
        <v>A/T S/I</v>
      </c>
      <c r="F481" s="11" t="s">
        <v>482</v>
      </c>
      <c r="G481" s="11" t="s">
        <v>34</v>
      </c>
      <c r="H481" s="52" t="s">
        <v>887</v>
      </c>
      <c r="I481" s="20" t="s">
        <v>869</v>
      </c>
      <c r="J481" s="11">
        <v>36</v>
      </c>
      <c r="K481" s="11">
        <f>18+18</f>
        <v>36</v>
      </c>
      <c r="L481" s="11">
        <f t="shared" si="70"/>
        <v>0</v>
      </c>
      <c r="M481" s="131"/>
      <c r="N481" s="96">
        <v>46063</v>
      </c>
    </row>
    <row r="482" spans="1:14" x14ac:dyDescent="0.25">
      <c r="A482" s="11">
        <f t="shared" ca="1" si="67"/>
        <v>-116</v>
      </c>
      <c r="B482" s="37">
        <f t="shared" si="68"/>
        <v>70</v>
      </c>
      <c r="C482" s="11" t="s">
        <v>329</v>
      </c>
      <c r="D482" s="11" t="str">
        <f>VLOOKUP(VALUE(MID($C482,13,2)), codigos!$A$2:$B$60, 2, 1) &amp; " " &amp; VLOOKUP(VALUE(MID($C482,15,4)), codigos!$E$2:$F$102, 2, FALSE)</f>
        <v>BUDINERA 20</v>
      </c>
      <c r="E482" s="11" t="str">
        <f>VLOOKUP(VALUE(MID($C482,19,2)),codigos!$H$2:$I$62,2,1) &amp; " " &amp; VLOOKUP(VALUE(MID($C482,21,2)),codigos!$K$2:$L$12,2,FALSE)</f>
        <v>BICOLOR ROJO S/I</v>
      </c>
      <c r="F482" s="11" t="s">
        <v>482</v>
      </c>
      <c r="G482" s="11" t="s">
        <v>34</v>
      </c>
      <c r="H482" s="52" t="s">
        <v>887</v>
      </c>
      <c r="I482" s="20" t="s">
        <v>869</v>
      </c>
      <c r="J482" s="11">
        <v>6</v>
      </c>
      <c r="K482" s="11">
        <v>6</v>
      </c>
      <c r="L482" s="11">
        <f t="shared" si="70"/>
        <v>0</v>
      </c>
      <c r="M482" s="131"/>
      <c r="N482" s="96">
        <v>46063</v>
      </c>
    </row>
    <row r="483" spans="1:14" x14ac:dyDescent="0.25">
      <c r="A483" s="11">
        <f t="shared" ca="1" si="67"/>
        <v>-116</v>
      </c>
      <c r="B483" s="37">
        <f t="shared" si="68"/>
        <v>70</v>
      </c>
      <c r="C483" s="11" t="s">
        <v>241</v>
      </c>
      <c r="D483" s="11" t="str">
        <f>VLOOKUP(VALUE(MID($C483,13,2)), codigos!$A$2:$B$60, 2, 1) &amp; " " &amp; VLOOKUP(VALUE(MID($C483,15,4)), codigos!$E$2:$F$102, 2, FALSE)</f>
        <v>BUDINERA 22</v>
      </c>
      <c r="E483" s="11" t="str">
        <f>VLOOKUP(VALUE(MID($C483,19,2)),codigos!$H$2:$I$62,2,1) &amp; " " &amp; VLOOKUP(VALUE(MID($C483,21,2)),codigos!$K$2:$L$12,2,FALSE)</f>
        <v>A/T S/I</v>
      </c>
      <c r="F483" s="11" t="s">
        <v>482</v>
      </c>
      <c r="G483" s="11" t="s">
        <v>34</v>
      </c>
      <c r="H483" s="52" t="s">
        <v>887</v>
      </c>
      <c r="I483" s="20" t="s">
        <v>869</v>
      </c>
      <c r="J483" s="11">
        <v>12</v>
      </c>
      <c r="K483" s="11">
        <v>12</v>
      </c>
      <c r="L483" s="11">
        <f t="shared" si="70"/>
        <v>0</v>
      </c>
      <c r="M483" s="131"/>
      <c r="N483" s="96">
        <v>46063</v>
      </c>
    </row>
    <row r="484" spans="1:14" x14ac:dyDescent="0.25">
      <c r="A484" s="11">
        <f t="shared" ca="1" si="67"/>
        <v>-116</v>
      </c>
      <c r="B484" s="37">
        <f t="shared" si="68"/>
        <v>70</v>
      </c>
      <c r="C484" s="11" t="s">
        <v>169</v>
      </c>
      <c r="D484" s="11" t="str">
        <f>VLOOKUP(VALUE(MID($C484,13,2)), codigos!$A$2:$B$60, 2, 1) &amp; " " &amp; VLOOKUP(VALUE(MID($C484,15,4)), codigos!$E$2:$F$102, 2, FALSE)</f>
        <v>BUDINERA 30</v>
      </c>
      <c r="E484" s="11" t="str">
        <f>VLOOKUP(VALUE(MID($C484,19,2)),codigos!$H$2:$I$62,2,1) &amp; " " &amp; VLOOKUP(VALUE(MID($C484,21,2)),codigos!$K$2:$L$12,2,FALSE)</f>
        <v>A/T S/I</v>
      </c>
      <c r="F484" s="11" t="s">
        <v>482</v>
      </c>
      <c r="G484" s="11" t="s">
        <v>34</v>
      </c>
      <c r="H484" s="52" t="s">
        <v>887</v>
      </c>
      <c r="I484" s="20" t="s">
        <v>869</v>
      </c>
      <c r="J484" s="11">
        <v>12</v>
      </c>
      <c r="K484" s="11">
        <v>12</v>
      </c>
      <c r="L484" s="11">
        <f t="shared" si="70"/>
        <v>0</v>
      </c>
      <c r="M484" s="131"/>
      <c r="N484" s="96">
        <v>46063</v>
      </c>
    </row>
    <row r="485" spans="1:14" x14ac:dyDescent="0.25">
      <c r="A485" s="11">
        <f t="shared" ca="1" si="67"/>
        <v>-116</v>
      </c>
      <c r="B485" s="37">
        <f t="shared" si="68"/>
        <v>70</v>
      </c>
      <c r="C485" s="11" t="s">
        <v>154</v>
      </c>
      <c r="D485" s="11" t="str">
        <f>VLOOKUP(VALUE(MID($C485,13,2)), codigos!$A$2:$B$60, 2, 1) &amp; " " &amp; VLOOKUP(VALUE(MID($C485,15,4)), codigos!$E$2:$F$102, 2, FALSE)</f>
        <v>OLLA CONVEXA 30</v>
      </c>
      <c r="E485" s="11" t="str">
        <f>VLOOKUP(VALUE(MID($C485,19,2)),codigos!$H$2:$I$62,2,1) &amp; " " &amp; VLOOKUP(VALUE(MID($C485,21,2)),codigos!$K$2:$L$12,2,FALSE)</f>
        <v>A/T S/I</v>
      </c>
      <c r="F485" s="11" t="s">
        <v>482</v>
      </c>
      <c r="G485" s="11" t="s">
        <v>34</v>
      </c>
      <c r="H485" s="52" t="s">
        <v>887</v>
      </c>
      <c r="I485" s="20" t="s">
        <v>869</v>
      </c>
      <c r="J485" s="11">
        <v>12</v>
      </c>
      <c r="K485" s="11">
        <f>6+2+4</f>
        <v>12</v>
      </c>
      <c r="L485" s="11">
        <f t="shared" si="70"/>
        <v>0</v>
      </c>
      <c r="M485" s="131"/>
      <c r="N485" s="96">
        <v>46063</v>
      </c>
    </row>
    <row r="486" spans="1:14" x14ac:dyDescent="0.25">
      <c r="A486" s="11">
        <f t="shared" ca="1" si="67"/>
        <v>-116</v>
      </c>
      <c r="B486" s="37">
        <f t="shared" si="68"/>
        <v>70</v>
      </c>
      <c r="C486" s="11" t="s">
        <v>182</v>
      </c>
      <c r="D486" s="11" t="str">
        <f>VLOOKUP(VALUE(MID($C486,13,2)), codigos!$A$2:$B$60, 2, 1) &amp; " " &amp; VLOOKUP(VALUE(MID($C486,15,4)), codigos!$E$2:$F$102, 2, FALSE)</f>
        <v>POCILLO 14</v>
      </c>
      <c r="E486" s="11" t="str">
        <f>VLOOKUP(VALUE(MID($C486,19,2)),codigos!$H$2:$I$62,2,1) &amp; " " &amp; VLOOKUP(VALUE(MID($C486,21,2)),codigos!$K$2:$L$12,2,FALSE)</f>
        <v>A/T S/I</v>
      </c>
      <c r="F486" s="11" t="s">
        <v>482</v>
      </c>
      <c r="G486" s="11" t="s">
        <v>34</v>
      </c>
      <c r="H486" s="52" t="s">
        <v>887</v>
      </c>
      <c r="I486" s="20" t="s">
        <v>869</v>
      </c>
      <c r="J486" s="11">
        <v>24</v>
      </c>
      <c r="K486" s="11">
        <v>24</v>
      </c>
      <c r="L486" s="11">
        <f t="shared" si="70"/>
        <v>0</v>
      </c>
      <c r="M486" s="131"/>
      <c r="N486" s="96">
        <v>46063</v>
      </c>
    </row>
    <row r="487" spans="1:14" x14ac:dyDescent="0.25">
      <c r="A487" s="11">
        <f t="shared" ca="1" si="67"/>
        <v>-116</v>
      </c>
      <c r="B487" s="37">
        <f t="shared" si="68"/>
        <v>70</v>
      </c>
      <c r="C487" s="11" t="s">
        <v>487</v>
      </c>
      <c r="D487" s="11" t="str">
        <f>VLOOKUP(VALUE(MID($C487,13,2)), codigos!$A$2:$B$60, 2, 1) &amp; " " &amp; VLOOKUP(VALUE(MID($C487,15,4)), codigos!$E$2:$F$102, 2, FALSE)</f>
        <v>VAPORERA 30</v>
      </c>
      <c r="E487" s="11" t="str">
        <f>VLOOKUP(VALUE(MID($C487,19,2)),codigos!$H$2:$I$62,2,1) &amp; " " &amp; VLOOKUP(VALUE(MID($C487,21,2)),codigos!$K$2:$L$12,2,FALSE)</f>
        <v>A/T S/I</v>
      </c>
      <c r="F487" s="11" t="s">
        <v>482</v>
      </c>
      <c r="G487" s="11" t="s">
        <v>34</v>
      </c>
      <c r="H487" s="52" t="s">
        <v>887</v>
      </c>
      <c r="I487" s="20" t="s">
        <v>869</v>
      </c>
      <c r="J487" s="11">
        <v>6</v>
      </c>
      <c r="K487" s="11">
        <v>6</v>
      </c>
      <c r="L487" s="11">
        <f t="shared" si="70"/>
        <v>0</v>
      </c>
      <c r="M487" s="131"/>
      <c r="N487" s="96">
        <v>46063</v>
      </c>
    </row>
    <row r="488" spans="1:14" x14ac:dyDescent="0.25">
      <c r="A488" s="11">
        <f t="shared" ref="A488:A525" ca="1" si="71">DAYS360($B$1,I488)</f>
        <v>-99</v>
      </c>
      <c r="B488" s="37">
        <f t="shared" ref="B488:B525" si="72">+N488-I488</f>
        <v>53</v>
      </c>
      <c r="C488" s="11" t="s">
        <v>189</v>
      </c>
      <c r="D488" s="11" t="str">
        <f>VLOOKUP(VALUE(MID($C488,13,2)), [2]codigos!$A$2:$B$60, 2, 1) &amp; " " &amp; VLOOKUP(VALUE(MID($C488,15,4)), [2]codigos!$E$2:$F$102, 2, FALSE)</f>
        <v>BUDINERA   16</v>
      </c>
      <c r="E488" s="11" t="str">
        <f>VLOOKUP(VALUE(MID($C488,19,2)),[2]codigos!$H$2:$I$62,2,1) &amp; " " &amp; VLOOKUP(VALUE(MID($C488,21,2)),[2]codigos!$K$2:$L$12,2,FALSE)</f>
        <v>A/T S/I</v>
      </c>
      <c r="F488" s="11" t="s">
        <v>951</v>
      </c>
      <c r="G488" s="11" t="s">
        <v>11</v>
      </c>
      <c r="H488" s="52" t="s">
        <v>952</v>
      </c>
      <c r="I488" s="20" t="s">
        <v>949</v>
      </c>
      <c r="J488" s="11">
        <v>18</v>
      </c>
      <c r="K488" s="11">
        <v>0</v>
      </c>
      <c r="L488" s="11">
        <f t="shared" ref="L488:L525" si="73">J488-K488</f>
        <v>18</v>
      </c>
      <c r="M488" s="134">
        <f>(SUM(K488:K522))/(SUM(J488:J522))</f>
        <v>0.81859410430838997</v>
      </c>
      <c r="N488" s="96">
        <v>46063</v>
      </c>
    </row>
    <row r="489" spans="1:14" x14ac:dyDescent="0.25">
      <c r="A489" s="11">
        <f t="shared" ca="1" si="71"/>
        <v>-99</v>
      </c>
      <c r="B489" s="37">
        <f t="shared" si="72"/>
        <v>53</v>
      </c>
      <c r="C489" s="11" t="s">
        <v>214</v>
      </c>
      <c r="D489" s="11" t="str">
        <f>VLOOKUP(VALUE(MID($C489,13,2)), [2]codigos!$A$2:$B$60, 2, 1) &amp; " " &amp; VLOOKUP(VALUE(MID($C489,15,4)), [2]codigos!$E$2:$F$102, 2, FALSE)</f>
        <v>BUDINERA   18</v>
      </c>
      <c r="E489" s="11" t="str">
        <f>VLOOKUP(VALUE(MID($C489,19,2)),[2]codigos!$H$2:$I$62,2,1) &amp; " " &amp; VLOOKUP(VALUE(MID($C489,21,2)),[2]codigos!$K$2:$L$12,2,FALSE)</f>
        <v>A/T S/I</v>
      </c>
      <c r="F489" s="11" t="s">
        <v>951</v>
      </c>
      <c r="G489" s="11" t="s">
        <v>11</v>
      </c>
      <c r="H489" s="52" t="s">
        <v>952</v>
      </c>
      <c r="I489" s="20" t="s">
        <v>949</v>
      </c>
      <c r="J489" s="11">
        <v>18</v>
      </c>
      <c r="K489" s="11">
        <v>18</v>
      </c>
      <c r="L489" s="11">
        <f t="shared" si="73"/>
        <v>0</v>
      </c>
      <c r="M489" s="134"/>
      <c r="N489" s="96">
        <v>46063</v>
      </c>
    </row>
    <row r="490" spans="1:14" x14ac:dyDescent="0.25">
      <c r="A490" s="11">
        <f t="shared" ca="1" si="71"/>
        <v>-99</v>
      </c>
      <c r="B490" s="37">
        <f t="shared" si="72"/>
        <v>53</v>
      </c>
      <c r="C490" s="11" t="s">
        <v>215</v>
      </c>
      <c r="D490" s="11" t="str">
        <f>VLOOKUP(VALUE(MID($C490,13,2)), [2]codigos!$A$2:$B$60, 2, 1) &amp; " " &amp; VLOOKUP(VALUE(MID($C490,15,4)), [2]codigos!$E$2:$F$102, 2, FALSE)</f>
        <v>BUDINERA   20</v>
      </c>
      <c r="E490" s="11" t="str">
        <f>VLOOKUP(VALUE(MID($C490,19,2)),[2]codigos!$H$2:$I$62,2,1) &amp; " " &amp; VLOOKUP(VALUE(MID($C490,21,2)),[2]codigos!$K$2:$L$12,2,FALSE)</f>
        <v>A/T S/I</v>
      </c>
      <c r="F490" s="11" t="s">
        <v>951</v>
      </c>
      <c r="G490" s="11" t="s">
        <v>11</v>
      </c>
      <c r="H490" s="52" t="s">
        <v>952</v>
      </c>
      <c r="I490" s="20" t="s">
        <v>949</v>
      </c>
      <c r="J490" s="11">
        <v>18</v>
      </c>
      <c r="K490" s="11">
        <v>18</v>
      </c>
      <c r="L490" s="11">
        <f t="shared" si="73"/>
        <v>0</v>
      </c>
      <c r="M490" s="134"/>
      <c r="N490" s="96">
        <v>46063</v>
      </c>
    </row>
    <row r="491" spans="1:14" x14ac:dyDescent="0.25">
      <c r="A491" s="11">
        <f t="shared" ca="1" si="71"/>
        <v>-99</v>
      </c>
      <c r="B491" s="37">
        <f t="shared" si="72"/>
        <v>53</v>
      </c>
      <c r="C491" s="11" t="s">
        <v>484</v>
      </c>
      <c r="D491" s="11" t="str">
        <f>VLOOKUP(VALUE(MID($C491,13,2)), [2]codigos!$A$2:$B$60, 2, 1) &amp; " " &amp; VLOOKUP(VALUE(MID($C491,15,4)), [2]codigos!$E$2:$F$102, 2, FALSE)</f>
        <v>BUDINERA   20</v>
      </c>
      <c r="E491" s="11" t="str">
        <f>VLOOKUP(VALUE(MID($C491,19,2)),[2]codigos!$H$2:$I$62,2,1) &amp; " " &amp; VLOOKUP(VALUE(MID($C491,21,2)),[2]codigos!$K$2:$L$12,2,FALSE)</f>
        <v>BICOLOR NARANJA S/I</v>
      </c>
      <c r="F491" s="11" t="s">
        <v>951</v>
      </c>
      <c r="G491" s="11" t="s">
        <v>11</v>
      </c>
      <c r="H491" s="52" t="s">
        <v>952</v>
      </c>
      <c r="I491" s="20" t="s">
        <v>949</v>
      </c>
      <c r="J491" s="11">
        <v>18</v>
      </c>
      <c r="K491" s="11">
        <v>0</v>
      </c>
      <c r="L491" s="11">
        <f t="shared" si="73"/>
        <v>18</v>
      </c>
      <c r="M491" s="134"/>
      <c r="N491" s="96">
        <v>46063</v>
      </c>
    </row>
    <row r="492" spans="1:14" x14ac:dyDescent="0.25">
      <c r="A492" s="11">
        <f t="shared" ca="1" si="71"/>
        <v>-99</v>
      </c>
      <c r="B492" s="37">
        <f t="shared" si="72"/>
        <v>53</v>
      </c>
      <c r="C492" s="11" t="s">
        <v>241</v>
      </c>
      <c r="D492" s="11" t="str">
        <f>VLOOKUP(VALUE(MID($C492,13,2)), [2]codigos!$A$2:$B$60, 2, 1) &amp; " " &amp; VLOOKUP(VALUE(MID($C492,15,4)), [2]codigos!$E$2:$F$102, 2, FALSE)</f>
        <v>BUDINERA   22</v>
      </c>
      <c r="E492" s="11" t="str">
        <f>VLOOKUP(VALUE(MID($C492,19,2)),[2]codigos!$H$2:$I$62,2,1) &amp; " " &amp; VLOOKUP(VALUE(MID($C492,21,2)),[2]codigos!$K$2:$L$12,2,FALSE)</f>
        <v>A/T S/I</v>
      </c>
      <c r="F492" s="11" t="s">
        <v>951</v>
      </c>
      <c r="G492" s="11" t="s">
        <v>11</v>
      </c>
      <c r="H492" s="52" t="s">
        <v>952</v>
      </c>
      <c r="I492" s="20" t="s">
        <v>949</v>
      </c>
      <c r="J492" s="11">
        <v>12</v>
      </c>
      <c r="K492" s="11">
        <v>12</v>
      </c>
      <c r="L492" s="11">
        <f t="shared" si="73"/>
        <v>0</v>
      </c>
      <c r="M492" s="134"/>
      <c r="N492" s="96">
        <v>46063</v>
      </c>
    </row>
    <row r="493" spans="1:14" x14ac:dyDescent="0.25">
      <c r="A493" s="11">
        <f t="shared" ca="1" si="71"/>
        <v>-99</v>
      </c>
      <c r="B493" s="37">
        <f t="shared" si="72"/>
        <v>53</v>
      </c>
      <c r="C493" s="11" t="s">
        <v>143</v>
      </c>
      <c r="D493" s="11" t="str">
        <f>VLOOKUP(VALUE(MID($C493,13,2)), [2]codigos!$A$2:$B$60, 2, 1) &amp; " " &amp; VLOOKUP(VALUE(MID($C493,15,4)), [2]codigos!$E$2:$F$102, 2, FALSE)</f>
        <v>BUDINERA   24</v>
      </c>
      <c r="E493" s="11" t="str">
        <f>VLOOKUP(VALUE(MID($C493,19,2)),[2]codigos!$H$2:$I$62,2,1) &amp; " " &amp; VLOOKUP(VALUE(MID($C493,21,2)),[2]codigos!$K$2:$L$12,2,FALSE)</f>
        <v>A/T S/I</v>
      </c>
      <c r="F493" s="11" t="s">
        <v>951</v>
      </c>
      <c r="G493" s="11" t="s">
        <v>11</v>
      </c>
      <c r="H493" s="52" t="s">
        <v>952</v>
      </c>
      <c r="I493" s="20" t="s">
        <v>949</v>
      </c>
      <c r="J493" s="11">
        <v>12</v>
      </c>
      <c r="K493" s="11">
        <v>12</v>
      </c>
      <c r="L493" s="11">
        <f t="shared" si="73"/>
        <v>0</v>
      </c>
      <c r="M493" s="134"/>
      <c r="N493" s="96">
        <v>46063</v>
      </c>
    </row>
    <row r="494" spans="1:14" x14ac:dyDescent="0.25">
      <c r="A494" s="11">
        <f t="shared" ca="1" si="71"/>
        <v>-99</v>
      </c>
      <c r="B494" s="37">
        <f t="shared" si="72"/>
        <v>53</v>
      </c>
      <c r="C494" s="11" t="s">
        <v>332</v>
      </c>
      <c r="D494" s="11" t="str">
        <f>VLOOKUP(VALUE(MID($C494,13,2)), [2]codigos!$A$2:$B$60, 2, 1) &amp; " " &amp; VLOOKUP(VALUE(MID($C494,15,4)), [2]codigos!$E$2:$F$102, 2, FALSE)</f>
        <v>BUDINERA   24</v>
      </c>
      <c r="E494" s="11" t="str">
        <f>VLOOKUP(VALUE(MID($C494,19,2)),[2]codigos!$H$2:$I$62,2,1) &amp; " " &amp; VLOOKUP(VALUE(MID($C494,21,2)),[2]codigos!$K$2:$L$12,2,FALSE)</f>
        <v>BICOLOR ROJO S/I</v>
      </c>
      <c r="F494" s="11" t="s">
        <v>951</v>
      </c>
      <c r="G494" s="11" t="s">
        <v>11</v>
      </c>
      <c r="H494" s="52" t="s">
        <v>952</v>
      </c>
      <c r="I494" s="20" t="s">
        <v>949</v>
      </c>
      <c r="J494" s="11">
        <v>12</v>
      </c>
      <c r="K494" s="11">
        <f>8+4</f>
        <v>12</v>
      </c>
      <c r="L494" s="11">
        <f t="shared" si="73"/>
        <v>0</v>
      </c>
      <c r="M494" s="134"/>
      <c r="N494" s="96">
        <v>46063</v>
      </c>
    </row>
    <row r="495" spans="1:14" x14ac:dyDescent="0.25">
      <c r="A495" s="11">
        <f t="shared" ca="1" si="71"/>
        <v>-99</v>
      </c>
      <c r="B495" s="37">
        <f t="shared" si="72"/>
        <v>53</v>
      </c>
      <c r="C495" s="11" t="s">
        <v>148</v>
      </c>
      <c r="D495" s="11" t="str">
        <f>VLOOKUP(VALUE(MID($C495,13,2)), [2]codigos!$A$2:$B$60, 2, 1) &amp; " " &amp; VLOOKUP(VALUE(MID($C495,15,4)), [2]codigos!$E$2:$F$102, 2, FALSE)</f>
        <v>BUDINERA   26</v>
      </c>
      <c r="E495" s="11" t="str">
        <f>VLOOKUP(VALUE(MID($C495,19,2)),[2]codigos!$H$2:$I$62,2,1) &amp; " " &amp; VLOOKUP(VALUE(MID($C495,21,2)),[2]codigos!$K$2:$L$12,2,FALSE)</f>
        <v>A/T S/I</v>
      </c>
      <c r="F495" s="11" t="s">
        <v>951</v>
      </c>
      <c r="G495" s="11" t="s">
        <v>11</v>
      </c>
      <c r="H495" s="52" t="s">
        <v>952</v>
      </c>
      <c r="I495" s="20" t="s">
        <v>949</v>
      </c>
      <c r="J495" s="11">
        <v>12</v>
      </c>
      <c r="K495" s="11">
        <v>12</v>
      </c>
      <c r="L495" s="11">
        <f t="shared" si="73"/>
        <v>0</v>
      </c>
      <c r="M495" s="134"/>
      <c r="N495" s="96">
        <v>46063</v>
      </c>
    </row>
    <row r="496" spans="1:14" x14ac:dyDescent="0.25">
      <c r="A496" s="11">
        <f t="shared" ca="1" si="71"/>
        <v>-99</v>
      </c>
      <c r="B496" s="37">
        <f t="shared" si="72"/>
        <v>53</v>
      </c>
      <c r="C496" s="11" t="s">
        <v>169</v>
      </c>
      <c r="D496" s="11" t="str">
        <f>VLOOKUP(VALUE(MID($C496,13,2)), [2]codigos!$A$2:$B$60, 2, 1) &amp; " " &amp; VLOOKUP(VALUE(MID($C496,15,4)), [2]codigos!$E$2:$F$102, 2, FALSE)</f>
        <v>BUDINERA   30</v>
      </c>
      <c r="E496" s="11" t="str">
        <f>VLOOKUP(VALUE(MID($C496,19,2)),[2]codigos!$H$2:$I$62,2,1) &amp; " " &amp; VLOOKUP(VALUE(MID($C496,21,2)),[2]codigos!$K$2:$L$12,2,FALSE)</f>
        <v>A/T S/I</v>
      </c>
      <c r="F496" s="11" t="s">
        <v>951</v>
      </c>
      <c r="G496" s="11" t="s">
        <v>11</v>
      </c>
      <c r="H496" s="52" t="s">
        <v>952</v>
      </c>
      <c r="I496" s="20" t="s">
        <v>949</v>
      </c>
      <c r="J496" s="11">
        <v>4</v>
      </c>
      <c r="K496" s="11">
        <v>4</v>
      </c>
      <c r="L496" s="11">
        <f t="shared" si="73"/>
        <v>0</v>
      </c>
      <c r="M496" s="134"/>
      <c r="N496" s="96">
        <v>46063</v>
      </c>
    </row>
    <row r="497" spans="1:14" x14ac:dyDescent="0.25">
      <c r="A497" s="11">
        <f t="shared" ca="1" si="71"/>
        <v>-99</v>
      </c>
      <c r="B497" s="37">
        <f t="shared" si="72"/>
        <v>53</v>
      </c>
      <c r="C497" s="11" t="s">
        <v>38</v>
      </c>
      <c r="D497" s="11" t="str">
        <f>VLOOKUP(VALUE(MID($C497,13,2)), [2]codigos!$A$2:$B$60, 2, 1) &amp; " " &amp; VLOOKUP(VALUE(MID($C497,15,4)), [2]codigos!$E$2:$F$102, 2, FALSE)</f>
        <v>BUDINERA   42</v>
      </c>
      <c r="E497" s="11" t="str">
        <f>VLOOKUP(VALUE(MID($C497,19,2)),[2]codigos!$H$2:$I$62,2,1) &amp; " " &amp; VLOOKUP(VALUE(MID($C497,21,2)),[2]codigos!$K$2:$L$12,2,FALSE)</f>
        <v>A/T S/I</v>
      </c>
      <c r="F497" s="11" t="s">
        <v>951</v>
      </c>
      <c r="G497" s="11" t="s">
        <v>11</v>
      </c>
      <c r="H497" s="52" t="s">
        <v>952</v>
      </c>
      <c r="I497" s="20" t="s">
        <v>949</v>
      </c>
      <c r="J497" s="11">
        <v>2</v>
      </c>
      <c r="K497" s="11">
        <v>0</v>
      </c>
      <c r="L497" s="11">
        <f t="shared" si="73"/>
        <v>2</v>
      </c>
      <c r="M497" s="134"/>
      <c r="N497" s="96">
        <v>46063</v>
      </c>
    </row>
    <row r="498" spans="1:14" x14ac:dyDescent="0.25">
      <c r="A498" s="11">
        <f t="shared" ca="1" si="71"/>
        <v>-99</v>
      </c>
      <c r="B498" s="37">
        <f t="shared" si="72"/>
        <v>53</v>
      </c>
      <c r="C498" s="11" t="s">
        <v>218</v>
      </c>
      <c r="D498" s="11" t="str">
        <f>VLOOKUP(VALUE(MID($C498,13,2)), [2]codigos!$A$2:$B$60, 2, 1) &amp; " " &amp; VLOOKUP(VALUE(MID($C498,15,4)), [2]codigos!$E$2:$F$102, 2, FALSE)</f>
        <v>CAZO 14</v>
      </c>
      <c r="E498" s="11" t="str">
        <f>VLOOKUP(VALUE(MID($C498,19,2)),[2]codigos!$H$2:$I$62,2,1) &amp; " " &amp; VLOOKUP(VALUE(MID($C498,21,2)),[2]codigos!$K$2:$L$12,2,FALSE)</f>
        <v>A/T S/I</v>
      </c>
      <c r="F498" s="11" t="s">
        <v>951</v>
      </c>
      <c r="G498" s="11" t="s">
        <v>11</v>
      </c>
      <c r="H498" s="52" t="s">
        <v>952</v>
      </c>
      <c r="I498" s="20" t="s">
        <v>949</v>
      </c>
      <c r="J498" s="11">
        <v>12</v>
      </c>
      <c r="K498" s="11">
        <v>12</v>
      </c>
      <c r="L498" s="11">
        <f t="shared" si="73"/>
        <v>0</v>
      </c>
      <c r="M498" s="134"/>
      <c r="N498" s="96">
        <v>46063</v>
      </c>
    </row>
    <row r="499" spans="1:14" x14ac:dyDescent="0.25">
      <c r="A499" s="11">
        <f t="shared" ca="1" si="71"/>
        <v>-99</v>
      </c>
      <c r="B499" s="37">
        <f t="shared" si="72"/>
        <v>53</v>
      </c>
      <c r="C499" s="11" t="s">
        <v>219</v>
      </c>
      <c r="D499" s="11" t="str">
        <f>VLOOKUP(VALUE(MID($C499,13,2)), [2]codigos!$A$2:$B$60, 2, 1) &amp; " " &amp; VLOOKUP(VALUE(MID($C499,15,4)), [2]codigos!$E$2:$F$102, 2, FALSE)</f>
        <v>CAZO 16</v>
      </c>
      <c r="E499" s="11" t="str">
        <f>VLOOKUP(VALUE(MID($C499,19,2)),[2]codigos!$H$2:$I$62,2,1) &amp; " " &amp; VLOOKUP(VALUE(MID($C499,21,2)),[2]codigos!$K$2:$L$12,2,FALSE)</f>
        <v>A/T S/I</v>
      </c>
      <c r="F499" s="11" t="s">
        <v>951</v>
      </c>
      <c r="G499" s="11" t="s">
        <v>11</v>
      </c>
      <c r="H499" s="52" t="s">
        <v>952</v>
      </c>
      <c r="I499" s="20" t="s">
        <v>949</v>
      </c>
      <c r="J499" s="11">
        <v>12</v>
      </c>
      <c r="K499" s="11">
        <v>12</v>
      </c>
      <c r="L499" s="11">
        <f t="shared" si="73"/>
        <v>0</v>
      </c>
      <c r="M499" s="134"/>
      <c r="N499" s="96">
        <v>46063</v>
      </c>
    </row>
    <row r="500" spans="1:14" x14ac:dyDescent="0.25">
      <c r="A500" s="11">
        <f t="shared" ca="1" si="71"/>
        <v>-99</v>
      </c>
      <c r="B500" s="37">
        <f t="shared" si="72"/>
        <v>53</v>
      </c>
      <c r="C500" s="11" t="s">
        <v>187</v>
      </c>
      <c r="D500" s="11" t="str">
        <f>VLOOKUP(VALUE(MID($C500,13,2)), [2]codigos!$A$2:$B$60, 2, 1) &amp; " " &amp; VLOOKUP(VALUE(MID($C500,15,4)), [2]codigos!$E$2:$F$102, 2, FALSE)</f>
        <v>OLLA CONVEXA 12</v>
      </c>
      <c r="E500" s="11" t="str">
        <f>VLOOKUP(VALUE(MID($C500,19,2)),[2]codigos!$H$2:$I$62,2,1) &amp; " " &amp; VLOOKUP(VALUE(MID($C500,21,2)),[2]codigos!$K$2:$L$12,2,FALSE)</f>
        <v>A/T S/I</v>
      </c>
      <c r="F500" s="11" t="s">
        <v>951</v>
      </c>
      <c r="G500" s="11" t="s">
        <v>11</v>
      </c>
      <c r="H500" s="52" t="s">
        <v>952</v>
      </c>
      <c r="I500" s="20" t="s">
        <v>949</v>
      </c>
      <c r="J500" s="11">
        <v>18</v>
      </c>
      <c r="K500" s="11">
        <v>18</v>
      </c>
      <c r="L500" s="11">
        <f t="shared" si="73"/>
        <v>0</v>
      </c>
      <c r="M500" s="134"/>
      <c r="N500" s="96">
        <v>46063</v>
      </c>
    </row>
    <row r="501" spans="1:14" x14ac:dyDescent="0.25">
      <c r="A501" s="11">
        <f t="shared" ca="1" si="71"/>
        <v>-99</v>
      </c>
      <c r="B501" s="37">
        <f t="shared" si="72"/>
        <v>53</v>
      </c>
      <c r="C501" s="11" t="s">
        <v>333</v>
      </c>
      <c r="D501" s="11" t="str">
        <f>VLOOKUP(VALUE(MID($C501,13,2)), [2]codigos!$A$2:$B$60, 2, 1) &amp; " " &amp; VLOOKUP(VALUE(MID($C501,15,4)), [2]codigos!$E$2:$F$102, 2, FALSE)</f>
        <v>OLLA CONVEXA 14</v>
      </c>
      <c r="E501" s="11" t="str">
        <f>VLOOKUP(VALUE(MID($C501,19,2)),[2]codigos!$H$2:$I$62,2,1) &amp; " " &amp; VLOOKUP(VALUE(MID($C501,21,2)),[2]codigos!$K$2:$L$12,2,FALSE)</f>
        <v>A/T S/I</v>
      </c>
      <c r="F501" s="11" t="s">
        <v>951</v>
      </c>
      <c r="G501" s="11" t="s">
        <v>11</v>
      </c>
      <c r="H501" s="52" t="s">
        <v>952</v>
      </c>
      <c r="I501" s="20" t="s">
        <v>949</v>
      </c>
      <c r="J501" s="11">
        <v>18</v>
      </c>
      <c r="K501" s="11">
        <v>0</v>
      </c>
      <c r="L501" s="11">
        <f t="shared" si="73"/>
        <v>18</v>
      </c>
      <c r="M501" s="134"/>
      <c r="N501" s="96">
        <v>46063</v>
      </c>
    </row>
    <row r="502" spans="1:14" x14ac:dyDescent="0.25">
      <c r="A502" s="11">
        <f t="shared" ca="1" si="71"/>
        <v>-99</v>
      </c>
      <c r="B502" s="37">
        <f t="shared" si="72"/>
        <v>53</v>
      </c>
      <c r="C502" s="11" t="s">
        <v>220</v>
      </c>
      <c r="D502" s="11" t="str">
        <f>VLOOKUP(VALUE(MID($C502,13,2)), [2]codigos!$A$2:$B$60, 2, 1) &amp; " " &amp; VLOOKUP(VALUE(MID($C502,15,4)), [2]codigos!$E$2:$F$102, 2, FALSE)</f>
        <v>OLLA CONVEXA 16</v>
      </c>
      <c r="E502" s="11" t="str">
        <f>VLOOKUP(VALUE(MID($C502,19,2)),[2]codigos!$H$2:$I$62,2,1) &amp; " " &amp; VLOOKUP(VALUE(MID($C502,21,2)),[2]codigos!$K$2:$L$12,2,FALSE)</f>
        <v>A/T S/I</v>
      </c>
      <c r="F502" s="11" t="s">
        <v>951</v>
      </c>
      <c r="G502" s="11" t="s">
        <v>11</v>
      </c>
      <c r="H502" s="52" t="s">
        <v>952</v>
      </c>
      <c r="I502" s="20" t="s">
        <v>949</v>
      </c>
      <c r="J502" s="11">
        <v>12</v>
      </c>
      <c r="K502" s="11">
        <v>0</v>
      </c>
      <c r="L502" s="11">
        <f t="shared" si="73"/>
        <v>12</v>
      </c>
      <c r="M502" s="134"/>
      <c r="N502" s="96">
        <v>46063</v>
      </c>
    </row>
    <row r="503" spans="1:14" x14ac:dyDescent="0.25">
      <c r="A503" s="11">
        <f t="shared" ca="1" si="71"/>
        <v>-99</v>
      </c>
      <c r="B503" s="37">
        <f t="shared" si="72"/>
        <v>53</v>
      </c>
      <c r="C503" s="11" t="s">
        <v>150</v>
      </c>
      <c r="D503" s="11" t="str">
        <f>VLOOKUP(VALUE(MID($C503,13,2)), [2]codigos!$A$2:$B$60, 2, 1) &amp; " " &amp; VLOOKUP(VALUE(MID($C503,15,4)), [2]codigos!$E$2:$F$102, 2, FALSE)</f>
        <v>OLLA CONVEXA 18</v>
      </c>
      <c r="E503" s="11" t="str">
        <f>VLOOKUP(VALUE(MID($C503,19,2)),[2]codigos!$H$2:$I$62,2,1) &amp; " " &amp; VLOOKUP(VALUE(MID($C503,21,2)),[2]codigos!$K$2:$L$12,2,FALSE)</f>
        <v>A/T S/I</v>
      </c>
      <c r="F503" s="11" t="s">
        <v>951</v>
      </c>
      <c r="G503" s="11" t="s">
        <v>11</v>
      </c>
      <c r="H503" s="52" t="s">
        <v>952</v>
      </c>
      <c r="I503" s="20" t="s">
        <v>949</v>
      </c>
      <c r="J503" s="11">
        <v>12</v>
      </c>
      <c r="K503" s="11">
        <v>12</v>
      </c>
      <c r="L503" s="11">
        <f t="shared" si="73"/>
        <v>0</v>
      </c>
      <c r="M503" s="134"/>
      <c r="N503" s="96">
        <v>46063</v>
      </c>
    </row>
    <row r="504" spans="1:14" x14ac:dyDescent="0.25">
      <c r="A504" s="11">
        <f t="shared" ca="1" si="71"/>
        <v>-99</v>
      </c>
      <c r="B504" s="37">
        <f t="shared" si="72"/>
        <v>53</v>
      </c>
      <c r="C504" s="11" t="s">
        <v>151</v>
      </c>
      <c r="D504" s="11" t="str">
        <f>VLOOKUP(VALUE(MID($C504,13,2)), [2]codigos!$A$2:$B$60, 2, 1) &amp; " " &amp; VLOOKUP(VALUE(MID($C504,15,4)), [2]codigos!$E$2:$F$102, 2, FALSE)</f>
        <v>OLLA CONVEXA 20</v>
      </c>
      <c r="E504" s="11" t="str">
        <f>VLOOKUP(VALUE(MID($C504,19,2)),[2]codigos!$H$2:$I$62,2,1) &amp; " " &amp; VLOOKUP(VALUE(MID($C504,21,2)),[2]codigos!$K$2:$L$12,2,FALSE)</f>
        <v>A/T S/I</v>
      </c>
      <c r="F504" s="11" t="s">
        <v>951</v>
      </c>
      <c r="G504" s="11" t="s">
        <v>11</v>
      </c>
      <c r="H504" s="52" t="s">
        <v>952</v>
      </c>
      <c r="I504" s="20" t="s">
        <v>949</v>
      </c>
      <c r="J504" s="11">
        <v>12</v>
      </c>
      <c r="K504" s="11">
        <v>0</v>
      </c>
      <c r="L504" s="11">
        <f t="shared" si="73"/>
        <v>12</v>
      </c>
      <c r="M504" s="134"/>
      <c r="N504" s="96">
        <v>46063</v>
      </c>
    </row>
    <row r="505" spans="1:14" x14ac:dyDescent="0.25">
      <c r="A505" s="11">
        <f t="shared" ca="1" si="71"/>
        <v>-99</v>
      </c>
      <c r="B505" s="37">
        <f t="shared" si="72"/>
        <v>53</v>
      </c>
      <c r="C505" s="11" t="s">
        <v>43</v>
      </c>
      <c r="D505" s="11" t="str">
        <f>VLOOKUP(VALUE(MID($C505,13,2)), [2]codigos!$A$2:$B$60, 2, 1) &amp; " " &amp; VLOOKUP(VALUE(MID($C505,15,4)), [2]codigos!$E$2:$F$102, 2, FALSE)</f>
        <v>OLLA CONVEXA 22</v>
      </c>
      <c r="E505" s="11" t="str">
        <f>VLOOKUP(VALUE(MID($C505,19,2)),[2]codigos!$H$2:$I$62,2,1) &amp; " " &amp; VLOOKUP(VALUE(MID($C505,21,2)),[2]codigos!$K$2:$L$12,2,FALSE)</f>
        <v>A/T S/I</v>
      </c>
      <c r="F505" s="11" t="s">
        <v>951</v>
      </c>
      <c r="G505" s="11" t="s">
        <v>11</v>
      </c>
      <c r="H505" s="52" t="s">
        <v>952</v>
      </c>
      <c r="I505" s="20" t="s">
        <v>949</v>
      </c>
      <c r="J505" s="11">
        <v>6</v>
      </c>
      <c r="K505" s="11">
        <v>6</v>
      </c>
      <c r="L505" s="11">
        <f t="shared" si="73"/>
        <v>0</v>
      </c>
      <c r="M505" s="134"/>
      <c r="N505" s="96">
        <v>46063</v>
      </c>
    </row>
    <row r="506" spans="1:14" x14ac:dyDescent="0.25">
      <c r="A506" s="11">
        <f t="shared" ca="1" si="71"/>
        <v>-99</v>
      </c>
      <c r="B506" s="37">
        <f t="shared" si="72"/>
        <v>53</v>
      </c>
      <c r="C506" s="11" t="s">
        <v>152</v>
      </c>
      <c r="D506" s="11" t="str">
        <f>VLOOKUP(VALUE(MID($C506,13,2)), [2]codigos!$A$2:$B$60, 2, 1) &amp; " " &amp; VLOOKUP(VALUE(MID($C506,15,4)), [2]codigos!$E$2:$F$102, 2, FALSE)</f>
        <v>OLLA CONVEXA 24</v>
      </c>
      <c r="E506" s="11" t="str">
        <f>VLOOKUP(VALUE(MID($C506,19,2)),[2]codigos!$H$2:$I$62,2,1) &amp; " " &amp; VLOOKUP(VALUE(MID($C506,21,2)),[2]codigos!$K$2:$L$12,2,FALSE)</f>
        <v>A/T S/I</v>
      </c>
      <c r="F506" s="11" t="s">
        <v>951</v>
      </c>
      <c r="G506" s="11" t="s">
        <v>11</v>
      </c>
      <c r="H506" s="52" t="s">
        <v>952</v>
      </c>
      <c r="I506" s="20" t="s">
        <v>949</v>
      </c>
      <c r="J506" s="11">
        <v>6</v>
      </c>
      <c r="K506" s="11">
        <v>6</v>
      </c>
      <c r="L506" s="11">
        <f t="shared" si="73"/>
        <v>0</v>
      </c>
      <c r="M506" s="134"/>
      <c r="N506" s="96">
        <v>46063</v>
      </c>
    </row>
    <row r="507" spans="1:14" x14ac:dyDescent="0.25">
      <c r="A507" s="11">
        <f t="shared" ca="1" si="71"/>
        <v>-99</v>
      </c>
      <c r="B507" s="37">
        <f t="shared" si="72"/>
        <v>53</v>
      </c>
      <c r="C507" s="11" t="s">
        <v>153</v>
      </c>
      <c r="D507" s="11" t="str">
        <f>VLOOKUP(VALUE(MID($C507,13,2)), [2]codigos!$A$2:$B$60, 2, 1) &amp; " " &amp; VLOOKUP(VALUE(MID($C507,15,4)), [2]codigos!$E$2:$F$102, 2, FALSE)</f>
        <v>OLLA CONVEXA 26</v>
      </c>
      <c r="E507" s="11" t="str">
        <f>VLOOKUP(VALUE(MID($C507,19,2)),[2]codigos!$H$2:$I$62,2,1) &amp; " " &amp; VLOOKUP(VALUE(MID($C507,21,2)),[2]codigos!$K$2:$L$12,2,FALSE)</f>
        <v>A/T S/I</v>
      </c>
      <c r="F507" s="11" t="s">
        <v>951</v>
      </c>
      <c r="G507" s="11" t="s">
        <v>11</v>
      </c>
      <c r="H507" s="52" t="s">
        <v>952</v>
      </c>
      <c r="I507" s="20" t="s">
        <v>949</v>
      </c>
      <c r="J507" s="11">
        <v>6</v>
      </c>
      <c r="K507" s="11">
        <v>6</v>
      </c>
      <c r="L507" s="11">
        <f t="shared" si="73"/>
        <v>0</v>
      </c>
      <c r="M507" s="134"/>
      <c r="N507" s="96">
        <v>46063</v>
      </c>
    </row>
    <row r="508" spans="1:14" x14ac:dyDescent="0.25">
      <c r="A508" s="11">
        <f t="shared" ca="1" si="71"/>
        <v>-99</v>
      </c>
      <c r="B508" s="37">
        <f t="shared" si="72"/>
        <v>53</v>
      </c>
      <c r="C508" s="11" t="s">
        <v>154</v>
      </c>
      <c r="D508" s="11" t="str">
        <f>VLOOKUP(VALUE(MID($C508,13,2)), [2]codigos!$A$2:$B$60, 2, 1) &amp; " " &amp; VLOOKUP(VALUE(MID($C508,15,4)), [2]codigos!$E$2:$F$102, 2, FALSE)</f>
        <v>OLLA CONVEXA 30</v>
      </c>
      <c r="E508" s="11" t="str">
        <f>VLOOKUP(VALUE(MID($C508,19,2)),[2]codigos!$H$2:$I$62,2,1) &amp; " " &amp; VLOOKUP(VALUE(MID($C508,21,2)),[2]codigos!$K$2:$L$12,2,FALSE)</f>
        <v>A/T S/I</v>
      </c>
      <c r="F508" s="11" t="s">
        <v>951</v>
      </c>
      <c r="G508" s="11" t="s">
        <v>11</v>
      </c>
      <c r="H508" s="52" t="s">
        <v>952</v>
      </c>
      <c r="I508" s="20" t="s">
        <v>949</v>
      </c>
      <c r="J508" s="11">
        <v>2</v>
      </c>
      <c r="K508" s="11">
        <v>2</v>
      </c>
      <c r="L508" s="11">
        <f t="shared" si="73"/>
        <v>0</v>
      </c>
      <c r="M508" s="134"/>
      <c r="N508" s="96">
        <v>46063</v>
      </c>
    </row>
    <row r="509" spans="1:14" x14ac:dyDescent="0.25">
      <c r="A509" s="11">
        <f t="shared" ca="1" si="71"/>
        <v>-99</v>
      </c>
      <c r="B509" s="37">
        <f t="shared" si="72"/>
        <v>53</v>
      </c>
      <c r="C509" s="11" t="s">
        <v>334</v>
      </c>
      <c r="D509" s="11" t="str">
        <f>VLOOKUP(VALUE(MID($C509,13,2)), [2]codigos!$A$2:$B$60, 2, 1) &amp; " " &amp; VLOOKUP(VALUE(MID($C509,15,4)), [2]codigos!$E$2:$F$102, 2, FALSE)</f>
        <v>OLLA RECTA 20</v>
      </c>
      <c r="E509" s="11" t="str">
        <f>VLOOKUP(VALUE(MID($C509,19,2)),[2]codigos!$H$2:$I$62,2,1) &amp; " " &amp; VLOOKUP(VALUE(MID($C509,21,2)),[2]codigos!$K$2:$L$12,2,FALSE)</f>
        <v>BICOLOR NARANJA S/I</v>
      </c>
      <c r="F509" s="11" t="s">
        <v>951</v>
      </c>
      <c r="G509" s="11" t="s">
        <v>11</v>
      </c>
      <c r="H509" s="52" t="s">
        <v>952</v>
      </c>
      <c r="I509" s="20" t="s">
        <v>949</v>
      </c>
      <c r="J509" s="11">
        <v>12</v>
      </c>
      <c r="K509" s="11">
        <v>12</v>
      </c>
      <c r="L509" s="11">
        <f t="shared" si="73"/>
        <v>0</v>
      </c>
      <c r="M509" s="134"/>
      <c r="N509" s="96">
        <v>46063</v>
      </c>
    </row>
    <row r="510" spans="1:14" x14ac:dyDescent="0.25">
      <c r="A510" s="11">
        <f t="shared" ca="1" si="71"/>
        <v>-99</v>
      </c>
      <c r="B510" s="37">
        <f t="shared" si="72"/>
        <v>53</v>
      </c>
      <c r="C510" s="11" t="s">
        <v>381</v>
      </c>
      <c r="D510" s="11" t="str">
        <f>VLOOKUP(VALUE(MID($C510,13,2)), [2]codigos!$A$2:$B$60, 2, 1) &amp; " " &amp; VLOOKUP(VALUE(MID($C510,15,4)), [2]codigos!$E$2:$F$102, 2, FALSE)</f>
        <v>OLLA RECTA 24</v>
      </c>
      <c r="E510" s="11" t="str">
        <f>VLOOKUP(VALUE(MID($C510,19,2)),[2]codigos!$H$2:$I$62,2,1) &amp; " " &amp; VLOOKUP(VALUE(MID($C510,21,2)),[2]codigos!$K$2:$L$12,2,FALSE)</f>
        <v>BICOLOR ROJO S/I</v>
      </c>
      <c r="F510" s="11" t="s">
        <v>951</v>
      </c>
      <c r="G510" s="11" t="s">
        <v>11</v>
      </c>
      <c r="H510" s="52" t="s">
        <v>952</v>
      </c>
      <c r="I510" s="20" t="s">
        <v>949</v>
      </c>
      <c r="J510" s="11">
        <v>4</v>
      </c>
      <c r="K510" s="11">
        <v>4</v>
      </c>
      <c r="L510" s="11">
        <f t="shared" si="73"/>
        <v>0</v>
      </c>
      <c r="M510" s="134"/>
      <c r="N510" s="96">
        <v>46063</v>
      </c>
    </row>
    <row r="511" spans="1:14" x14ac:dyDescent="0.25">
      <c r="A511" s="11">
        <f t="shared" ca="1" si="71"/>
        <v>-99</v>
      </c>
      <c r="B511" s="37">
        <f t="shared" si="72"/>
        <v>53</v>
      </c>
      <c r="C511" s="11" t="s">
        <v>157</v>
      </c>
      <c r="D511" s="11" t="str">
        <f>VLOOKUP(VALUE(MID($C511,13,2)), [2]codigos!$A$2:$B$60, 2, 1) &amp; " " &amp; VLOOKUP(VALUE(MID($C511,15,4)), [2]codigos!$E$2:$F$102, 2, FALSE)</f>
        <v>OLLA RECTA 42</v>
      </c>
      <c r="E511" s="11" t="str">
        <f>VLOOKUP(VALUE(MID($C511,19,2)),[2]codigos!$H$2:$I$62,2,1) &amp; " " &amp; VLOOKUP(VALUE(MID($C511,21,2)),[2]codigos!$K$2:$L$12,2,FALSE)</f>
        <v>A/T S/I</v>
      </c>
      <c r="F511" s="11" t="s">
        <v>951</v>
      </c>
      <c r="G511" s="11" t="s">
        <v>11</v>
      </c>
      <c r="H511" s="52" t="s">
        <v>952</v>
      </c>
      <c r="I511" s="20" t="s">
        <v>949</v>
      </c>
      <c r="J511" s="11">
        <v>3</v>
      </c>
      <c r="K511" s="11">
        <v>3</v>
      </c>
      <c r="L511" s="11">
        <f t="shared" si="73"/>
        <v>0</v>
      </c>
      <c r="M511" s="134"/>
      <c r="N511" s="96">
        <v>46063</v>
      </c>
    </row>
    <row r="512" spans="1:14" x14ac:dyDescent="0.25">
      <c r="A512" s="11">
        <f t="shared" ca="1" si="71"/>
        <v>-99</v>
      </c>
      <c r="B512" s="37">
        <f t="shared" si="72"/>
        <v>53</v>
      </c>
      <c r="C512" s="11" t="s">
        <v>226</v>
      </c>
      <c r="D512" s="11" t="str">
        <f>VLOOKUP(VALUE(MID($C512,13,2)), [2]codigos!$A$2:$B$60, 2, 1) &amp; " " &amp; VLOOKUP(VALUE(MID($C512,15,4)), [2]codigos!$E$2:$F$102, 2, FALSE)</f>
        <v>POCILLO 10</v>
      </c>
      <c r="E512" s="11" t="str">
        <f>VLOOKUP(VALUE(MID($C512,19,2)),[2]codigos!$H$2:$I$62,2,1) &amp; " " &amp; VLOOKUP(VALUE(MID($C512,21,2)),[2]codigos!$K$2:$L$12,2,FALSE)</f>
        <v>A/T S/I</v>
      </c>
      <c r="F512" s="11" t="s">
        <v>951</v>
      </c>
      <c r="G512" s="11" t="s">
        <v>11</v>
      </c>
      <c r="H512" s="52" t="s">
        <v>952</v>
      </c>
      <c r="I512" s="20" t="s">
        <v>949</v>
      </c>
      <c r="J512" s="11">
        <v>24</v>
      </c>
      <c r="K512" s="11">
        <v>24</v>
      </c>
      <c r="L512" s="11">
        <f t="shared" si="73"/>
        <v>0</v>
      </c>
      <c r="M512" s="134"/>
      <c r="N512" s="96">
        <v>46063</v>
      </c>
    </row>
    <row r="513" spans="1:14" x14ac:dyDescent="0.25">
      <c r="A513" s="11">
        <f t="shared" ca="1" si="71"/>
        <v>-99</v>
      </c>
      <c r="B513" s="37">
        <f t="shared" si="72"/>
        <v>53</v>
      </c>
      <c r="C513" s="11" t="s">
        <v>180</v>
      </c>
      <c r="D513" s="11" t="str">
        <f>VLOOKUP(VALUE(MID($C513,13,2)), [2]codigos!$A$2:$B$60, 2, 1) &amp; " " &amp; VLOOKUP(VALUE(MID($C513,15,4)), [2]codigos!$E$2:$F$102, 2, FALSE)</f>
        <v>POCILLO 12</v>
      </c>
      <c r="E513" s="11" t="str">
        <f>VLOOKUP(VALUE(MID($C513,19,2)),[2]codigos!$H$2:$I$62,2,1) &amp; " " &amp; VLOOKUP(VALUE(MID($C513,21,2)),[2]codigos!$K$2:$L$12,2,FALSE)</f>
        <v>A/T S/I</v>
      </c>
      <c r="F513" s="11" t="s">
        <v>951</v>
      </c>
      <c r="G513" s="11" t="s">
        <v>11</v>
      </c>
      <c r="H513" s="52" t="s">
        <v>952</v>
      </c>
      <c r="I513" s="20" t="s">
        <v>949</v>
      </c>
      <c r="J513" s="11">
        <v>24</v>
      </c>
      <c r="K513" s="11">
        <v>24</v>
      </c>
      <c r="L513" s="11">
        <f t="shared" si="73"/>
        <v>0</v>
      </c>
      <c r="M513" s="134"/>
      <c r="N513" s="96">
        <v>46063</v>
      </c>
    </row>
    <row r="514" spans="1:14" x14ac:dyDescent="0.25">
      <c r="A514" s="11">
        <f t="shared" ca="1" si="71"/>
        <v>-99</v>
      </c>
      <c r="B514" s="37">
        <f t="shared" si="72"/>
        <v>53</v>
      </c>
      <c r="C514" s="11" t="s">
        <v>182</v>
      </c>
      <c r="D514" s="11" t="str">
        <f>VLOOKUP(VALUE(MID($C514,13,2)), [2]codigos!$A$2:$B$60, 2, 1) &amp; " " &amp; VLOOKUP(VALUE(MID($C514,15,4)), [2]codigos!$E$2:$F$102, 2, FALSE)</f>
        <v>POCILLO 14</v>
      </c>
      <c r="E514" s="11" t="str">
        <f>VLOOKUP(VALUE(MID($C514,19,2)),[2]codigos!$H$2:$I$62,2,1) &amp; " " &amp; VLOOKUP(VALUE(MID($C514,21,2)),[2]codigos!$K$2:$L$12,2,FALSE)</f>
        <v>A/T S/I</v>
      </c>
      <c r="F514" s="11" t="s">
        <v>951</v>
      </c>
      <c r="G514" s="11" t="s">
        <v>11</v>
      </c>
      <c r="H514" s="52" t="s">
        <v>952</v>
      </c>
      <c r="I514" s="20" t="s">
        <v>949</v>
      </c>
      <c r="J514" s="11">
        <v>24</v>
      </c>
      <c r="K514" s="11">
        <v>24</v>
      </c>
      <c r="L514" s="11">
        <f t="shared" si="73"/>
        <v>0</v>
      </c>
      <c r="M514" s="134"/>
      <c r="N514" s="96">
        <v>46063</v>
      </c>
    </row>
    <row r="515" spans="1:14" x14ac:dyDescent="0.25">
      <c r="A515" s="11">
        <f t="shared" ca="1" si="71"/>
        <v>-99</v>
      </c>
      <c r="B515" s="37">
        <f t="shared" si="72"/>
        <v>53</v>
      </c>
      <c r="C515" s="11" t="s">
        <v>129</v>
      </c>
      <c r="D515" s="11" t="str">
        <f>VLOOKUP(VALUE(MID($C515,13,2)), [2]codigos!$A$2:$B$60, 2, 1) &amp; " " &amp; VLOOKUP(VALUE(MID($C515,15,4)), [2]codigos!$E$2:$F$102, 2, FALSE)</f>
        <v>POCILLO 14</v>
      </c>
      <c r="E515" s="11" t="str">
        <f>VLOOKUP(VALUE(MID($C515,19,2)),[2]codigos!$H$2:$I$62,2,1) &amp; " " &amp; VLOOKUP(VALUE(MID($C515,21,2)),[2]codigos!$K$2:$L$12,2,FALSE)</f>
        <v>BICOLOR NARANJA S/I</v>
      </c>
      <c r="F515" s="11" t="s">
        <v>951</v>
      </c>
      <c r="G515" s="11" t="s">
        <v>11</v>
      </c>
      <c r="H515" s="52" t="s">
        <v>952</v>
      </c>
      <c r="I515" s="20" t="s">
        <v>949</v>
      </c>
      <c r="J515" s="11">
        <v>12</v>
      </c>
      <c r="K515" s="11">
        <f>6+6</f>
        <v>12</v>
      </c>
      <c r="L515" s="11">
        <f t="shared" si="73"/>
        <v>0</v>
      </c>
      <c r="M515" s="134"/>
      <c r="N515" s="96">
        <v>46063</v>
      </c>
    </row>
    <row r="516" spans="1:14" x14ac:dyDescent="0.25">
      <c r="A516" s="11">
        <f t="shared" ca="1" si="71"/>
        <v>-99</v>
      </c>
      <c r="B516" s="37">
        <f t="shared" si="72"/>
        <v>53</v>
      </c>
      <c r="C516" s="11" t="s">
        <v>130</v>
      </c>
      <c r="D516" s="11" t="str">
        <f>VLOOKUP(VALUE(MID($C516,13,2)), [2]codigos!$A$2:$B$60, 2, 1) &amp; " " &amp; VLOOKUP(VALUE(MID($C516,15,4)), [2]codigos!$E$2:$F$102, 2, FALSE)</f>
        <v>POCILLO 14</v>
      </c>
      <c r="E516" s="11" t="str">
        <f>VLOOKUP(VALUE(MID($C516,19,2)),[2]codigos!$H$2:$I$62,2,1) &amp; " " &amp; VLOOKUP(VALUE(MID($C516,21,2)),[2]codigos!$K$2:$L$12,2,FALSE)</f>
        <v>BICOLOR ROJO S/I</v>
      </c>
      <c r="F516" s="11" t="s">
        <v>951</v>
      </c>
      <c r="G516" s="11" t="s">
        <v>11</v>
      </c>
      <c r="H516" s="52" t="s">
        <v>952</v>
      </c>
      <c r="I516" s="20" t="s">
        <v>949</v>
      </c>
      <c r="J516" s="11">
        <v>12</v>
      </c>
      <c r="K516" s="11">
        <v>12</v>
      </c>
      <c r="L516" s="11">
        <f t="shared" si="73"/>
        <v>0</v>
      </c>
      <c r="M516" s="134"/>
      <c r="N516" s="96">
        <v>46063</v>
      </c>
    </row>
    <row r="517" spans="1:14" x14ac:dyDescent="0.25">
      <c r="A517" s="11">
        <f t="shared" ca="1" si="71"/>
        <v>-99</v>
      </c>
      <c r="B517" s="37">
        <f t="shared" si="72"/>
        <v>53</v>
      </c>
      <c r="C517" s="11" t="s">
        <v>262</v>
      </c>
      <c r="D517" s="11" t="str">
        <f>VLOOKUP(VALUE(MID($C517,13,2)), [2]codigos!$A$2:$B$60, 2, 1) &amp; " " &amp; VLOOKUP(VALUE(MID($C517,15,4)), [2]codigos!$E$2:$F$102, 2, FALSE)</f>
        <v>SARTEN 20</v>
      </c>
      <c r="E517" s="11" t="str">
        <f>VLOOKUP(VALUE(MID($C517,19,2)),[2]codigos!$H$2:$I$62,2,1) &amp; " " &amp; VLOOKUP(VALUE(MID($C517,21,2)),[2]codigos!$K$2:$L$12,2,FALSE)</f>
        <v>A/T S/I</v>
      </c>
      <c r="F517" s="11" t="s">
        <v>951</v>
      </c>
      <c r="G517" s="11" t="s">
        <v>11</v>
      </c>
      <c r="H517" s="52" t="s">
        <v>952</v>
      </c>
      <c r="I517" s="20" t="s">
        <v>949</v>
      </c>
      <c r="J517" s="11">
        <v>12</v>
      </c>
      <c r="K517" s="11">
        <v>12</v>
      </c>
      <c r="L517" s="11">
        <f t="shared" si="73"/>
        <v>0</v>
      </c>
      <c r="M517" s="134"/>
      <c r="N517" s="96">
        <v>46063</v>
      </c>
    </row>
    <row r="518" spans="1:14" x14ac:dyDescent="0.25">
      <c r="A518" s="11">
        <f t="shared" ca="1" si="71"/>
        <v>-99</v>
      </c>
      <c r="B518" s="37">
        <f t="shared" si="72"/>
        <v>53</v>
      </c>
      <c r="C518" s="11" t="s">
        <v>227</v>
      </c>
      <c r="D518" s="11" t="str">
        <f>VLOOKUP(VALUE(MID($C518,13,2)), [2]codigos!$A$2:$B$60, 2, 1) &amp; " " &amp; VLOOKUP(VALUE(MID($C518,15,4)), [2]codigos!$E$2:$F$102, 2, FALSE)</f>
        <v>SARTEN 22</v>
      </c>
      <c r="E518" s="11" t="str">
        <f>VLOOKUP(VALUE(MID($C518,19,2)),[2]codigos!$H$2:$I$62,2,1) &amp; " " &amp; VLOOKUP(VALUE(MID($C518,21,2)),[2]codigos!$K$2:$L$12,2,FALSE)</f>
        <v>A/T S/I</v>
      </c>
      <c r="F518" s="11" t="s">
        <v>951</v>
      </c>
      <c r="G518" s="11" t="s">
        <v>11</v>
      </c>
      <c r="H518" s="52" t="s">
        <v>952</v>
      </c>
      <c r="I518" s="20" t="s">
        <v>949</v>
      </c>
      <c r="J518" s="11">
        <v>12</v>
      </c>
      <c r="K518" s="11">
        <v>12</v>
      </c>
      <c r="L518" s="11">
        <f t="shared" si="73"/>
        <v>0</v>
      </c>
      <c r="M518" s="134"/>
      <c r="N518" s="96">
        <v>46063</v>
      </c>
    </row>
    <row r="519" spans="1:14" x14ac:dyDescent="0.25">
      <c r="A519" s="11">
        <f t="shared" ca="1" si="71"/>
        <v>-99</v>
      </c>
      <c r="B519" s="37">
        <f t="shared" si="72"/>
        <v>53</v>
      </c>
      <c r="C519" s="11" t="s">
        <v>44</v>
      </c>
      <c r="D519" s="11" t="str">
        <f>VLOOKUP(VALUE(MID($C519,13,2)), [2]codigos!$A$2:$B$60, 2, 1) &amp; " " &amp; VLOOKUP(VALUE(MID($C519,15,4)), [2]codigos!$E$2:$F$102, 2, FALSE)</f>
        <v>SARTEN 24</v>
      </c>
      <c r="E519" s="11" t="str">
        <f>VLOOKUP(VALUE(MID($C519,19,2)),[2]codigos!$H$2:$I$62,2,1) &amp; " " &amp; VLOOKUP(VALUE(MID($C519,21,2)),[2]codigos!$K$2:$L$12,2,FALSE)</f>
        <v>A/T S/I</v>
      </c>
      <c r="F519" s="11" t="s">
        <v>951</v>
      </c>
      <c r="G519" s="11" t="s">
        <v>11</v>
      </c>
      <c r="H519" s="52" t="s">
        <v>952</v>
      </c>
      <c r="I519" s="20" t="s">
        <v>949</v>
      </c>
      <c r="J519" s="11">
        <v>12</v>
      </c>
      <c r="K519" s="11">
        <v>12</v>
      </c>
      <c r="L519" s="11">
        <f t="shared" si="73"/>
        <v>0</v>
      </c>
      <c r="M519" s="134"/>
      <c r="N519" s="96">
        <v>46063</v>
      </c>
    </row>
    <row r="520" spans="1:14" x14ac:dyDescent="0.25">
      <c r="A520" s="11">
        <f t="shared" ca="1" si="71"/>
        <v>-99</v>
      </c>
      <c r="B520" s="37">
        <f t="shared" si="72"/>
        <v>53</v>
      </c>
      <c r="C520" s="11" t="s">
        <v>239</v>
      </c>
      <c r="D520" s="11" t="str">
        <f>VLOOKUP(VALUE(MID($C520,13,2)), [2]codigos!$A$2:$B$60, 2, 1) &amp; " " &amp; VLOOKUP(VALUE(MID($C520,15,4)), [2]codigos!$E$2:$F$102, 2, FALSE)</f>
        <v>SARTEN 26</v>
      </c>
      <c r="E520" s="11" t="str">
        <f>VLOOKUP(VALUE(MID($C520,19,2)),[2]codigos!$H$2:$I$62,2,1) &amp; " " &amp; VLOOKUP(VALUE(MID($C520,21,2)),[2]codigos!$K$2:$L$12,2,FALSE)</f>
        <v>A/T S/I</v>
      </c>
      <c r="F520" s="11" t="s">
        <v>951</v>
      </c>
      <c r="G520" s="11" t="s">
        <v>11</v>
      </c>
      <c r="H520" s="52" t="s">
        <v>952</v>
      </c>
      <c r="I520" s="20" t="s">
        <v>949</v>
      </c>
      <c r="J520" s="11">
        <v>12</v>
      </c>
      <c r="K520" s="11">
        <v>12</v>
      </c>
      <c r="L520" s="11">
        <f t="shared" si="73"/>
        <v>0</v>
      </c>
      <c r="M520" s="134"/>
      <c r="N520" s="96">
        <v>46063</v>
      </c>
    </row>
    <row r="521" spans="1:14" x14ac:dyDescent="0.25">
      <c r="A521" s="11">
        <f t="shared" ca="1" si="71"/>
        <v>-99</v>
      </c>
      <c r="B521" s="37">
        <f t="shared" si="72"/>
        <v>53</v>
      </c>
      <c r="C521" s="11" t="s">
        <v>855</v>
      </c>
      <c r="D521" s="11" t="str">
        <f>VLOOKUP(VALUE(MID($C521,13,2)), [2]codigos!$A$2:$B$60, 2, 1) &amp; " " &amp; VLOOKUP(VALUE(MID($C521,15,4)), [2]codigos!$E$2:$F$102, 2, FALSE)</f>
        <v>OLLA RECTA PROFUNDA 14</v>
      </c>
      <c r="E521" s="11" t="str">
        <f>VLOOKUP(VALUE(MID($C521,19,2)),[2]codigos!$H$2:$I$62,2,1) &amp; " " &amp; VLOOKUP(VALUE(MID($C521,21,2)),[2]codigos!$K$2:$L$12,2,FALSE)</f>
        <v>A/T S/I</v>
      </c>
      <c r="F521" s="11" t="s">
        <v>951</v>
      </c>
      <c r="G521" s="11" t="s">
        <v>11</v>
      </c>
      <c r="H521" s="52" t="s">
        <v>952</v>
      </c>
      <c r="I521" s="20" t="s">
        <v>949</v>
      </c>
      <c r="J521" s="11">
        <v>12</v>
      </c>
      <c r="K521" s="11">
        <v>12</v>
      </c>
      <c r="L521" s="11">
        <f t="shared" si="73"/>
        <v>0</v>
      </c>
      <c r="M521" s="134"/>
      <c r="N521" s="96">
        <v>46063</v>
      </c>
    </row>
    <row r="522" spans="1:14" x14ac:dyDescent="0.25">
      <c r="A522" s="11">
        <f t="shared" ca="1" si="71"/>
        <v>-99</v>
      </c>
      <c r="B522" s="37">
        <f t="shared" si="72"/>
        <v>53</v>
      </c>
      <c r="C522" s="11" t="s">
        <v>188</v>
      </c>
      <c r="D522" s="11" t="str">
        <f>VLOOKUP(VALUE(MID($C522,13,2)), [2]codigos!$A$2:$B$60, 2, 1) &amp; " " &amp; VLOOKUP(VALUE(MID($C522,15,4)), [2]codigos!$E$2:$F$102, 2, FALSE)</f>
        <v>POCILLO 14</v>
      </c>
      <c r="E522" s="11" t="str">
        <f>VLOOKUP(VALUE(MID($C522,19,2)),[2]codigos!$H$2:$I$62,2,1) &amp; " " &amp; VLOOKUP(VALUE(MID($C522,21,2)),[2]codigos!$K$2:$L$12,2,FALSE)</f>
        <v>S/I S/I</v>
      </c>
      <c r="F522" s="11" t="s">
        <v>951</v>
      </c>
      <c r="G522" s="11" t="s">
        <v>11</v>
      </c>
      <c r="H522" s="52" t="s">
        <v>952</v>
      </c>
      <c r="I522" s="20" t="s">
        <v>949</v>
      </c>
      <c r="J522" s="11">
        <v>24</v>
      </c>
      <c r="K522" s="11">
        <v>24</v>
      </c>
      <c r="L522" s="11">
        <f t="shared" si="73"/>
        <v>0</v>
      </c>
      <c r="M522" s="134"/>
      <c r="N522" s="96">
        <v>46063</v>
      </c>
    </row>
    <row r="523" spans="1:14" x14ac:dyDescent="0.25">
      <c r="A523" s="11">
        <f t="shared" ca="1" si="71"/>
        <v>-99</v>
      </c>
      <c r="B523" s="37">
        <f t="shared" si="72"/>
        <v>53</v>
      </c>
      <c r="C523" s="11" t="s">
        <v>73</v>
      </c>
      <c r="D523" s="11" t="str">
        <f>VLOOKUP(VALUE(MID($C523,13,2)), [2]codigos!$A$2:$B$60, 2, 1) &amp; " " &amp; VLOOKUP(VALUE(MID($C523,15,4)), [2]codigos!$E$2:$F$102, 2, FALSE)</f>
        <v>POCILLO 5</v>
      </c>
      <c r="E523" s="11" t="str">
        <f>VLOOKUP(VALUE(MID($C523,19,2)),[2]codigos!$H$2:$I$62,2,1) &amp; " " &amp; VLOOKUP(VALUE(MID($C523,21,2)),[2]codigos!$K$2:$L$12,2,FALSE)</f>
        <v>A/T S/I</v>
      </c>
      <c r="F523" s="11" t="s">
        <v>951</v>
      </c>
      <c r="G523" s="11" t="s">
        <v>11</v>
      </c>
      <c r="H523" s="52" t="s">
        <v>953</v>
      </c>
      <c r="I523" s="20" t="s">
        <v>949</v>
      </c>
      <c r="J523" s="11">
        <v>24</v>
      </c>
      <c r="K523" s="11">
        <v>24</v>
      </c>
      <c r="L523" s="11">
        <f t="shared" si="73"/>
        <v>0</v>
      </c>
      <c r="M523" s="134">
        <f>(SUM(K523:K525))/(SUM(J523:J525))</f>
        <v>1</v>
      </c>
      <c r="N523" s="96">
        <v>46063</v>
      </c>
    </row>
    <row r="524" spans="1:14" x14ac:dyDescent="0.25">
      <c r="A524" s="11">
        <f t="shared" ca="1" si="71"/>
        <v>-99</v>
      </c>
      <c r="B524" s="37">
        <f t="shared" si="72"/>
        <v>53</v>
      </c>
      <c r="C524" s="11" t="s">
        <v>75</v>
      </c>
      <c r="D524" s="11" t="str">
        <f>VLOOKUP(VALUE(MID($C524,13,2)), [2]codigos!$A$2:$B$60, 2, 1) &amp; " " &amp; VLOOKUP(VALUE(MID($C524,15,4)), [2]codigos!$E$2:$F$102, 2, FALSE)</f>
        <v>POCILLO 5</v>
      </c>
      <c r="E524" s="11" t="str">
        <f>VLOOKUP(VALUE(MID($C524,19,2)),[2]codigos!$H$2:$I$62,2,1) &amp; " " &amp; VLOOKUP(VALUE(MID($C524,21,2)),[2]codigos!$K$2:$L$12,2,FALSE)</f>
        <v>BLANCO  NEGRO</v>
      </c>
      <c r="F524" s="11" t="s">
        <v>951</v>
      </c>
      <c r="G524" s="11" t="s">
        <v>11</v>
      </c>
      <c r="H524" s="52" t="s">
        <v>953</v>
      </c>
      <c r="I524" s="20" t="s">
        <v>949</v>
      </c>
      <c r="J524" s="11">
        <v>24</v>
      </c>
      <c r="K524" s="11">
        <v>24</v>
      </c>
      <c r="L524" s="11">
        <f t="shared" si="73"/>
        <v>0</v>
      </c>
      <c r="M524" s="134"/>
      <c r="N524" s="96">
        <v>46063</v>
      </c>
    </row>
    <row r="525" spans="1:14" x14ac:dyDescent="0.25">
      <c r="A525" s="11">
        <f t="shared" ca="1" si="71"/>
        <v>-99</v>
      </c>
      <c r="B525" s="37">
        <f t="shared" si="72"/>
        <v>53</v>
      </c>
      <c r="C525" s="11" t="s">
        <v>298</v>
      </c>
      <c r="D525" s="11" t="str">
        <f>VLOOKUP(VALUE(MID($C525,13,2)), [2]codigos!$A$2:$B$60, 2, 1) &amp; " " &amp; VLOOKUP(VALUE(MID($C525,15,4)), [2]codigos!$E$2:$F$102, 2, FALSE)</f>
        <v>POCILLO 5</v>
      </c>
      <c r="E525" s="11" t="str">
        <f>VLOOKUP(VALUE(MID($C525,19,2)),[2]codigos!$H$2:$I$62,2,1) &amp; " " &amp; VLOOKUP(VALUE(MID($C525,21,2)),[2]codigos!$K$2:$L$12,2,FALSE)</f>
        <v>NEGRO S/I</v>
      </c>
      <c r="F525" s="11" t="s">
        <v>951</v>
      </c>
      <c r="G525" s="11" t="s">
        <v>11</v>
      </c>
      <c r="H525" s="52" t="s">
        <v>953</v>
      </c>
      <c r="I525" s="20" t="s">
        <v>949</v>
      </c>
      <c r="J525" s="11">
        <v>24</v>
      </c>
      <c r="K525" s="11">
        <v>24</v>
      </c>
      <c r="L525" s="11">
        <f t="shared" si="73"/>
        <v>0</v>
      </c>
      <c r="M525" s="134"/>
      <c r="N525" s="96">
        <v>46063</v>
      </c>
    </row>
    <row r="526" spans="1:14" x14ac:dyDescent="0.25">
      <c r="A526" s="11">
        <f t="shared" ref="A526:A545" ca="1" si="74">DAYS360($B$1,I526)</f>
        <v>-73</v>
      </c>
      <c r="B526" s="37">
        <f t="shared" ref="B526:B545" si="75">+N526-I526</f>
        <v>27</v>
      </c>
      <c r="C526" s="11" t="s">
        <v>572</v>
      </c>
      <c r="D526" s="11" t="str">
        <f>VLOOKUP(VALUE(MID($C526,13,2)), codigos!$A$2:$B$60, 2, 1) &amp; " " &amp; VLOOKUP(VALUE(MID($C526,15,4)), codigos!$E$2:$F$102, 2, FALSE)</f>
        <v>BUDINERA 18</v>
      </c>
      <c r="E526" s="11" t="str">
        <f>VLOOKUP(VALUE(MID($C526,19,2)),codigos!$H$2:$I$62,2,1) &amp; " " &amp; VLOOKUP(VALUE(MID($C526,21,2)),codigos!$K$2:$L$12,2,FALSE)</f>
        <v>A/T S/I</v>
      </c>
      <c r="F526" s="11" t="s">
        <v>1033</v>
      </c>
      <c r="G526" s="11" t="s">
        <v>11</v>
      </c>
      <c r="H526" s="52" t="s">
        <v>1034</v>
      </c>
      <c r="I526" s="20" t="s">
        <v>1035</v>
      </c>
      <c r="J526" s="11">
        <v>5</v>
      </c>
      <c r="K526" s="11">
        <f>2+3</f>
        <v>5</v>
      </c>
      <c r="L526" s="11">
        <f t="shared" ref="L526:L552" si="76">+J526-K526</f>
        <v>0</v>
      </c>
      <c r="M526" s="134">
        <f>(SUM(K526:K545))/(SUM(J526:J545))</f>
        <v>1</v>
      </c>
      <c r="N526" s="96">
        <v>46064</v>
      </c>
    </row>
    <row r="527" spans="1:14" x14ac:dyDescent="0.25">
      <c r="A527" s="11">
        <f t="shared" ca="1" si="74"/>
        <v>-73</v>
      </c>
      <c r="B527" s="37">
        <f t="shared" si="75"/>
        <v>27</v>
      </c>
      <c r="C527" s="11" t="s">
        <v>576</v>
      </c>
      <c r="D527" s="11" t="str">
        <f>VLOOKUP(VALUE(MID($C527,13,2)), codigos!$A$2:$B$60, 2, 1) &amp; " " &amp; VLOOKUP(VALUE(MID($C527,15,4)), codigos!$E$2:$F$102, 2, FALSE)</f>
        <v>BUDINERA 24</v>
      </c>
      <c r="E527" s="11" t="str">
        <f>VLOOKUP(VALUE(MID($C527,19,2)),codigos!$H$2:$I$62,2,1) &amp; " " &amp; VLOOKUP(VALUE(MID($C527,21,2)),codigos!$K$2:$L$12,2,FALSE)</f>
        <v>A/T S/I</v>
      </c>
      <c r="F527" s="11" t="s">
        <v>1033</v>
      </c>
      <c r="G527" s="11" t="s">
        <v>11</v>
      </c>
      <c r="H527" s="52" t="s">
        <v>1034</v>
      </c>
      <c r="I527" s="20" t="s">
        <v>1035</v>
      </c>
      <c r="J527" s="11">
        <v>1</v>
      </c>
      <c r="K527" s="11">
        <v>1</v>
      </c>
      <c r="L527" s="11">
        <f t="shared" si="76"/>
        <v>0</v>
      </c>
      <c r="M527" s="134"/>
      <c r="N527" s="96">
        <v>46064</v>
      </c>
    </row>
    <row r="528" spans="1:14" x14ac:dyDescent="0.25">
      <c r="A528" s="11">
        <f t="shared" ca="1" si="74"/>
        <v>-73</v>
      </c>
      <c r="B528" s="37">
        <f t="shared" si="75"/>
        <v>27</v>
      </c>
      <c r="C528" s="11" t="s">
        <v>946</v>
      </c>
      <c r="D528" s="11" t="str">
        <f>VLOOKUP(VALUE(MID($C528,13,2)), codigos!$A$2:$B$60, 2, 1) &amp; " " &amp; VLOOKUP(VALUE(MID($C528,15,4)), codigos!$E$2:$F$102, 2, FALSE)</f>
        <v>BUDINERA 24</v>
      </c>
      <c r="E528" s="11" t="str">
        <f>VLOOKUP(VALUE(MID($C528,19,2)),codigos!$H$2:$I$62,2,1) &amp; " " &amp; VLOOKUP(VALUE(MID($C528,21,2)),codigos!$K$2:$L$12,2,FALSE)</f>
        <v>BICOLOR AZUL S/I</v>
      </c>
      <c r="F528" s="11" t="s">
        <v>1033</v>
      </c>
      <c r="G528" s="11" t="s">
        <v>11</v>
      </c>
      <c r="H528" s="52" t="s">
        <v>1034</v>
      </c>
      <c r="I528" s="20" t="s">
        <v>1035</v>
      </c>
      <c r="J528" s="11">
        <v>1</v>
      </c>
      <c r="K528" s="11">
        <v>1</v>
      </c>
      <c r="L528" s="11">
        <f t="shared" si="76"/>
        <v>0</v>
      </c>
      <c r="M528" s="134"/>
      <c r="N528" s="96">
        <v>46064</v>
      </c>
    </row>
    <row r="529" spans="1:14" x14ac:dyDescent="0.25">
      <c r="A529" s="11">
        <f t="shared" ca="1" si="74"/>
        <v>-73</v>
      </c>
      <c r="B529" s="37">
        <f t="shared" si="75"/>
        <v>27</v>
      </c>
      <c r="C529" s="11" t="s">
        <v>1036</v>
      </c>
      <c r="D529" s="11" t="str">
        <f>VLOOKUP(VALUE(MID($C529,13,2)), codigos!$A$2:$B$60, 2, 1) &amp; " " &amp; VLOOKUP(VALUE(MID($C529,15,4)), codigos!$E$2:$F$102, 2, FALSE)</f>
        <v>BUDINERA 24</v>
      </c>
      <c r="E529" s="11" t="str">
        <f>VLOOKUP(VALUE(MID($C529,19,2)),codigos!$H$2:$I$62,2,1) &amp; " " &amp; VLOOKUP(VALUE(MID($C529,21,2)),codigos!$K$2:$L$12,2,FALSE)</f>
        <v>BICOLOR ROJO S/I</v>
      </c>
      <c r="F529" s="11" t="s">
        <v>1033</v>
      </c>
      <c r="G529" s="11" t="s">
        <v>11</v>
      </c>
      <c r="H529" s="52" t="s">
        <v>1034</v>
      </c>
      <c r="I529" s="20" t="s">
        <v>1035</v>
      </c>
      <c r="J529" s="11">
        <v>1</v>
      </c>
      <c r="K529" s="11">
        <v>1</v>
      </c>
      <c r="L529" s="11">
        <f t="shared" si="76"/>
        <v>0</v>
      </c>
      <c r="M529" s="134"/>
      <c r="N529" s="96">
        <v>46064</v>
      </c>
    </row>
    <row r="530" spans="1:14" x14ac:dyDescent="0.25">
      <c r="A530" s="11">
        <f t="shared" ca="1" si="74"/>
        <v>-73</v>
      </c>
      <c r="B530" s="37">
        <f t="shared" si="75"/>
        <v>27</v>
      </c>
      <c r="C530" s="11" t="s">
        <v>578</v>
      </c>
      <c r="D530" s="11" t="str">
        <f>VLOOKUP(VALUE(MID($C530,13,2)), codigos!$A$2:$B$60, 2, 1) &amp; " " &amp; VLOOKUP(VALUE(MID($C530,15,4)), codigos!$E$2:$F$102, 2, FALSE)</f>
        <v>COMAL 28</v>
      </c>
      <c r="E530" s="11" t="str">
        <f>VLOOKUP(VALUE(MID($C530,19,2)),codigos!$H$2:$I$62,2,1) &amp; " " &amp; VLOOKUP(VALUE(MID($C530,21,2)),codigos!$K$2:$L$12,2,FALSE)</f>
        <v>NEGRO S/I</v>
      </c>
      <c r="F530" s="11" t="s">
        <v>1033</v>
      </c>
      <c r="G530" s="11" t="s">
        <v>11</v>
      </c>
      <c r="H530" s="52" t="s">
        <v>1034</v>
      </c>
      <c r="I530" s="20" t="s">
        <v>1035</v>
      </c>
      <c r="J530" s="11">
        <v>9</v>
      </c>
      <c r="K530" s="11">
        <f>1+8</f>
        <v>9</v>
      </c>
      <c r="L530" s="11">
        <f t="shared" si="76"/>
        <v>0</v>
      </c>
      <c r="M530" s="134"/>
      <c r="N530" s="96">
        <v>46064</v>
      </c>
    </row>
    <row r="531" spans="1:14" x14ac:dyDescent="0.25">
      <c r="A531" s="11">
        <f t="shared" ca="1" si="74"/>
        <v>-73</v>
      </c>
      <c r="B531" s="37">
        <f t="shared" si="75"/>
        <v>27</v>
      </c>
      <c r="C531" s="11" t="s">
        <v>579</v>
      </c>
      <c r="D531" s="11" t="str">
        <f>VLOOKUP(VALUE(MID($C531,13,2)), codigos!$A$2:$B$60, 2, 1) &amp; " " &amp; VLOOKUP(VALUE(MID($C531,15,4)), codigos!$E$2:$F$102, 2, FALSE)</f>
        <v>OLLA CONVEXA 18</v>
      </c>
      <c r="E531" s="11" t="str">
        <f>VLOOKUP(VALUE(MID($C531,19,2)),codigos!$H$2:$I$62,2,1) &amp; " " &amp; VLOOKUP(VALUE(MID($C531,21,2)),codigos!$K$2:$L$12,2,FALSE)</f>
        <v>A/T S/I</v>
      </c>
      <c r="F531" s="11" t="s">
        <v>1033</v>
      </c>
      <c r="G531" s="11" t="s">
        <v>11</v>
      </c>
      <c r="H531" s="52" t="s">
        <v>1034</v>
      </c>
      <c r="I531" s="20" t="s">
        <v>1035</v>
      </c>
      <c r="J531" s="11">
        <v>5</v>
      </c>
      <c r="K531" s="11">
        <f>2+1+2-2+2</f>
        <v>5</v>
      </c>
      <c r="L531" s="11">
        <f t="shared" si="76"/>
        <v>0</v>
      </c>
      <c r="M531" s="134"/>
      <c r="N531" s="96">
        <v>46064</v>
      </c>
    </row>
    <row r="532" spans="1:14" x14ac:dyDescent="0.25">
      <c r="A532" s="11">
        <f t="shared" ca="1" si="74"/>
        <v>-73</v>
      </c>
      <c r="B532" s="37">
        <f t="shared" si="75"/>
        <v>27</v>
      </c>
      <c r="C532" s="11" t="s">
        <v>580</v>
      </c>
      <c r="D532" s="11" t="str">
        <f>VLOOKUP(VALUE(MID($C532,13,2)), codigos!$A$2:$B$60, 2, 1) &amp; " " &amp; VLOOKUP(VALUE(MID($C532,15,4)), codigos!$E$2:$F$102, 2, FALSE)</f>
        <v>OLLA CONVEXA 22</v>
      </c>
      <c r="E532" s="11" t="str">
        <f>VLOOKUP(VALUE(MID($C532,19,2)),codigos!$H$2:$I$62,2,1) &amp; " " &amp; VLOOKUP(VALUE(MID($C532,21,2)),codigos!$K$2:$L$12,2,FALSE)</f>
        <v>A/T S/I</v>
      </c>
      <c r="F532" s="11" t="s">
        <v>1033</v>
      </c>
      <c r="G532" s="11" t="s">
        <v>11</v>
      </c>
      <c r="H532" s="52" t="s">
        <v>1034</v>
      </c>
      <c r="I532" s="20" t="s">
        <v>1035</v>
      </c>
      <c r="J532" s="11">
        <v>5</v>
      </c>
      <c r="K532" s="11">
        <v>5</v>
      </c>
      <c r="L532" s="11">
        <f t="shared" si="76"/>
        <v>0</v>
      </c>
      <c r="M532" s="134"/>
      <c r="N532" s="96">
        <v>46064</v>
      </c>
    </row>
    <row r="533" spans="1:14" x14ac:dyDescent="0.25">
      <c r="A533" s="11">
        <f t="shared" ca="1" si="74"/>
        <v>-73</v>
      </c>
      <c r="B533" s="37">
        <f t="shared" si="75"/>
        <v>27</v>
      </c>
      <c r="C533" s="11" t="s">
        <v>581</v>
      </c>
      <c r="D533" s="11" t="str">
        <f>VLOOKUP(VALUE(MID($C533,13,2)), codigos!$A$2:$B$60, 2, 1) &amp; " " &amp; VLOOKUP(VALUE(MID($C533,15,4)), codigos!$E$2:$F$102, 2, FALSE)</f>
        <v>OLLA RECTA 20</v>
      </c>
      <c r="E533" s="11" t="str">
        <f>VLOOKUP(VALUE(MID($C533,19,2)),codigos!$H$2:$I$62,2,1) &amp; " " &amp; VLOOKUP(VALUE(MID($C533,21,2)),codigos!$K$2:$L$12,2,FALSE)</f>
        <v>A/T S/I</v>
      </c>
      <c r="F533" s="11" t="s">
        <v>1033</v>
      </c>
      <c r="G533" s="11" t="s">
        <v>11</v>
      </c>
      <c r="H533" s="52" t="s">
        <v>1034</v>
      </c>
      <c r="I533" s="20" t="s">
        <v>1035</v>
      </c>
      <c r="J533" s="11">
        <v>6</v>
      </c>
      <c r="K533" s="11">
        <f>1+5</f>
        <v>6</v>
      </c>
      <c r="L533" s="11">
        <f t="shared" si="76"/>
        <v>0</v>
      </c>
      <c r="M533" s="134"/>
      <c r="N533" s="96">
        <v>46064</v>
      </c>
    </row>
    <row r="534" spans="1:14" x14ac:dyDescent="0.25">
      <c r="A534" s="11">
        <f t="shared" ca="1" si="74"/>
        <v>-73</v>
      </c>
      <c r="B534" s="37">
        <f t="shared" si="75"/>
        <v>27</v>
      </c>
      <c r="C534" s="11" t="s">
        <v>582</v>
      </c>
      <c r="D534" s="11" t="str">
        <f>VLOOKUP(VALUE(MID($C534,13,2)), codigos!$A$2:$B$60, 2, 1) &amp; " " &amp; VLOOKUP(VALUE(MID($C534,15,4)), codigos!$E$2:$F$102, 2, FALSE)</f>
        <v>OLLA RECTA 20</v>
      </c>
      <c r="E534" s="11" t="str">
        <f>VLOOKUP(VALUE(MID($C534,19,2)),codigos!$H$2:$I$62,2,1) &amp; " " &amp; VLOOKUP(VALUE(MID($C534,21,2)),codigos!$K$2:$L$12,2,FALSE)</f>
        <v>BICOLOR AZUL S/I</v>
      </c>
      <c r="F534" s="11" t="s">
        <v>1033</v>
      </c>
      <c r="G534" s="11" t="s">
        <v>11</v>
      </c>
      <c r="H534" s="52" t="s">
        <v>1034</v>
      </c>
      <c r="I534" s="20" t="s">
        <v>1035</v>
      </c>
      <c r="J534" s="11">
        <v>1</v>
      </c>
      <c r="K534" s="11">
        <v>1</v>
      </c>
      <c r="L534" s="11">
        <f t="shared" si="76"/>
        <v>0</v>
      </c>
      <c r="M534" s="134"/>
      <c r="N534" s="96">
        <v>46064</v>
      </c>
    </row>
    <row r="535" spans="1:14" x14ac:dyDescent="0.25">
      <c r="A535" s="11">
        <f t="shared" ca="1" si="74"/>
        <v>-73</v>
      </c>
      <c r="B535" s="37">
        <f t="shared" si="75"/>
        <v>27</v>
      </c>
      <c r="C535" s="11" t="s">
        <v>583</v>
      </c>
      <c r="D535" s="11" t="str">
        <f>VLOOKUP(VALUE(MID($C535,13,2)), codigos!$A$2:$B$60, 2, 1) &amp; " " &amp; VLOOKUP(VALUE(MID($C535,15,4)), codigos!$E$2:$F$102, 2, FALSE)</f>
        <v>OLLA RECTA 20</v>
      </c>
      <c r="E535" s="11" t="str">
        <f>VLOOKUP(VALUE(MID($C535,19,2)),codigos!$H$2:$I$62,2,1) &amp; " " &amp; VLOOKUP(VALUE(MID($C535,21,2)),codigos!$K$2:$L$12,2,FALSE)</f>
        <v>BICOLOR NARANJA S/I</v>
      </c>
      <c r="F535" s="11" t="s">
        <v>1033</v>
      </c>
      <c r="G535" s="11" t="s">
        <v>11</v>
      </c>
      <c r="H535" s="52" t="s">
        <v>1034</v>
      </c>
      <c r="I535" s="20" t="s">
        <v>1035</v>
      </c>
      <c r="J535" s="11">
        <v>2</v>
      </c>
      <c r="K535" s="11">
        <v>2</v>
      </c>
      <c r="L535" s="11">
        <f t="shared" si="76"/>
        <v>0</v>
      </c>
      <c r="M535" s="134"/>
      <c r="N535" s="96">
        <v>46064</v>
      </c>
    </row>
    <row r="536" spans="1:14" x14ac:dyDescent="0.25">
      <c r="A536" s="11">
        <f t="shared" ca="1" si="74"/>
        <v>-73</v>
      </c>
      <c r="B536" s="37">
        <f t="shared" si="75"/>
        <v>27</v>
      </c>
      <c r="C536" s="11" t="s">
        <v>584</v>
      </c>
      <c r="D536" s="11" t="str">
        <f>VLOOKUP(VALUE(MID($C536,13,2)), codigos!$A$2:$B$60, 2, 1) &amp; " " &amp; VLOOKUP(VALUE(MID($C536,15,4)), codigos!$E$2:$F$102, 2, FALSE)</f>
        <v>OLLA RECTA 20</v>
      </c>
      <c r="E536" s="11" t="str">
        <f>VLOOKUP(VALUE(MID($C536,19,2)),codigos!$H$2:$I$62,2,1) &amp; " " &amp; VLOOKUP(VALUE(MID($C536,21,2)),codigos!$K$2:$L$12,2,FALSE)</f>
        <v>BICOLOR ROJO S/I</v>
      </c>
      <c r="F536" s="11" t="s">
        <v>1033</v>
      </c>
      <c r="G536" s="11" t="s">
        <v>11</v>
      </c>
      <c r="H536" s="52" t="s">
        <v>1034</v>
      </c>
      <c r="I536" s="20" t="s">
        <v>1035</v>
      </c>
      <c r="J536" s="11">
        <v>4</v>
      </c>
      <c r="K536" s="11">
        <f>4-3+1+2</f>
        <v>4</v>
      </c>
      <c r="L536" s="11">
        <f t="shared" si="76"/>
        <v>0</v>
      </c>
      <c r="M536" s="134"/>
      <c r="N536" s="96">
        <v>46064</v>
      </c>
    </row>
    <row r="537" spans="1:14" x14ac:dyDescent="0.25">
      <c r="A537" s="11">
        <f t="shared" ca="1" si="74"/>
        <v>-73</v>
      </c>
      <c r="B537" s="37">
        <f t="shared" si="75"/>
        <v>27</v>
      </c>
      <c r="C537" s="11" t="s">
        <v>585</v>
      </c>
      <c r="D537" s="11" t="str">
        <f>VLOOKUP(VALUE(MID($C537,13,2)), codigos!$A$2:$B$60, 2, 1) &amp; " " &amp; VLOOKUP(VALUE(MID($C537,15,4)), codigos!$E$2:$F$102, 2, FALSE)</f>
        <v>OLLA RECTA 24</v>
      </c>
      <c r="E537" s="11" t="str">
        <f>VLOOKUP(VALUE(MID($C537,19,2)),codigos!$H$2:$I$62,2,1) &amp; " " &amp; VLOOKUP(VALUE(MID($C537,21,2)),codigos!$K$2:$L$12,2,FALSE)</f>
        <v>BICOLOR AZUL S/I</v>
      </c>
      <c r="F537" s="11" t="s">
        <v>1033</v>
      </c>
      <c r="G537" s="11" t="s">
        <v>11</v>
      </c>
      <c r="H537" s="52" t="s">
        <v>1034</v>
      </c>
      <c r="I537" s="20" t="s">
        <v>1035</v>
      </c>
      <c r="J537" s="11">
        <v>3</v>
      </c>
      <c r="K537" s="11">
        <f>3-2+1+1</f>
        <v>3</v>
      </c>
      <c r="L537" s="11">
        <f t="shared" si="76"/>
        <v>0</v>
      </c>
      <c r="M537" s="134"/>
      <c r="N537" s="96">
        <v>46064</v>
      </c>
    </row>
    <row r="538" spans="1:14" x14ac:dyDescent="0.25">
      <c r="A538" s="11">
        <f t="shared" ca="1" si="74"/>
        <v>-73</v>
      </c>
      <c r="B538" s="37">
        <f t="shared" si="75"/>
        <v>27</v>
      </c>
      <c r="C538" s="11" t="s">
        <v>586</v>
      </c>
      <c r="D538" s="11" t="str">
        <f>VLOOKUP(VALUE(MID($C538,13,2)), codigos!$A$2:$B$60, 2, 1) &amp; " " &amp; VLOOKUP(VALUE(MID($C538,15,4)), codigos!$E$2:$F$102, 2, FALSE)</f>
        <v>OLLA RECTA 24</v>
      </c>
      <c r="E538" s="11" t="str">
        <f>VLOOKUP(VALUE(MID($C538,19,2)),codigos!$H$2:$I$62,2,1) &amp; " " &amp; VLOOKUP(VALUE(MID($C538,21,2)),codigos!$K$2:$L$12,2,FALSE)</f>
        <v>BICOLOR NARANJA S/I</v>
      </c>
      <c r="F538" s="11" t="s">
        <v>1033</v>
      </c>
      <c r="G538" s="11" t="s">
        <v>11</v>
      </c>
      <c r="H538" s="52" t="s">
        <v>1034</v>
      </c>
      <c r="I538" s="20" t="s">
        <v>1035</v>
      </c>
      <c r="J538" s="11">
        <v>5</v>
      </c>
      <c r="K538" s="11">
        <f>1+4</f>
        <v>5</v>
      </c>
      <c r="L538" s="11">
        <f t="shared" si="76"/>
        <v>0</v>
      </c>
      <c r="M538" s="134"/>
      <c r="N538" s="96">
        <v>46064</v>
      </c>
    </row>
    <row r="539" spans="1:14" x14ac:dyDescent="0.25">
      <c r="A539" s="11">
        <f t="shared" ca="1" si="74"/>
        <v>-73</v>
      </c>
      <c r="B539" s="37">
        <f t="shared" si="75"/>
        <v>27</v>
      </c>
      <c r="C539" s="11" t="s">
        <v>587</v>
      </c>
      <c r="D539" s="11" t="str">
        <f>VLOOKUP(VALUE(MID($C539,13,2)), codigos!$A$2:$B$60, 2, 1) &amp; " " &amp; VLOOKUP(VALUE(MID($C539,15,4)), codigos!$E$2:$F$102, 2, FALSE)</f>
        <v>OLLA RECTA 24</v>
      </c>
      <c r="E539" s="11" t="str">
        <f>VLOOKUP(VALUE(MID($C539,19,2)),codigos!$H$2:$I$62,2,1) &amp; " " &amp; VLOOKUP(VALUE(MID($C539,21,2)),codigos!$K$2:$L$12,2,FALSE)</f>
        <v>BICOLOR ROJO S/I</v>
      </c>
      <c r="F539" s="11" t="s">
        <v>1033</v>
      </c>
      <c r="G539" s="11" t="s">
        <v>11</v>
      </c>
      <c r="H539" s="52" t="s">
        <v>1034</v>
      </c>
      <c r="I539" s="20" t="s">
        <v>1035</v>
      </c>
      <c r="J539" s="11">
        <v>4</v>
      </c>
      <c r="K539" s="11">
        <f>3+1</f>
        <v>4</v>
      </c>
      <c r="L539" s="11">
        <f t="shared" si="76"/>
        <v>0</v>
      </c>
      <c r="M539" s="134"/>
      <c r="N539" s="96">
        <v>46064</v>
      </c>
    </row>
    <row r="540" spans="1:14" x14ac:dyDescent="0.25">
      <c r="A540" s="11">
        <f t="shared" ca="1" si="74"/>
        <v>-73</v>
      </c>
      <c r="B540" s="37">
        <f t="shared" si="75"/>
        <v>27</v>
      </c>
      <c r="C540" s="11" t="s">
        <v>588</v>
      </c>
      <c r="D540" s="11" t="str">
        <f>VLOOKUP(VALUE(MID($C540,13,2)), codigos!$A$2:$B$60, 2, 1) &amp; " " &amp; VLOOKUP(VALUE(MID($C540,15,4)), codigos!$E$2:$F$102, 2, FALSE)</f>
        <v>OLLA RECTA 28</v>
      </c>
      <c r="E540" s="11" t="str">
        <f>VLOOKUP(VALUE(MID($C540,19,2)),codigos!$H$2:$I$62,2,1) &amp; " " &amp; VLOOKUP(VALUE(MID($C540,21,2)),codigos!$K$2:$L$12,2,FALSE)</f>
        <v>A/T S/I</v>
      </c>
      <c r="F540" s="11" t="s">
        <v>1033</v>
      </c>
      <c r="G540" s="11" t="s">
        <v>11</v>
      </c>
      <c r="H540" s="52" t="s">
        <v>1034</v>
      </c>
      <c r="I540" s="20" t="s">
        <v>1035</v>
      </c>
      <c r="J540" s="11">
        <v>18</v>
      </c>
      <c r="K540" s="11">
        <v>18</v>
      </c>
      <c r="L540" s="11">
        <f t="shared" si="76"/>
        <v>0</v>
      </c>
      <c r="M540" s="134"/>
      <c r="N540" s="96">
        <v>46064</v>
      </c>
    </row>
    <row r="541" spans="1:14" x14ac:dyDescent="0.25">
      <c r="A541" s="11">
        <f t="shared" ca="1" si="74"/>
        <v>-73</v>
      </c>
      <c r="B541" s="37">
        <f t="shared" si="75"/>
        <v>27</v>
      </c>
      <c r="C541" s="11" t="s">
        <v>589</v>
      </c>
      <c r="D541" s="11" t="str">
        <f>VLOOKUP(VALUE(MID($C541,13,2)), codigos!$A$2:$B$60, 2, 1) &amp; " " &amp; VLOOKUP(VALUE(MID($C541,15,4)), codigos!$E$2:$F$102, 2, FALSE)</f>
        <v>POCILLO 14</v>
      </c>
      <c r="E541" s="11" t="str">
        <f>VLOOKUP(VALUE(MID($C541,19,2)),codigos!$H$2:$I$62,2,1) &amp; " " &amp; VLOOKUP(VALUE(MID($C541,21,2)),codigos!$K$2:$L$12,2,FALSE)</f>
        <v>S/I S/I</v>
      </c>
      <c r="F541" s="11" t="s">
        <v>1033</v>
      </c>
      <c r="G541" s="11" t="s">
        <v>11</v>
      </c>
      <c r="H541" s="52" t="s">
        <v>1034</v>
      </c>
      <c r="I541" s="20" t="s">
        <v>1035</v>
      </c>
      <c r="J541" s="11">
        <v>2</v>
      </c>
      <c r="K541" s="11">
        <v>2</v>
      </c>
      <c r="L541" s="11">
        <f t="shared" si="76"/>
        <v>0</v>
      </c>
      <c r="M541" s="134"/>
      <c r="N541" s="96">
        <v>46064</v>
      </c>
    </row>
    <row r="542" spans="1:14" x14ac:dyDescent="0.25">
      <c r="A542" s="11">
        <f t="shared" ca="1" si="74"/>
        <v>-73</v>
      </c>
      <c r="B542" s="37">
        <f t="shared" si="75"/>
        <v>27</v>
      </c>
      <c r="C542" s="11" t="s">
        <v>590</v>
      </c>
      <c r="D542" s="11" t="str">
        <f>VLOOKUP(VALUE(MID($C542,13,2)), codigos!$A$2:$B$60, 2, 1) &amp; " " &amp; VLOOKUP(VALUE(MID($C542,15,4)), codigos!$E$2:$F$102, 2, FALSE)</f>
        <v>POCILLO 14</v>
      </c>
      <c r="E542" s="11" t="str">
        <f>VLOOKUP(VALUE(MID($C542,19,2)),codigos!$H$2:$I$62,2,1) &amp; " " &amp; VLOOKUP(VALUE(MID($C542,21,2)),codigos!$K$2:$L$12,2,FALSE)</f>
        <v>A/T S/I</v>
      </c>
      <c r="F542" s="11" t="s">
        <v>1033</v>
      </c>
      <c r="G542" s="11" t="s">
        <v>11</v>
      </c>
      <c r="H542" s="52" t="s">
        <v>1034</v>
      </c>
      <c r="I542" s="20" t="s">
        <v>1035</v>
      </c>
      <c r="J542" s="11">
        <v>9</v>
      </c>
      <c r="K542" s="11">
        <f>8+1</f>
        <v>9</v>
      </c>
      <c r="L542" s="11">
        <f t="shared" si="76"/>
        <v>0</v>
      </c>
      <c r="M542" s="134"/>
      <c r="N542" s="96">
        <v>46064</v>
      </c>
    </row>
    <row r="543" spans="1:14" x14ac:dyDescent="0.25">
      <c r="A543" s="11">
        <f t="shared" ca="1" si="74"/>
        <v>-73</v>
      </c>
      <c r="B543" s="37">
        <f t="shared" si="75"/>
        <v>27</v>
      </c>
      <c r="C543" s="11" t="s">
        <v>591</v>
      </c>
      <c r="D543" s="11" t="str">
        <f>VLOOKUP(VALUE(MID($C543,13,2)), codigos!$A$2:$B$60, 2, 1) &amp; " " &amp; VLOOKUP(VALUE(MID($C543,15,4)), codigos!$E$2:$F$102, 2, FALSE)</f>
        <v>POCILLO 14</v>
      </c>
      <c r="E543" s="11" t="str">
        <f>VLOOKUP(VALUE(MID($C543,19,2)),codigos!$H$2:$I$62,2,1) &amp; " " &amp; VLOOKUP(VALUE(MID($C543,21,2)),codigos!$K$2:$L$12,2,FALSE)</f>
        <v>BICOLOR AZUL S/I</v>
      </c>
      <c r="F543" s="11" t="s">
        <v>1033</v>
      </c>
      <c r="G543" s="11" t="s">
        <v>11</v>
      </c>
      <c r="H543" s="52" t="s">
        <v>1034</v>
      </c>
      <c r="I543" s="20" t="s">
        <v>1035</v>
      </c>
      <c r="J543" s="11">
        <v>8</v>
      </c>
      <c r="K543" s="11">
        <f>7+1</f>
        <v>8</v>
      </c>
      <c r="L543" s="11">
        <f t="shared" si="76"/>
        <v>0</v>
      </c>
      <c r="M543" s="134"/>
      <c r="N543" s="96">
        <v>46064</v>
      </c>
    </row>
    <row r="544" spans="1:14" x14ac:dyDescent="0.25">
      <c r="A544" s="11">
        <f t="shared" ca="1" si="74"/>
        <v>-73</v>
      </c>
      <c r="B544" s="37">
        <f t="shared" si="75"/>
        <v>27</v>
      </c>
      <c r="C544" s="11" t="s">
        <v>592</v>
      </c>
      <c r="D544" s="11" t="str">
        <f>VLOOKUP(VALUE(MID($C544,13,2)), codigos!$A$2:$B$60, 2, 1) &amp; " " &amp; VLOOKUP(VALUE(MID($C544,15,4)), codigos!$E$2:$F$102, 2, FALSE)</f>
        <v>POCILLO 14</v>
      </c>
      <c r="E544" s="11" t="str">
        <f>VLOOKUP(VALUE(MID($C544,19,2)),codigos!$H$2:$I$62,2,1) &amp; " " &amp; VLOOKUP(VALUE(MID($C544,21,2)),codigos!$K$2:$L$12,2,FALSE)</f>
        <v>BICOLOR NARANJA S/I</v>
      </c>
      <c r="F544" s="11" t="s">
        <v>1033</v>
      </c>
      <c r="G544" s="11" t="s">
        <v>11</v>
      </c>
      <c r="H544" s="52" t="s">
        <v>1034</v>
      </c>
      <c r="I544" s="20" t="s">
        <v>1035</v>
      </c>
      <c r="J544" s="11">
        <v>4</v>
      </c>
      <c r="K544" s="11">
        <v>4</v>
      </c>
      <c r="L544" s="11">
        <f t="shared" si="76"/>
        <v>0</v>
      </c>
      <c r="M544" s="134"/>
      <c r="N544" s="96">
        <v>46064</v>
      </c>
    </row>
    <row r="545" spans="1:14" x14ac:dyDescent="0.25">
      <c r="A545" s="11">
        <f t="shared" ca="1" si="74"/>
        <v>-73</v>
      </c>
      <c r="B545" s="37">
        <f t="shared" si="75"/>
        <v>27</v>
      </c>
      <c r="C545" s="11" t="s">
        <v>593</v>
      </c>
      <c r="D545" s="11" t="str">
        <f>VLOOKUP(VALUE(MID($C545,13,2)), codigos!$A$2:$B$60, 2, 1) &amp; " " &amp; VLOOKUP(VALUE(MID($C545,15,4)), codigos!$E$2:$F$102, 2, FALSE)</f>
        <v>POCILLO 14</v>
      </c>
      <c r="E545" s="11" t="str">
        <f>VLOOKUP(VALUE(MID($C545,19,2)),codigos!$H$2:$I$62,2,1) &amp; " " &amp; VLOOKUP(VALUE(MID($C545,21,2)),codigos!$K$2:$L$12,2,FALSE)</f>
        <v>BICOLOR ROJO S/I</v>
      </c>
      <c r="F545" s="11" t="s">
        <v>573</v>
      </c>
      <c r="G545" s="11" t="s">
        <v>11</v>
      </c>
      <c r="H545" s="52" t="s">
        <v>1034</v>
      </c>
      <c r="I545" s="20" t="s">
        <v>1035</v>
      </c>
      <c r="J545" s="11">
        <v>12</v>
      </c>
      <c r="K545" s="11">
        <f>5+7</f>
        <v>12</v>
      </c>
      <c r="L545" s="11">
        <f t="shared" si="76"/>
        <v>0</v>
      </c>
      <c r="M545" s="134"/>
      <c r="N545" s="96">
        <v>46064</v>
      </c>
    </row>
    <row r="546" spans="1:14" x14ac:dyDescent="0.25">
      <c r="A546" s="11">
        <f t="shared" ref="A546:A609" ca="1" si="77">DAYS360($B$1,I546)</f>
        <v>-62</v>
      </c>
      <c r="B546" s="37">
        <f t="shared" ref="B546:B609" si="78">+N546-I546</f>
        <v>17</v>
      </c>
      <c r="C546" s="11" t="s">
        <v>158</v>
      </c>
      <c r="D546" s="11" t="str">
        <f>VLOOKUP(VALUE(MID($C546,13,2)), codigos!$A$2:$B$60, 2, 1) &amp; " " &amp; VLOOKUP(VALUE(MID($C546,15,4)), codigos!$E$2:$F$102, 2, FALSE)</f>
        <v>BAÑO 3</v>
      </c>
      <c r="E546" s="11" t="str">
        <f>VLOOKUP(VALUE(MID($C546,19,2)),codigos!$H$2:$I$62,2,1) &amp; " " &amp; VLOOKUP(VALUE(MID($C546,21,2)),codigos!$K$2:$L$12,2,FALSE)</f>
        <v>GALVANIZADO S/I</v>
      </c>
      <c r="F546" s="11" t="s">
        <v>1218</v>
      </c>
      <c r="G546" s="11" t="s">
        <v>11</v>
      </c>
      <c r="H546" s="11" t="s">
        <v>1285</v>
      </c>
      <c r="I546" s="11" t="s">
        <v>1280</v>
      </c>
      <c r="J546" s="25">
        <v>5</v>
      </c>
      <c r="K546" s="25">
        <v>5</v>
      </c>
      <c r="L546" s="15">
        <f t="shared" si="76"/>
        <v>0</v>
      </c>
      <c r="M546" s="131">
        <f>(SUM(K546:K552))/(SUM(J546:J552))</f>
        <v>1</v>
      </c>
      <c r="N546" s="96">
        <v>46065</v>
      </c>
    </row>
    <row r="547" spans="1:14" x14ac:dyDescent="0.25">
      <c r="A547" s="11">
        <f t="shared" ca="1" si="77"/>
        <v>-62</v>
      </c>
      <c r="B547" s="37">
        <f t="shared" si="78"/>
        <v>17</v>
      </c>
      <c r="C547" s="11" t="s">
        <v>45</v>
      </c>
      <c r="D547" s="11" t="str">
        <f>VLOOKUP(VALUE(MID($C547,13,2)), codigos!$A$2:$B$60, 2, 1) &amp; " " &amp; VLOOKUP(VALUE(MID($C547,15,4)), codigos!$E$2:$F$102, 2, FALSE)</f>
        <v>BAÑO 4</v>
      </c>
      <c r="E547" s="11" t="str">
        <f>VLOOKUP(VALUE(MID($C547,19,2)),codigos!$H$2:$I$62,2,1) &amp; " " &amp; VLOOKUP(VALUE(MID($C547,21,2)),codigos!$K$2:$L$12,2,FALSE)</f>
        <v>GALVANIZADO S/I</v>
      </c>
      <c r="F547" s="11" t="s">
        <v>1218</v>
      </c>
      <c r="G547" s="11" t="s">
        <v>11</v>
      </c>
      <c r="H547" s="11" t="s">
        <v>1285</v>
      </c>
      <c r="I547" s="11" t="s">
        <v>1280</v>
      </c>
      <c r="J547" s="25">
        <v>5</v>
      </c>
      <c r="K547" s="25">
        <v>5</v>
      </c>
      <c r="L547" s="15">
        <f t="shared" si="76"/>
        <v>0</v>
      </c>
      <c r="M547" s="131"/>
      <c r="N547" s="96">
        <v>46065</v>
      </c>
    </row>
    <row r="548" spans="1:14" x14ac:dyDescent="0.25">
      <c r="A548" s="11">
        <f t="shared" ca="1" si="77"/>
        <v>-62</v>
      </c>
      <c r="B548" s="37">
        <f t="shared" si="78"/>
        <v>17</v>
      </c>
      <c r="C548" s="11" t="s">
        <v>32</v>
      </c>
      <c r="D548" s="11" t="str">
        <f>VLOOKUP(VALUE(MID($C548,13,2)), codigos!$A$2:$B$60, 2, 1) &amp; " " &amp; VLOOKUP(VALUE(MID($C548,15,4)), codigos!$E$2:$F$102, 2, FALSE)</f>
        <v>BAÑO 5</v>
      </c>
      <c r="E548" s="11" t="str">
        <f>VLOOKUP(VALUE(MID($C548,19,2)),codigos!$H$2:$I$62,2,1) &amp; " " &amp; VLOOKUP(VALUE(MID($C548,21,2)),codigos!$K$2:$L$12,2,FALSE)</f>
        <v>GALVANIZADO S/I</v>
      </c>
      <c r="F548" s="11" t="s">
        <v>1218</v>
      </c>
      <c r="G548" s="11" t="s">
        <v>11</v>
      </c>
      <c r="H548" s="11" t="s">
        <v>1285</v>
      </c>
      <c r="I548" s="11" t="s">
        <v>1280</v>
      </c>
      <c r="J548" s="25">
        <v>5</v>
      </c>
      <c r="K548" s="25">
        <v>5</v>
      </c>
      <c r="L548" s="15">
        <f t="shared" si="76"/>
        <v>0</v>
      </c>
      <c r="M548" s="131"/>
      <c r="N548" s="96">
        <v>46065</v>
      </c>
    </row>
    <row r="549" spans="1:14" x14ac:dyDescent="0.25">
      <c r="A549" s="11">
        <f t="shared" ca="1" si="77"/>
        <v>-62</v>
      </c>
      <c r="B549" s="37">
        <f t="shared" si="78"/>
        <v>17</v>
      </c>
      <c r="C549" s="11" t="s">
        <v>37</v>
      </c>
      <c r="D549" s="11" t="str">
        <f>VLOOKUP(VALUE(MID($C549,13,2)), codigos!$A$2:$B$60, 2, 1) &amp; " " &amp; VLOOKUP(VALUE(MID($C549,15,4)), codigos!$E$2:$F$102, 2, FALSE)</f>
        <v>BAÑO 6</v>
      </c>
      <c r="E549" s="11" t="str">
        <f>VLOOKUP(VALUE(MID($C549,19,2)),codigos!$H$2:$I$62,2,1) &amp; " " &amp; VLOOKUP(VALUE(MID($C549,21,2)),codigos!$K$2:$L$12,2,FALSE)</f>
        <v>GALVANIZADO S/I</v>
      </c>
      <c r="F549" s="11" t="s">
        <v>1218</v>
      </c>
      <c r="G549" s="11" t="s">
        <v>11</v>
      </c>
      <c r="H549" s="11" t="s">
        <v>1285</v>
      </c>
      <c r="I549" s="11" t="s">
        <v>1280</v>
      </c>
      <c r="J549" s="25">
        <v>5</v>
      </c>
      <c r="K549" s="25">
        <v>5</v>
      </c>
      <c r="L549" s="15">
        <f t="shared" si="76"/>
        <v>0</v>
      </c>
      <c r="M549" s="131"/>
      <c r="N549" s="96">
        <v>46065</v>
      </c>
    </row>
    <row r="550" spans="1:14" x14ac:dyDescent="0.25">
      <c r="A550" s="11">
        <f t="shared" ca="1" si="77"/>
        <v>-62</v>
      </c>
      <c r="B550" s="37">
        <f t="shared" si="78"/>
        <v>17</v>
      </c>
      <c r="C550" s="11" t="s">
        <v>416</v>
      </c>
      <c r="D550" s="11" t="str">
        <f>VLOOKUP(VALUE(MID($C550,13,2)), codigos!$A$2:$B$60, 2, 1) &amp; " " &amp; VLOOKUP(VALUE(MID($C550,15,4)), codigos!$E$2:$F$102, 2, FALSE)</f>
        <v>BAÑO 7</v>
      </c>
      <c r="E550" s="11" t="str">
        <f>VLOOKUP(VALUE(MID($C550,19,2)),codigos!$H$2:$I$62,2,1) &amp; " " &amp; VLOOKUP(VALUE(MID($C550,21,2)),codigos!$K$2:$L$12,2,FALSE)</f>
        <v>GALVANIZADO S/I</v>
      </c>
      <c r="F550" s="11" t="s">
        <v>1218</v>
      </c>
      <c r="G550" s="11" t="s">
        <v>11</v>
      </c>
      <c r="H550" s="11" t="s">
        <v>1285</v>
      </c>
      <c r="I550" s="11" t="s">
        <v>1280</v>
      </c>
      <c r="J550" s="25">
        <v>5</v>
      </c>
      <c r="K550" s="25">
        <v>5</v>
      </c>
      <c r="L550" s="15">
        <f t="shared" si="76"/>
        <v>0</v>
      </c>
      <c r="M550" s="131"/>
      <c r="N550" s="96">
        <v>46065</v>
      </c>
    </row>
    <row r="551" spans="1:14" x14ac:dyDescent="0.25">
      <c r="A551" s="11">
        <f t="shared" ca="1" si="77"/>
        <v>-62</v>
      </c>
      <c r="B551" s="37">
        <f t="shared" si="78"/>
        <v>17</v>
      </c>
      <c r="C551" s="11" t="s">
        <v>210</v>
      </c>
      <c r="D551" s="11" t="str">
        <f>VLOOKUP(VALUE(MID($C551,13,2)), codigos!$A$2:$B$60, 2, 1) &amp; " " &amp; VLOOKUP(VALUE(MID($C551,15,4)), codigos!$E$2:$F$102, 2, FALSE)</f>
        <v>BAÑO 8</v>
      </c>
      <c r="E551" s="11" t="str">
        <f>VLOOKUP(VALUE(MID($C551,19,2)),codigos!$H$2:$I$62,2,1) &amp; " " &amp; VLOOKUP(VALUE(MID($C551,21,2)),codigos!$K$2:$L$12,2,FALSE)</f>
        <v>GALVANIZADO S/I</v>
      </c>
      <c r="F551" s="11" t="s">
        <v>1218</v>
      </c>
      <c r="G551" s="11" t="s">
        <v>11</v>
      </c>
      <c r="H551" s="11" t="s">
        <v>1285</v>
      </c>
      <c r="I551" s="11" t="s">
        <v>1280</v>
      </c>
      <c r="J551" s="25">
        <v>10</v>
      </c>
      <c r="K551" s="25">
        <v>10</v>
      </c>
      <c r="L551" s="15">
        <f t="shared" si="76"/>
        <v>0</v>
      </c>
      <c r="M551" s="131"/>
      <c r="N551" s="96">
        <v>46065</v>
      </c>
    </row>
    <row r="552" spans="1:14" x14ac:dyDescent="0.25">
      <c r="A552" s="11">
        <f t="shared" ca="1" si="77"/>
        <v>-62</v>
      </c>
      <c r="B552" s="37">
        <f t="shared" si="78"/>
        <v>17</v>
      </c>
      <c r="C552" s="11" t="s">
        <v>212</v>
      </c>
      <c r="D552" s="11" t="str">
        <f>VLOOKUP(VALUE(MID($C552,13,2)), codigos!$A$2:$B$60, 2, 1) &amp; " " &amp; VLOOKUP(VALUE(MID($C552,15,4)), codigos!$E$2:$F$102, 2, FALSE)</f>
        <v>BAÑO 12</v>
      </c>
      <c r="E552" s="11" t="str">
        <f>VLOOKUP(VALUE(MID($C552,19,2)),codigos!$H$2:$I$62,2,1) &amp; " " &amp; VLOOKUP(VALUE(MID($C552,21,2)),codigos!$K$2:$L$12,2,FALSE)</f>
        <v>GALVANIZADO S/I</v>
      </c>
      <c r="F552" s="11" t="s">
        <v>1218</v>
      </c>
      <c r="G552" s="11" t="s">
        <v>11</v>
      </c>
      <c r="H552" s="11" t="s">
        <v>1285</v>
      </c>
      <c r="I552" s="11" t="s">
        <v>1280</v>
      </c>
      <c r="J552" s="25">
        <v>21</v>
      </c>
      <c r="K552" s="25">
        <v>21</v>
      </c>
      <c r="L552" s="15">
        <f t="shared" si="76"/>
        <v>0</v>
      </c>
      <c r="M552" s="131"/>
      <c r="N552" s="96">
        <v>46065</v>
      </c>
    </row>
    <row r="553" spans="1:14" x14ac:dyDescent="0.25">
      <c r="A553" s="11">
        <f t="shared" ca="1" si="77"/>
        <v>-82</v>
      </c>
      <c r="B553" s="37">
        <f t="shared" si="78"/>
        <v>37</v>
      </c>
      <c r="C553" s="11" t="s">
        <v>279</v>
      </c>
      <c r="D553" s="11" t="str">
        <f>VLOOKUP(VALUE(MID($C553,13,2)), [2]codigos!$A$2:$B$60, 2, 1) &amp; " " &amp; VLOOKUP(VALUE(MID($C553,15,4)), [2]codigos!$E$2:$F$102, 2, FALSE)</f>
        <v>BUDINERA   12</v>
      </c>
      <c r="E553" s="11" t="str">
        <f>VLOOKUP(VALUE(MID($C553,19,2)),[2]codigos!$H$2:$I$62,2,1) &amp; " " &amp; VLOOKUP(VALUE(MID($C553,21,2)),[2]codigos!$K$2:$L$12,2,FALSE)</f>
        <v>NEGRO S/I</v>
      </c>
      <c r="F553" s="11" t="s">
        <v>1017</v>
      </c>
      <c r="G553" s="11" t="s">
        <v>11</v>
      </c>
      <c r="H553" s="52" t="s">
        <v>1020</v>
      </c>
      <c r="I553" s="20" t="s">
        <v>995</v>
      </c>
      <c r="J553" s="11">
        <v>18</v>
      </c>
      <c r="K553" s="11">
        <v>18</v>
      </c>
      <c r="L553" s="11">
        <f t="shared" ref="L553:L616" si="79">J553-K553</f>
        <v>0</v>
      </c>
      <c r="M553" s="134">
        <f>(SUM(K553:K562))/(SUM(J553:J562))</f>
        <v>1</v>
      </c>
      <c r="N553" s="96">
        <v>46065</v>
      </c>
    </row>
    <row r="554" spans="1:14" x14ac:dyDescent="0.25">
      <c r="A554" s="11">
        <f t="shared" ca="1" si="77"/>
        <v>-82</v>
      </c>
      <c r="B554" s="37">
        <f t="shared" si="78"/>
        <v>37</v>
      </c>
      <c r="C554" s="11" t="s">
        <v>60</v>
      </c>
      <c r="D554" s="11" t="str">
        <f>VLOOKUP(VALUE(MID($C554,13,2)), [2]codigos!$A$2:$B$60, 2, 1) &amp; " " &amp; VLOOKUP(VALUE(MID($C554,15,4)), [2]codigos!$E$2:$F$102, 2, FALSE)</f>
        <v>CAZUELA 18</v>
      </c>
      <c r="E554" s="11" t="str">
        <f>VLOOKUP(VALUE(MID($C554,19,2)),[2]codigos!$H$2:$I$62,2,1) &amp; " " &amp; VLOOKUP(VALUE(MID($C554,21,2)),[2]codigos!$K$2:$L$12,2,FALSE)</f>
        <v>GRIS S/I</v>
      </c>
      <c r="F554" s="11" t="s">
        <v>1017</v>
      </c>
      <c r="G554" s="11" t="s">
        <v>11</v>
      </c>
      <c r="H554" s="52" t="s">
        <v>1020</v>
      </c>
      <c r="I554" s="20" t="s">
        <v>995</v>
      </c>
      <c r="J554" s="11">
        <v>12</v>
      </c>
      <c r="K554" s="11">
        <v>12</v>
      </c>
      <c r="L554" s="11">
        <f t="shared" si="79"/>
        <v>0</v>
      </c>
      <c r="M554" s="134"/>
      <c r="N554" s="96">
        <v>46065</v>
      </c>
    </row>
    <row r="555" spans="1:14" x14ac:dyDescent="0.25">
      <c r="A555" s="11">
        <f t="shared" ca="1" si="77"/>
        <v>-82</v>
      </c>
      <c r="B555" s="37">
        <f t="shared" si="78"/>
        <v>37</v>
      </c>
      <c r="C555" s="11" t="s">
        <v>1021</v>
      </c>
      <c r="D555" s="11" t="str">
        <f>VLOOKUP(VALUE(MID($C555,13,2)), [2]codigos!$A$2:$B$60, 2, 1) &amp; " " &amp; VLOOKUP(VALUE(MID($C555,15,4)), [2]codigos!$E$2:$F$102, 2, FALSE)</f>
        <v>PLATO LISO 12</v>
      </c>
      <c r="E555" s="11" t="str">
        <f>VLOOKUP(VALUE(MID($C555,19,2)),[2]codigos!$H$2:$I$62,2,1) &amp; " " &amp; VLOOKUP(VALUE(MID($C555,21,2)),[2]codigos!$K$2:$L$12,2,FALSE)</f>
        <v>BLANCO  NEGRO</v>
      </c>
      <c r="F555" s="11" t="s">
        <v>1017</v>
      </c>
      <c r="G555" s="11" t="s">
        <v>11</v>
      </c>
      <c r="H555" s="52" t="s">
        <v>1020</v>
      </c>
      <c r="I555" s="20" t="s">
        <v>995</v>
      </c>
      <c r="J555" s="11">
        <v>48</v>
      </c>
      <c r="K555" s="11">
        <v>48</v>
      </c>
      <c r="L555" s="11">
        <f t="shared" si="79"/>
        <v>0</v>
      </c>
      <c r="M555" s="134"/>
      <c r="N555" s="96">
        <v>46065</v>
      </c>
    </row>
    <row r="556" spans="1:14" x14ac:dyDescent="0.25">
      <c r="A556" s="11">
        <f t="shared" ca="1" si="77"/>
        <v>-82</v>
      </c>
      <c r="B556" s="37">
        <f t="shared" si="78"/>
        <v>37</v>
      </c>
      <c r="C556" s="11" t="s">
        <v>285</v>
      </c>
      <c r="D556" s="11" t="str">
        <f>VLOOKUP(VALUE(MID($C556,13,2)), [2]codigos!$A$2:$B$60, 2, 1) &amp; " " &amp; VLOOKUP(VALUE(MID($C556,15,4)), [2]codigos!$E$2:$F$102, 2, FALSE)</f>
        <v>PLATO LISO 16</v>
      </c>
      <c r="E556" s="11" t="str">
        <f>VLOOKUP(VALUE(MID($C556,19,2)),[2]codigos!$H$2:$I$62,2,1) &amp; " " &amp; VLOOKUP(VALUE(MID($C556,21,2)),[2]codigos!$K$2:$L$12,2,FALSE)</f>
        <v>BLANCO  NEGRO</v>
      </c>
      <c r="F556" s="11" t="s">
        <v>1017</v>
      </c>
      <c r="G556" s="11" t="s">
        <v>11</v>
      </c>
      <c r="H556" s="52" t="s">
        <v>1020</v>
      </c>
      <c r="I556" s="20" t="s">
        <v>995</v>
      </c>
      <c r="J556" s="11">
        <v>48</v>
      </c>
      <c r="K556" s="11">
        <v>48</v>
      </c>
      <c r="L556" s="11">
        <f t="shared" si="79"/>
        <v>0</v>
      </c>
      <c r="M556" s="134"/>
      <c r="N556" s="96">
        <v>46065</v>
      </c>
    </row>
    <row r="557" spans="1:14" x14ac:dyDescent="0.25">
      <c r="A557" s="11">
        <f t="shared" ca="1" si="77"/>
        <v>-82</v>
      </c>
      <c r="B557" s="37">
        <f t="shared" si="78"/>
        <v>37</v>
      </c>
      <c r="C557" s="11" t="s">
        <v>288</v>
      </c>
      <c r="D557" s="11" t="str">
        <f>VLOOKUP(VALUE(MID($C557,13,2)), [2]codigos!$A$2:$B$60, 2, 1) &amp; " " &amp; VLOOKUP(VALUE(MID($C557,15,4)), [2]codigos!$E$2:$F$102, 2, FALSE)</f>
        <v>PLATO LISO 20</v>
      </c>
      <c r="E557" s="11" t="str">
        <f>VLOOKUP(VALUE(MID($C557,19,2)),[2]codigos!$H$2:$I$62,2,1) &amp; " " &amp; VLOOKUP(VALUE(MID($C557,21,2)),[2]codigos!$K$2:$L$12,2,FALSE)</f>
        <v>BLANCO  NEGRO</v>
      </c>
      <c r="F557" s="11" t="s">
        <v>1017</v>
      </c>
      <c r="G557" s="11" t="s">
        <v>11</v>
      </c>
      <c r="H557" s="52" t="s">
        <v>1020</v>
      </c>
      <c r="I557" s="20" t="s">
        <v>995</v>
      </c>
      <c r="J557" s="11">
        <v>48</v>
      </c>
      <c r="K557" s="11">
        <v>48</v>
      </c>
      <c r="L557" s="11">
        <f t="shared" si="79"/>
        <v>0</v>
      </c>
      <c r="M557" s="134"/>
      <c r="N557" s="96">
        <v>46065</v>
      </c>
    </row>
    <row r="558" spans="1:14" x14ac:dyDescent="0.25">
      <c r="A558" s="11">
        <f t="shared" ca="1" si="77"/>
        <v>-82</v>
      </c>
      <c r="B558" s="37">
        <f t="shared" si="78"/>
        <v>37</v>
      </c>
      <c r="C558" s="11" t="s">
        <v>69</v>
      </c>
      <c r="D558" s="11" t="str">
        <f>VLOOKUP(VALUE(MID($C558,13,2)), [2]codigos!$A$2:$B$60, 2, 1) &amp; " " &amp; VLOOKUP(VALUE(MID($C558,15,4)), [2]codigos!$E$2:$F$102, 2, FALSE)</f>
        <v>PLATO LISO 24</v>
      </c>
      <c r="E558" s="11" t="str">
        <f>VLOOKUP(VALUE(MID($C558,19,2)),[2]codigos!$H$2:$I$62,2,1) &amp; " " &amp; VLOOKUP(VALUE(MID($C558,21,2)),[2]codigos!$K$2:$L$12,2,FALSE)</f>
        <v>BLANCO  NEGRO</v>
      </c>
      <c r="F558" s="11" t="s">
        <v>1017</v>
      </c>
      <c r="G558" s="11" t="s">
        <v>11</v>
      </c>
      <c r="H558" s="52" t="s">
        <v>1020</v>
      </c>
      <c r="I558" s="20" t="s">
        <v>995</v>
      </c>
      <c r="J558" s="11">
        <v>24</v>
      </c>
      <c r="K558" s="11">
        <f>6+4+1+12+1</f>
        <v>24</v>
      </c>
      <c r="L558" s="11">
        <f t="shared" si="79"/>
        <v>0</v>
      </c>
      <c r="M558" s="134"/>
      <c r="N558" s="96">
        <v>46065</v>
      </c>
    </row>
    <row r="559" spans="1:14" x14ac:dyDescent="0.25">
      <c r="A559" s="11">
        <f t="shared" ca="1" si="77"/>
        <v>-82</v>
      </c>
      <c r="B559" s="37">
        <f t="shared" si="78"/>
        <v>37</v>
      </c>
      <c r="C559" s="11" t="s">
        <v>72</v>
      </c>
      <c r="D559" s="11" t="str">
        <f>VLOOKUP(VALUE(MID($C559,13,2)), [2]codigos!$A$2:$B$60, 2, 1) &amp; " " &amp; VLOOKUP(VALUE(MID($C559,15,4)), [2]codigos!$E$2:$F$102, 2, FALSE)</f>
        <v>PLATO LISO 27</v>
      </c>
      <c r="E559" s="11" t="str">
        <f>VLOOKUP(VALUE(MID($C559,19,2)),[2]codigos!$H$2:$I$62,2,1) &amp; " " &amp; VLOOKUP(VALUE(MID($C559,21,2)),[2]codigos!$K$2:$L$12,2,FALSE)</f>
        <v>BLANCO  NEGRO</v>
      </c>
      <c r="F559" s="11" t="s">
        <v>1017</v>
      </c>
      <c r="G559" s="11" t="s">
        <v>11</v>
      </c>
      <c r="H559" s="52" t="s">
        <v>1020</v>
      </c>
      <c r="I559" s="20" t="s">
        <v>995</v>
      </c>
      <c r="J559" s="11">
        <v>24</v>
      </c>
      <c r="K559" s="11">
        <v>24</v>
      </c>
      <c r="L559" s="11">
        <f t="shared" si="79"/>
        <v>0</v>
      </c>
      <c r="M559" s="134"/>
      <c r="N559" s="96">
        <v>46065</v>
      </c>
    </row>
    <row r="560" spans="1:14" x14ac:dyDescent="0.25">
      <c r="A560" s="11">
        <f t="shared" ca="1" si="77"/>
        <v>-82</v>
      </c>
      <c r="B560" s="37">
        <f t="shared" si="78"/>
        <v>37</v>
      </c>
      <c r="C560" s="11" t="s">
        <v>295</v>
      </c>
      <c r="D560" s="11" t="str">
        <f>VLOOKUP(VALUE(MID($C560,13,2)), [2]codigos!$A$2:$B$60, 2, 1) &amp; " " &amp; VLOOKUP(VALUE(MID($C560,15,4)), [2]codigos!$E$2:$F$102, 2, FALSE)</f>
        <v>PLATO LISO 32</v>
      </c>
      <c r="E560" s="11" t="str">
        <f>VLOOKUP(VALUE(MID($C560,19,2)),[2]codigos!$H$2:$I$62,2,1) &amp; " " &amp; VLOOKUP(VALUE(MID($C560,21,2)),[2]codigos!$K$2:$L$12,2,FALSE)</f>
        <v>BLANCO  NEGRO</v>
      </c>
      <c r="F560" s="11" t="s">
        <v>1017</v>
      </c>
      <c r="G560" s="11" t="s">
        <v>11</v>
      </c>
      <c r="H560" s="52" t="s">
        <v>1020</v>
      </c>
      <c r="I560" s="20" t="s">
        <v>995</v>
      </c>
      <c r="J560" s="11">
        <v>12</v>
      </c>
      <c r="K560" s="11">
        <v>12</v>
      </c>
      <c r="L560" s="11">
        <f t="shared" si="79"/>
        <v>0</v>
      </c>
      <c r="M560" s="134"/>
      <c r="N560" s="96">
        <v>46065</v>
      </c>
    </row>
    <row r="561" spans="1:14" x14ac:dyDescent="0.25">
      <c r="A561" s="11">
        <f t="shared" ca="1" si="77"/>
        <v>-82</v>
      </c>
      <c r="B561" s="37">
        <f t="shared" si="78"/>
        <v>37</v>
      </c>
      <c r="C561" s="11" t="s">
        <v>302</v>
      </c>
      <c r="D561" s="11" t="str">
        <f>VLOOKUP(VALUE(MID($C561,13,2)), [2]codigos!$A$2:$B$60, 2, 1) &amp; " " &amp; VLOOKUP(VALUE(MID($C561,15,4)), [2]codigos!$E$2:$F$102, 2, FALSE)</f>
        <v>TAZON  8</v>
      </c>
      <c r="E561" s="11" t="str">
        <f>VLOOKUP(VALUE(MID($C561,19,2)),[2]codigos!$H$2:$I$62,2,1) &amp; " " &amp; VLOOKUP(VALUE(MID($C561,21,2)),[2]codigos!$K$2:$L$12,2,FALSE)</f>
        <v>BLANCO  NEGRO</v>
      </c>
      <c r="F561" s="11" t="s">
        <v>1017</v>
      </c>
      <c r="G561" s="11" t="s">
        <v>11</v>
      </c>
      <c r="H561" s="52" t="s">
        <v>1020</v>
      </c>
      <c r="I561" s="20" t="s">
        <v>995</v>
      </c>
      <c r="J561" s="11">
        <v>144</v>
      </c>
      <c r="K561" s="11">
        <v>144</v>
      </c>
      <c r="L561" s="11">
        <f t="shared" si="79"/>
        <v>0</v>
      </c>
      <c r="M561" s="134"/>
      <c r="N561" s="96">
        <v>46065</v>
      </c>
    </row>
    <row r="562" spans="1:14" x14ac:dyDescent="0.25">
      <c r="A562" s="11">
        <f t="shared" ca="1" si="77"/>
        <v>-82</v>
      </c>
      <c r="B562" s="37">
        <f t="shared" si="78"/>
        <v>37</v>
      </c>
      <c r="C562" s="11" t="s">
        <v>304</v>
      </c>
      <c r="D562" s="11" t="str">
        <f>VLOOKUP(VALUE(MID($C562,13,2)), [2]codigos!$A$2:$B$60, 2, 1) &amp; " " &amp; VLOOKUP(VALUE(MID($C562,15,4)), [2]codigos!$E$2:$F$102, 2, FALSE)</f>
        <v>TAZON  8</v>
      </c>
      <c r="E562" s="11" t="str">
        <f>VLOOKUP(VALUE(MID($C562,19,2)),[2]codigos!$H$2:$I$62,2,1) &amp; " " &amp; VLOOKUP(VALUE(MID($C562,21,2)),[2]codigos!$K$2:$L$12,2,FALSE)</f>
        <v>NEGRO S/I</v>
      </c>
      <c r="F562" s="11" t="s">
        <v>1017</v>
      </c>
      <c r="G562" s="11" t="s">
        <v>11</v>
      </c>
      <c r="H562" s="52" t="s">
        <v>1020</v>
      </c>
      <c r="I562" s="20" t="s">
        <v>995</v>
      </c>
      <c r="J562" s="11">
        <v>36</v>
      </c>
      <c r="K562" s="11">
        <v>36</v>
      </c>
      <c r="L562" s="11">
        <f t="shared" si="79"/>
        <v>0</v>
      </c>
      <c r="M562" s="134"/>
      <c r="N562" s="96">
        <v>46065</v>
      </c>
    </row>
    <row r="563" spans="1:14" x14ac:dyDescent="0.25">
      <c r="A563" s="11">
        <f t="shared" ca="1" si="77"/>
        <v>-61</v>
      </c>
      <c r="B563" s="37">
        <f t="shared" si="78"/>
        <v>16</v>
      </c>
      <c r="C563" s="11" t="s">
        <v>211</v>
      </c>
      <c r="D563" s="11" t="str">
        <f>VLOOKUP(VALUE(MID($C563,13,2)), [2]codigos!$A$2:$B$60, 2, 1) &amp; " " &amp; VLOOKUP(VALUE(MID($C563,15,4)), [2]codigos!$E$2:$F$102, 2, FALSE)</f>
        <v>BAÑO 10</v>
      </c>
      <c r="E563" s="11" t="str">
        <f>VLOOKUP(VALUE(MID($C563,19,2)),[2]codigos!$H$2:$I$62,2,1) &amp; " " &amp; VLOOKUP(VALUE(MID($C563,21,2)),[2]codigos!$K$2:$L$12,2,FALSE)</f>
        <v>GALVANIZADO S/I</v>
      </c>
      <c r="F563" s="11" t="s">
        <v>1292</v>
      </c>
      <c r="G563" s="11" t="s">
        <v>145</v>
      </c>
      <c r="H563" s="11" t="s">
        <v>185</v>
      </c>
      <c r="I563" s="11" t="s">
        <v>1289</v>
      </c>
      <c r="J563" s="25">
        <v>5</v>
      </c>
      <c r="K563" s="11">
        <v>0</v>
      </c>
      <c r="L563" s="11">
        <f t="shared" si="79"/>
        <v>5</v>
      </c>
      <c r="M563" s="131">
        <f>(SUM(K563:K565))/(SUM(J563:J565))</f>
        <v>0.9285714285714286</v>
      </c>
      <c r="N563" s="96">
        <v>46065</v>
      </c>
    </row>
    <row r="564" spans="1:14" x14ac:dyDescent="0.25">
      <c r="A564" s="11">
        <f t="shared" ca="1" si="77"/>
        <v>-61</v>
      </c>
      <c r="B564" s="37">
        <f t="shared" si="78"/>
        <v>16</v>
      </c>
      <c r="C564" s="11" t="s">
        <v>212</v>
      </c>
      <c r="D564" s="11" t="str">
        <f>VLOOKUP(VALUE(MID($C564,13,2)), [2]codigos!$A$2:$B$60, 2, 1) &amp; " " &amp; VLOOKUP(VALUE(MID($C564,15,4)), [2]codigos!$E$2:$F$102, 2, FALSE)</f>
        <v>BAÑO 12</v>
      </c>
      <c r="E564" s="11" t="str">
        <f>VLOOKUP(VALUE(MID($C564,19,2)),[2]codigos!$H$2:$I$62,2,1) &amp; " " &amp; VLOOKUP(VALUE(MID($C564,21,2)),[2]codigos!$K$2:$L$12,2,FALSE)</f>
        <v>GALVANIZADO S/I</v>
      </c>
      <c r="F564" s="11" t="s">
        <v>1292</v>
      </c>
      <c r="G564" s="11" t="s">
        <v>145</v>
      </c>
      <c r="H564" s="11" t="s">
        <v>185</v>
      </c>
      <c r="I564" s="11" t="s">
        <v>1289</v>
      </c>
      <c r="J564" s="25">
        <v>15</v>
      </c>
      <c r="K564" s="11">
        <v>15</v>
      </c>
      <c r="L564" s="11">
        <f t="shared" si="79"/>
        <v>0</v>
      </c>
      <c r="M564" s="131"/>
      <c r="N564" s="96">
        <v>46065</v>
      </c>
    </row>
    <row r="565" spans="1:14" x14ac:dyDescent="0.25">
      <c r="A565" s="11">
        <f t="shared" ca="1" si="77"/>
        <v>-61</v>
      </c>
      <c r="B565" s="37">
        <f t="shared" si="78"/>
        <v>16</v>
      </c>
      <c r="C565" s="11" t="s">
        <v>1290</v>
      </c>
      <c r="D565" s="11" t="str">
        <f>VLOOKUP(VALUE(MID($C565,13,2)), [2]codigos!$A$2:$B$60, 2, 1) &amp; " " &amp; VLOOKUP(VALUE(MID($C565,15,4)), [2]codigos!$E$2:$F$102, 2, FALSE)</f>
        <v>BAÑO B</v>
      </c>
      <c r="E565" s="11" t="str">
        <f>VLOOKUP(VALUE(MID($C565,19,2)),[2]codigos!$H$2:$I$62,2,1) &amp; " " &amp; VLOOKUP(VALUE(MID($C565,21,2)),[2]codigos!$K$2:$L$12,2,FALSE)</f>
        <v>GALVANIZADO S/I</v>
      </c>
      <c r="F565" s="11" t="s">
        <v>1292</v>
      </c>
      <c r="G565" s="11" t="s">
        <v>145</v>
      </c>
      <c r="H565" s="11" t="s">
        <v>185</v>
      </c>
      <c r="I565" s="11" t="s">
        <v>1289</v>
      </c>
      <c r="J565" s="25">
        <v>50</v>
      </c>
      <c r="K565" s="11">
        <v>50</v>
      </c>
      <c r="L565" s="11">
        <f t="shared" si="79"/>
        <v>0</v>
      </c>
      <c r="M565" s="131"/>
      <c r="N565" s="96">
        <v>46065</v>
      </c>
    </row>
    <row r="566" spans="1:14" x14ac:dyDescent="0.25">
      <c r="A566" s="11">
        <f t="shared" ca="1" si="77"/>
        <v>-61</v>
      </c>
      <c r="B566" s="37">
        <f t="shared" si="78"/>
        <v>16</v>
      </c>
      <c r="C566" s="11" t="s">
        <v>189</v>
      </c>
      <c r="D566" s="11" t="str">
        <f>VLOOKUP(VALUE(MID($C566,13,2)), [2]codigos!$A$2:$B$60, 2, 1) &amp; " " &amp; VLOOKUP(VALUE(MID($C566,15,4)), [2]codigos!$E$2:$F$102, 2, FALSE)</f>
        <v>BUDINERA   16</v>
      </c>
      <c r="E566" s="11" t="str">
        <f>VLOOKUP(VALUE(MID($C566,19,2)),[2]codigos!$H$2:$I$62,2,1) &amp; " " &amp; VLOOKUP(VALUE(MID($C566,21,2)),[2]codigos!$K$2:$L$12,2,FALSE)</f>
        <v>A/T S/I</v>
      </c>
      <c r="F566" s="11" t="s">
        <v>1292</v>
      </c>
      <c r="G566" s="11" t="s">
        <v>145</v>
      </c>
      <c r="H566" s="52" t="s">
        <v>1291</v>
      </c>
      <c r="I566" s="20" t="s">
        <v>1289</v>
      </c>
      <c r="J566" s="11">
        <v>18</v>
      </c>
      <c r="K566" s="11">
        <v>0</v>
      </c>
      <c r="L566" s="11">
        <f t="shared" si="79"/>
        <v>18</v>
      </c>
      <c r="M566" s="131">
        <f>(SUM(K566:K592))/(SUM(J566:J592))</f>
        <v>0.60367892976588633</v>
      </c>
      <c r="N566" s="96">
        <v>46065</v>
      </c>
    </row>
    <row r="567" spans="1:14" x14ac:dyDescent="0.25">
      <c r="A567" s="11">
        <f t="shared" ca="1" si="77"/>
        <v>-61</v>
      </c>
      <c r="B567" s="37">
        <f t="shared" si="78"/>
        <v>16</v>
      </c>
      <c r="C567" s="11" t="s">
        <v>214</v>
      </c>
      <c r="D567" s="11" t="str">
        <f>VLOOKUP(VALUE(MID($C567,13,2)), [2]codigos!$A$2:$B$60, 2, 1) &amp; " " &amp; VLOOKUP(VALUE(MID($C567,15,4)), [2]codigos!$E$2:$F$102, 2, FALSE)</f>
        <v>BUDINERA   18</v>
      </c>
      <c r="E567" s="11" t="str">
        <f>VLOOKUP(VALUE(MID($C567,19,2)),[2]codigos!$H$2:$I$62,2,1) &amp; " " &amp; VLOOKUP(VALUE(MID($C567,21,2)),[2]codigos!$K$2:$L$12,2,FALSE)</f>
        <v>A/T S/I</v>
      </c>
      <c r="F567" s="11" t="s">
        <v>1292</v>
      </c>
      <c r="G567" s="11" t="s">
        <v>145</v>
      </c>
      <c r="H567" s="52" t="s">
        <v>1291</v>
      </c>
      <c r="I567" s="20" t="s">
        <v>1289</v>
      </c>
      <c r="J567" s="11">
        <v>18</v>
      </c>
      <c r="K567" s="11">
        <v>0</v>
      </c>
      <c r="L567" s="11">
        <f t="shared" si="79"/>
        <v>18</v>
      </c>
      <c r="M567" s="131"/>
      <c r="N567" s="96">
        <v>46065</v>
      </c>
    </row>
    <row r="568" spans="1:14" x14ac:dyDescent="0.25">
      <c r="A568" s="11">
        <f t="shared" ca="1" si="77"/>
        <v>-61</v>
      </c>
      <c r="B568" s="37">
        <f t="shared" si="78"/>
        <v>16</v>
      </c>
      <c r="C568" s="11" t="s">
        <v>215</v>
      </c>
      <c r="D568" s="11" t="str">
        <f>VLOOKUP(VALUE(MID($C568,13,2)), [2]codigos!$A$2:$B$60, 2, 1) &amp; " " &amp; VLOOKUP(VALUE(MID($C568,15,4)), [2]codigos!$E$2:$F$102, 2, FALSE)</f>
        <v>BUDINERA   20</v>
      </c>
      <c r="E568" s="11" t="str">
        <f>VLOOKUP(VALUE(MID($C568,19,2)),[2]codigos!$H$2:$I$62,2,1) &amp; " " &amp; VLOOKUP(VALUE(MID($C568,21,2)),[2]codigos!$K$2:$L$12,2,FALSE)</f>
        <v>A/T S/I</v>
      </c>
      <c r="F568" s="11" t="s">
        <v>1292</v>
      </c>
      <c r="G568" s="11" t="s">
        <v>145</v>
      </c>
      <c r="H568" s="52" t="s">
        <v>1291</v>
      </c>
      <c r="I568" s="20" t="s">
        <v>1289</v>
      </c>
      <c r="J568" s="11">
        <v>18</v>
      </c>
      <c r="K568" s="11">
        <v>18</v>
      </c>
      <c r="L568" s="11">
        <f t="shared" si="79"/>
        <v>0</v>
      </c>
      <c r="M568" s="131"/>
      <c r="N568" s="96">
        <v>46065</v>
      </c>
    </row>
    <row r="569" spans="1:14" x14ac:dyDescent="0.25">
      <c r="A569" s="11">
        <f t="shared" ca="1" si="77"/>
        <v>-61</v>
      </c>
      <c r="B569" s="37">
        <f t="shared" si="78"/>
        <v>16</v>
      </c>
      <c r="C569" s="11" t="s">
        <v>241</v>
      </c>
      <c r="D569" s="11" t="str">
        <f>VLOOKUP(VALUE(MID($C569,13,2)), [2]codigos!$A$2:$B$60, 2, 1) &amp; " " &amp; VLOOKUP(VALUE(MID($C569,15,4)), [2]codigos!$E$2:$F$102, 2, FALSE)</f>
        <v>BUDINERA   22</v>
      </c>
      <c r="E569" s="11" t="str">
        <f>VLOOKUP(VALUE(MID($C569,19,2)),[2]codigos!$H$2:$I$62,2,1) &amp; " " &amp; VLOOKUP(VALUE(MID($C569,21,2)),[2]codigos!$K$2:$L$12,2,FALSE)</f>
        <v>A/T S/I</v>
      </c>
      <c r="F569" s="11" t="s">
        <v>1292</v>
      </c>
      <c r="G569" s="11" t="s">
        <v>145</v>
      </c>
      <c r="H569" s="52" t="s">
        <v>1291</v>
      </c>
      <c r="I569" s="20" t="s">
        <v>1289</v>
      </c>
      <c r="J569" s="11">
        <v>12</v>
      </c>
      <c r="K569" s="11">
        <v>0</v>
      </c>
      <c r="L569" s="11">
        <f t="shared" si="79"/>
        <v>12</v>
      </c>
      <c r="M569" s="131"/>
      <c r="N569" s="96">
        <v>46065</v>
      </c>
    </row>
    <row r="570" spans="1:14" x14ac:dyDescent="0.25">
      <c r="A570" s="11">
        <f t="shared" ca="1" si="77"/>
        <v>-61</v>
      </c>
      <c r="B570" s="37">
        <f t="shared" si="78"/>
        <v>16</v>
      </c>
      <c r="C570" s="11" t="s">
        <v>143</v>
      </c>
      <c r="D570" s="11" t="str">
        <f>VLOOKUP(VALUE(MID($C570,13,2)), [2]codigos!$A$2:$B$60, 2, 1) &amp; " " &amp; VLOOKUP(VALUE(MID($C570,15,4)), [2]codigos!$E$2:$F$102, 2, FALSE)</f>
        <v>BUDINERA   24</v>
      </c>
      <c r="E570" s="11" t="str">
        <f>VLOOKUP(VALUE(MID($C570,19,2)),[2]codigos!$H$2:$I$62,2,1) &amp; " " &amp; VLOOKUP(VALUE(MID($C570,21,2)),[2]codigos!$K$2:$L$12,2,FALSE)</f>
        <v>A/T S/I</v>
      </c>
      <c r="F570" s="11" t="s">
        <v>1292</v>
      </c>
      <c r="G570" s="11" t="s">
        <v>145</v>
      </c>
      <c r="H570" s="52" t="s">
        <v>1291</v>
      </c>
      <c r="I570" s="20" t="s">
        <v>1289</v>
      </c>
      <c r="J570" s="11">
        <v>36</v>
      </c>
      <c r="K570" s="11">
        <v>36</v>
      </c>
      <c r="L570" s="11">
        <f t="shared" si="79"/>
        <v>0</v>
      </c>
      <c r="M570" s="131"/>
      <c r="N570" s="96">
        <v>46065</v>
      </c>
    </row>
    <row r="571" spans="1:14" x14ac:dyDescent="0.25">
      <c r="A571" s="11">
        <f t="shared" ca="1" si="77"/>
        <v>-61</v>
      </c>
      <c r="B571" s="37">
        <f t="shared" si="78"/>
        <v>16</v>
      </c>
      <c r="C571" s="11" t="s">
        <v>148</v>
      </c>
      <c r="D571" s="11" t="str">
        <f>VLOOKUP(VALUE(MID($C571,13,2)), [2]codigos!$A$2:$B$60, 2, 1) &amp; " " &amp; VLOOKUP(VALUE(MID($C571,15,4)), [2]codigos!$E$2:$F$102, 2, FALSE)</f>
        <v>BUDINERA   26</v>
      </c>
      <c r="E571" s="11" t="str">
        <f>VLOOKUP(VALUE(MID($C571,19,2)),[2]codigos!$H$2:$I$62,2,1) &amp; " " &amp; VLOOKUP(VALUE(MID($C571,21,2)),[2]codigos!$K$2:$L$12,2,FALSE)</f>
        <v>A/T S/I</v>
      </c>
      <c r="F571" s="11" t="s">
        <v>1292</v>
      </c>
      <c r="G571" s="11" t="s">
        <v>145</v>
      </c>
      <c r="H571" s="52" t="s">
        <v>1291</v>
      </c>
      <c r="I571" s="20" t="s">
        <v>1289</v>
      </c>
      <c r="J571" s="11">
        <v>36</v>
      </c>
      <c r="K571" s="11">
        <v>0</v>
      </c>
      <c r="L571" s="11">
        <f t="shared" si="79"/>
        <v>36</v>
      </c>
      <c r="M571" s="131"/>
      <c r="N571" s="96">
        <v>46065</v>
      </c>
    </row>
    <row r="572" spans="1:14" x14ac:dyDescent="0.25">
      <c r="A572" s="11">
        <f t="shared" ca="1" si="77"/>
        <v>-61</v>
      </c>
      <c r="B572" s="37">
        <f t="shared" si="78"/>
        <v>16</v>
      </c>
      <c r="C572" s="11" t="s">
        <v>169</v>
      </c>
      <c r="D572" s="11" t="str">
        <f>VLOOKUP(VALUE(MID($C572,13,2)), [2]codigos!$A$2:$B$60, 2, 1) &amp; " " &amp; VLOOKUP(VALUE(MID($C572,15,4)), [2]codigos!$E$2:$F$102, 2, FALSE)</f>
        <v>BUDINERA   30</v>
      </c>
      <c r="E572" s="11" t="str">
        <f>VLOOKUP(VALUE(MID($C572,19,2)),[2]codigos!$H$2:$I$62,2,1) &amp; " " &amp; VLOOKUP(VALUE(MID($C572,21,2)),[2]codigos!$K$2:$L$12,2,FALSE)</f>
        <v>A/T S/I</v>
      </c>
      <c r="F572" s="11" t="s">
        <v>1292</v>
      </c>
      <c r="G572" s="11" t="s">
        <v>145</v>
      </c>
      <c r="H572" s="52" t="s">
        <v>1291</v>
      </c>
      <c r="I572" s="20" t="s">
        <v>1289</v>
      </c>
      <c r="J572" s="11">
        <v>20</v>
      </c>
      <c r="K572" s="11">
        <v>20</v>
      </c>
      <c r="L572" s="11">
        <f t="shared" si="79"/>
        <v>0</v>
      </c>
      <c r="M572" s="131"/>
      <c r="N572" s="96">
        <v>46065</v>
      </c>
    </row>
    <row r="573" spans="1:14" x14ac:dyDescent="0.25">
      <c r="A573" s="11">
        <f t="shared" ca="1" si="77"/>
        <v>-61</v>
      </c>
      <c r="B573" s="37">
        <f t="shared" si="78"/>
        <v>16</v>
      </c>
      <c r="C573" s="11" t="s">
        <v>173</v>
      </c>
      <c r="D573" s="11" t="str">
        <f>VLOOKUP(VALUE(MID($C573,13,2)), [2]codigos!$A$2:$B$60, 2, 1) &amp; " " &amp; VLOOKUP(VALUE(MID($C573,15,4)), [2]codigos!$E$2:$F$102, 2, FALSE)</f>
        <v>BUDINERA   34</v>
      </c>
      <c r="E573" s="11" t="str">
        <f>VLOOKUP(VALUE(MID($C573,19,2)),[2]codigos!$H$2:$I$62,2,1) &amp; " " &amp; VLOOKUP(VALUE(MID($C573,21,2)),[2]codigos!$K$2:$L$12,2,FALSE)</f>
        <v>A/T S/I</v>
      </c>
      <c r="F573" s="11" t="s">
        <v>1292</v>
      </c>
      <c r="G573" s="11" t="s">
        <v>145</v>
      </c>
      <c r="H573" s="52" t="s">
        <v>1291</v>
      </c>
      <c r="I573" s="20" t="s">
        <v>1289</v>
      </c>
      <c r="J573" s="11">
        <v>20</v>
      </c>
      <c r="K573" s="11">
        <v>0</v>
      </c>
      <c r="L573" s="11">
        <f t="shared" si="79"/>
        <v>20</v>
      </c>
      <c r="M573" s="131"/>
      <c r="N573" s="96">
        <v>46065</v>
      </c>
    </row>
    <row r="574" spans="1:14" x14ac:dyDescent="0.25">
      <c r="A574" s="11">
        <f t="shared" ca="1" si="77"/>
        <v>-61</v>
      </c>
      <c r="B574" s="37">
        <f t="shared" si="78"/>
        <v>16</v>
      </c>
      <c r="C574" s="11" t="s">
        <v>38</v>
      </c>
      <c r="D574" s="11" t="str">
        <f>VLOOKUP(VALUE(MID($C574,13,2)), [2]codigos!$A$2:$B$60, 2, 1) &amp; " " &amp; VLOOKUP(VALUE(MID($C574,15,4)), [2]codigos!$E$2:$F$102, 2, FALSE)</f>
        <v>BUDINERA   42</v>
      </c>
      <c r="E574" s="11" t="str">
        <f>VLOOKUP(VALUE(MID($C574,19,2)),[2]codigos!$H$2:$I$62,2,1) &amp; " " &amp; VLOOKUP(VALUE(MID($C574,21,2)),[2]codigos!$K$2:$L$12,2,FALSE)</f>
        <v>A/T S/I</v>
      </c>
      <c r="F574" s="11" t="s">
        <v>1292</v>
      </c>
      <c r="G574" s="11" t="s">
        <v>145</v>
      </c>
      <c r="H574" s="52" t="s">
        <v>1291</v>
      </c>
      <c r="I574" s="20" t="s">
        <v>1289</v>
      </c>
      <c r="J574" s="11">
        <v>10</v>
      </c>
      <c r="K574" s="11">
        <v>0</v>
      </c>
      <c r="L574" s="11">
        <f t="shared" si="79"/>
        <v>10</v>
      </c>
      <c r="M574" s="131"/>
      <c r="N574" s="96">
        <v>46065</v>
      </c>
    </row>
    <row r="575" spans="1:14" x14ac:dyDescent="0.25">
      <c r="A575" s="11">
        <f t="shared" ca="1" si="77"/>
        <v>-61</v>
      </c>
      <c r="B575" s="37">
        <f t="shared" si="78"/>
        <v>16</v>
      </c>
      <c r="C575" s="11" t="s">
        <v>218</v>
      </c>
      <c r="D575" s="11" t="str">
        <f>VLOOKUP(VALUE(MID($C575,13,2)), [2]codigos!$A$2:$B$60, 2, 1) &amp; " " &amp; VLOOKUP(VALUE(MID($C575,15,4)), [2]codigos!$E$2:$F$102, 2, FALSE)</f>
        <v>CAZO 14</v>
      </c>
      <c r="E575" s="11" t="str">
        <f>VLOOKUP(VALUE(MID($C575,19,2)),[2]codigos!$H$2:$I$62,2,1) &amp; " " &amp; VLOOKUP(VALUE(MID($C575,21,2)),[2]codigos!$K$2:$L$12,2,FALSE)</f>
        <v>A/T S/I</v>
      </c>
      <c r="F575" s="11" t="s">
        <v>1292</v>
      </c>
      <c r="G575" s="11" t="s">
        <v>145</v>
      </c>
      <c r="H575" s="52" t="s">
        <v>1291</v>
      </c>
      <c r="I575" s="20" t="s">
        <v>1289</v>
      </c>
      <c r="J575" s="11">
        <v>12</v>
      </c>
      <c r="K575" s="11">
        <v>12</v>
      </c>
      <c r="L575" s="11">
        <f t="shared" si="79"/>
        <v>0</v>
      </c>
      <c r="M575" s="131"/>
      <c r="N575" s="96">
        <v>46065</v>
      </c>
    </row>
    <row r="576" spans="1:14" x14ac:dyDescent="0.25">
      <c r="A576" s="11">
        <f t="shared" ca="1" si="77"/>
        <v>-61</v>
      </c>
      <c r="B576" s="37">
        <f t="shared" si="78"/>
        <v>16</v>
      </c>
      <c r="C576" s="11" t="s">
        <v>219</v>
      </c>
      <c r="D576" s="11" t="str">
        <f>VLOOKUP(VALUE(MID($C576,13,2)), [2]codigos!$A$2:$B$60, 2, 1) &amp; " " &amp; VLOOKUP(VALUE(MID($C576,15,4)), [2]codigos!$E$2:$F$102, 2, FALSE)</f>
        <v>CAZO 16</v>
      </c>
      <c r="E576" s="11" t="str">
        <f>VLOOKUP(VALUE(MID($C576,19,2)),[2]codigos!$H$2:$I$62,2,1) &amp; " " &amp; VLOOKUP(VALUE(MID($C576,21,2)),[2]codigos!$K$2:$L$12,2,FALSE)</f>
        <v>A/T S/I</v>
      </c>
      <c r="F576" s="11" t="s">
        <v>1292</v>
      </c>
      <c r="G576" s="11" t="s">
        <v>145</v>
      </c>
      <c r="H576" s="52" t="s">
        <v>1291</v>
      </c>
      <c r="I576" s="20" t="s">
        <v>1289</v>
      </c>
      <c r="J576" s="11">
        <v>12</v>
      </c>
      <c r="K576" s="11">
        <v>12</v>
      </c>
      <c r="L576" s="11">
        <f t="shared" si="79"/>
        <v>0</v>
      </c>
      <c r="M576" s="131"/>
      <c r="N576" s="96">
        <v>46065</v>
      </c>
    </row>
    <row r="577" spans="1:14" x14ac:dyDescent="0.25">
      <c r="A577" s="11">
        <f t="shared" ca="1" si="77"/>
        <v>-61</v>
      </c>
      <c r="B577" s="37">
        <f t="shared" si="78"/>
        <v>16</v>
      </c>
      <c r="C577" s="11" t="s">
        <v>149</v>
      </c>
      <c r="D577" s="11" t="str">
        <f>VLOOKUP(VALUE(MID($C577,13,2)), [2]codigos!$A$2:$B$60, 2, 1) &amp; " " &amp; VLOOKUP(VALUE(MID($C577,15,4)), [2]codigos!$E$2:$F$102, 2, FALSE)</f>
        <v>COMAL 28</v>
      </c>
      <c r="E577" s="11" t="str">
        <f>VLOOKUP(VALUE(MID($C577,19,2)),[2]codigos!$H$2:$I$62,2,1) &amp; " " &amp; VLOOKUP(VALUE(MID($C577,21,2)),[2]codigos!$K$2:$L$12,2,FALSE)</f>
        <v>NEGRO MOTAS S/I</v>
      </c>
      <c r="F577" s="11" t="s">
        <v>1292</v>
      </c>
      <c r="G577" s="11" t="s">
        <v>145</v>
      </c>
      <c r="H577" s="52" t="s">
        <v>1291</v>
      </c>
      <c r="I577" s="20" t="s">
        <v>1289</v>
      </c>
      <c r="J577" s="11">
        <v>48</v>
      </c>
      <c r="K577" s="11">
        <v>48</v>
      </c>
      <c r="L577" s="11">
        <f t="shared" si="79"/>
        <v>0</v>
      </c>
      <c r="M577" s="131"/>
      <c r="N577" s="96">
        <v>46065</v>
      </c>
    </row>
    <row r="578" spans="1:14" x14ac:dyDescent="0.25">
      <c r="A578" s="11">
        <f t="shared" ca="1" si="77"/>
        <v>-61</v>
      </c>
      <c r="B578" s="37">
        <f t="shared" si="78"/>
        <v>16</v>
      </c>
      <c r="C578" s="11" t="s">
        <v>344</v>
      </c>
      <c r="D578" s="11" t="str">
        <f>VLOOKUP(VALUE(MID($C578,13,2)), [2]codigos!$A$2:$B$60, 2, 1) &amp; " " &amp; VLOOKUP(VALUE(MID($C578,15,4)), [2]codigos!$E$2:$F$102, 2, FALSE)</f>
        <v>COMAL 36</v>
      </c>
      <c r="E578" s="11" t="str">
        <f>VLOOKUP(VALUE(MID($C578,19,2)),[2]codigos!$H$2:$I$62,2,1) &amp; " " &amp; VLOOKUP(VALUE(MID($C578,21,2)),[2]codigos!$K$2:$L$12,2,FALSE)</f>
        <v>NEGRO MOTAS S/I</v>
      </c>
      <c r="F578" s="11" t="s">
        <v>1292</v>
      </c>
      <c r="G578" s="11" t="s">
        <v>145</v>
      </c>
      <c r="H578" s="52" t="s">
        <v>1291</v>
      </c>
      <c r="I578" s="20" t="s">
        <v>1289</v>
      </c>
      <c r="J578" s="11">
        <v>12</v>
      </c>
      <c r="K578" s="11">
        <v>12</v>
      </c>
      <c r="L578" s="11">
        <f t="shared" si="79"/>
        <v>0</v>
      </c>
      <c r="M578" s="131"/>
      <c r="N578" s="96">
        <v>46065</v>
      </c>
    </row>
    <row r="579" spans="1:14" x14ac:dyDescent="0.25">
      <c r="A579" s="11">
        <f t="shared" ca="1" si="77"/>
        <v>-61</v>
      </c>
      <c r="B579" s="37">
        <f t="shared" si="78"/>
        <v>16</v>
      </c>
      <c r="C579" s="11" t="s">
        <v>333</v>
      </c>
      <c r="D579" s="11" t="str">
        <f>VLOOKUP(VALUE(MID($C579,13,2)), [2]codigos!$A$2:$B$60, 2, 1) &amp; " " &amp; VLOOKUP(VALUE(MID($C579,15,4)), [2]codigos!$E$2:$F$102, 2, FALSE)</f>
        <v>OLLA CONVEXA 14</v>
      </c>
      <c r="E579" s="11" t="str">
        <f>VLOOKUP(VALUE(MID($C579,19,2)),[2]codigos!$H$2:$I$62,2,1) &amp; " " &amp; VLOOKUP(VALUE(MID($C579,21,2)),[2]codigos!$K$2:$L$12,2,FALSE)</f>
        <v>A/T S/I</v>
      </c>
      <c r="F579" s="11" t="s">
        <v>1292</v>
      </c>
      <c r="G579" s="11" t="s">
        <v>145</v>
      </c>
      <c r="H579" s="52" t="s">
        <v>1291</v>
      </c>
      <c r="I579" s="20" t="s">
        <v>1289</v>
      </c>
      <c r="J579" s="11">
        <v>18</v>
      </c>
      <c r="K579" s="11">
        <v>18</v>
      </c>
      <c r="L579" s="11">
        <f t="shared" si="79"/>
        <v>0</v>
      </c>
      <c r="M579" s="131"/>
      <c r="N579" s="96">
        <v>46065</v>
      </c>
    </row>
    <row r="580" spans="1:14" x14ac:dyDescent="0.25">
      <c r="A580" s="11">
        <f t="shared" ca="1" si="77"/>
        <v>-61</v>
      </c>
      <c r="B580" s="37">
        <f t="shared" si="78"/>
        <v>16</v>
      </c>
      <c r="C580" s="11" t="s">
        <v>220</v>
      </c>
      <c r="D580" s="11" t="str">
        <f>VLOOKUP(VALUE(MID($C580,13,2)), [2]codigos!$A$2:$B$60, 2, 1) &amp; " " &amp; VLOOKUP(VALUE(MID($C580,15,4)), [2]codigos!$E$2:$F$102, 2, FALSE)</f>
        <v>OLLA CONVEXA 16</v>
      </c>
      <c r="E580" s="11" t="str">
        <f>VLOOKUP(VALUE(MID($C580,19,2)),[2]codigos!$H$2:$I$62,2,1) &amp; " " &amp; VLOOKUP(VALUE(MID($C580,21,2)),[2]codigos!$K$2:$L$12,2,FALSE)</f>
        <v>A/T S/I</v>
      </c>
      <c r="F580" s="11" t="s">
        <v>1292</v>
      </c>
      <c r="G580" s="11" t="s">
        <v>145</v>
      </c>
      <c r="H580" s="52" t="s">
        <v>1291</v>
      </c>
      <c r="I580" s="20" t="s">
        <v>1289</v>
      </c>
      <c r="J580" s="11">
        <v>12</v>
      </c>
      <c r="K580" s="11">
        <v>0</v>
      </c>
      <c r="L580" s="11">
        <f t="shared" si="79"/>
        <v>12</v>
      </c>
      <c r="M580" s="131"/>
      <c r="N580" s="96">
        <v>46065</v>
      </c>
    </row>
    <row r="581" spans="1:14" x14ac:dyDescent="0.25">
      <c r="A581" s="11">
        <f t="shared" ca="1" si="77"/>
        <v>-61</v>
      </c>
      <c r="B581" s="37">
        <f t="shared" si="78"/>
        <v>16</v>
      </c>
      <c r="C581" s="11" t="s">
        <v>150</v>
      </c>
      <c r="D581" s="11" t="str">
        <f>VLOOKUP(VALUE(MID($C581,13,2)), [2]codigos!$A$2:$B$60, 2, 1) &amp; " " &amp; VLOOKUP(VALUE(MID($C581,15,4)), [2]codigos!$E$2:$F$102, 2, FALSE)</f>
        <v>OLLA CONVEXA 18</v>
      </c>
      <c r="E581" s="11" t="str">
        <f>VLOOKUP(VALUE(MID($C581,19,2)),[2]codigos!$H$2:$I$62,2,1) &amp; " " &amp; VLOOKUP(VALUE(MID($C581,21,2)),[2]codigos!$K$2:$L$12,2,FALSE)</f>
        <v>A/T S/I</v>
      </c>
      <c r="F581" s="11" t="s">
        <v>1292</v>
      </c>
      <c r="G581" s="11" t="s">
        <v>145</v>
      </c>
      <c r="H581" s="52" t="s">
        <v>1291</v>
      </c>
      <c r="I581" s="20" t="s">
        <v>1289</v>
      </c>
      <c r="J581" s="11">
        <v>12</v>
      </c>
      <c r="K581" s="11">
        <v>12</v>
      </c>
      <c r="L581" s="11">
        <f t="shared" si="79"/>
        <v>0</v>
      </c>
      <c r="M581" s="131"/>
      <c r="N581" s="96">
        <v>46065</v>
      </c>
    </row>
    <row r="582" spans="1:14" x14ac:dyDescent="0.25">
      <c r="A582" s="11">
        <f t="shared" ca="1" si="77"/>
        <v>-61</v>
      </c>
      <c r="B582" s="37">
        <f t="shared" si="78"/>
        <v>16</v>
      </c>
      <c r="C582" s="11" t="s">
        <v>151</v>
      </c>
      <c r="D582" s="11" t="str">
        <f>VLOOKUP(VALUE(MID($C582,13,2)), [2]codigos!$A$2:$B$60, 2, 1) &amp; " " &amp; VLOOKUP(VALUE(MID($C582,15,4)), [2]codigos!$E$2:$F$102, 2, FALSE)</f>
        <v>OLLA CONVEXA 20</v>
      </c>
      <c r="E582" s="11" t="str">
        <f>VLOOKUP(VALUE(MID($C582,19,2)),[2]codigos!$H$2:$I$62,2,1) &amp; " " &amp; VLOOKUP(VALUE(MID($C582,21,2)),[2]codigos!$K$2:$L$12,2,FALSE)</f>
        <v>A/T S/I</v>
      </c>
      <c r="F582" s="11" t="s">
        <v>1292</v>
      </c>
      <c r="G582" s="11" t="s">
        <v>145</v>
      </c>
      <c r="H582" s="52" t="s">
        <v>1291</v>
      </c>
      <c r="I582" s="20" t="s">
        <v>1289</v>
      </c>
      <c r="J582" s="11">
        <v>24</v>
      </c>
      <c r="K582" s="11">
        <v>0</v>
      </c>
      <c r="L582" s="11">
        <f t="shared" si="79"/>
        <v>24</v>
      </c>
      <c r="M582" s="131"/>
      <c r="N582" s="96">
        <v>46065</v>
      </c>
    </row>
    <row r="583" spans="1:14" x14ac:dyDescent="0.25">
      <c r="A583" s="11">
        <f t="shared" ca="1" si="77"/>
        <v>-61</v>
      </c>
      <c r="B583" s="37">
        <f t="shared" si="78"/>
        <v>16</v>
      </c>
      <c r="C583" s="11" t="s">
        <v>43</v>
      </c>
      <c r="D583" s="11" t="str">
        <f>VLOOKUP(VALUE(MID($C583,13,2)), [2]codigos!$A$2:$B$60, 2, 1) &amp; " " &amp; VLOOKUP(VALUE(MID($C583,15,4)), [2]codigos!$E$2:$F$102, 2, FALSE)</f>
        <v>OLLA CONVEXA 22</v>
      </c>
      <c r="E583" s="11" t="str">
        <f>VLOOKUP(VALUE(MID($C583,19,2)),[2]codigos!$H$2:$I$62,2,1) &amp; " " &amp; VLOOKUP(VALUE(MID($C583,21,2)),[2]codigos!$K$2:$L$12,2,FALSE)</f>
        <v>A/T S/I</v>
      </c>
      <c r="F583" s="11" t="s">
        <v>1292</v>
      </c>
      <c r="G583" s="11" t="s">
        <v>145</v>
      </c>
      <c r="H583" s="52" t="s">
        <v>1291</v>
      </c>
      <c r="I583" s="20" t="s">
        <v>1289</v>
      </c>
      <c r="J583" s="11">
        <v>24</v>
      </c>
      <c r="K583" s="11">
        <v>24</v>
      </c>
      <c r="L583" s="11">
        <f t="shared" si="79"/>
        <v>0</v>
      </c>
      <c r="M583" s="131"/>
      <c r="N583" s="96">
        <v>46065</v>
      </c>
    </row>
    <row r="584" spans="1:14" x14ac:dyDescent="0.25">
      <c r="A584" s="11">
        <f t="shared" ca="1" si="77"/>
        <v>-61</v>
      </c>
      <c r="B584" s="37">
        <f t="shared" si="78"/>
        <v>16</v>
      </c>
      <c r="C584" s="11" t="s">
        <v>152</v>
      </c>
      <c r="D584" s="11" t="str">
        <f>VLOOKUP(VALUE(MID($C584,13,2)), [2]codigos!$A$2:$B$60, 2, 1) &amp; " " &amp; VLOOKUP(VALUE(MID($C584,15,4)), [2]codigos!$E$2:$F$102, 2, FALSE)</f>
        <v>OLLA CONVEXA 24</v>
      </c>
      <c r="E584" s="11" t="str">
        <f>VLOOKUP(VALUE(MID($C584,19,2)),[2]codigos!$H$2:$I$62,2,1) &amp; " " &amp; VLOOKUP(VALUE(MID($C584,21,2)),[2]codigos!$K$2:$L$12,2,FALSE)</f>
        <v>A/T S/I</v>
      </c>
      <c r="F584" s="11" t="s">
        <v>1292</v>
      </c>
      <c r="G584" s="11" t="s">
        <v>145</v>
      </c>
      <c r="H584" s="52" t="s">
        <v>1291</v>
      </c>
      <c r="I584" s="20" t="s">
        <v>1289</v>
      </c>
      <c r="J584" s="11">
        <v>18</v>
      </c>
      <c r="K584" s="11">
        <v>18</v>
      </c>
      <c r="L584" s="11">
        <f t="shared" si="79"/>
        <v>0</v>
      </c>
      <c r="M584" s="131"/>
      <c r="N584" s="96">
        <v>46065</v>
      </c>
    </row>
    <row r="585" spans="1:14" x14ac:dyDescent="0.25">
      <c r="A585" s="11">
        <f t="shared" ca="1" si="77"/>
        <v>-61</v>
      </c>
      <c r="B585" s="37">
        <f t="shared" si="78"/>
        <v>16</v>
      </c>
      <c r="C585" s="11" t="s">
        <v>153</v>
      </c>
      <c r="D585" s="11" t="str">
        <f>VLOOKUP(VALUE(MID($C585,13,2)), [2]codigos!$A$2:$B$60, 2, 1) &amp; " " &amp; VLOOKUP(VALUE(MID($C585,15,4)), [2]codigos!$E$2:$F$102, 2, FALSE)</f>
        <v>OLLA CONVEXA 26</v>
      </c>
      <c r="E585" s="11" t="str">
        <f>VLOOKUP(VALUE(MID($C585,19,2)),[2]codigos!$H$2:$I$62,2,1) &amp; " " &amp; VLOOKUP(VALUE(MID($C585,21,2)),[2]codigos!$K$2:$L$12,2,FALSE)</f>
        <v>A/T S/I</v>
      </c>
      <c r="F585" s="11" t="s">
        <v>1292</v>
      </c>
      <c r="G585" s="11" t="s">
        <v>145</v>
      </c>
      <c r="H585" s="52" t="s">
        <v>1291</v>
      </c>
      <c r="I585" s="20" t="s">
        <v>1289</v>
      </c>
      <c r="J585" s="11">
        <v>18</v>
      </c>
      <c r="K585" s="11">
        <v>18</v>
      </c>
      <c r="L585" s="11">
        <f t="shared" si="79"/>
        <v>0</v>
      </c>
      <c r="M585" s="131"/>
      <c r="N585" s="96">
        <v>46065</v>
      </c>
    </row>
    <row r="586" spans="1:14" x14ac:dyDescent="0.25">
      <c r="A586" s="11">
        <f t="shared" ca="1" si="77"/>
        <v>-61</v>
      </c>
      <c r="B586" s="37">
        <f t="shared" si="78"/>
        <v>16</v>
      </c>
      <c r="C586" s="11" t="s">
        <v>154</v>
      </c>
      <c r="D586" s="11" t="str">
        <f>VLOOKUP(VALUE(MID($C586,13,2)), [2]codigos!$A$2:$B$60, 2, 1) &amp; " " &amp; VLOOKUP(VALUE(MID($C586,15,4)), [2]codigos!$E$2:$F$102, 2, FALSE)</f>
        <v>OLLA CONVEXA 30</v>
      </c>
      <c r="E586" s="11" t="str">
        <f>VLOOKUP(VALUE(MID($C586,19,2)),[2]codigos!$H$2:$I$62,2,1) &amp; " " &amp; VLOOKUP(VALUE(MID($C586,21,2)),[2]codigos!$K$2:$L$12,2,FALSE)</f>
        <v>A/T S/I</v>
      </c>
      <c r="F586" s="11" t="s">
        <v>1292</v>
      </c>
      <c r="G586" s="11" t="s">
        <v>145</v>
      </c>
      <c r="H586" s="52" t="s">
        <v>1291</v>
      </c>
      <c r="I586" s="20" t="s">
        <v>1289</v>
      </c>
      <c r="J586" s="11">
        <v>12</v>
      </c>
      <c r="K586" s="11">
        <v>12</v>
      </c>
      <c r="L586" s="11">
        <f t="shared" si="79"/>
        <v>0</v>
      </c>
      <c r="M586" s="131"/>
      <c r="N586" s="96">
        <v>46065</v>
      </c>
    </row>
    <row r="587" spans="1:14" x14ac:dyDescent="0.25">
      <c r="A587" s="11">
        <f t="shared" ca="1" si="77"/>
        <v>-61</v>
      </c>
      <c r="B587" s="37">
        <f t="shared" si="78"/>
        <v>16</v>
      </c>
      <c r="C587" s="11" t="s">
        <v>226</v>
      </c>
      <c r="D587" s="11" t="str">
        <f>VLOOKUP(VALUE(MID($C587,13,2)), [2]codigos!$A$2:$B$60, 2, 1) &amp; " " &amp; VLOOKUP(VALUE(MID($C587,15,4)), [2]codigos!$E$2:$F$102, 2, FALSE)</f>
        <v>POCILLO 10</v>
      </c>
      <c r="E587" s="11" t="str">
        <f>VLOOKUP(VALUE(MID($C587,19,2)),[2]codigos!$H$2:$I$62,2,1) &amp; " " &amp; VLOOKUP(VALUE(MID($C587,21,2)),[2]codigos!$K$2:$L$12,2,FALSE)</f>
        <v>A/T S/I</v>
      </c>
      <c r="F587" s="11" t="s">
        <v>1292</v>
      </c>
      <c r="G587" s="11" t="s">
        <v>145</v>
      </c>
      <c r="H587" s="52" t="s">
        <v>1291</v>
      </c>
      <c r="I587" s="20" t="s">
        <v>1289</v>
      </c>
      <c r="J587" s="11">
        <v>72</v>
      </c>
      <c r="K587" s="11">
        <f>40+24+8</f>
        <v>72</v>
      </c>
      <c r="L587" s="11">
        <f t="shared" si="79"/>
        <v>0</v>
      </c>
      <c r="M587" s="131"/>
      <c r="N587" s="96">
        <v>46065</v>
      </c>
    </row>
    <row r="588" spans="1:14" x14ac:dyDescent="0.25">
      <c r="A588" s="11">
        <f t="shared" ca="1" si="77"/>
        <v>-61</v>
      </c>
      <c r="B588" s="37">
        <f t="shared" si="78"/>
        <v>16</v>
      </c>
      <c r="C588" s="11" t="s">
        <v>180</v>
      </c>
      <c r="D588" s="11" t="str">
        <f>VLOOKUP(VALUE(MID($C588,13,2)), [2]codigos!$A$2:$B$60, 2, 1) &amp; " " &amp; VLOOKUP(VALUE(MID($C588,15,4)), [2]codigos!$E$2:$F$102, 2, FALSE)</f>
        <v>POCILLO 12</v>
      </c>
      <c r="E588" s="11" t="str">
        <f>VLOOKUP(VALUE(MID($C588,19,2)),[2]codigos!$H$2:$I$62,2,1) &amp; " " &amp; VLOOKUP(VALUE(MID($C588,21,2)),[2]codigos!$K$2:$L$12,2,FALSE)</f>
        <v>A/T S/I</v>
      </c>
      <c r="F588" s="11" t="s">
        <v>1292</v>
      </c>
      <c r="G588" s="11" t="s">
        <v>145</v>
      </c>
      <c r="H588" s="52" t="s">
        <v>1291</v>
      </c>
      <c r="I588" s="20" t="s">
        <v>1289</v>
      </c>
      <c r="J588" s="11">
        <v>48</v>
      </c>
      <c r="K588" s="11">
        <v>0</v>
      </c>
      <c r="L588" s="11">
        <f t="shared" si="79"/>
        <v>48</v>
      </c>
      <c r="M588" s="131"/>
      <c r="N588" s="96">
        <v>46065</v>
      </c>
    </row>
    <row r="589" spans="1:14" x14ac:dyDescent="0.25">
      <c r="A589" s="11">
        <f t="shared" ca="1" si="77"/>
        <v>-61</v>
      </c>
      <c r="B589" s="37">
        <f t="shared" si="78"/>
        <v>16</v>
      </c>
      <c r="C589" s="11" t="s">
        <v>182</v>
      </c>
      <c r="D589" s="11" t="str">
        <f>VLOOKUP(VALUE(MID($C589,13,2)), [2]codigos!$A$2:$B$60, 2, 1) &amp; " " &amp; VLOOKUP(VALUE(MID($C589,15,4)), [2]codigos!$E$2:$F$102, 2, FALSE)</f>
        <v>POCILLO 14</v>
      </c>
      <c r="E589" s="11" t="str">
        <f>VLOOKUP(VALUE(MID($C589,19,2)),[2]codigos!$H$2:$I$62,2,1) &amp; " " &amp; VLOOKUP(VALUE(MID($C589,21,2)),[2]codigos!$K$2:$L$12,2,FALSE)</f>
        <v>A/T S/I</v>
      </c>
      <c r="F589" s="11" t="s">
        <v>1292</v>
      </c>
      <c r="G589" s="11" t="s">
        <v>145</v>
      </c>
      <c r="H589" s="52" t="s">
        <v>1291</v>
      </c>
      <c r="I589" s="20" t="s">
        <v>1289</v>
      </c>
      <c r="J589" s="11">
        <v>30</v>
      </c>
      <c r="K589" s="11">
        <v>0</v>
      </c>
      <c r="L589" s="11">
        <f t="shared" si="79"/>
        <v>30</v>
      </c>
      <c r="M589" s="131"/>
      <c r="N589" s="96">
        <v>46065</v>
      </c>
    </row>
    <row r="590" spans="1:14" x14ac:dyDescent="0.25">
      <c r="A590" s="11">
        <f t="shared" ca="1" si="77"/>
        <v>-61</v>
      </c>
      <c r="B590" s="37">
        <f t="shared" si="78"/>
        <v>16</v>
      </c>
      <c r="C590" s="11" t="s">
        <v>129</v>
      </c>
      <c r="D590" s="11" t="str">
        <f>VLOOKUP(VALUE(MID($C590,13,2)), [2]codigos!$A$2:$B$60, 2, 1) &amp; " " &amp; VLOOKUP(VALUE(MID($C590,15,4)), [2]codigos!$E$2:$F$102, 2, FALSE)</f>
        <v>POCILLO 14</v>
      </c>
      <c r="E590" s="11" t="str">
        <f>VLOOKUP(VALUE(MID($C590,19,2)),[2]codigos!$H$2:$I$62,2,1) &amp; " " &amp; VLOOKUP(VALUE(MID($C590,21,2)),[2]codigos!$K$2:$L$12,2,FALSE)</f>
        <v>BICOLOR NARANJA S/I</v>
      </c>
      <c r="F590" s="11" t="s">
        <v>1292</v>
      </c>
      <c r="G590" s="11" t="s">
        <v>145</v>
      </c>
      <c r="H590" s="52" t="s">
        <v>1291</v>
      </c>
      <c r="I590" s="20" t="s">
        <v>1289</v>
      </c>
      <c r="J590" s="11">
        <v>30</v>
      </c>
      <c r="K590" s="11">
        <f>12+4+3+1+1</f>
        <v>21</v>
      </c>
      <c r="L590" s="11">
        <f t="shared" si="79"/>
        <v>9</v>
      </c>
      <c r="M590" s="131"/>
      <c r="N590" s="96">
        <v>46065</v>
      </c>
    </row>
    <row r="591" spans="1:14" x14ac:dyDescent="0.25">
      <c r="A591" s="11">
        <f t="shared" ca="1" si="77"/>
        <v>-61</v>
      </c>
      <c r="B591" s="37">
        <f t="shared" si="78"/>
        <v>16</v>
      </c>
      <c r="C591" s="11" t="s">
        <v>228</v>
      </c>
      <c r="D591" s="11" t="str">
        <f>VLOOKUP(VALUE(MID($C591,13,2)), [2]codigos!$A$2:$B$60, 2, 1) &amp; " " &amp; VLOOKUP(VALUE(MID($C591,15,4)), [2]codigos!$E$2:$F$102, 2, FALSE)</f>
        <v>PAVERA OVAL 18"</v>
      </c>
      <c r="E591" s="11" t="str">
        <f>VLOOKUP(VALUE(MID($C591,19,2)),[2]codigos!$H$2:$I$62,2,1) &amp; " " &amp; VLOOKUP(VALUE(MID($C591,21,2)),[2]codigos!$K$2:$L$12,2,FALSE)</f>
        <v>NEGRO MOTAS S/I</v>
      </c>
      <c r="F591" s="11" t="s">
        <v>1292</v>
      </c>
      <c r="G591" s="11" t="s">
        <v>145</v>
      </c>
      <c r="H591" s="52" t="s">
        <v>1291</v>
      </c>
      <c r="I591" s="20" t="s">
        <v>1289</v>
      </c>
      <c r="J591" s="11">
        <v>4</v>
      </c>
      <c r="K591" s="11">
        <v>4</v>
      </c>
      <c r="L591" s="11">
        <f t="shared" si="79"/>
        <v>0</v>
      </c>
      <c r="M591" s="131"/>
      <c r="N591" s="96">
        <v>46065</v>
      </c>
    </row>
    <row r="592" spans="1:14" x14ac:dyDescent="0.25">
      <c r="A592" s="11">
        <f t="shared" ca="1" si="77"/>
        <v>-61</v>
      </c>
      <c r="B592" s="37">
        <f t="shared" si="78"/>
        <v>16</v>
      </c>
      <c r="C592" s="11" t="s">
        <v>849</v>
      </c>
      <c r="D592" s="11" t="str">
        <f>VLOOKUP(VALUE(MID($C592,13,2)), [2]codigos!$A$2:$B$60, 2, 1) &amp; " " &amp; VLOOKUP(VALUE(MID($C592,15,4)), [2]codigos!$E$2:$F$102, 2, FALSE)</f>
        <v>PAVERA OVAL 15"</v>
      </c>
      <c r="E592" s="11" t="str">
        <f>VLOOKUP(VALUE(MID($C592,19,2)),[2]codigos!$H$2:$I$62,2,1) &amp; " " &amp; VLOOKUP(VALUE(MID($C592,21,2)),[2]codigos!$K$2:$L$12,2,FALSE)</f>
        <v>NEGRO MOTAS S/I</v>
      </c>
      <c r="F592" s="11" t="s">
        <v>1292</v>
      </c>
      <c r="G592" s="11" t="s">
        <v>145</v>
      </c>
      <c r="H592" s="52" t="s">
        <v>1291</v>
      </c>
      <c r="I592" s="20" t="s">
        <v>1289</v>
      </c>
      <c r="J592" s="11">
        <v>4</v>
      </c>
      <c r="K592" s="11">
        <v>4</v>
      </c>
      <c r="L592" s="11">
        <f t="shared" si="79"/>
        <v>0</v>
      </c>
      <c r="M592" s="131"/>
      <c r="N592" s="96">
        <v>46065</v>
      </c>
    </row>
    <row r="593" spans="1:14" x14ac:dyDescent="0.25">
      <c r="A593" s="11">
        <f t="shared" ca="1" si="77"/>
        <v>-59</v>
      </c>
      <c r="B593" s="37">
        <f t="shared" si="78"/>
        <v>14</v>
      </c>
      <c r="C593" s="11" t="s">
        <v>215</v>
      </c>
      <c r="D593" s="11" t="str">
        <f>VLOOKUP(VALUE(MID($C593,13,2)), [2]codigos!$A$2:$B$60, 2, 1) &amp; " " &amp; VLOOKUP(VALUE(MID($C593,15,4)), [2]codigos!$E$2:$F$102, 2, FALSE)</f>
        <v>BUDINERA   20</v>
      </c>
      <c r="E593" s="11" t="str">
        <f>VLOOKUP(VALUE(MID($C593,19,2)),[2]codigos!$H$2:$I$62,2,1) &amp; " " &amp; VLOOKUP(VALUE(MID($C593,21,2)),[2]codigos!$K$2:$L$12,2,FALSE)</f>
        <v>A/T S/I</v>
      </c>
      <c r="F593" s="11" t="s">
        <v>1228</v>
      </c>
      <c r="G593" s="11" t="s">
        <v>145</v>
      </c>
      <c r="H593" s="52" t="s">
        <v>349</v>
      </c>
      <c r="I593" s="20" t="s">
        <v>1298</v>
      </c>
      <c r="J593" s="11">
        <v>18</v>
      </c>
      <c r="K593" s="11">
        <v>18</v>
      </c>
      <c r="L593" s="11">
        <f t="shared" si="79"/>
        <v>0</v>
      </c>
      <c r="M593" s="131">
        <f>(SUM(K593:K612))/(SUM(J593:J612))</f>
        <v>0.60444444444444445</v>
      </c>
      <c r="N593" s="96">
        <v>46065</v>
      </c>
    </row>
    <row r="594" spans="1:14" x14ac:dyDescent="0.25">
      <c r="A594" s="11">
        <f t="shared" ca="1" si="77"/>
        <v>-59</v>
      </c>
      <c r="B594" s="37">
        <f t="shared" si="78"/>
        <v>14</v>
      </c>
      <c r="C594" s="11" t="s">
        <v>241</v>
      </c>
      <c r="D594" s="11" t="str">
        <f>VLOOKUP(VALUE(MID($C594,13,2)), [2]codigos!$A$2:$B$60, 2, 1) &amp; " " &amp; VLOOKUP(VALUE(MID($C594,15,4)), [2]codigos!$E$2:$F$102, 2, FALSE)</f>
        <v>BUDINERA   22</v>
      </c>
      <c r="E594" s="11" t="str">
        <f>VLOOKUP(VALUE(MID($C594,19,2)),[2]codigos!$H$2:$I$62,2,1) &amp; " " &amp; VLOOKUP(VALUE(MID($C594,21,2)),[2]codigos!$K$2:$L$12,2,FALSE)</f>
        <v>A/T S/I</v>
      </c>
      <c r="F594" s="11" t="s">
        <v>1228</v>
      </c>
      <c r="G594" s="11" t="s">
        <v>145</v>
      </c>
      <c r="H594" s="52" t="s">
        <v>349</v>
      </c>
      <c r="I594" s="20" t="s">
        <v>1298</v>
      </c>
      <c r="J594" s="11">
        <v>12</v>
      </c>
      <c r="K594" s="11">
        <v>12</v>
      </c>
      <c r="L594" s="11">
        <f t="shared" si="79"/>
        <v>0</v>
      </c>
      <c r="M594" s="131"/>
      <c r="N594" s="96">
        <v>46065</v>
      </c>
    </row>
    <row r="595" spans="1:14" x14ac:dyDescent="0.25">
      <c r="A595" s="11">
        <f t="shared" ca="1" si="77"/>
        <v>-59</v>
      </c>
      <c r="B595" s="37">
        <f t="shared" si="78"/>
        <v>14</v>
      </c>
      <c r="C595" s="11" t="s">
        <v>143</v>
      </c>
      <c r="D595" s="11" t="str">
        <f>VLOOKUP(VALUE(MID($C595,13,2)), [2]codigos!$A$2:$B$60, 2, 1) &amp; " " &amp; VLOOKUP(VALUE(MID($C595,15,4)), [2]codigos!$E$2:$F$102, 2, FALSE)</f>
        <v>BUDINERA   24</v>
      </c>
      <c r="E595" s="11" t="str">
        <f>VLOOKUP(VALUE(MID($C595,19,2)),[2]codigos!$H$2:$I$62,2,1) &amp; " " &amp; VLOOKUP(VALUE(MID($C595,21,2)),[2]codigos!$K$2:$L$12,2,FALSE)</f>
        <v>A/T S/I</v>
      </c>
      <c r="F595" s="11" t="s">
        <v>1228</v>
      </c>
      <c r="G595" s="11" t="s">
        <v>145</v>
      </c>
      <c r="H595" s="52" t="s">
        <v>349</v>
      </c>
      <c r="I595" s="20" t="s">
        <v>1298</v>
      </c>
      <c r="J595" s="11">
        <v>12</v>
      </c>
      <c r="K595" s="11">
        <v>0</v>
      </c>
      <c r="L595" s="11">
        <f t="shared" si="79"/>
        <v>12</v>
      </c>
      <c r="M595" s="131"/>
      <c r="N595" s="96">
        <v>46065</v>
      </c>
    </row>
    <row r="596" spans="1:14" x14ac:dyDescent="0.25">
      <c r="A596" s="11">
        <f t="shared" ca="1" si="77"/>
        <v>-59</v>
      </c>
      <c r="B596" s="37">
        <f t="shared" si="78"/>
        <v>14</v>
      </c>
      <c r="C596" s="11" t="s">
        <v>148</v>
      </c>
      <c r="D596" s="11" t="str">
        <f>VLOOKUP(VALUE(MID($C596,13,2)), [2]codigos!$A$2:$B$60, 2, 1) &amp; " " &amp; VLOOKUP(VALUE(MID($C596,15,4)), [2]codigos!$E$2:$F$102, 2, FALSE)</f>
        <v>BUDINERA   26</v>
      </c>
      <c r="E596" s="11" t="str">
        <f>VLOOKUP(VALUE(MID($C596,19,2)),[2]codigos!$H$2:$I$62,2,1) &amp; " " &amp; VLOOKUP(VALUE(MID($C596,21,2)),[2]codigos!$K$2:$L$12,2,FALSE)</f>
        <v>A/T S/I</v>
      </c>
      <c r="F596" s="11" t="s">
        <v>1228</v>
      </c>
      <c r="G596" s="11" t="s">
        <v>145</v>
      </c>
      <c r="H596" s="52" t="s">
        <v>349</v>
      </c>
      <c r="I596" s="20" t="s">
        <v>1298</v>
      </c>
      <c r="J596" s="11">
        <v>12</v>
      </c>
      <c r="K596" s="11">
        <v>0</v>
      </c>
      <c r="L596" s="11">
        <f t="shared" si="79"/>
        <v>12</v>
      </c>
      <c r="M596" s="131"/>
      <c r="N596" s="96">
        <v>46065</v>
      </c>
    </row>
    <row r="597" spans="1:14" x14ac:dyDescent="0.25">
      <c r="A597" s="11">
        <f t="shared" ca="1" si="77"/>
        <v>-59</v>
      </c>
      <c r="B597" s="37">
        <f t="shared" si="78"/>
        <v>14</v>
      </c>
      <c r="C597" s="11" t="s">
        <v>169</v>
      </c>
      <c r="D597" s="11" t="str">
        <f>VLOOKUP(VALUE(MID($C597,13,2)), [2]codigos!$A$2:$B$60, 2, 1) &amp; " " &amp; VLOOKUP(VALUE(MID($C597,15,4)), [2]codigos!$E$2:$F$102, 2, FALSE)</f>
        <v>BUDINERA   30</v>
      </c>
      <c r="E597" s="11" t="str">
        <f>VLOOKUP(VALUE(MID($C597,19,2)),[2]codigos!$H$2:$I$62,2,1) &amp; " " &amp; VLOOKUP(VALUE(MID($C597,21,2)),[2]codigos!$K$2:$L$12,2,FALSE)</f>
        <v>A/T S/I</v>
      </c>
      <c r="F597" s="11" t="s">
        <v>1228</v>
      </c>
      <c r="G597" s="11" t="s">
        <v>145</v>
      </c>
      <c r="H597" s="52" t="s">
        <v>349</v>
      </c>
      <c r="I597" s="20" t="s">
        <v>1298</v>
      </c>
      <c r="J597" s="11">
        <v>4</v>
      </c>
      <c r="K597" s="11">
        <v>4</v>
      </c>
      <c r="L597" s="11">
        <f t="shared" si="79"/>
        <v>0</v>
      </c>
      <c r="M597" s="131"/>
      <c r="N597" s="96">
        <v>46065</v>
      </c>
    </row>
    <row r="598" spans="1:14" x14ac:dyDescent="0.25">
      <c r="A598" s="11">
        <f t="shared" ca="1" si="77"/>
        <v>-59</v>
      </c>
      <c r="B598" s="37">
        <f t="shared" si="78"/>
        <v>14</v>
      </c>
      <c r="C598" s="11" t="s">
        <v>173</v>
      </c>
      <c r="D598" s="11" t="str">
        <f>VLOOKUP(VALUE(MID($C598,13,2)), [2]codigos!$A$2:$B$60, 2, 1) &amp; " " &amp; VLOOKUP(VALUE(MID($C598,15,4)), [2]codigos!$E$2:$F$102, 2, FALSE)</f>
        <v>BUDINERA   34</v>
      </c>
      <c r="E598" s="11" t="str">
        <f>VLOOKUP(VALUE(MID($C598,19,2)),[2]codigos!$H$2:$I$62,2,1) &amp; " " &amp; VLOOKUP(VALUE(MID($C598,21,2)),[2]codigos!$K$2:$L$12,2,FALSE)</f>
        <v>A/T S/I</v>
      </c>
      <c r="F598" s="11" t="s">
        <v>1228</v>
      </c>
      <c r="G598" s="11" t="s">
        <v>145</v>
      </c>
      <c r="H598" s="52" t="s">
        <v>349</v>
      </c>
      <c r="I598" s="20" t="s">
        <v>1298</v>
      </c>
      <c r="J598" s="11">
        <v>4</v>
      </c>
      <c r="K598" s="11">
        <v>0</v>
      </c>
      <c r="L598" s="11">
        <f t="shared" si="79"/>
        <v>4</v>
      </c>
      <c r="M598" s="131"/>
      <c r="N598" s="96">
        <v>46065</v>
      </c>
    </row>
    <row r="599" spans="1:14" x14ac:dyDescent="0.25">
      <c r="A599" s="11">
        <f t="shared" ca="1" si="77"/>
        <v>-59</v>
      </c>
      <c r="B599" s="37">
        <f t="shared" si="78"/>
        <v>14</v>
      </c>
      <c r="C599" s="11" t="s">
        <v>38</v>
      </c>
      <c r="D599" s="11" t="str">
        <f>VLOOKUP(VALUE(MID($C599,13,2)), [2]codigos!$A$2:$B$60, 2, 1) &amp; " " &amp; VLOOKUP(VALUE(MID($C599,15,4)), [2]codigos!$E$2:$F$102, 2, FALSE)</f>
        <v>BUDINERA   42</v>
      </c>
      <c r="E599" s="11" t="str">
        <f>VLOOKUP(VALUE(MID($C599,19,2)),[2]codigos!$H$2:$I$62,2,1) &amp; " " &amp; VLOOKUP(VALUE(MID($C599,21,2)),[2]codigos!$K$2:$L$12,2,FALSE)</f>
        <v>A/T S/I</v>
      </c>
      <c r="F599" s="11" t="s">
        <v>1228</v>
      </c>
      <c r="G599" s="11" t="s">
        <v>145</v>
      </c>
      <c r="H599" s="52" t="s">
        <v>349</v>
      </c>
      <c r="I599" s="20" t="s">
        <v>1298</v>
      </c>
      <c r="J599" s="11">
        <v>4</v>
      </c>
      <c r="K599" s="11">
        <v>0</v>
      </c>
      <c r="L599" s="11">
        <f t="shared" si="79"/>
        <v>4</v>
      </c>
      <c r="M599" s="131"/>
      <c r="N599" s="96">
        <v>46065</v>
      </c>
    </row>
    <row r="600" spans="1:14" x14ac:dyDescent="0.25">
      <c r="A600" s="11">
        <f t="shared" ca="1" si="77"/>
        <v>-59</v>
      </c>
      <c r="B600" s="37">
        <f t="shared" si="78"/>
        <v>14</v>
      </c>
      <c r="C600" s="11" t="s">
        <v>149</v>
      </c>
      <c r="D600" s="11" t="str">
        <f>VLOOKUP(VALUE(MID($C600,13,2)), [2]codigos!$A$2:$B$60, 2, 1) &amp; " " &amp; VLOOKUP(VALUE(MID($C600,15,4)), [2]codigos!$E$2:$F$102, 2, FALSE)</f>
        <v>COMAL 28</v>
      </c>
      <c r="E600" s="11" t="str">
        <f>VLOOKUP(VALUE(MID($C600,19,2)),[2]codigos!$H$2:$I$62,2,1) &amp; " " &amp; VLOOKUP(VALUE(MID($C600,21,2)),[2]codigos!$K$2:$L$12,2,FALSE)</f>
        <v>NEGRO MOTAS S/I</v>
      </c>
      <c r="F600" s="11" t="s">
        <v>1228</v>
      </c>
      <c r="G600" s="11" t="s">
        <v>145</v>
      </c>
      <c r="H600" s="52" t="s">
        <v>349</v>
      </c>
      <c r="I600" s="20" t="s">
        <v>1298</v>
      </c>
      <c r="J600" s="11">
        <v>24</v>
      </c>
      <c r="K600" s="11">
        <v>24</v>
      </c>
      <c r="L600" s="11">
        <f t="shared" si="79"/>
        <v>0</v>
      </c>
      <c r="M600" s="131"/>
      <c r="N600" s="96">
        <v>46065</v>
      </c>
    </row>
    <row r="601" spans="1:14" x14ac:dyDescent="0.25">
      <c r="A601" s="11">
        <f t="shared" ca="1" si="77"/>
        <v>-59</v>
      </c>
      <c r="B601" s="37">
        <f t="shared" si="78"/>
        <v>14</v>
      </c>
      <c r="C601" s="11" t="s">
        <v>220</v>
      </c>
      <c r="D601" s="11" t="str">
        <f>VLOOKUP(VALUE(MID($C601,13,2)), [2]codigos!$A$2:$B$60, 2, 1) &amp; " " &amp; VLOOKUP(VALUE(MID($C601,15,4)), [2]codigos!$E$2:$F$102, 2, FALSE)</f>
        <v>OLLA CONVEXA 16</v>
      </c>
      <c r="E601" s="11" t="str">
        <f>VLOOKUP(VALUE(MID($C601,19,2)),[2]codigos!$H$2:$I$62,2,1) &amp; " " &amp; VLOOKUP(VALUE(MID($C601,21,2)),[2]codigos!$K$2:$L$12,2,FALSE)</f>
        <v>A/T S/I</v>
      </c>
      <c r="F601" s="11" t="s">
        <v>1228</v>
      </c>
      <c r="G601" s="11" t="s">
        <v>145</v>
      </c>
      <c r="H601" s="52" t="s">
        <v>349</v>
      </c>
      <c r="I601" s="20" t="s">
        <v>1298</v>
      </c>
      <c r="J601" s="11">
        <v>24</v>
      </c>
      <c r="K601" s="11">
        <v>0</v>
      </c>
      <c r="L601" s="11">
        <f t="shared" si="79"/>
        <v>24</v>
      </c>
      <c r="M601" s="131"/>
      <c r="N601" s="96">
        <v>46065</v>
      </c>
    </row>
    <row r="602" spans="1:14" x14ac:dyDescent="0.25">
      <c r="A602" s="11">
        <f t="shared" ca="1" si="77"/>
        <v>-59</v>
      </c>
      <c r="B602" s="37">
        <f t="shared" si="78"/>
        <v>14</v>
      </c>
      <c r="C602" s="11" t="s">
        <v>150</v>
      </c>
      <c r="D602" s="11" t="str">
        <f>VLOOKUP(VALUE(MID($C602,13,2)), [2]codigos!$A$2:$B$60, 2, 1) &amp; " " &amp; VLOOKUP(VALUE(MID($C602,15,4)), [2]codigos!$E$2:$F$102, 2, FALSE)</f>
        <v>OLLA CONVEXA 18</v>
      </c>
      <c r="E602" s="11" t="str">
        <f>VLOOKUP(VALUE(MID($C602,19,2)),[2]codigos!$H$2:$I$62,2,1) &amp; " " &amp; VLOOKUP(VALUE(MID($C602,21,2)),[2]codigos!$K$2:$L$12,2,FALSE)</f>
        <v>A/T S/I</v>
      </c>
      <c r="F602" s="11" t="s">
        <v>1228</v>
      </c>
      <c r="G602" s="11" t="s">
        <v>145</v>
      </c>
      <c r="H602" s="52" t="s">
        <v>349</v>
      </c>
      <c r="I602" s="20" t="s">
        <v>1298</v>
      </c>
      <c r="J602" s="11">
        <v>12</v>
      </c>
      <c r="K602" s="11">
        <v>12</v>
      </c>
      <c r="L602" s="11">
        <f t="shared" si="79"/>
        <v>0</v>
      </c>
      <c r="M602" s="131"/>
      <c r="N602" s="96">
        <v>46065</v>
      </c>
    </row>
    <row r="603" spans="1:14" x14ac:dyDescent="0.25">
      <c r="A603" s="11">
        <f t="shared" ca="1" si="77"/>
        <v>-59</v>
      </c>
      <c r="B603" s="37">
        <f t="shared" si="78"/>
        <v>14</v>
      </c>
      <c r="C603" s="11" t="s">
        <v>151</v>
      </c>
      <c r="D603" s="11" t="str">
        <f>VLOOKUP(VALUE(MID($C603,13,2)), [2]codigos!$A$2:$B$60, 2, 1) &amp; " " &amp; VLOOKUP(VALUE(MID($C603,15,4)), [2]codigos!$E$2:$F$102, 2, FALSE)</f>
        <v>OLLA CONVEXA 20</v>
      </c>
      <c r="E603" s="11" t="str">
        <f>VLOOKUP(VALUE(MID($C603,19,2)),[2]codigos!$H$2:$I$62,2,1) &amp; " " &amp; VLOOKUP(VALUE(MID($C603,21,2)),[2]codigos!$K$2:$L$12,2,FALSE)</f>
        <v>A/T S/I</v>
      </c>
      <c r="F603" s="11" t="s">
        <v>1228</v>
      </c>
      <c r="G603" s="11" t="s">
        <v>145</v>
      </c>
      <c r="H603" s="52" t="s">
        <v>349</v>
      </c>
      <c r="I603" s="20" t="s">
        <v>1298</v>
      </c>
      <c r="J603" s="11">
        <v>12</v>
      </c>
      <c r="K603" s="11">
        <v>0</v>
      </c>
      <c r="L603" s="11">
        <f t="shared" si="79"/>
        <v>12</v>
      </c>
      <c r="M603" s="131"/>
      <c r="N603" s="96">
        <v>46065</v>
      </c>
    </row>
    <row r="604" spans="1:14" x14ac:dyDescent="0.25">
      <c r="A604" s="11">
        <f t="shared" ca="1" si="77"/>
        <v>-59</v>
      </c>
      <c r="B604" s="37">
        <f t="shared" si="78"/>
        <v>14</v>
      </c>
      <c r="C604" s="11" t="s">
        <v>43</v>
      </c>
      <c r="D604" s="11" t="str">
        <f>VLOOKUP(VALUE(MID($C604,13,2)), [2]codigos!$A$2:$B$60, 2, 1) &amp; " " &amp; VLOOKUP(VALUE(MID($C604,15,4)), [2]codigos!$E$2:$F$102, 2, FALSE)</f>
        <v>OLLA CONVEXA 22</v>
      </c>
      <c r="E604" s="11" t="str">
        <f>VLOOKUP(VALUE(MID($C604,19,2)),[2]codigos!$H$2:$I$62,2,1) &amp; " " &amp; VLOOKUP(VALUE(MID($C604,21,2)),[2]codigos!$K$2:$L$12,2,FALSE)</f>
        <v>A/T S/I</v>
      </c>
      <c r="F604" s="11" t="s">
        <v>1228</v>
      </c>
      <c r="G604" s="11" t="s">
        <v>145</v>
      </c>
      <c r="H604" s="52" t="s">
        <v>349</v>
      </c>
      <c r="I604" s="20" t="s">
        <v>1298</v>
      </c>
      <c r="J604" s="11">
        <v>12</v>
      </c>
      <c r="K604" s="11">
        <v>12</v>
      </c>
      <c r="L604" s="11">
        <f t="shared" si="79"/>
        <v>0</v>
      </c>
      <c r="M604" s="131"/>
      <c r="N604" s="96">
        <v>46065</v>
      </c>
    </row>
    <row r="605" spans="1:14" x14ac:dyDescent="0.25">
      <c r="A605" s="11">
        <f t="shared" ca="1" si="77"/>
        <v>-59</v>
      </c>
      <c r="B605" s="37">
        <f t="shared" si="78"/>
        <v>14</v>
      </c>
      <c r="C605" s="11" t="s">
        <v>152</v>
      </c>
      <c r="D605" s="11" t="str">
        <f>VLOOKUP(VALUE(MID($C605,13,2)), [2]codigos!$A$2:$B$60, 2, 1) &amp; " " &amp; VLOOKUP(VALUE(MID($C605,15,4)), [2]codigos!$E$2:$F$102, 2, FALSE)</f>
        <v>OLLA CONVEXA 24</v>
      </c>
      <c r="E605" s="11" t="str">
        <f>VLOOKUP(VALUE(MID($C605,19,2)),[2]codigos!$H$2:$I$62,2,1) &amp; " " &amp; VLOOKUP(VALUE(MID($C605,21,2)),[2]codigos!$K$2:$L$12,2,FALSE)</f>
        <v>A/T S/I</v>
      </c>
      <c r="F605" s="11" t="s">
        <v>1228</v>
      </c>
      <c r="G605" s="11" t="s">
        <v>145</v>
      </c>
      <c r="H605" s="52" t="s">
        <v>349</v>
      </c>
      <c r="I605" s="20" t="s">
        <v>1298</v>
      </c>
      <c r="J605" s="11">
        <v>12</v>
      </c>
      <c r="K605" s="11">
        <v>12</v>
      </c>
      <c r="L605" s="11">
        <f t="shared" si="79"/>
        <v>0</v>
      </c>
      <c r="M605" s="131"/>
      <c r="N605" s="96">
        <v>46065</v>
      </c>
    </row>
    <row r="606" spans="1:14" x14ac:dyDescent="0.25">
      <c r="A606" s="11">
        <f t="shared" ca="1" si="77"/>
        <v>-59</v>
      </c>
      <c r="B606" s="37">
        <f t="shared" si="78"/>
        <v>14</v>
      </c>
      <c r="C606" s="11" t="s">
        <v>153</v>
      </c>
      <c r="D606" s="11" t="str">
        <f>VLOOKUP(VALUE(MID($C606,13,2)), [2]codigos!$A$2:$B$60, 2, 1) &amp; " " &amp; VLOOKUP(VALUE(MID($C606,15,4)), [2]codigos!$E$2:$F$102, 2, FALSE)</f>
        <v>OLLA CONVEXA 26</v>
      </c>
      <c r="E606" s="11" t="str">
        <f>VLOOKUP(VALUE(MID($C606,19,2)),[2]codigos!$H$2:$I$62,2,1) &amp; " " &amp; VLOOKUP(VALUE(MID($C606,21,2)),[2]codigos!$K$2:$L$12,2,FALSE)</f>
        <v>A/T S/I</v>
      </c>
      <c r="F606" s="11" t="s">
        <v>1228</v>
      </c>
      <c r="G606" s="11" t="s">
        <v>145</v>
      </c>
      <c r="H606" s="52" t="s">
        <v>349</v>
      </c>
      <c r="I606" s="20" t="s">
        <v>1298</v>
      </c>
      <c r="J606" s="11">
        <v>12</v>
      </c>
      <c r="K606" s="11">
        <v>12</v>
      </c>
      <c r="L606" s="11">
        <f t="shared" si="79"/>
        <v>0</v>
      </c>
      <c r="M606" s="131"/>
      <c r="N606" s="96">
        <v>46065</v>
      </c>
    </row>
    <row r="607" spans="1:14" x14ac:dyDescent="0.25">
      <c r="A607" s="11">
        <f t="shared" ca="1" si="77"/>
        <v>-59</v>
      </c>
      <c r="B607" s="37">
        <f t="shared" si="78"/>
        <v>14</v>
      </c>
      <c r="C607" s="11" t="s">
        <v>154</v>
      </c>
      <c r="D607" s="11" t="str">
        <f>VLOOKUP(VALUE(MID($C607,13,2)), [2]codigos!$A$2:$B$60, 2, 1) &amp; " " &amp; VLOOKUP(VALUE(MID($C607,15,4)), [2]codigos!$E$2:$F$102, 2, FALSE)</f>
        <v>OLLA CONVEXA 30</v>
      </c>
      <c r="E607" s="11" t="str">
        <f>VLOOKUP(VALUE(MID($C607,19,2)),[2]codigos!$H$2:$I$62,2,1) &amp; " " &amp; VLOOKUP(VALUE(MID($C607,21,2)),[2]codigos!$K$2:$L$12,2,FALSE)</f>
        <v>A/T S/I</v>
      </c>
      <c r="F607" s="11" t="s">
        <v>1228</v>
      </c>
      <c r="G607" s="11" t="s">
        <v>145</v>
      </c>
      <c r="H607" s="52" t="s">
        <v>349</v>
      </c>
      <c r="I607" s="20" t="s">
        <v>1298</v>
      </c>
      <c r="J607" s="11">
        <v>6</v>
      </c>
      <c r="K607" s="11">
        <v>0</v>
      </c>
      <c r="L607" s="11">
        <f t="shared" si="79"/>
        <v>6</v>
      </c>
      <c r="M607" s="131"/>
      <c r="N607" s="96">
        <v>46065</v>
      </c>
    </row>
    <row r="608" spans="1:14" x14ac:dyDescent="0.25">
      <c r="A608" s="11">
        <f t="shared" ca="1" si="77"/>
        <v>-59</v>
      </c>
      <c r="B608" s="37">
        <f t="shared" si="78"/>
        <v>14</v>
      </c>
      <c r="C608" s="11" t="s">
        <v>221</v>
      </c>
      <c r="D608" s="11" t="str">
        <f>VLOOKUP(VALUE(MID($C608,13,2)), [2]codigos!$A$2:$B$60, 2, 1) &amp; " " &amp; VLOOKUP(VALUE(MID($C608,15,4)), [2]codigos!$E$2:$F$102, 2, FALSE)</f>
        <v>OLLA CONVEXA 34</v>
      </c>
      <c r="E608" s="11" t="str">
        <f>VLOOKUP(VALUE(MID($C608,19,2)),[2]codigos!$H$2:$I$62,2,1) &amp; " " &amp; VLOOKUP(VALUE(MID($C608,21,2)),[2]codigos!$K$2:$L$12,2,FALSE)</f>
        <v>A/T S/I</v>
      </c>
      <c r="F608" s="11" t="s">
        <v>1228</v>
      </c>
      <c r="G608" s="11" t="s">
        <v>145</v>
      </c>
      <c r="H608" s="52" t="s">
        <v>349</v>
      </c>
      <c r="I608" s="20" t="s">
        <v>1298</v>
      </c>
      <c r="J608" s="11">
        <v>6</v>
      </c>
      <c r="K608" s="11">
        <v>6</v>
      </c>
      <c r="L608" s="11">
        <f t="shared" si="79"/>
        <v>0</v>
      </c>
      <c r="M608" s="131"/>
      <c r="N608" s="96">
        <v>46065</v>
      </c>
    </row>
    <row r="609" spans="1:14" x14ac:dyDescent="0.25">
      <c r="A609" s="11">
        <f t="shared" ca="1" si="77"/>
        <v>-59</v>
      </c>
      <c r="B609" s="37">
        <f t="shared" si="78"/>
        <v>14</v>
      </c>
      <c r="C609" s="11" t="s">
        <v>157</v>
      </c>
      <c r="D609" s="11" t="str">
        <f>VLOOKUP(VALUE(MID($C609,13,2)), [2]codigos!$A$2:$B$60, 2, 1) &amp; " " &amp; VLOOKUP(VALUE(MID($C609,15,4)), [2]codigos!$E$2:$F$102, 2, FALSE)</f>
        <v>OLLA RECTA 42</v>
      </c>
      <c r="E609" s="11" t="str">
        <f>VLOOKUP(VALUE(MID($C609,19,2)),[2]codigos!$H$2:$I$62,2,1) &amp; " " &amp; VLOOKUP(VALUE(MID($C609,21,2)),[2]codigos!$K$2:$L$12,2,FALSE)</f>
        <v>A/T S/I</v>
      </c>
      <c r="F609" s="11" t="s">
        <v>1228</v>
      </c>
      <c r="G609" s="11" t="s">
        <v>145</v>
      </c>
      <c r="H609" s="52" t="s">
        <v>349</v>
      </c>
      <c r="I609" s="20" t="s">
        <v>1298</v>
      </c>
      <c r="J609" s="11">
        <v>3</v>
      </c>
      <c r="K609" s="11">
        <v>0</v>
      </c>
      <c r="L609" s="11">
        <f t="shared" si="79"/>
        <v>3</v>
      </c>
      <c r="M609" s="131"/>
      <c r="N609" s="96">
        <v>46065</v>
      </c>
    </row>
    <row r="610" spans="1:14" x14ac:dyDescent="0.25">
      <c r="A610" s="11">
        <f t="shared" ref="A610:A673" ca="1" si="80">DAYS360($B$1,I610)</f>
        <v>-59</v>
      </c>
      <c r="B610" s="37">
        <f t="shared" ref="B610:B673" si="81">+N610-I610</f>
        <v>14</v>
      </c>
      <c r="C610" s="11" t="s">
        <v>262</v>
      </c>
      <c r="D610" s="11" t="str">
        <f>VLOOKUP(VALUE(MID($C610,13,2)), [2]codigos!$A$2:$B$60, 2, 1) &amp; " " &amp; VLOOKUP(VALUE(MID($C610,15,4)), [2]codigos!$E$2:$F$102, 2, FALSE)</f>
        <v>SARTEN 20</v>
      </c>
      <c r="E610" s="11" t="str">
        <f>VLOOKUP(VALUE(MID($C610,19,2)),[2]codigos!$H$2:$I$62,2,1) &amp; " " &amp; VLOOKUP(VALUE(MID($C610,21,2)),[2]codigos!$K$2:$L$12,2,FALSE)</f>
        <v>A/T S/I</v>
      </c>
      <c r="F610" s="11" t="s">
        <v>1228</v>
      </c>
      <c r="G610" s="11" t="s">
        <v>145</v>
      </c>
      <c r="H610" s="52" t="s">
        <v>349</v>
      </c>
      <c r="I610" s="20" t="s">
        <v>1298</v>
      </c>
      <c r="J610" s="11">
        <v>12</v>
      </c>
      <c r="K610" s="11">
        <v>12</v>
      </c>
      <c r="L610" s="11">
        <f t="shared" si="79"/>
        <v>0</v>
      </c>
      <c r="M610" s="131"/>
      <c r="N610" s="96">
        <v>46065</v>
      </c>
    </row>
    <row r="611" spans="1:14" x14ac:dyDescent="0.25">
      <c r="A611" s="11">
        <f t="shared" ca="1" si="80"/>
        <v>-59</v>
      </c>
      <c r="B611" s="37">
        <f t="shared" si="81"/>
        <v>14</v>
      </c>
      <c r="C611" s="11" t="s">
        <v>227</v>
      </c>
      <c r="D611" s="11" t="str">
        <f>VLOOKUP(VALUE(MID($C611,13,2)), [2]codigos!$A$2:$B$60, 2, 1) &amp; " " &amp; VLOOKUP(VALUE(MID($C611,15,4)), [2]codigos!$E$2:$F$102, 2, FALSE)</f>
        <v>SARTEN 22</v>
      </c>
      <c r="E611" s="11" t="str">
        <f>VLOOKUP(VALUE(MID($C611,19,2)),[2]codigos!$H$2:$I$62,2,1) &amp; " " &amp; VLOOKUP(VALUE(MID($C611,21,2)),[2]codigos!$K$2:$L$12,2,FALSE)</f>
        <v>A/T S/I</v>
      </c>
      <c r="F611" s="11" t="s">
        <v>1228</v>
      </c>
      <c r="G611" s="11" t="s">
        <v>145</v>
      </c>
      <c r="H611" s="52" t="s">
        <v>349</v>
      </c>
      <c r="I611" s="20" t="s">
        <v>1298</v>
      </c>
      <c r="J611" s="11">
        <v>12</v>
      </c>
      <c r="K611" s="11">
        <v>0</v>
      </c>
      <c r="L611" s="11">
        <f t="shared" si="79"/>
        <v>12</v>
      </c>
      <c r="M611" s="131"/>
      <c r="N611" s="96">
        <v>46065</v>
      </c>
    </row>
    <row r="612" spans="1:14" x14ac:dyDescent="0.25">
      <c r="A612" s="11">
        <f t="shared" ca="1" si="80"/>
        <v>-59</v>
      </c>
      <c r="B612" s="37">
        <f t="shared" si="81"/>
        <v>14</v>
      </c>
      <c r="C612" s="11" t="s">
        <v>44</v>
      </c>
      <c r="D612" s="11" t="str">
        <f>VLOOKUP(VALUE(MID($C612,13,2)), [2]codigos!$A$2:$B$60, 2, 1) &amp; " " &amp; VLOOKUP(VALUE(MID($C612,15,4)), [2]codigos!$E$2:$F$102, 2, FALSE)</f>
        <v>SARTEN 24</v>
      </c>
      <c r="E612" s="11" t="str">
        <f>VLOOKUP(VALUE(MID($C612,19,2)),[2]codigos!$H$2:$I$62,2,1) &amp; " " &amp; VLOOKUP(VALUE(MID($C612,21,2)),[2]codigos!$K$2:$L$12,2,FALSE)</f>
        <v>A/T S/I</v>
      </c>
      <c r="F612" s="11" t="s">
        <v>1228</v>
      </c>
      <c r="G612" s="11" t="s">
        <v>145</v>
      </c>
      <c r="H612" s="52" t="s">
        <v>349</v>
      </c>
      <c r="I612" s="20" t="s">
        <v>1298</v>
      </c>
      <c r="J612" s="11">
        <v>12</v>
      </c>
      <c r="K612" s="11">
        <v>12</v>
      </c>
      <c r="L612" s="11">
        <f t="shared" si="79"/>
        <v>0</v>
      </c>
      <c r="M612" s="131"/>
      <c r="N612" s="96">
        <v>46065</v>
      </c>
    </row>
    <row r="613" spans="1:14" x14ac:dyDescent="0.25">
      <c r="A613" s="11">
        <f t="shared" ca="1" si="80"/>
        <v>-59</v>
      </c>
      <c r="B613" s="37">
        <f t="shared" si="81"/>
        <v>14</v>
      </c>
      <c r="C613" s="11" t="s">
        <v>206</v>
      </c>
      <c r="D613" s="11" t="str">
        <f>VLOOKUP(VALUE(MID($C613,13,2)), [2]codigos!$A$2:$B$60, 2, 1) &amp; " " &amp; VLOOKUP(VALUE(MID($C613,15,4)), [2]codigos!$E$2:$F$102, 2, FALSE)</f>
        <v>BAÑO 1</v>
      </c>
      <c r="E613" s="11" t="str">
        <f>VLOOKUP(VALUE(MID($C613,19,2)),[2]codigos!$H$2:$I$62,2,1) &amp; " " &amp; VLOOKUP(VALUE(MID($C613,21,2)),[2]codigos!$K$2:$L$12,2,FALSE)</f>
        <v>GALVANIZADO S/I</v>
      </c>
      <c r="F613" s="11" t="s">
        <v>1228</v>
      </c>
      <c r="G613" s="11" t="s">
        <v>145</v>
      </c>
      <c r="H613" s="52" t="s">
        <v>58</v>
      </c>
      <c r="I613" s="20" t="s">
        <v>1298</v>
      </c>
      <c r="J613" s="11">
        <v>10</v>
      </c>
      <c r="K613" s="11">
        <v>10</v>
      </c>
      <c r="L613" s="11">
        <f t="shared" si="79"/>
        <v>0</v>
      </c>
      <c r="M613" s="131">
        <f>(SUM(K613:K621))/(SUM(J613:J621))</f>
        <v>0.44444444444444442</v>
      </c>
      <c r="N613" s="96">
        <v>46065</v>
      </c>
    </row>
    <row r="614" spans="1:14" x14ac:dyDescent="0.25">
      <c r="A614" s="11">
        <f t="shared" ca="1" si="80"/>
        <v>-59</v>
      </c>
      <c r="B614" s="37">
        <f t="shared" si="81"/>
        <v>14</v>
      </c>
      <c r="C614" s="11" t="s">
        <v>209</v>
      </c>
      <c r="D614" s="11" t="str">
        <f>VLOOKUP(VALUE(MID($C614,13,2)), [2]codigos!$A$2:$B$60, 2, 1) &amp; " " &amp; VLOOKUP(VALUE(MID($C614,15,4)), [2]codigos!$E$2:$F$102, 2, FALSE)</f>
        <v>BAÑO 2</v>
      </c>
      <c r="E614" s="11" t="str">
        <f>VLOOKUP(VALUE(MID($C614,19,2)),[2]codigos!$H$2:$I$62,2,1) &amp; " " &amp; VLOOKUP(VALUE(MID($C614,21,2)),[2]codigos!$K$2:$L$12,2,FALSE)</f>
        <v>GALVANIZADO S/I</v>
      </c>
      <c r="F614" s="11" t="s">
        <v>1228</v>
      </c>
      <c r="G614" s="11" t="s">
        <v>145</v>
      </c>
      <c r="H614" s="52" t="s">
        <v>58</v>
      </c>
      <c r="I614" s="20" t="s">
        <v>1298</v>
      </c>
      <c r="J614" s="11">
        <v>5</v>
      </c>
      <c r="K614" s="11">
        <v>5</v>
      </c>
      <c r="L614" s="11">
        <f t="shared" si="79"/>
        <v>0</v>
      </c>
      <c r="M614" s="131"/>
      <c r="N614" s="96">
        <v>46065</v>
      </c>
    </row>
    <row r="615" spans="1:14" x14ac:dyDescent="0.25">
      <c r="A615" s="11">
        <f t="shared" ca="1" si="80"/>
        <v>-59</v>
      </c>
      <c r="B615" s="37">
        <f t="shared" si="81"/>
        <v>14</v>
      </c>
      <c r="C615" s="11" t="s">
        <v>158</v>
      </c>
      <c r="D615" s="11" t="str">
        <f>VLOOKUP(VALUE(MID($C615,13,2)), [2]codigos!$A$2:$B$60, 2, 1) &amp; " " &amp; VLOOKUP(VALUE(MID($C615,15,4)), [2]codigos!$E$2:$F$102, 2, FALSE)</f>
        <v>BAÑO 3</v>
      </c>
      <c r="E615" s="11" t="str">
        <f>VLOOKUP(VALUE(MID($C615,19,2)),[2]codigos!$H$2:$I$62,2,1) &amp; " " &amp; VLOOKUP(VALUE(MID($C615,21,2)),[2]codigos!$K$2:$L$12,2,FALSE)</f>
        <v>GALVANIZADO S/I</v>
      </c>
      <c r="F615" s="11" t="s">
        <v>1228</v>
      </c>
      <c r="G615" s="11" t="s">
        <v>145</v>
      </c>
      <c r="H615" s="52" t="s">
        <v>58</v>
      </c>
      <c r="I615" s="20" t="s">
        <v>1298</v>
      </c>
      <c r="J615" s="11">
        <v>5</v>
      </c>
      <c r="K615" s="11">
        <v>5</v>
      </c>
      <c r="L615" s="11">
        <f t="shared" si="79"/>
        <v>0</v>
      </c>
      <c r="M615" s="131"/>
      <c r="N615" s="96">
        <v>46065</v>
      </c>
    </row>
    <row r="616" spans="1:14" x14ac:dyDescent="0.25">
      <c r="A616" s="11">
        <f t="shared" ca="1" si="80"/>
        <v>-59</v>
      </c>
      <c r="B616" s="37">
        <f t="shared" si="81"/>
        <v>14</v>
      </c>
      <c r="C616" s="11" t="s">
        <v>45</v>
      </c>
      <c r="D616" s="11" t="str">
        <f>VLOOKUP(VALUE(MID($C616,13,2)), [2]codigos!$A$2:$B$60, 2, 1) &amp; " " &amp; VLOOKUP(VALUE(MID($C616,15,4)), [2]codigos!$E$2:$F$102, 2, FALSE)</f>
        <v>BAÑO 4</v>
      </c>
      <c r="E616" s="11" t="str">
        <f>VLOOKUP(VALUE(MID($C616,19,2)),[2]codigos!$H$2:$I$62,2,1) &amp; " " &amp; VLOOKUP(VALUE(MID($C616,21,2)),[2]codigos!$K$2:$L$12,2,FALSE)</f>
        <v>GALVANIZADO S/I</v>
      </c>
      <c r="F616" s="11" t="s">
        <v>1228</v>
      </c>
      <c r="G616" s="11" t="s">
        <v>145</v>
      </c>
      <c r="H616" s="52" t="s">
        <v>58</v>
      </c>
      <c r="I616" s="20" t="s">
        <v>1298</v>
      </c>
      <c r="J616" s="11">
        <v>5</v>
      </c>
      <c r="K616" s="11">
        <v>5</v>
      </c>
      <c r="L616" s="11">
        <f t="shared" si="79"/>
        <v>0</v>
      </c>
      <c r="M616" s="131"/>
      <c r="N616" s="96">
        <v>46065</v>
      </c>
    </row>
    <row r="617" spans="1:14" x14ac:dyDescent="0.25">
      <c r="A617" s="11">
        <f t="shared" ca="1" si="80"/>
        <v>-59</v>
      </c>
      <c r="B617" s="37">
        <f t="shared" si="81"/>
        <v>14</v>
      </c>
      <c r="C617" s="11" t="s">
        <v>32</v>
      </c>
      <c r="D617" s="11" t="str">
        <f>VLOOKUP(VALUE(MID($C617,13,2)), [2]codigos!$A$2:$B$60, 2, 1) &amp; " " &amp; VLOOKUP(VALUE(MID($C617,15,4)), [2]codigos!$E$2:$F$102, 2, FALSE)</f>
        <v>BAÑO 5</v>
      </c>
      <c r="E617" s="11" t="str">
        <f>VLOOKUP(VALUE(MID($C617,19,2)),[2]codigos!$H$2:$I$62,2,1) &amp; " " &amp; VLOOKUP(VALUE(MID($C617,21,2)),[2]codigos!$K$2:$L$12,2,FALSE)</f>
        <v>GALVANIZADO S/I</v>
      </c>
      <c r="F617" s="11" t="s">
        <v>1228</v>
      </c>
      <c r="G617" s="11" t="s">
        <v>145</v>
      </c>
      <c r="H617" s="52" t="s">
        <v>58</v>
      </c>
      <c r="I617" s="20" t="s">
        <v>1298</v>
      </c>
      <c r="J617" s="11">
        <v>5</v>
      </c>
      <c r="K617" s="11">
        <v>5</v>
      </c>
      <c r="L617" s="11">
        <f>J617-K617</f>
        <v>0</v>
      </c>
      <c r="M617" s="131"/>
      <c r="N617" s="96">
        <v>46065</v>
      </c>
    </row>
    <row r="618" spans="1:14" x14ac:dyDescent="0.25">
      <c r="A618" s="11">
        <f t="shared" ca="1" si="80"/>
        <v>-59</v>
      </c>
      <c r="B618" s="37">
        <f t="shared" si="81"/>
        <v>14</v>
      </c>
      <c r="C618" s="11" t="s">
        <v>37</v>
      </c>
      <c r="D618" s="11" t="str">
        <f>VLOOKUP(VALUE(MID($C618,13,2)), [2]codigos!$A$2:$B$60, 2, 1) &amp; " " &amp; VLOOKUP(VALUE(MID($C618,15,4)), [2]codigos!$E$2:$F$102, 2, FALSE)</f>
        <v>BAÑO 6</v>
      </c>
      <c r="E618" s="11" t="str">
        <f>VLOOKUP(VALUE(MID($C618,19,2)),[2]codigos!$H$2:$I$62,2,1) &amp; " " &amp; VLOOKUP(VALUE(MID($C618,21,2)),[2]codigos!$K$2:$L$12,2,FALSE)</f>
        <v>GALVANIZADO S/I</v>
      </c>
      <c r="F618" s="11" t="s">
        <v>1228</v>
      </c>
      <c r="G618" s="11" t="s">
        <v>145</v>
      </c>
      <c r="H618" s="52" t="s">
        <v>58</v>
      </c>
      <c r="I618" s="20" t="s">
        <v>1298</v>
      </c>
      <c r="J618" s="11">
        <v>5</v>
      </c>
      <c r="K618" s="11">
        <v>5</v>
      </c>
      <c r="L618" s="11">
        <f>J618-K618</f>
        <v>0</v>
      </c>
      <c r="M618" s="131"/>
      <c r="N618" s="96">
        <v>46065</v>
      </c>
    </row>
    <row r="619" spans="1:14" x14ac:dyDescent="0.25">
      <c r="A619" s="11">
        <f t="shared" ca="1" si="80"/>
        <v>-59</v>
      </c>
      <c r="B619" s="37">
        <f t="shared" si="81"/>
        <v>14</v>
      </c>
      <c r="C619" s="11" t="s">
        <v>210</v>
      </c>
      <c r="D619" s="11" t="str">
        <f>VLOOKUP(VALUE(MID($C619,13,2)), [2]codigos!$A$2:$B$60, 2, 1) &amp; " " &amp; VLOOKUP(VALUE(MID($C619,15,4)), [2]codigos!$E$2:$F$102, 2, FALSE)</f>
        <v>BAÑO 8</v>
      </c>
      <c r="E619" s="11" t="str">
        <f>VLOOKUP(VALUE(MID($C619,19,2)),[2]codigos!$H$2:$I$62,2,1) &amp; " " &amp; VLOOKUP(VALUE(MID($C619,21,2)),[2]codigos!$K$2:$L$12,2,FALSE)</f>
        <v>GALVANIZADO S/I</v>
      </c>
      <c r="F619" s="11" t="s">
        <v>1228</v>
      </c>
      <c r="G619" s="11" t="s">
        <v>145</v>
      </c>
      <c r="H619" s="52" t="s">
        <v>58</v>
      </c>
      <c r="I619" s="20" t="s">
        <v>1298</v>
      </c>
      <c r="J619" s="11">
        <v>5</v>
      </c>
      <c r="K619" s="11">
        <v>5</v>
      </c>
      <c r="L619" s="11">
        <f>J619-K619</f>
        <v>0</v>
      </c>
      <c r="M619" s="131"/>
      <c r="N619" s="96">
        <v>46065</v>
      </c>
    </row>
    <row r="620" spans="1:14" x14ac:dyDescent="0.25">
      <c r="A620" s="11">
        <f t="shared" ca="1" si="80"/>
        <v>-59</v>
      </c>
      <c r="B620" s="37">
        <f t="shared" si="81"/>
        <v>14</v>
      </c>
      <c r="C620" s="11" t="s">
        <v>211</v>
      </c>
      <c r="D620" s="11" t="str">
        <f>VLOOKUP(VALUE(MID($C620,13,2)), [2]codigos!$A$2:$B$60, 2, 1) &amp; " " &amp; VLOOKUP(VALUE(MID($C620,15,4)), [2]codigos!$E$2:$F$102, 2, FALSE)</f>
        <v>BAÑO 10</v>
      </c>
      <c r="E620" s="11" t="str">
        <f>VLOOKUP(VALUE(MID($C620,19,2)),[2]codigos!$H$2:$I$62,2,1) &amp; " " &amp; VLOOKUP(VALUE(MID($C620,21,2)),[2]codigos!$K$2:$L$12,2,FALSE)</f>
        <v>GALVANIZADO S/I</v>
      </c>
      <c r="F620" s="11" t="s">
        <v>1228</v>
      </c>
      <c r="G620" s="11" t="s">
        <v>145</v>
      </c>
      <c r="H620" s="52" t="s">
        <v>58</v>
      </c>
      <c r="I620" s="20" t="s">
        <v>1298</v>
      </c>
      <c r="J620" s="11">
        <v>20</v>
      </c>
      <c r="K620" s="11">
        <v>0</v>
      </c>
      <c r="L620" s="11">
        <f>J620-K620</f>
        <v>20</v>
      </c>
      <c r="M620" s="131"/>
      <c r="N620" s="96">
        <v>46065</v>
      </c>
    </row>
    <row r="621" spans="1:14" x14ac:dyDescent="0.25">
      <c r="A621" s="11">
        <f t="shared" ca="1" si="80"/>
        <v>-59</v>
      </c>
      <c r="B621" s="37">
        <f t="shared" si="81"/>
        <v>14</v>
      </c>
      <c r="C621" s="11" t="s">
        <v>212</v>
      </c>
      <c r="D621" s="11" t="str">
        <f>VLOOKUP(VALUE(MID($C621,13,2)), [2]codigos!$A$2:$B$60, 2, 1) &amp; " " &amp; VLOOKUP(VALUE(MID($C621,15,4)), [2]codigos!$E$2:$F$102, 2, FALSE)</f>
        <v>BAÑO 12</v>
      </c>
      <c r="E621" s="11" t="str">
        <f>VLOOKUP(VALUE(MID($C621,19,2)),[2]codigos!$H$2:$I$62,2,1) &amp; " " &amp; VLOOKUP(VALUE(MID($C621,21,2)),[2]codigos!$K$2:$L$12,2,FALSE)</f>
        <v>GALVANIZADO S/I</v>
      </c>
      <c r="F621" s="11" t="s">
        <v>1228</v>
      </c>
      <c r="G621" s="11" t="s">
        <v>145</v>
      </c>
      <c r="H621" s="52" t="s">
        <v>58</v>
      </c>
      <c r="I621" s="20" t="s">
        <v>1298</v>
      </c>
      <c r="J621" s="11">
        <v>30</v>
      </c>
      <c r="K621" s="11">
        <v>0</v>
      </c>
      <c r="L621" s="11">
        <f>J621-K621</f>
        <v>30</v>
      </c>
      <c r="M621" s="131"/>
      <c r="N621" s="96">
        <v>46065</v>
      </c>
    </row>
    <row r="622" spans="1:14" x14ac:dyDescent="0.25">
      <c r="A622" s="11">
        <f t="shared" ca="1" si="80"/>
        <v>-72</v>
      </c>
      <c r="B622" s="37">
        <f t="shared" si="81"/>
        <v>27</v>
      </c>
      <c r="C622" s="11" t="s">
        <v>255</v>
      </c>
      <c r="D622" s="11" t="str">
        <f>VLOOKUP(VALUE(MID($C622,13,2)), codigos!$A$2:$B$60, 2, 1) &amp; " " &amp; VLOOKUP(VALUE(MID($C622,15,4)), codigos!$E$2:$F$102, 2, FALSE)</f>
        <v>BUDINERA 12</v>
      </c>
      <c r="E622" s="11" t="str">
        <f>VLOOKUP(VALUE(MID($C622,19,2)),codigos!$H$2:$I$62,2,1) &amp; " " &amp; VLOOKUP(VALUE(MID($C622,21,2)),codigos!$K$2:$L$12,2,FALSE)</f>
        <v>A/T S/I</v>
      </c>
      <c r="F622" s="11" t="s">
        <v>991</v>
      </c>
      <c r="G622" s="11" t="s">
        <v>11</v>
      </c>
      <c r="H622" s="11" t="s">
        <v>1068</v>
      </c>
      <c r="I622" s="11" t="s">
        <v>1064</v>
      </c>
      <c r="J622" s="25">
        <v>36</v>
      </c>
      <c r="K622" s="25">
        <v>36</v>
      </c>
      <c r="L622" s="15">
        <f t="shared" ref="L622:L641" si="82">+J622-K622</f>
        <v>0</v>
      </c>
      <c r="M622" s="131">
        <f>(SUM(K622:K641))/(SUM(J622:J641))</f>
        <v>0.99658411614005127</v>
      </c>
      <c r="N622" s="96">
        <v>46065</v>
      </c>
    </row>
    <row r="623" spans="1:14" x14ac:dyDescent="0.25">
      <c r="A623" s="11">
        <f t="shared" ca="1" si="80"/>
        <v>-72</v>
      </c>
      <c r="B623" s="37">
        <f t="shared" si="81"/>
        <v>27</v>
      </c>
      <c r="C623" s="11" t="s">
        <v>256</v>
      </c>
      <c r="D623" s="11" t="str">
        <f>VLOOKUP(VALUE(MID($C623,13,2)), codigos!$A$2:$B$60, 2, 1) &amp; " " &amp; VLOOKUP(VALUE(MID($C623,15,4)), codigos!$E$2:$F$102, 2, FALSE)</f>
        <v>BUDINERA 14</v>
      </c>
      <c r="E623" s="11" t="str">
        <f>VLOOKUP(VALUE(MID($C623,19,2)),codigos!$H$2:$I$62,2,1) &amp; " " &amp; VLOOKUP(VALUE(MID($C623,21,2)),codigos!$K$2:$L$12,2,FALSE)</f>
        <v>A/T S/I</v>
      </c>
      <c r="F623" s="11" t="s">
        <v>991</v>
      </c>
      <c r="G623" s="11" t="s">
        <v>11</v>
      </c>
      <c r="H623" s="11" t="s">
        <v>1068</v>
      </c>
      <c r="I623" s="11" t="s">
        <v>1064</v>
      </c>
      <c r="J623" s="25">
        <v>144</v>
      </c>
      <c r="K623" s="25">
        <f>10+18+7+5+90+14</f>
        <v>144</v>
      </c>
      <c r="L623" s="15">
        <f t="shared" si="82"/>
        <v>0</v>
      </c>
      <c r="M623" s="131"/>
      <c r="N623" s="96">
        <v>46065</v>
      </c>
    </row>
    <row r="624" spans="1:14" x14ac:dyDescent="0.25">
      <c r="A624" s="11">
        <f t="shared" ca="1" si="80"/>
        <v>-72</v>
      </c>
      <c r="B624" s="37">
        <f t="shared" si="81"/>
        <v>27</v>
      </c>
      <c r="C624" s="11" t="s">
        <v>214</v>
      </c>
      <c r="D624" s="11" t="str">
        <f>VLOOKUP(VALUE(MID($C624,13,2)), codigos!$A$2:$B$60, 2, 1) &amp; " " &amp; VLOOKUP(VALUE(MID($C624,15,4)), codigos!$E$2:$F$102, 2, FALSE)</f>
        <v>BUDINERA 18</v>
      </c>
      <c r="E624" s="11" t="str">
        <f>VLOOKUP(VALUE(MID($C624,19,2)),codigos!$H$2:$I$62,2,1) &amp; " " &amp; VLOOKUP(VALUE(MID($C624,21,2)),codigos!$K$2:$L$12,2,FALSE)</f>
        <v>A/T S/I</v>
      </c>
      <c r="F624" s="11" t="s">
        <v>991</v>
      </c>
      <c r="G624" s="11" t="s">
        <v>11</v>
      </c>
      <c r="H624" s="11" t="s">
        <v>1068</v>
      </c>
      <c r="I624" s="11" t="s">
        <v>1064</v>
      </c>
      <c r="J624" s="25">
        <v>252</v>
      </c>
      <c r="K624" s="25">
        <f>5+18+72+18+54+1-7+18+54+7+12</f>
        <v>252</v>
      </c>
      <c r="L624" s="15">
        <f t="shared" si="82"/>
        <v>0</v>
      </c>
      <c r="M624" s="131"/>
      <c r="N624" s="96">
        <v>46065</v>
      </c>
    </row>
    <row r="625" spans="1:14" x14ac:dyDescent="0.25">
      <c r="A625" s="11">
        <f t="shared" ca="1" si="80"/>
        <v>-72</v>
      </c>
      <c r="B625" s="37">
        <f t="shared" si="81"/>
        <v>27</v>
      </c>
      <c r="C625" s="11" t="s">
        <v>215</v>
      </c>
      <c r="D625" s="11" t="str">
        <f>VLOOKUP(VALUE(MID($C625,13,2)), codigos!$A$2:$B$60, 2, 1) &amp; " " &amp; VLOOKUP(VALUE(MID($C625,15,4)), codigos!$E$2:$F$102, 2, FALSE)</f>
        <v>BUDINERA 20</v>
      </c>
      <c r="E625" s="11" t="str">
        <f>VLOOKUP(VALUE(MID($C625,19,2)),codigos!$H$2:$I$62,2,1) &amp; " " &amp; VLOOKUP(VALUE(MID($C625,21,2)),codigos!$K$2:$L$12,2,FALSE)</f>
        <v>A/T S/I</v>
      </c>
      <c r="F625" s="11" t="s">
        <v>991</v>
      </c>
      <c r="G625" s="11" t="s">
        <v>11</v>
      </c>
      <c r="H625" s="11" t="s">
        <v>1068</v>
      </c>
      <c r="I625" s="11" t="s">
        <v>1064</v>
      </c>
      <c r="J625" s="25">
        <v>36</v>
      </c>
      <c r="K625" s="25">
        <v>36</v>
      </c>
      <c r="L625" s="15">
        <f t="shared" si="82"/>
        <v>0</v>
      </c>
      <c r="M625" s="131"/>
      <c r="N625" s="96">
        <v>46065</v>
      </c>
    </row>
    <row r="626" spans="1:14" x14ac:dyDescent="0.25">
      <c r="A626" s="11">
        <f t="shared" ca="1" si="80"/>
        <v>-72</v>
      </c>
      <c r="B626" s="37">
        <f t="shared" si="81"/>
        <v>27</v>
      </c>
      <c r="C626" s="11" t="s">
        <v>241</v>
      </c>
      <c r="D626" s="11" t="str">
        <f>VLOOKUP(VALUE(MID($C626,13,2)), codigos!$A$2:$B$60, 2, 1) &amp; " " &amp; VLOOKUP(VALUE(MID($C626,15,4)), codigos!$E$2:$F$102, 2, FALSE)</f>
        <v>BUDINERA 22</v>
      </c>
      <c r="E626" s="11" t="str">
        <f>VLOOKUP(VALUE(MID($C626,19,2)),codigos!$H$2:$I$62,2,1) &amp; " " &amp; VLOOKUP(VALUE(MID($C626,21,2)),codigos!$K$2:$L$12,2,FALSE)</f>
        <v>A/T S/I</v>
      </c>
      <c r="F626" s="11" t="s">
        <v>991</v>
      </c>
      <c r="G626" s="11" t="s">
        <v>11</v>
      </c>
      <c r="H626" s="11" t="s">
        <v>1068</v>
      </c>
      <c r="I626" s="11" t="s">
        <v>1064</v>
      </c>
      <c r="J626" s="25">
        <v>48</v>
      </c>
      <c r="K626" s="25">
        <f>12+36</f>
        <v>48</v>
      </c>
      <c r="L626" s="15">
        <f t="shared" si="82"/>
        <v>0</v>
      </c>
      <c r="M626" s="131"/>
      <c r="N626" s="96">
        <v>46065</v>
      </c>
    </row>
    <row r="627" spans="1:14" x14ac:dyDescent="0.25">
      <c r="A627" s="11">
        <f t="shared" ca="1" si="80"/>
        <v>-72</v>
      </c>
      <c r="B627" s="37">
        <f t="shared" si="81"/>
        <v>27</v>
      </c>
      <c r="C627" s="11" t="s">
        <v>148</v>
      </c>
      <c r="D627" s="11" t="str">
        <f>VLOOKUP(VALUE(MID($C627,13,2)), codigos!$A$2:$B$60, 2, 1) &amp; " " &amp; VLOOKUP(VALUE(MID($C627,15,4)), codigos!$E$2:$F$102, 2, FALSE)</f>
        <v>BUDINERA 26</v>
      </c>
      <c r="E627" s="11" t="str">
        <f>VLOOKUP(VALUE(MID($C627,19,2)),codigos!$H$2:$I$62,2,1) &amp; " " &amp; VLOOKUP(VALUE(MID($C627,21,2)),codigos!$K$2:$L$12,2,FALSE)</f>
        <v>A/T S/I</v>
      </c>
      <c r="F627" s="11" t="s">
        <v>991</v>
      </c>
      <c r="G627" s="11" t="s">
        <v>11</v>
      </c>
      <c r="H627" s="11" t="s">
        <v>1068</v>
      </c>
      <c r="I627" s="11" t="s">
        <v>1064</v>
      </c>
      <c r="J627" s="25">
        <v>24</v>
      </c>
      <c r="K627" s="25">
        <v>24</v>
      </c>
      <c r="L627" s="15">
        <f t="shared" si="82"/>
        <v>0</v>
      </c>
      <c r="M627" s="131"/>
      <c r="N627" s="96">
        <v>46065</v>
      </c>
    </row>
    <row r="628" spans="1:14" x14ac:dyDescent="0.25">
      <c r="A628" s="11">
        <f t="shared" ca="1" si="80"/>
        <v>-72</v>
      </c>
      <c r="B628" s="37">
        <f t="shared" si="81"/>
        <v>27</v>
      </c>
      <c r="C628" s="64" t="s">
        <v>173</v>
      </c>
      <c r="D628" s="64" t="str">
        <f>VLOOKUP(VALUE(MID($C628,13,2)), codigos!$A$2:$B$60, 2, 1) &amp; " " &amp; VLOOKUP(VALUE(MID($C628,15,4)), codigos!$E$2:$F$102, 2, FALSE)</f>
        <v>BUDINERA 34</v>
      </c>
      <c r="E628" s="64" t="str">
        <f>VLOOKUP(VALUE(MID($C628,19,2)),codigos!$H$2:$I$62,2,1) &amp; " " &amp; VLOOKUP(VALUE(MID($C628,21,2)),codigos!$K$2:$L$12,2,FALSE)</f>
        <v>A/T S/I</v>
      </c>
      <c r="F628" s="64" t="s">
        <v>991</v>
      </c>
      <c r="G628" s="64" t="s">
        <v>11</v>
      </c>
      <c r="H628" s="64" t="s">
        <v>1068</v>
      </c>
      <c r="I628" s="64" t="s">
        <v>1064</v>
      </c>
      <c r="J628" s="115">
        <v>8</v>
      </c>
      <c r="K628" s="115">
        <v>0</v>
      </c>
      <c r="L628" s="29">
        <f t="shared" si="82"/>
        <v>8</v>
      </c>
      <c r="M628" s="131"/>
      <c r="N628" s="96">
        <v>46065</v>
      </c>
    </row>
    <row r="629" spans="1:14" x14ac:dyDescent="0.25">
      <c r="A629" s="11">
        <f t="shared" ca="1" si="80"/>
        <v>-72</v>
      </c>
      <c r="B629" s="37">
        <f t="shared" si="81"/>
        <v>27</v>
      </c>
      <c r="C629" s="11" t="s">
        <v>242</v>
      </c>
      <c r="D629" s="11" t="str">
        <f>VLOOKUP(VALUE(MID($C629,13,2)), codigos!$A$2:$B$60, 2, 1) &amp; " " &amp; VLOOKUP(VALUE(MID($C629,15,4)), codigos!$E$2:$F$102, 2, FALSE)</f>
        <v>COMAL 22</v>
      </c>
      <c r="E629" s="11" t="str">
        <f>VLOOKUP(VALUE(MID($C629,19,2)),codigos!$H$2:$I$62,2,1) &amp; " " &amp; VLOOKUP(VALUE(MID($C629,21,2)),codigos!$K$2:$L$12,2,FALSE)</f>
        <v>NEGRO MOTAS S/I</v>
      </c>
      <c r="F629" s="11" t="s">
        <v>991</v>
      </c>
      <c r="G629" s="11" t="s">
        <v>11</v>
      </c>
      <c r="H629" s="11" t="s">
        <v>1068</v>
      </c>
      <c r="I629" s="11" t="s">
        <v>1064</v>
      </c>
      <c r="J629" s="25">
        <v>288</v>
      </c>
      <c r="K629" s="25">
        <v>288</v>
      </c>
      <c r="L629" s="15">
        <f t="shared" si="82"/>
        <v>0</v>
      </c>
      <c r="M629" s="131"/>
      <c r="N629" s="96">
        <v>46065</v>
      </c>
    </row>
    <row r="630" spans="1:14" x14ac:dyDescent="0.25">
      <c r="A630" s="11">
        <f t="shared" ca="1" si="80"/>
        <v>-72</v>
      </c>
      <c r="B630" s="37">
        <f t="shared" si="81"/>
        <v>27</v>
      </c>
      <c r="C630" s="11" t="s">
        <v>149</v>
      </c>
      <c r="D630" s="11" t="str">
        <f>VLOOKUP(VALUE(MID($C630,13,2)), codigos!$A$2:$B$60, 2, 1) &amp; " " &amp; VLOOKUP(VALUE(MID($C630,15,4)), codigos!$E$2:$F$102, 2, FALSE)</f>
        <v>COMAL 28</v>
      </c>
      <c r="E630" s="11" t="str">
        <f>VLOOKUP(VALUE(MID($C630,19,2)),codigos!$H$2:$I$62,2,1) &amp; " " &amp; VLOOKUP(VALUE(MID($C630,21,2)),codigos!$K$2:$L$12,2,FALSE)</f>
        <v>NEGRO MOTAS S/I</v>
      </c>
      <c r="F630" s="11" t="s">
        <v>991</v>
      </c>
      <c r="G630" s="11" t="s">
        <v>11</v>
      </c>
      <c r="H630" s="11" t="s">
        <v>1068</v>
      </c>
      <c r="I630" s="11" t="s">
        <v>1064</v>
      </c>
      <c r="J630" s="25">
        <v>672</v>
      </c>
      <c r="K630" s="25">
        <v>672</v>
      </c>
      <c r="L630" s="15">
        <f t="shared" si="82"/>
        <v>0</v>
      </c>
      <c r="M630" s="131"/>
      <c r="N630" s="96">
        <v>46065</v>
      </c>
    </row>
    <row r="631" spans="1:14" x14ac:dyDescent="0.25">
      <c r="A631" s="11">
        <f t="shared" ca="1" si="80"/>
        <v>-72</v>
      </c>
      <c r="B631" s="37">
        <f t="shared" si="81"/>
        <v>27</v>
      </c>
      <c r="C631" s="11" t="s">
        <v>187</v>
      </c>
      <c r="D631" s="11" t="str">
        <f>VLOOKUP(VALUE(MID($C631,13,2)), codigos!$A$2:$B$60, 2, 1) &amp; " " &amp; VLOOKUP(VALUE(MID($C631,15,4)), codigos!$E$2:$F$102, 2, FALSE)</f>
        <v>OLLA CONVEXA 12</v>
      </c>
      <c r="E631" s="11" t="str">
        <f>VLOOKUP(VALUE(MID($C631,19,2)),codigos!$H$2:$I$62,2,1) &amp; " " &amp; VLOOKUP(VALUE(MID($C631,21,2)),codigos!$K$2:$L$12,2,FALSE)</f>
        <v>A/T S/I</v>
      </c>
      <c r="F631" s="11" t="s">
        <v>991</v>
      </c>
      <c r="G631" s="11" t="s">
        <v>11</v>
      </c>
      <c r="H631" s="11" t="s">
        <v>1068</v>
      </c>
      <c r="I631" s="11" t="s">
        <v>1064</v>
      </c>
      <c r="J631" s="25">
        <v>72</v>
      </c>
      <c r="K631" s="25">
        <v>72</v>
      </c>
      <c r="L631" s="15">
        <f t="shared" si="82"/>
        <v>0</v>
      </c>
      <c r="M631" s="131"/>
      <c r="N631" s="96">
        <v>46065</v>
      </c>
    </row>
    <row r="632" spans="1:14" x14ac:dyDescent="0.25">
      <c r="A632" s="11">
        <f t="shared" ca="1" si="80"/>
        <v>-72</v>
      </c>
      <c r="B632" s="37">
        <f t="shared" si="81"/>
        <v>27</v>
      </c>
      <c r="C632" s="11" t="s">
        <v>333</v>
      </c>
      <c r="D632" s="11" t="str">
        <f>VLOOKUP(VALUE(MID($C632,13,2)), codigos!$A$2:$B$60, 2, 1) &amp; " " &amp; VLOOKUP(VALUE(MID($C632,15,4)), codigos!$E$2:$F$102, 2, FALSE)</f>
        <v>OLLA CONVEXA 14</v>
      </c>
      <c r="E632" s="11" t="str">
        <f>VLOOKUP(VALUE(MID($C632,19,2)),codigos!$H$2:$I$62,2,1) &amp; " " &amp; VLOOKUP(VALUE(MID($C632,21,2)),codigos!$K$2:$L$12,2,FALSE)</f>
        <v>A/T S/I</v>
      </c>
      <c r="F632" s="11" t="s">
        <v>991</v>
      </c>
      <c r="G632" s="11" t="s">
        <v>11</v>
      </c>
      <c r="H632" s="11" t="s">
        <v>1068</v>
      </c>
      <c r="I632" s="11" t="s">
        <v>1064</v>
      </c>
      <c r="J632" s="25">
        <v>36</v>
      </c>
      <c r="K632" s="25">
        <f>18+18</f>
        <v>36</v>
      </c>
      <c r="L632" s="15">
        <f t="shared" si="82"/>
        <v>0</v>
      </c>
      <c r="M632" s="131"/>
      <c r="N632" s="96">
        <v>46065</v>
      </c>
    </row>
    <row r="633" spans="1:14" x14ac:dyDescent="0.25">
      <c r="A633" s="11">
        <f t="shared" ca="1" si="80"/>
        <v>-72</v>
      </c>
      <c r="B633" s="37">
        <f t="shared" si="81"/>
        <v>27</v>
      </c>
      <c r="C633" s="11" t="s">
        <v>150</v>
      </c>
      <c r="D633" s="11" t="str">
        <f>VLOOKUP(VALUE(MID($C633,13,2)), codigos!$A$2:$B$60, 2, 1) &amp; " " &amp; VLOOKUP(VALUE(MID($C633,15,4)), codigos!$E$2:$F$102, 2, FALSE)</f>
        <v>OLLA CONVEXA 18</v>
      </c>
      <c r="E633" s="11" t="str">
        <f>VLOOKUP(VALUE(MID($C633,19,2)),codigos!$H$2:$I$62,2,1) &amp; " " &amp; VLOOKUP(VALUE(MID($C633,21,2)),codigos!$K$2:$L$12,2,FALSE)</f>
        <v>A/T S/I</v>
      </c>
      <c r="F633" s="11" t="s">
        <v>991</v>
      </c>
      <c r="G633" s="11" t="s">
        <v>11</v>
      </c>
      <c r="H633" s="11" t="s">
        <v>1068</v>
      </c>
      <c r="I633" s="11" t="s">
        <v>1064</v>
      </c>
      <c r="J633" s="25">
        <v>72</v>
      </c>
      <c r="K633" s="25">
        <f>25+24+8+15</f>
        <v>72</v>
      </c>
      <c r="L633" s="15">
        <f t="shared" si="82"/>
        <v>0</v>
      </c>
      <c r="M633" s="131"/>
      <c r="N633" s="96">
        <v>46065</v>
      </c>
    </row>
    <row r="634" spans="1:14" x14ac:dyDescent="0.25">
      <c r="A634" s="11">
        <f t="shared" ca="1" si="80"/>
        <v>-72</v>
      </c>
      <c r="B634" s="37">
        <f t="shared" si="81"/>
        <v>27</v>
      </c>
      <c r="C634" s="11" t="s">
        <v>152</v>
      </c>
      <c r="D634" s="11" t="str">
        <f>VLOOKUP(VALUE(MID($C634,13,2)), codigos!$A$2:$B$60, 2, 1) &amp; " " &amp; VLOOKUP(VALUE(MID($C634,15,4)), codigos!$E$2:$F$102, 2, FALSE)</f>
        <v>OLLA CONVEXA 24</v>
      </c>
      <c r="E634" s="11" t="str">
        <f>VLOOKUP(VALUE(MID($C634,19,2)),codigos!$H$2:$I$62,2,1) &amp; " " &amp; VLOOKUP(VALUE(MID($C634,21,2)),codigos!$K$2:$L$12,2,FALSE)</f>
        <v>A/T S/I</v>
      </c>
      <c r="F634" s="11" t="s">
        <v>991</v>
      </c>
      <c r="G634" s="11" t="s">
        <v>11</v>
      </c>
      <c r="H634" s="11" t="s">
        <v>1068</v>
      </c>
      <c r="I634" s="11" t="s">
        <v>1064</v>
      </c>
      <c r="J634" s="25">
        <v>18</v>
      </c>
      <c r="K634" s="25">
        <v>18</v>
      </c>
      <c r="L634" s="15">
        <f t="shared" si="82"/>
        <v>0</v>
      </c>
      <c r="M634" s="131"/>
      <c r="N634" s="96">
        <v>46065</v>
      </c>
    </row>
    <row r="635" spans="1:14" x14ac:dyDescent="0.25">
      <c r="A635" s="11">
        <f t="shared" ca="1" si="80"/>
        <v>-72</v>
      </c>
      <c r="B635" s="37">
        <f t="shared" si="81"/>
        <v>27</v>
      </c>
      <c r="C635" s="11" t="s">
        <v>153</v>
      </c>
      <c r="D635" s="11" t="str">
        <f>VLOOKUP(VALUE(MID($C635,13,2)), codigos!$A$2:$B$60, 2, 1) &amp; " " &amp; VLOOKUP(VALUE(MID($C635,15,4)), codigos!$E$2:$F$102, 2, FALSE)</f>
        <v>OLLA CONVEXA 26</v>
      </c>
      <c r="E635" s="11" t="str">
        <f>VLOOKUP(VALUE(MID($C635,19,2)),codigos!$H$2:$I$62,2,1) &amp; " " &amp; VLOOKUP(VALUE(MID($C635,21,2)),codigos!$K$2:$L$12,2,FALSE)</f>
        <v>A/T S/I</v>
      </c>
      <c r="F635" s="11" t="s">
        <v>991</v>
      </c>
      <c r="G635" s="11" t="s">
        <v>11</v>
      </c>
      <c r="H635" s="11" t="s">
        <v>1068</v>
      </c>
      <c r="I635" s="11" t="s">
        <v>1064</v>
      </c>
      <c r="J635" s="25">
        <v>24</v>
      </c>
      <c r="K635" s="25">
        <v>24</v>
      </c>
      <c r="L635" s="15">
        <f t="shared" si="82"/>
        <v>0</v>
      </c>
      <c r="M635" s="131"/>
      <c r="N635" s="96">
        <v>46065</v>
      </c>
    </row>
    <row r="636" spans="1:14" x14ac:dyDescent="0.25">
      <c r="A636" s="11">
        <f t="shared" ca="1" si="80"/>
        <v>-72</v>
      </c>
      <c r="B636" s="37">
        <f t="shared" si="81"/>
        <v>27</v>
      </c>
      <c r="C636" s="11" t="s">
        <v>154</v>
      </c>
      <c r="D636" s="11" t="str">
        <f>VLOOKUP(VALUE(MID($C636,13,2)), codigos!$A$2:$B$60, 2, 1) &amp; " " &amp; VLOOKUP(VALUE(MID($C636,15,4)), codigos!$E$2:$F$102, 2, FALSE)</f>
        <v>OLLA CONVEXA 30</v>
      </c>
      <c r="E636" s="11" t="str">
        <f>VLOOKUP(VALUE(MID($C636,19,2)),codigos!$H$2:$I$62,2,1) &amp; " " &amp; VLOOKUP(VALUE(MID($C636,21,2)),codigos!$K$2:$L$12,2,FALSE)</f>
        <v>A/T S/I</v>
      </c>
      <c r="F636" s="11" t="s">
        <v>991</v>
      </c>
      <c r="G636" s="11" t="s">
        <v>11</v>
      </c>
      <c r="H636" s="11" t="s">
        <v>1068</v>
      </c>
      <c r="I636" s="11" t="s">
        <v>1064</v>
      </c>
      <c r="J636" s="25">
        <v>18</v>
      </c>
      <c r="K636" s="25">
        <f>1+16+1</f>
        <v>18</v>
      </c>
      <c r="L636" s="15">
        <f t="shared" si="82"/>
        <v>0</v>
      </c>
      <c r="M636" s="131"/>
      <c r="N636" s="96">
        <v>46065</v>
      </c>
    </row>
    <row r="637" spans="1:14" x14ac:dyDescent="0.25">
      <c r="A637" s="11">
        <f t="shared" ca="1" si="80"/>
        <v>-72</v>
      </c>
      <c r="B637" s="37">
        <f t="shared" si="81"/>
        <v>27</v>
      </c>
      <c r="C637" s="11" t="s">
        <v>222</v>
      </c>
      <c r="D637" s="11" t="str">
        <f>VLOOKUP(VALUE(MID($C637,13,2)), codigos!$A$2:$B$60, 2, 1) &amp; " " &amp; VLOOKUP(VALUE(MID($C637,15,4)), codigos!$E$2:$F$102, 2, FALSE)</f>
        <v>OLLA RECTA 12</v>
      </c>
      <c r="E637" s="11" t="str">
        <f>VLOOKUP(VALUE(MID($C637,19,2)),codigos!$H$2:$I$62,2,1) &amp; " " &amp; VLOOKUP(VALUE(MID($C637,21,2)),codigos!$K$2:$L$12,2,FALSE)</f>
        <v>A/T S/I</v>
      </c>
      <c r="F637" s="11" t="s">
        <v>991</v>
      </c>
      <c r="G637" s="11" t="s">
        <v>11</v>
      </c>
      <c r="H637" s="11" t="s">
        <v>1068</v>
      </c>
      <c r="I637" s="11" t="s">
        <v>1064</v>
      </c>
      <c r="J637" s="25">
        <v>108</v>
      </c>
      <c r="K637" s="25">
        <f>3+72+18+15</f>
        <v>108</v>
      </c>
      <c r="L637" s="15">
        <f t="shared" si="82"/>
        <v>0</v>
      </c>
      <c r="M637" s="131"/>
      <c r="N637" s="96">
        <v>46065</v>
      </c>
    </row>
    <row r="638" spans="1:14" x14ac:dyDescent="0.25">
      <c r="A638" s="11">
        <f t="shared" ca="1" si="80"/>
        <v>-72</v>
      </c>
      <c r="B638" s="37">
        <f t="shared" si="81"/>
        <v>27</v>
      </c>
      <c r="C638" s="11" t="s">
        <v>257</v>
      </c>
      <c r="D638" s="11" t="str">
        <f>VLOOKUP(VALUE(MID($C638,13,2)), codigos!$A$2:$B$60, 2, 1) &amp; " " &amp; VLOOKUP(VALUE(MID($C638,15,4)), codigos!$E$2:$F$102, 2, FALSE)</f>
        <v>OLLA RECTA 14</v>
      </c>
      <c r="E638" s="11" t="str">
        <f>VLOOKUP(VALUE(MID($C638,19,2)),codigos!$H$2:$I$62,2,1) &amp; " " &amp; VLOOKUP(VALUE(MID($C638,21,2)),codigos!$K$2:$L$12,2,FALSE)</f>
        <v>A/T S/I</v>
      </c>
      <c r="F638" s="11" t="s">
        <v>991</v>
      </c>
      <c r="G638" s="11" t="s">
        <v>11</v>
      </c>
      <c r="H638" s="11" t="s">
        <v>1068</v>
      </c>
      <c r="I638" s="11" t="s">
        <v>1064</v>
      </c>
      <c r="J638" s="25">
        <v>36</v>
      </c>
      <c r="K638" s="25">
        <v>36</v>
      </c>
      <c r="L638" s="15">
        <f t="shared" si="82"/>
        <v>0</v>
      </c>
      <c r="M638" s="131"/>
      <c r="N638" s="96">
        <v>46065</v>
      </c>
    </row>
    <row r="639" spans="1:14" x14ac:dyDescent="0.25">
      <c r="A639" s="11">
        <f t="shared" ca="1" si="80"/>
        <v>-72</v>
      </c>
      <c r="B639" s="37">
        <f t="shared" si="81"/>
        <v>27</v>
      </c>
      <c r="C639" s="11" t="s">
        <v>180</v>
      </c>
      <c r="D639" s="11" t="str">
        <f>VLOOKUP(VALUE(MID($C639,13,2)), codigos!$A$2:$B$60, 2, 1) &amp; " " &amp; VLOOKUP(VALUE(MID($C639,15,4)), codigos!$E$2:$F$102, 2, FALSE)</f>
        <v>POCILLO 12</v>
      </c>
      <c r="E639" s="11" t="str">
        <f>VLOOKUP(VALUE(MID($C639,19,2)),codigos!$H$2:$I$62,2,1) &amp; " " &amp; VLOOKUP(VALUE(MID($C639,21,2)),codigos!$K$2:$L$12,2,FALSE)</f>
        <v>A/T S/I</v>
      </c>
      <c r="F639" s="11" t="s">
        <v>991</v>
      </c>
      <c r="G639" s="11" t="s">
        <v>11</v>
      </c>
      <c r="H639" s="11" t="s">
        <v>1068</v>
      </c>
      <c r="I639" s="11" t="s">
        <v>1064</v>
      </c>
      <c r="J639" s="25">
        <v>144</v>
      </c>
      <c r="K639" s="25">
        <f>120+24</f>
        <v>144</v>
      </c>
      <c r="L639" s="15">
        <f t="shared" si="82"/>
        <v>0</v>
      </c>
      <c r="M639" s="131"/>
      <c r="N639" s="96">
        <v>46065</v>
      </c>
    </row>
    <row r="640" spans="1:14" x14ac:dyDescent="0.25">
      <c r="A640" s="11">
        <f t="shared" ca="1" si="80"/>
        <v>-72</v>
      </c>
      <c r="B640" s="37">
        <f t="shared" si="81"/>
        <v>27</v>
      </c>
      <c r="C640" s="11" t="s">
        <v>182</v>
      </c>
      <c r="D640" s="11" t="str">
        <f>VLOOKUP(VALUE(MID($C640,13,2)), codigos!$A$2:$B$60, 2, 1) &amp; " " &amp; VLOOKUP(VALUE(MID($C640,15,4)), codigos!$E$2:$F$102, 2, FALSE)</f>
        <v>POCILLO 14</v>
      </c>
      <c r="E640" s="11" t="str">
        <f>VLOOKUP(VALUE(MID($C640,19,2)),codigos!$H$2:$I$62,2,1) &amp; " " &amp; VLOOKUP(VALUE(MID($C640,21,2)),codigos!$K$2:$L$12,2,FALSE)</f>
        <v>A/T S/I</v>
      </c>
      <c r="F640" s="11" t="s">
        <v>991</v>
      </c>
      <c r="G640" s="11" t="s">
        <v>11</v>
      </c>
      <c r="H640" s="11" t="s">
        <v>1068</v>
      </c>
      <c r="I640" s="11" t="s">
        <v>1064</v>
      </c>
      <c r="J640" s="25">
        <v>198</v>
      </c>
      <c r="K640" s="25">
        <v>198</v>
      </c>
      <c r="L640" s="15">
        <f t="shared" si="82"/>
        <v>0</v>
      </c>
      <c r="M640" s="131"/>
      <c r="N640" s="96">
        <v>46065</v>
      </c>
    </row>
    <row r="641" spans="1:14" x14ac:dyDescent="0.25">
      <c r="A641" s="11">
        <f t="shared" ca="1" si="80"/>
        <v>-72</v>
      </c>
      <c r="B641" s="37">
        <f t="shared" si="81"/>
        <v>27</v>
      </c>
      <c r="C641" s="11" t="s">
        <v>188</v>
      </c>
      <c r="D641" s="11" t="str">
        <f>VLOOKUP(VALUE(MID($C641,13,2)), codigos!$A$2:$B$60, 2, 1) &amp; " " &amp; VLOOKUP(VALUE(MID($C641,15,4)), codigos!$E$2:$F$102, 2, FALSE)</f>
        <v>POCILLO 14</v>
      </c>
      <c r="E641" s="11" t="str">
        <f>VLOOKUP(VALUE(MID($C641,19,2)),codigos!$H$2:$I$62,2,1) &amp; " " &amp; VLOOKUP(VALUE(MID($C641,21,2)),codigos!$K$2:$L$12,2,FALSE)</f>
        <v>S/I S/I</v>
      </c>
      <c r="F641" s="11" t="s">
        <v>991</v>
      </c>
      <c r="G641" s="11" t="s">
        <v>11</v>
      </c>
      <c r="H641" s="11" t="s">
        <v>1068</v>
      </c>
      <c r="I641" s="11" t="s">
        <v>1064</v>
      </c>
      <c r="J641" s="25">
        <v>108</v>
      </c>
      <c r="K641" s="25">
        <v>108</v>
      </c>
      <c r="L641" s="15">
        <f t="shared" si="82"/>
        <v>0</v>
      </c>
      <c r="M641" s="131"/>
      <c r="N641" s="96">
        <v>46065</v>
      </c>
    </row>
    <row r="642" spans="1:14" x14ac:dyDescent="0.25">
      <c r="A642" s="11">
        <f t="shared" ca="1" si="80"/>
        <v>-83</v>
      </c>
      <c r="B642" s="37">
        <f t="shared" si="81"/>
        <v>38</v>
      </c>
      <c r="C642" s="11" t="s">
        <v>214</v>
      </c>
      <c r="D642" s="11" t="str">
        <f>VLOOKUP(VALUE(MID($C642,13,2)), [2]codigos!$A$2:$B$60, 2, 1) &amp; " " &amp; VLOOKUP(VALUE(MID($C642,15,4)), [2]codigos!$E$2:$F$102, 2, FALSE)</f>
        <v>BUDINERA   18</v>
      </c>
      <c r="E642" s="11" t="str">
        <f>VLOOKUP(VALUE(MID($C642,19,2)),[2]codigos!$H$2:$I$62,2,1) &amp; " " &amp; VLOOKUP(VALUE(MID($C642,21,2)),[2]codigos!$K$2:$L$12,2,FALSE)</f>
        <v>A/T S/I</v>
      </c>
      <c r="F642" s="11" t="s">
        <v>991</v>
      </c>
      <c r="G642" s="11" t="s">
        <v>34</v>
      </c>
      <c r="H642" s="52" t="s">
        <v>1310</v>
      </c>
      <c r="I642" s="20" t="s">
        <v>990</v>
      </c>
      <c r="J642" s="11">
        <v>18</v>
      </c>
      <c r="K642" s="11">
        <v>18</v>
      </c>
      <c r="L642" s="11">
        <f t="shared" ref="L642:L647" si="83">J642-K642</f>
        <v>0</v>
      </c>
      <c r="M642" s="131">
        <f>(SUM(K642:K647))/(SUM(J642:J647))</f>
        <v>1</v>
      </c>
      <c r="N642" s="96">
        <v>46065</v>
      </c>
    </row>
    <row r="643" spans="1:14" x14ac:dyDescent="0.25">
      <c r="A643" s="11">
        <f t="shared" ca="1" si="80"/>
        <v>-83</v>
      </c>
      <c r="B643" s="37">
        <f t="shared" si="81"/>
        <v>38</v>
      </c>
      <c r="C643" s="11" t="s">
        <v>333</v>
      </c>
      <c r="D643" s="11" t="str">
        <f>VLOOKUP(VALUE(MID($C643,13,2)), [2]codigos!$A$2:$B$60, 2, 1) &amp; " " &amp; VLOOKUP(VALUE(MID($C643,15,4)), [2]codigos!$E$2:$F$102, 2, FALSE)</f>
        <v>OLLA CONVEXA 14</v>
      </c>
      <c r="E643" s="11" t="str">
        <f>VLOOKUP(VALUE(MID($C643,19,2)),[2]codigos!$H$2:$I$62,2,1) &amp; " " &amp; VLOOKUP(VALUE(MID($C643,21,2)),[2]codigos!$K$2:$L$12,2,FALSE)</f>
        <v>A/T S/I</v>
      </c>
      <c r="F643" s="11" t="s">
        <v>991</v>
      </c>
      <c r="G643" s="11" t="s">
        <v>34</v>
      </c>
      <c r="H643" s="52" t="s">
        <v>1310</v>
      </c>
      <c r="I643" s="20" t="s">
        <v>990</v>
      </c>
      <c r="J643" s="11">
        <v>360</v>
      </c>
      <c r="K643" s="11">
        <f>360</f>
        <v>360</v>
      </c>
      <c r="L643" s="11">
        <f t="shared" si="83"/>
        <v>0</v>
      </c>
      <c r="M643" s="131"/>
      <c r="N643" s="96">
        <v>46065</v>
      </c>
    </row>
    <row r="644" spans="1:14" x14ac:dyDescent="0.25">
      <c r="A644" s="11">
        <f t="shared" ca="1" si="80"/>
        <v>-83</v>
      </c>
      <c r="B644" s="37">
        <f t="shared" si="81"/>
        <v>38</v>
      </c>
      <c r="C644" s="11" t="s">
        <v>152</v>
      </c>
      <c r="D644" s="11" t="str">
        <f>VLOOKUP(VALUE(MID($C644,13,2)), [2]codigos!$A$2:$B$60, 2, 1) &amp; " " &amp; VLOOKUP(VALUE(MID($C644,15,4)), [2]codigos!$E$2:$F$102, 2, FALSE)</f>
        <v>OLLA CONVEXA 24</v>
      </c>
      <c r="E644" s="11" t="str">
        <f>VLOOKUP(VALUE(MID($C644,19,2)),[2]codigos!$H$2:$I$62,2,1) &amp; " " &amp; VLOOKUP(VALUE(MID($C644,21,2)),[2]codigos!$K$2:$L$12,2,FALSE)</f>
        <v>A/T S/I</v>
      </c>
      <c r="F644" s="11" t="s">
        <v>991</v>
      </c>
      <c r="G644" s="11" t="s">
        <v>34</v>
      </c>
      <c r="H644" s="52" t="s">
        <v>1310</v>
      </c>
      <c r="I644" s="20" t="s">
        <v>990</v>
      </c>
      <c r="J644" s="11">
        <v>72</v>
      </c>
      <c r="K644" s="11">
        <f>42+30</f>
        <v>72</v>
      </c>
      <c r="L644" s="11">
        <f t="shared" si="83"/>
        <v>0</v>
      </c>
      <c r="M644" s="131"/>
      <c r="N644" s="96">
        <v>46065</v>
      </c>
    </row>
    <row r="645" spans="1:14" x14ac:dyDescent="0.25">
      <c r="A645" s="11">
        <f t="shared" ca="1" si="80"/>
        <v>-83</v>
      </c>
      <c r="B645" s="37">
        <f t="shared" si="81"/>
        <v>38</v>
      </c>
      <c r="C645" s="11" t="s">
        <v>154</v>
      </c>
      <c r="D645" s="11" t="str">
        <f>VLOOKUP(VALUE(MID($C645,13,2)), [2]codigos!$A$2:$B$60, 2, 1) &amp; " " &amp; VLOOKUP(VALUE(MID($C645,15,4)), [2]codigos!$E$2:$F$102, 2, FALSE)</f>
        <v>OLLA CONVEXA 30</v>
      </c>
      <c r="E645" s="11" t="str">
        <f>VLOOKUP(VALUE(MID($C645,19,2)),[2]codigos!$H$2:$I$62,2,1) &amp; " " &amp; VLOOKUP(VALUE(MID($C645,21,2)),[2]codigos!$K$2:$L$12,2,FALSE)</f>
        <v>A/T S/I</v>
      </c>
      <c r="F645" s="11" t="s">
        <v>991</v>
      </c>
      <c r="G645" s="11" t="s">
        <v>34</v>
      </c>
      <c r="H645" s="52" t="s">
        <v>1310</v>
      </c>
      <c r="I645" s="20" t="s">
        <v>990</v>
      </c>
      <c r="J645" s="11">
        <v>52</v>
      </c>
      <c r="K645" s="11">
        <f>2+6+44</f>
        <v>52</v>
      </c>
      <c r="L645" s="11">
        <f t="shared" si="83"/>
        <v>0</v>
      </c>
      <c r="M645" s="131"/>
      <c r="N645" s="96">
        <v>46065</v>
      </c>
    </row>
    <row r="646" spans="1:14" x14ac:dyDescent="0.25">
      <c r="A646" s="11">
        <f ca="1">DAYS360($B$1,I646)</f>
        <v>-83</v>
      </c>
      <c r="B646" s="37">
        <f t="shared" si="81"/>
        <v>38</v>
      </c>
      <c r="C646" s="11" t="s">
        <v>222</v>
      </c>
      <c r="D646" s="11" t="str">
        <f>VLOOKUP(VALUE(MID($C646,13,2)), [2]codigos!$A$2:$B$60, 2, 1) &amp; " " &amp; VLOOKUP(VALUE(MID($C646,15,4)), [2]codigos!$E$2:$F$102, 2, FALSE)</f>
        <v>OLLA RECTA 12</v>
      </c>
      <c r="E646" s="11" t="str">
        <f>VLOOKUP(VALUE(MID($C646,19,2)),[2]codigos!$H$2:$I$62,2,1) &amp; " " &amp; VLOOKUP(VALUE(MID($C646,21,2)),[2]codigos!$K$2:$L$12,2,FALSE)</f>
        <v>A/T S/I</v>
      </c>
      <c r="F646" s="11" t="s">
        <v>991</v>
      </c>
      <c r="G646" s="11" t="s">
        <v>34</v>
      </c>
      <c r="H646" s="52" t="s">
        <v>1310</v>
      </c>
      <c r="I646" s="20" t="s">
        <v>990</v>
      </c>
      <c r="J646" s="11">
        <v>52</v>
      </c>
      <c r="K646" s="11">
        <f>36+16</f>
        <v>52</v>
      </c>
      <c r="L646" s="11">
        <f t="shared" si="83"/>
        <v>0</v>
      </c>
      <c r="M646" s="131"/>
      <c r="N646" s="96">
        <v>46065</v>
      </c>
    </row>
    <row r="647" spans="1:14" x14ac:dyDescent="0.25">
      <c r="A647" s="11">
        <f t="shared" ca="1" si="80"/>
        <v>-83</v>
      </c>
      <c r="B647" s="37">
        <f t="shared" si="81"/>
        <v>38</v>
      </c>
      <c r="C647" s="11" t="s">
        <v>257</v>
      </c>
      <c r="D647" s="11" t="str">
        <f>VLOOKUP(VALUE(MID($C647,13,2)), [2]codigos!$A$2:$B$60, 2, 1) &amp; " " &amp; VLOOKUP(VALUE(MID($C647,15,4)), [2]codigos!$E$2:$F$102, 2, FALSE)</f>
        <v>OLLA RECTA 14</v>
      </c>
      <c r="E647" s="11" t="str">
        <f>VLOOKUP(VALUE(MID($C647,19,2)),[2]codigos!$H$2:$I$62,2,1) &amp; " " &amp; VLOOKUP(VALUE(MID($C647,21,2)),[2]codigos!$K$2:$L$12,2,FALSE)</f>
        <v>A/T S/I</v>
      </c>
      <c r="F647" s="11" t="s">
        <v>991</v>
      </c>
      <c r="G647" s="11" t="s">
        <v>34</v>
      </c>
      <c r="H647" s="52" t="s">
        <v>1310</v>
      </c>
      <c r="I647" s="20" t="s">
        <v>990</v>
      </c>
      <c r="J647" s="11">
        <v>216</v>
      </c>
      <c r="K647" s="11">
        <v>216</v>
      </c>
      <c r="L647" s="11">
        <f t="shared" si="83"/>
        <v>0</v>
      </c>
      <c r="M647" s="131"/>
      <c r="N647" s="96">
        <v>46065</v>
      </c>
    </row>
    <row r="648" spans="1:14" x14ac:dyDescent="0.25">
      <c r="A648" s="11">
        <f t="shared" ca="1" si="80"/>
        <v>-138</v>
      </c>
      <c r="B648" s="37">
        <f t="shared" si="81"/>
        <v>98</v>
      </c>
      <c r="C648" s="11" t="s">
        <v>307</v>
      </c>
      <c r="D648" s="11" t="s">
        <v>918</v>
      </c>
      <c r="E648" s="11" t="s">
        <v>919</v>
      </c>
      <c r="F648" s="11" t="s">
        <v>365</v>
      </c>
      <c r="G648" s="11" t="s">
        <v>34</v>
      </c>
      <c r="H648" s="52" t="s">
        <v>920</v>
      </c>
      <c r="I648" s="20" t="s">
        <v>921</v>
      </c>
      <c r="J648" s="11">
        <f>36+36</f>
        <v>72</v>
      </c>
      <c r="K648" s="11">
        <f>1+35+30+4+2</f>
        <v>72</v>
      </c>
      <c r="L648" s="11">
        <f t="shared" ref="L648:L675" si="84">+J648-K648</f>
        <v>0</v>
      </c>
      <c r="M648" s="132">
        <f>(SUM(K648:K659))/(SUM(J648:J659))</f>
        <v>1</v>
      </c>
      <c r="N648" s="96">
        <v>46069</v>
      </c>
    </row>
    <row r="649" spans="1:14" x14ac:dyDescent="0.25">
      <c r="A649" s="11">
        <f t="shared" ca="1" si="80"/>
        <v>-138</v>
      </c>
      <c r="B649" s="37">
        <f t="shared" si="81"/>
        <v>98</v>
      </c>
      <c r="C649" s="11" t="s">
        <v>23</v>
      </c>
      <c r="D649" s="11" t="s">
        <v>918</v>
      </c>
      <c r="E649" s="11" t="s">
        <v>922</v>
      </c>
      <c r="F649" s="11" t="s">
        <v>365</v>
      </c>
      <c r="G649" s="11" t="s">
        <v>34</v>
      </c>
      <c r="H649" s="52" t="s">
        <v>920</v>
      </c>
      <c r="I649" s="20" t="s">
        <v>921</v>
      </c>
      <c r="J649" s="11">
        <f>6+18</f>
        <v>24</v>
      </c>
      <c r="K649" s="11">
        <f>6+18</f>
        <v>24</v>
      </c>
      <c r="L649" s="11">
        <f t="shared" si="84"/>
        <v>0</v>
      </c>
      <c r="M649" s="133"/>
      <c r="N649" s="96">
        <v>46069</v>
      </c>
    </row>
    <row r="650" spans="1:14" x14ac:dyDescent="0.25">
      <c r="A650" s="11">
        <f t="shared" ca="1" si="80"/>
        <v>-138</v>
      </c>
      <c r="B650" s="37">
        <f t="shared" si="81"/>
        <v>98</v>
      </c>
      <c r="C650" s="11" t="s">
        <v>625</v>
      </c>
      <c r="D650" s="11" t="s">
        <v>923</v>
      </c>
      <c r="E650" s="11" t="s">
        <v>924</v>
      </c>
      <c r="F650" s="11" t="s">
        <v>365</v>
      </c>
      <c r="G650" s="11" t="s">
        <v>34</v>
      </c>
      <c r="H650" s="52" t="s">
        <v>920</v>
      </c>
      <c r="I650" s="20" t="s">
        <v>921</v>
      </c>
      <c r="J650" s="11">
        <v>24</v>
      </c>
      <c r="K650" s="11">
        <f>14+6+4</f>
        <v>24</v>
      </c>
      <c r="L650" s="11">
        <f t="shared" si="84"/>
        <v>0</v>
      </c>
      <c r="M650" s="133"/>
      <c r="N650" s="96">
        <v>46069</v>
      </c>
    </row>
    <row r="651" spans="1:14" x14ac:dyDescent="0.25">
      <c r="A651" s="11">
        <f t="shared" ca="1" si="80"/>
        <v>-138</v>
      </c>
      <c r="B651" s="37">
        <f t="shared" si="81"/>
        <v>98</v>
      </c>
      <c r="C651" s="11" t="s">
        <v>69</v>
      </c>
      <c r="D651" s="11" t="s">
        <v>925</v>
      </c>
      <c r="E651" s="11" t="s">
        <v>926</v>
      </c>
      <c r="F651" s="11" t="s">
        <v>365</v>
      </c>
      <c r="G651" s="11" t="s">
        <v>34</v>
      </c>
      <c r="H651" s="52" t="s">
        <v>920</v>
      </c>
      <c r="I651" s="20" t="s">
        <v>921</v>
      </c>
      <c r="J651" s="11">
        <v>6</v>
      </c>
      <c r="K651" s="11">
        <v>6</v>
      </c>
      <c r="L651" s="11">
        <f t="shared" si="84"/>
        <v>0</v>
      </c>
      <c r="M651" s="133"/>
      <c r="N651" s="96">
        <v>46069</v>
      </c>
    </row>
    <row r="652" spans="1:14" x14ac:dyDescent="0.25">
      <c r="A652" s="11">
        <f t="shared" ca="1" si="80"/>
        <v>-138</v>
      </c>
      <c r="B652" s="37">
        <f t="shared" si="81"/>
        <v>98</v>
      </c>
      <c r="C652" s="11" t="s">
        <v>71</v>
      </c>
      <c r="D652" s="11" t="s">
        <v>927</v>
      </c>
      <c r="E652" s="11" t="s">
        <v>924</v>
      </c>
      <c r="F652" s="11" t="s">
        <v>365</v>
      </c>
      <c r="G652" s="11" t="s">
        <v>34</v>
      </c>
      <c r="H652" s="52" t="s">
        <v>920</v>
      </c>
      <c r="I652" s="20" t="s">
        <v>921</v>
      </c>
      <c r="J652" s="11">
        <v>24</v>
      </c>
      <c r="K652" s="11">
        <f>18+3+3</f>
        <v>24</v>
      </c>
      <c r="L652" s="11">
        <f t="shared" si="84"/>
        <v>0</v>
      </c>
      <c r="M652" s="133"/>
      <c r="N652" s="96">
        <v>46069</v>
      </c>
    </row>
    <row r="653" spans="1:14" x14ac:dyDescent="0.25">
      <c r="A653" s="11">
        <f t="shared" ca="1" si="80"/>
        <v>-138</v>
      </c>
      <c r="B653" s="37">
        <f t="shared" si="81"/>
        <v>98</v>
      </c>
      <c r="C653" s="11" t="s">
        <v>928</v>
      </c>
      <c r="D653" s="11" t="s">
        <v>929</v>
      </c>
      <c r="E653" s="11" t="s">
        <v>919</v>
      </c>
      <c r="F653" s="11" t="s">
        <v>365</v>
      </c>
      <c r="G653" s="11" t="s">
        <v>34</v>
      </c>
      <c r="H653" s="52" t="s">
        <v>920</v>
      </c>
      <c r="I653" s="20" t="s">
        <v>921</v>
      </c>
      <c r="J653" s="11">
        <v>12</v>
      </c>
      <c r="K653" s="11">
        <v>12</v>
      </c>
      <c r="L653" s="11">
        <f t="shared" si="84"/>
        <v>0</v>
      </c>
      <c r="M653" s="133"/>
      <c r="N653" s="96">
        <v>46069</v>
      </c>
    </row>
    <row r="654" spans="1:14" x14ac:dyDescent="0.25">
      <c r="A654" s="11">
        <f t="shared" ca="1" si="80"/>
        <v>-138</v>
      </c>
      <c r="B654" s="37">
        <f t="shared" si="81"/>
        <v>98</v>
      </c>
      <c r="C654" s="11" t="s">
        <v>627</v>
      </c>
      <c r="D654" s="11" t="s">
        <v>930</v>
      </c>
      <c r="E654" s="11" t="s">
        <v>931</v>
      </c>
      <c r="F654" s="11" t="s">
        <v>365</v>
      </c>
      <c r="G654" s="11" t="s">
        <v>34</v>
      </c>
      <c r="H654" s="52" t="s">
        <v>920</v>
      </c>
      <c r="I654" s="20" t="s">
        <v>921</v>
      </c>
      <c r="J654" s="11">
        <v>6</v>
      </c>
      <c r="K654" s="11">
        <v>6</v>
      </c>
      <c r="L654" s="11">
        <f t="shared" si="84"/>
        <v>0</v>
      </c>
      <c r="M654" s="133"/>
      <c r="N654" s="96">
        <v>46069</v>
      </c>
    </row>
    <row r="655" spans="1:14" x14ac:dyDescent="0.25">
      <c r="A655" s="11">
        <f t="shared" ca="1" si="80"/>
        <v>-138</v>
      </c>
      <c r="B655" s="37">
        <f t="shared" si="81"/>
        <v>98</v>
      </c>
      <c r="C655" s="11" t="s">
        <v>326</v>
      </c>
      <c r="D655" s="11" t="s">
        <v>930</v>
      </c>
      <c r="E655" s="11" t="s">
        <v>922</v>
      </c>
      <c r="F655" s="11" t="s">
        <v>365</v>
      </c>
      <c r="G655" s="11" t="s">
        <v>34</v>
      </c>
      <c r="H655" s="52" t="s">
        <v>920</v>
      </c>
      <c r="I655" s="20" t="s">
        <v>921</v>
      </c>
      <c r="J655" s="11">
        <v>24</v>
      </c>
      <c r="K655" s="11">
        <v>24</v>
      </c>
      <c r="L655" s="11">
        <f t="shared" si="84"/>
        <v>0</v>
      </c>
      <c r="M655" s="133"/>
      <c r="N655" s="96">
        <v>46069</v>
      </c>
    </row>
    <row r="656" spans="1:14" x14ac:dyDescent="0.25">
      <c r="A656" s="11">
        <f t="shared" ca="1" si="80"/>
        <v>-138</v>
      </c>
      <c r="B656" s="37">
        <f t="shared" si="81"/>
        <v>98</v>
      </c>
      <c r="C656" s="11" t="s">
        <v>302</v>
      </c>
      <c r="D656" s="11" t="s">
        <v>932</v>
      </c>
      <c r="E656" s="11" t="s">
        <v>926</v>
      </c>
      <c r="F656" s="11" t="s">
        <v>365</v>
      </c>
      <c r="G656" s="11" t="s">
        <v>34</v>
      </c>
      <c r="H656" s="52" t="s">
        <v>920</v>
      </c>
      <c r="I656" s="20" t="s">
        <v>921</v>
      </c>
      <c r="J656" s="11">
        <v>36</v>
      </c>
      <c r="K656" s="11">
        <v>36</v>
      </c>
      <c r="L656" s="11">
        <f t="shared" si="84"/>
        <v>0</v>
      </c>
      <c r="M656" s="133"/>
      <c r="N656" s="96">
        <v>46069</v>
      </c>
    </row>
    <row r="657" spans="1:14" x14ac:dyDescent="0.25">
      <c r="A657" s="11">
        <f t="shared" ca="1" si="80"/>
        <v>-138</v>
      </c>
      <c r="B657" s="37">
        <f t="shared" si="81"/>
        <v>98</v>
      </c>
      <c r="C657" s="11" t="s">
        <v>304</v>
      </c>
      <c r="D657" s="11" t="s">
        <v>932</v>
      </c>
      <c r="E657" s="11" t="s">
        <v>919</v>
      </c>
      <c r="F657" s="11" t="s">
        <v>365</v>
      </c>
      <c r="G657" s="11" t="s">
        <v>34</v>
      </c>
      <c r="H657" s="52" t="s">
        <v>920</v>
      </c>
      <c r="I657" s="20" t="s">
        <v>921</v>
      </c>
      <c r="J657" s="11">
        <v>36</v>
      </c>
      <c r="K657" s="11">
        <v>36</v>
      </c>
      <c r="L657" s="11">
        <f t="shared" si="84"/>
        <v>0</v>
      </c>
      <c r="M657" s="133"/>
      <c r="N657" s="96">
        <v>46069</v>
      </c>
    </row>
    <row r="658" spans="1:14" x14ac:dyDescent="0.25">
      <c r="A658" s="11">
        <f t="shared" ca="1" si="80"/>
        <v>-138</v>
      </c>
      <c r="B658" s="37">
        <f t="shared" si="81"/>
        <v>98</v>
      </c>
      <c r="C658" s="11" t="s">
        <v>134</v>
      </c>
      <c r="D658" s="11" t="s">
        <v>933</v>
      </c>
      <c r="E658" s="11" t="s">
        <v>926</v>
      </c>
      <c r="F658" s="11" t="s">
        <v>365</v>
      </c>
      <c r="G658" s="11" t="s">
        <v>34</v>
      </c>
      <c r="H658" s="52" t="s">
        <v>920</v>
      </c>
      <c r="I658" s="20" t="s">
        <v>921</v>
      </c>
      <c r="J658" s="11">
        <v>18</v>
      </c>
      <c r="K658" s="11">
        <v>18</v>
      </c>
      <c r="L658" s="11">
        <f t="shared" si="84"/>
        <v>0</v>
      </c>
      <c r="M658" s="133"/>
      <c r="N658" s="96">
        <v>46069</v>
      </c>
    </row>
    <row r="659" spans="1:14" x14ac:dyDescent="0.25">
      <c r="A659" s="11">
        <f t="shared" ca="1" si="80"/>
        <v>-138</v>
      </c>
      <c r="B659" s="37">
        <f t="shared" si="81"/>
        <v>98</v>
      </c>
      <c r="C659" s="11" t="s">
        <v>249</v>
      </c>
      <c r="D659" s="11" t="s">
        <v>934</v>
      </c>
      <c r="E659" s="11" t="s">
        <v>926</v>
      </c>
      <c r="F659" s="11" t="s">
        <v>365</v>
      </c>
      <c r="G659" s="11" t="s">
        <v>34</v>
      </c>
      <c r="H659" s="52" t="s">
        <v>920</v>
      </c>
      <c r="I659" s="20" t="s">
        <v>921</v>
      </c>
      <c r="J659" s="11">
        <v>18</v>
      </c>
      <c r="K659" s="11">
        <v>18</v>
      </c>
      <c r="L659" s="11">
        <f t="shared" si="84"/>
        <v>0</v>
      </c>
      <c r="M659" s="130"/>
      <c r="N659" s="96">
        <v>46069</v>
      </c>
    </row>
    <row r="660" spans="1:14" x14ac:dyDescent="0.25">
      <c r="A660" s="11">
        <f t="shared" ca="1" si="80"/>
        <v>-138</v>
      </c>
      <c r="B660" s="37">
        <f t="shared" si="81"/>
        <v>98</v>
      </c>
      <c r="C660" s="11" t="s">
        <v>215</v>
      </c>
      <c r="D660" s="11" t="s">
        <v>901</v>
      </c>
      <c r="E660" s="11" t="s">
        <v>896</v>
      </c>
      <c r="F660" s="11" t="s">
        <v>365</v>
      </c>
      <c r="G660" s="11" t="s">
        <v>34</v>
      </c>
      <c r="H660" s="52" t="s">
        <v>935</v>
      </c>
      <c r="I660" s="20" t="s">
        <v>921</v>
      </c>
      <c r="J660" s="11">
        <v>36</v>
      </c>
      <c r="K660" s="11">
        <v>36</v>
      </c>
      <c r="L660" s="11">
        <f t="shared" si="84"/>
        <v>0</v>
      </c>
      <c r="M660" s="132">
        <f>(SUM(K660:K667))/(SUM(J660:J667))</f>
        <v>0.89690721649484539</v>
      </c>
      <c r="N660" s="96">
        <v>46069</v>
      </c>
    </row>
    <row r="661" spans="1:14" x14ac:dyDescent="0.25">
      <c r="A661" s="11">
        <f t="shared" ca="1" si="80"/>
        <v>-138</v>
      </c>
      <c r="B661" s="37">
        <f t="shared" si="81"/>
        <v>98</v>
      </c>
      <c r="C661" s="11" t="s">
        <v>329</v>
      </c>
      <c r="D661" s="11" t="s">
        <v>901</v>
      </c>
      <c r="E661" s="11" t="s">
        <v>891</v>
      </c>
      <c r="F661" s="11" t="s">
        <v>365</v>
      </c>
      <c r="G661" s="11" t="s">
        <v>34</v>
      </c>
      <c r="H661" s="52" t="s">
        <v>935</v>
      </c>
      <c r="I661" s="20" t="s">
        <v>921</v>
      </c>
      <c r="J661" s="11">
        <v>18</v>
      </c>
      <c r="K661" s="11">
        <f>6+6+6</f>
        <v>18</v>
      </c>
      <c r="L661" s="11">
        <f t="shared" si="84"/>
        <v>0</v>
      </c>
      <c r="M661" s="133"/>
      <c r="N661" s="96">
        <v>46069</v>
      </c>
    </row>
    <row r="662" spans="1:14" x14ac:dyDescent="0.25">
      <c r="A662" s="11">
        <f t="shared" ca="1" si="80"/>
        <v>-138</v>
      </c>
      <c r="B662" s="37">
        <f t="shared" si="81"/>
        <v>98</v>
      </c>
      <c r="C662" s="64" t="s">
        <v>173</v>
      </c>
      <c r="D662" s="64" t="s">
        <v>912</v>
      </c>
      <c r="E662" s="64" t="s">
        <v>896</v>
      </c>
      <c r="F662" s="64" t="s">
        <v>365</v>
      </c>
      <c r="G662" s="64" t="s">
        <v>34</v>
      </c>
      <c r="H662" s="66" t="s">
        <v>935</v>
      </c>
      <c r="I662" s="64" t="s">
        <v>921</v>
      </c>
      <c r="J662" s="64">
        <v>20</v>
      </c>
      <c r="K662" s="64">
        <v>0</v>
      </c>
      <c r="L662" s="64">
        <f t="shared" si="84"/>
        <v>20</v>
      </c>
      <c r="M662" s="133"/>
      <c r="N662" s="96">
        <v>46069</v>
      </c>
    </row>
    <row r="663" spans="1:14" x14ac:dyDescent="0.25">
      <c r="A663" s="11">
        <f t="shared" ca="1" si="80"/>
        <v>-138</v>
      </c>
      <c r="B663" s="37">
        <f t="shared" si="81"/>
        <v>98</v>
      </c>
      <c r="C663" s="11" t="s">
        <v>41</v>
      </c>
      <c r="D663" s="11" t="s">
        <v>936</v>
      </c>
      <c r="E663" s="11" t="s">
        <v>937</v>
      </c>
      <c r="F663" s="11" t="s">
        <v>365</v>
      </c>
      <c r="G663" s="11" t="s">
        <v>34</v>
      </c>
      <c r="H663" s="52" t="s">
        <v>935</v>
      </c>
      <c r="I663" s="20" t="s">
        <v>921</v>
      </c>
      <c r="J663" s="11">
        <v>12</v>
      </c>
      <c r="K663" s="11">
        <v>12</v>
      </c>
      <c r="L663" s="11">
        <f t="shared" si="84"/>
        <v>0</v>
      </c>
      <c r="M663" s="133"/>
      <c r="N663" s="96">
        <v>46069</v>
      </c>
    </row>
    <row r="664" spans="1:14" x14ac:dyDescent="0.25">
      <c r="A664" s="11">
        <f t="shared" ca="1" si="80"/>
        <v>-138</v>
      </c>
      <c r="B664" s="37">
        <f t="shared" si="81"/>
        <v>98</v>
      </c>
      <c r="C664" s="11" t="s">
        <v>154</v>
      </c>
      <c r="D664" s="11" t="s">
        <v>903</v>
      </c>
      <c r="E664" s="11" t="s">
        <v>896</v>
      </c>
      <c r="F664" s="11" t="s">
        <v>365</v>
      </c>
      <c r="G664" s="11" t="s">
        <v>34</v>
      </c>
      <c r="H664" s="52" t="s">
        <v>935</v>
      </c>
      <c r="I664" s="20" t="s">
        <v>921</v>
      </c>
      <c r="J664" s="11">
        <v>24</v>
      </c>
      <c r="K664" s="11">
        <v>24</v>
      </c>
      <c r="L664" s="11">
        <f t="shared" si="84"/>
        <v>0</v>
      </c>
      <c r="M664" s="133"/>
      <c r="N664" s="96">
        <v>46069</v>
      </c>
    </row>
    <row r="665" spans="1:14" x14ac:dyDescent="0.25">
      <c r="A665" s="11">
        <f t="shared" ca="1" si="80"/>
        <v>-138</v>
      </c>
      <c r="B665" s="37">
        <f t="shared" si="81"/>
        <v>98</v>
      </c>
      <c r="C665" s="11" t="s">
        <v>237</v>
      </c>
      <c r="D665" s="11" t="s">
        <v>938</v>
      </c>
      <c r="E665" s="11" t="s">
        <v>896</v>
      </c>
      <c r="F665" s="11" t="s">
        <v>365</v>
      </c>
      <c r="G665" s="11" t="s">
        <v>34</v>
      </c>
      <c r="H665" s="52" t="s">
        <v>935</v>
      </c>
      <c r="I665" s="20" t="s">
        <v>921</v>
      </c>
      <c r="J665" s="11">
        <v>30</v>
      </c>
      <c r="K665" s="11">
        <f>19+1+6+4</f>
        <v>30</v>
      </c>
      <c r="L665" s="11">
        <f t="shared" si="84"/>
        <v>0</v>
      </c>
      <c r="M665" s="133"/>
      <c r="N665" s="96">
        <v>46069</v>
      </c>
    </row>
    <row r="666" spans="1:14" x14ac:dyDescent="0.25">
      <c r="A666" s="11">
        <f t="shared" ca="1" si="80"/>
        <v>-138</v>
      </c>
      <c r="B666" s="37">
        <f t="shared" si="81"/>
        <v>98</v>
      </c>
      <c r="C666" s="11" t="s">
        <v>278</v>
      </c>
      <c r="D666" s="11" t="s">
        <v>939</v>
      </c>
      <c r="E666" s="11" t="s">
        <v>931</v>
      </c>
      <c r="F666" s="11" t="s">
        <v>365</v>
      </c>
      <c r="G666" s="11" t="s">
        <v>34</v>
      </c>
      <c r="H666" s="52" t="s">
        <v>935</v>
      </c>
      <c r="I666" s="20" t="s">
        <v>921</v>
      </c>
      <c r="J666" s="11">
        <v>18</v>
      </c>
      <c r="K666" s="11">
        <f>14+4</f>
        <v>18</v>
      </c>
      <c r="L666" s="11">
        <f t="shared" si="84"/>
        <v>0</v>
      </c>
      <c r="M666" s="133"/>
      <c r="N666" s="96">
        <v>46069</v>
      </c>
    </row>
    <row r="667" spans="1:14" x14ac:dyDescent="0.25">
      <c r="A667" s="11">
        <f t="shared" ca="1" si="80"/>
        <v>-138</v>
      </c>
      <c r="B667" s="37">
        <f t="shared" si="81"/>
        <v>98</v>
      </c>
      <c r="C667" s="11" t="s">
        <v>279</v>
      </c>
      <c r="D667" s="11" t="s">
        <v>939</v>
      </c>
      <c r="E667" s="11" t="s">
        <v>919</v>
      </c>
      <c r="F667" s="11" t="s">
        <v>365</v>
      </c>
      <c r="G667" s="11" t="s">
        <v>34</v>
      </c>
      <c r="H667" s="52" t="s">
        <v>935</v>
      </c>
      <c r="I667" s="20" t="s">
        <v>921</v>
      </c>
      <c r="J667" s="11">
        <v>36</v>
      </c>
      <c r="K667" s="11">
        <f>11+18+7</f>
        <v>36</v>
      </c>
      <c r="L667" s="11">
        <f t="shared" si="84"/>
        <v>0</v>
      </c>
      <c r="M667" s="130"/>
      <c r="N667" s="96">
        <v>46069</v>
      </c>
    </row>
    <row r="668" spans="1:14" x14ac:dyDescent="0.25">
      <c r="A668" s="11">
        <f t="shared" ca="1" si="80"/>
        <v>-138</v>
      </c>
      <c r="B668" s="37">
        <f t="shared" si="81"/>
        <v>95</v>
      </c>
      <c r="C668" s="11" t="s">
        <v>277</v>
      </c>
      <c r="D668" s="11" t="s">
        <v>939</v>
      </c>
      <c r="E668" s="11" t="s">
        <v>926</v>
      </c>
      <c r="F668" s="11" t="s">
        <v>940</v>
      </c>
      <c r="G668" s="11" t="s">
        <v>34</v>
      </c>
      <c r="H668" s="52" t="s">
        <v>941</v>
      </c>
      <c r="I668" s="20" t="s">
        <v>921</v>
      </c>
      <c r="J668" s="11">
        <v>18</v>
      </c>
      <c r="K668" s="11">
        <f>8+10</f>
        <v>18</v>
      </c>
      <c r="L668" s="11">
        <f t="shared" si="84"/>
        <v>0</v>
      </c>
      <c r="M668" s="150">
        <f>(SUM(K668:K675))/(SUM(J668:J675))</f>
        <v>1</v>
      </c>
      <c r="N668" s="96">
        <v>46066</v>
      </c>
    </row>
    <row r="669" spans="1:14" x14ac:dyDescent="0.25">
      <c r="A669" s="11">
        <f t="shared" ca="1" si="80"/>
        <v>-138</v>
      </c>
      <c r="B669" s="37">
        <f t="shared" si="81"/>
        <v>95</v>
      </c>
      <c r="C669" s="11" t="s">
        <v>625</v>
      </c>
      <c r="D669" s="11" t="s">
        <v>923</v>
      </c>
      <c r="E669" s="11" t="s">
        <v>924</v>
      </c>
      <c r="F669" s="11" t="s">
        <v>940</v>
      </c>
      <c r="G669" s="11" t="s">
        <v>34</v>
      </c>
      <c r="H669" s="52" t="s">
        <v>941</v>
      </c>
      <c r="I669" s="20" t="s">
        <v>921</v>
      </c>
      <c r="J669" s="11">
        <v>24</v>
      </c>
      <c r="K669" s="11">
        <f>18+2+4</f>
        <v>24</v>
      </c>
      <c r="L669" s="11">
        <f t="shared" si="84"/>
        <v>0</v>
      </c>
      <c r="M669" s="150"/>
      <c r="N669" s="96">
        <v>46066</v>
      </c>
    </row>
    <row r="670" spans="1:14" x14ac:dyDescent="0.25">
      <c r="A670" s="11">
        <f t="shared" ca="1" si="80"/>
        <v>-138</v>
      </c>
      <c r="B670" s="37">
        <f t="shared" si="81"/>
        <v>95</v>
      </c>
      <c r="C670" s="11" t="s">
        <v>71</v>
      </c>
      <c r="D670" s="11" t="s">
        <v>927</v>
      </c>
      <c r="E670" s="11" t="s">
        <v>924</v>
      </c>
      <c r="F670" s="11" t="s">
        <v>940</v>
      </c>
      <c r="G670" s="11" t="s">
        <v>34</v>
      </c>
      <c r="H670" s="52" t="s">
        <v>941</v>
      </c>
      <c r="I670" s="20" t="s">
        <v>921</v>
      </c>
      <c r="J670" s="11">
        <v>24</v>
      </c>
      <c r="K670" s="11">
        <v>24</v>
      </c>
      <c r="L670" s="11">
        <f t="shared" si="84"/>
        <v>0</v>
      </c>
      <c r="M670" s="150"/>
      <c r="N670" s="96">
        <v>46066</v>
      </c>
    </row>
    <row r="671" spans="1:14" x14ac:dyDescent="0.25">
      <c r="A671" s="11">
        <f t="shared" ca="1" si="80"/>
        <v>-138</v>
      </c>
      <c r="B671" s="37">
        <f>+N671-I671</f>
        <v>95</v>
      </c>
      <c r="C671" s="11" t="s">
        <v>326</v>
      </c>
      <c r="D671" s="11" t="s">
        <v>930</v>
      </c>
      <c r="E671" s="11" t="s">
        <v>922</v>
      </c>
      <c r="F671" s="11" t="s">
        <v>940</v>
      </c>
      <c r="G671" s="11" t="s">
        <v>34</v>
      </c>
      <c r="H671" s="52" t="s">
        <v>941</v>
      </c>
      <c r="I671" s="20" t="s">
        <v>921</v>
      </c>
      <c r="J671" s="11">
        <v>24</v>
      </c>
      <c r="K671" s="11">
        <v>24</v>
      </c>
      <c r="L671" s="11">
        <f t="shared" si="84"/>
        <v>0</v>
      </c>
      <c r="M671" s="150"/>
      <c r="N671" s="96">
        <v>46066</v>
      </c>
    </row>
    <row r="672" spans="1:14" x14ac:dyDescent="0.25">
      <c r="A672" s="11">
        <f t="shared" ca="1" si="80"/>
        <v>-138</v>
      </c>
      <c r="B672" s="37">
        <f t="shared" si="81"/>
        <v>95</v>
      </c>
      <c r="C672" s="11" t="s">
        <v>306</v>
      </c>
      <c r="D672" s="11" t="s">
        <v>918</v>
      </c>
      <c r="E672" s="11" t="s">
        <v>931</v>
      </c>
      <c r="F672" s="11" t="s">
        <v>940</v>
      </c>
      <c r="G672" s="11" t="s">
        <v>34</v>
      </c>
      <c r="H672" s="52" t="s">
        <v>941</v>
      </c>
      <c r="I672" s="20" t="s">
        <v>921</v>
      </c>
      <c r="J672" s="11">
        <v>12</v>
      </c>
      <c r="K672" s="11">
        <f>6+2+4</f>
        <v>12</v>
      </c>
      <c r="L672" s="11">
        <f t="shared" si="84"/>
        <v>0</v>
      </c>
      <c r="M672" s="150"/>
      <c r="N672" s="96">
        <v>46066</v>
      </c>
    </row>
    <row r="673" spans="1:14" x14ac:dyDescent="0.25">
      <c r="A673" s="11">
        <f t="shared" ca="1" si="80"/>
        <v>-138</v>
      </c>
      <c r="B673" s="37">
        <f t="shared" si="81"/>
        <v>95</v>
      </c>
      <c r="C673" s="11" t="s">
        <v>307</v>
      </c>
      <c r="D673" s="11" t="s">
        <v>918</v>
      </c>
      <c r="E673" s="11" t="s">
        <v>919</v>
      </c>
      <c r="F673" s="11" t="s">
        <v>940</v>
      </c>
      <c r="G673" s="11" t="s">
        <v>34</v>
      </c>
      <c r="H673" s="52" t="s">
        <v>941</v>
      </c>
      <c r="I673" s="20" t="s">
        <v>921</v>
      </c>
      <c r="J673" s="11">
        <v>18</v>
      </c>
      <c r="K673" s="11">
        <v>18</v>
      </c>
      <c r="L673" s="11">
        <f t="shared" si="84"/>
        <v>0</v>
      </c>
      <c r="M673" s="150"/>
      <c r="N673" s="96">
        <v>46066</v>
      </c>
    </row>
    <row r="674" spans="1:14" x14ac:dyDescent="0.25">
      <c r="A674" s="11">
        <f ca="1">DAYS360($B$1,I674)</f>
        <v>-138</v>
      </c>
      <c r="B674" s="37">
        <f>+N674-I674</f>
        <v>95</v>
      </c>
      <c r="C674" s="11" t="s">
        <v>23</v>
      </c>
      <c r="D674" s="11" t="s">
        <v>918</v>
      </c>
      <c r="E674" s="11" t="s">
        <v>922</v>
      </c>
      <c r="F674" s="11" t="s">
        <v>940</v>
      </c>
      <c r="G674" s="11" t="s">
        <v>34</v>
      </c>
      <c r="H674" s="52" t="s">
        <v>941</v>
      </c>
      <c r="I674" s="20" t="s">
        <v>921</v>
      </c>
      <c r="J674" s="11">
        <v>6</v>
      </c>
      <c r="K674" s="11">
        <v>6</v>
      </c>
      <c r="L674" s="11">
        <f t="shared" si="84"/>
        <v>0</v>
      </c>
      <c r="M674" s="150"/>
      <c r="N674" s="96">
        <v>46066</v>
      </c>
    </row>
    <row r="675" spans="1:14" x14ac:dyDescent="0.25">
      <c r="A675" s="11">
        <f ca="1">DAYS360($B$1,I675)</f>
        <v>-138</v>
      </c>
      <c r="B675" s="37">
        <f>+N675-I675</f>
        <v>95</v>
      </c>
      <c r="C675" s="11" t="s">
        <v>134</v>
      </c>
      <c r="D675" s="11" t="s">
        <v>933</v>
      </c>
      <c r="E675" s="11" t="s">
        <v>926</v>
      </c>
      <c r="F675" s="11" t="s">
        <v>940</v>
      </c>
      <c r="G675" s="11" t="s">
        <v>34</v>
      </c>
      <c r="H675" s="52" t="s">
        <v>941</v>
      </c>
      <c r="I675" s="20" t="s">
        <v>921</v>
      </c>
      <c r="J675" s="11">
        <v>6</v>
      </c>
      <c r="K675" s="11">
        <v>6</v>
      </c>
      <c r="L675" s="11">
        <f t="shared" si="84"/>
        <v>0</v>
      </c>
      <c r="M675" s="150"/>
      <c r="N675" s="96">
        <v>46066</v>
      </c>
    </row>
    <row r="676" spans="1:14" x14ac:dyDescent="0.25">
      <c r="A676" s="11">
        <f ca="1">DAYS360($B$1,I676)</f>
        <v>-509</v>
      </c>
      <c r="B676" s="37">
        <f>+N676-I676</f>
        <v>472</v>
      </c>
      <c r="C676" s="11" t="s">
        <v>240</v>
      </c>
      <c r="D676" s="11" t="s">
        <v>985</v>
      </c>
      <c r="E676" s="11" t="s">
        <v>896</v>
      </c>
      <c r="F676" s="11" t="s">
        <v>361</v>
      </c>
      <c r="G676" s="11" t="s">
        <v>34</v>
      </c>
      <c r="H676" s="52" t="s">
        <v>986</v>
      </c>
      <c r="I676" s="20" t="s">
        <v>987</v>
      </c>
      <c r="J676" s="11">
        <v>150</v>
      </c>
      <c r="K676" s="11">
        <f>133+2+14+1</f>
        <v>150</v>
      </c>
      <c r="L676" s="11">
        <f>J676-K676</f>
        <v>0</v>
      </c>
      <c r="M676" s="99">
        <f>K676/J676</f>
        <v>1</v>
      </c>
      <c r="N676" s="96">
        <v>46066</v>
      </c>
    </row>
    <row r="677" spans="1:14" x14ac:dyDescent="0.25">
      <c r="A677" s="11">
        <f t="shared" ref="A677:A697" ca="1" si="85">DAYS360($B$1,I677)</f>
        <v>-58</v>
      </c>
      <c r="B677" s="37">
        <f t="shared" ref="B677:B697" si="86">+N677-I677</f>
        <v>15</v>
      </c>
      <c r="C677" s="11" t="s">
        <v>572</v>
      </c>
      <c r="D677" s="11" t="str">
        <f>VLOOKUP(VALUE(MID($C677,13,2)), [2]codigos!$A$2:$B$60, 2, 1) &amp; " " &amp; VLOOKUP(VALUE(MID($C677,15,4)), [2]codigos!$E$2:$F$102, 2, FALSE)</f>
        <v>BUDINERA   18</v>
      </c>
      <c r="E677" s="11" t="str">
        <f>VLOOKUP(VALUE(MID($C677,19,2)),[2]codigos!$H$2:$I$62,2,1) &amp; " " &amp; VLOOKUP(VALUE(MID($C677,21,2)),[2]codigos!$K$2:$L$12,2,FALSE)</f>
        <v>A/T S/I</v>
      </c>
      <c r="F677" s="11" t="s">
        <v>573</v>
      </c>
      <c r="G677" s="11" t="s">
        <v>11</v>
      </c>
      <c r="H677" s="52" t="s">
        <v>1301</v>
      </c>
      <c r="I677" s="20" t="s">
        <v>1299</v>
      </c>
      <c r="J677" s="11">
        <v>9</v>
      </c>
      <c r="K677" s="11">
        <f>1+8</f>
        <v>9</v>
      </c>
      <c r="L677" s="11">
        <f t="shared" ref="L677:L719" si="87">J677-K677</f>
        <v>0</v>
      </c>
      <c r="M677" s="131">
        <f>(SUM(K677:K697))/(SUM(J677:J697))</f>
        <v>1</v>
      </c>
      <c r="N677" s="96">
        <v>46067</v>
      </c>
    </row>
    <row r="678" spans="1:14" x14ac:dyDescent="0.25">
      <c r="A678" s="11">
        <f t="shared" ca="1" si="85"/>
        <v>-58</v>
      </c>
      <c r="B678" s="37">
        <f t="shared" si="86"/>
        <v>15</v>
      </c>
      <c r="C678" s="11" t="s">
        <v>576</v>
      </c>
      <c r="D678" s="11" t="str">
        <f>VLOOKUP(VALUE(MID($C678,13,2)), [2]codigos!$A$2:$B$60, 2, 1) &amp; " " &amp; VLOOKUP(VALUE(MID($C678,15,4)), [2]codigos!$E$2:$F$102, 2, FALSE)</f>
        <v>BUDINERA   24</v>
      </c>
      <c r="E678" s="11" t="str">
        <f>VLOOKUP(VALUE(MID($C678,19,2)),[2]codigos!$H$2:$I$62,2,1) &amp; " " &amp; VLOOKUP(VALUE(MID($C678,21,2)),[2]codigos!$K$2:$L$12,2,FALSE)</f>
        <v>A/T S/I</v>
      </c>
      <c r="F678" s="11" t="s">
        <v>573</v>
      </c>
      <c r="G678" s="11" t="s">
        <v>11</v>
      </c>
      <c r="H678" s="52" t="s">
        <v>1301</v>
      </c>
      <c r="I678" s="20" t="s">
        <v>1299</v>
      </c>
      <c r="J678" s="11">
        <v>2</v>
      </c>
      <c r="K678" s="11">
        <f>1+1</f>
        <v>2</v>
      </c>
      <c r="L678" s="11">
        <f t="shared" si="87"/>
        <v>0</v>
      </c>
      <c r="M678" s="131"/>
      <c r="N678" s="96">
        <v>46067</v>
      </c>
    </row>
    <row r="679" spans="1:14" x14ac:dyDescent="0.25">
      <c r="A679" s="11">
        <f t="shared" ca="1" si="85"/>
        <v>-58</v>
      </c>
      <c r="B679" s="37">
        <f t="shared" si="86"/>
        <v>15</v>
      </c>
      <c r="C679" s="11" t="s">
        <v>946</v>
      </c>
      <c r="D679" s="11" t="str">
        <f>VLOOKUP(VALUE(MID($C679,13,2)), [2]codigos!$A$2:$B$60, 2, 1) &amp; " " &amp; VLOOKUP(VALUE(MID($C679,15,4)), [2]codigos!$E$2:$F$102, 2, FALSE)</f>
        <v>BUDINERA   24</v>
      </c>
      <c r="E679" s="11" t="str">
        <f>VLOOKUP(VALUE(MID($C679,19,2)),[2]codigos!$H$2:$I$62,2,1) &amp; " " &amp; VLOOKUP(VALUE(MID($C679,21,2)),[2]codigos!$K$2:$L$12,2,FALSE)</f>
        <v>BICOLOR AZUL S/I</v>
      </c>
      <c r="F679" s="11" t="s">
        <v>573</v>
      </c>
      <c r="G679" s="11" t="s">
        <v>11</v>
      </c>
      <c r="H679" s="52" t="s">
        <v>1301</v>
      </c>
      <c r="I679" s="20" t="s">
        <v>1299</v>
      </c>
      <c r="J679" s="11">
        <v>2</v>
      </c>
      <c r="K679" s="11">
        <v>2</v>
      </c>
      <c r="L679" s="11">
        <f t="shared" si="87"/>
        <v>0</v>
      </c>
      <c r="M679" s="131"/>
      <c r="N679" s="96">
        <v>46067</v>
      </c>
    </row>
    <row r="680" spans="1:14" x14ac:dyDescent="0.25">
      <c r="A680" s="11">
        <f t="shared" ca="1" si="85"/>
        <v>-58</v>
      </c>
      <c r="B680" s="37">
        <f t="shared" si="86"/>
        <v>15</v>
      </c>
      <c r="C680" s="11" t="s">
        <v>577</v>
      </c>
      <c r="D680" s="11" t="str">
        <f>VLOOKUP(VALUE(MID($C680,13,2)), [2]codigos!$A$2:$B$60, 2, 1) &amp; " " &amp; VLOOKUP(VALUE(MID($C680,15,4)), [2]codigos!$E$2:$F$102, 2, FALSE)</f>
        <v>BUDINERA   24</v>
      </c>
      <c r="E680" s="11" t="str">
        <f>VLOOKUP(VALUE(MID($C680,19,2)),[2]codigos!$H$2:$I$62,2,1) &amp; " " &amp; VLOOKUP(VALUE(MID($C680,21,2)),[2]codigos!$K$2:$L$12,2,FALSE)</f>
        <v>BICOLOR NARANJA S/I</v>
      </c>
      <c r="F680" s="11" t="s">
        <v>573</v>
      </c>
      <c r="G680" s="11" t="s">
        <v>11</v>
      </c>
      <c r="H680" s="52" t="s">
        <v>1301</v>
      </c>
      <c r="I680" s="20" t="s">
        <v>1299</v>
      </c>
      <c r="J680" s="11">
        <v>1</v>
      </c>
      <c r="K680" s="11">
        <v>1</v>
      </c>
      <c r="L680" s="11">
        <f t="shared" si="87"/>
        <v>0</v>
      </c>
      <c r="M680" s="131"/>
      <c r="N680" s="96">
        <v>46067</v>
      </c>
    </row>
    <row r="681" spans="1:14" x14ac:dyDescent="0.25">
      <c r="A681" s="11">
        <f t="shared" ca="1" si="85"/>
        <v>-58</v>
      </c>
      <c r="B681" s="37">
        <f t="shared" si="86"/>
        <v>15</v>
      </c>
      <c r="C681" s="11" t="s">
        <v>1036</v>
      </c>
      <c r="D681" s="11" t="str">
        <f>VLOOKUP(VALUE(MID($C681,13,2)), [2]codigos!$A$2:$B$60, 2, 1) &amp; " " &amp; VLOOKUP(VALUE(MID($C681,15,4)), [2]codigos!$E$2:$F$102, 2, FALSE)</f>
        <v>BUDINERA   24</v>
      </c>
      <c r="E681" s="11" t="str">
        <f>VLOOKUP(VALUE(MID($C681,19,2)),[2]codigos!$H$2:$I$62,2,1) &amp; " " &amp; VLOOKUP(VALUE(MID($C681,21,2)),[2]codigos!$K$2:$L$12,2,FALSE)</f>
        <v>BICOLOR ROJO S/I</v>
      </c>
      <c r="F681" s="11" t="s">
        <v>573</v>
      </c>
      <c r="G681" s="11" t="s">
        <v>11</v>
      </c>
      <c r="H681" s="52" t="s">
        <v>1301</v>
      </c>
      <c r="I681" s="20" t="s">
        <v>1299</v>
      </c>
      <c r="J681" s="11">
        <v>1</v>
      </c>
      <c r="K681" s="11">
        <v>1</v>
      </c>
      <c r="L681" s="11">
        <f t="shared" si="87"/>
        <v>0</v>
      </c>
      <c r="M681" s="131"/>
      <c r="N681" s="96">
        <v>46067</v>
      </c>
    </row>
    <row r="682" spans="1:14" x14ac:dyDescent="0.25">
      <c r="A682" s="11">
        <f t="shared" ca="1" si="85"/>
        <v>-58</v>
      </c>
      <c r="B682" s="37">
        <f t="shared" si="86"/>
        <v>15</v>
      </c>
      <c r="C682" s="11" t="s">
        <v>578</v>
      </c>
      <c r="D682" s="11" t="str">
        <f>VLOOKUP(VALUE(MID($C682,13,2)), [2]codigos!$A$2:$B$60, 2, 1) &amp; " " &amp; VLOOKUP(VALUE(MID($C682,15,4)), [2]codigos!$E$2:$F$102, 2, FALSE)</f>
        <v>COMAL 28</v>
      </c>
      <c r="E682" s="11" t="str">
        <f>VLOOKUP(VALUE(MID($C682,19,2)),[2]codigos!$H$2:$I$62,2,1) &amp; " " &amp; VLOOKUP(VALUE(MID($C682,21,2)),[2]codigos!$K$2:$L$12,2,FALSE)</f>
        <v>NEGRO S/I</v>
      </c>
      <c r="F682" s="11" t="s">
        <v>573</v>
      </c>
      <c r="G682" s="11" t="s">
        <v>11</v>
      </c>
      <c r="H682" s="52" t="s">
        <v>1301</v>
      </c>
      <c r="I682" s="20" t="s">
        <v>1299</v>
      </c>
      <c r="J682" s="11">
        <v>12</v>
      </c>
      <c r="K682" s="11">
        <v>12</v>
      </c>
      <c r="L682" s="11">
        <f t="shared" si="87"/>
        <v>0</v>
      </c>
      <c r="M682" s="131"/>
      <c r="N682" s="96">
        <v>46067</v>
      </c>
    </row>
    <row r="683" spans="1:14" x14ac:dyDescent="0.25">
      <c r="A683" s="11">
        <f t="shared" ca="1" si="85"/>
        <v>-58</v>
      </c>
      <c r="B683" s="37">
        <f t="shared" si="86"/>
        <v>15</v>
      </c>
      <c r="C683" s="11" t="s">
        <v>579</v>
      </c>
      <c r="D683" s="11" t="str">
        <f>VLOOKUP(VALUE(MID($C683,13,2)), [2]codigos!$A$2:$B$60, 2, 1) &amp; " " &amp; VLOOKUP(VALUE(MID($C683,15,4)), [2]codigos!$E$2:$F$102, 2, FALSE)</f>
        <v>OLLA CONVEXA 18</v>
      </c>
      <c r="E683" s="11" t="str">
        <f>VLOOKUP(VALUE(MID($C683,19,2)),[2]codigos!$H$2:$I$62,2,1) &amp; " " &amp; VLOOKUP(VALUE(MID($C683,21,2)),[2]codigos!$K$2:$L$12,2,FALSE)</f>
        <v>A/T S/I</v>
      </c>
      <c r="F683" s="11" t="s">
        <v>573</v>
      </c>
      <c r="G683" s="11" t="s">
        <v>11</v>
      </c>
      <c r="H683" s="52" t="s">
        <v>1301</v>
      </c>
      <c r="I683" s="20" t="s">
        <v>1299</v>
      </c>
      <c r="J683" s="11">
        <v>5</v>
      </c>
      <c r="K683" s="11">
        <v>5</v>
      </c>
      <c r="L683" s="11">
        <f t="shared" si="87"/>
        <v>0</v>
      </c>
      <c r="M683" s="131"/>
      <c r="N683" s="96">
        <v>46067</v>
      </c>
    </row>
    <row r="684" spans="1:14" x14ac:dyDescent="0.25">
      <c r="A684" s="11">
        <f t="shared" ca="1" si="85"/>
        <v>-58</v>
      </c>
      <c r="B684" s="37">
        <f t="shared" si="86"/>
        <v>15</v>
      </c>
      <c r="C684" s="11" t="s">
        <v>580</v>
      </c>
      <c r="D684" s="11" t="str">
        <f>VLOOKUP(VALUE(MID($C684,13,2)), [2]codigos!$A$2:$B$60, 2, 1) &amp; " " &amp; VLOOKUP(VALUE(MID($C684,15,4)), [2]codigos!$E$2:$F$102, 2, FALSE)</f>
        <v>OLLA CONVEXA 22</v>
      </c>
      <c r="E684" s="11" t="str">
        <f>VLOOKUP(VALUE(MID($C684,19,2)),[2]codigos!$H$2:$I$62,2,1) &amp; " " &amp; VLOOKUP(VALUE(MID($C684,21,2)),[2]codigos!$K$2:$L$12,2,FALSE)</f>
        <v>A/T S/I</v>
      </c>
      <c r="F684" s="11" t="s">
        <v>573</v>
      </c>
      <c r="G684" s="11" t="s">
        <v>11</v>
      </c>
      <c r="H684" s="52" t="s">
        <v>1301</v>
      </c>
      <c r="I684" s="20" t="s">
        <v>1299</v>
      </c>
      <c r="J684" s="11">
        <v>6</v>
      </c>
      <c r="K684" s="11">
        <v>6</v>
      </c>
      <c r="L684" s="11">
        <f t="shared" si="87"/>
        <v>0</v>
      </c>
      <c r="M684" s="131"/>
      <c r="N684" s="96">
        <v>46067</v>
      </c>
    </row>
    <row r="685" spans="1:14" x14ac:dyDescent="0.25">
      <c r="A685" s="11">
        <f t="shared" ca="1" si="85"/>
        <v>-58</v>
      </c>
      <c r="B685" s="37">
        <f t="shared" si="86"/>
        <v>15</v>
      </c>
      <c r="C685" s="11" t="s">
        <v>581</v>
      </c>
      <c r="D685" s="11" t="str">
        <f>VLOOKUP(VALUE(MID($C685,13,2)), [2]codigos!$A$2:$B$60, 2, 1) &amp; " " &amp; VLOOKUP(VALUE(MID($C685,15,4)), [2]codigos!$E$2:$F$102, 2, FALSE)</f>
        <v>OLLA RECTA 20</v>
      </c>
      <c r="E685" s="11" t="str">
        <f>VLOOKUP(VALUE(MID($C685,19,2)),[2]codigos!$H$2:$I$62,2,1) &amp; " " &amp; VLOOKUP(VALUE(MID($C685,21,2)),[2]codigos!$K$2:$L$12,2,FALSE)</f>
        <v>A/T S/I</v>
      </c>
      <c r="F685" s="11" t="s">
        <v>573</v>
      </c>
      <c r="G685" s="11" t="s">
        <v>11</v>
      </c>
      <c r="H685" s="52" t="s">
        <v>1301</v>
      </c>
      <c r="I685" s="20" t="s">
        <v>1299</v>
      </c>
      <c r="J685" s="11">
        <v>10</v>
      </c>
      <c r="K685" s="11">
        <f>7+3</f>
        <v>10</v>
      </c>
      <c r="L685" s="11">
        <f t="shared" si="87"/>
        <v>0</v>
      </c>
      <c r="M685" s="131"/>
      <c r="N685" s="96">
        <v>46067</v>
      </c>
    </row>
    <row r="686" spans="1:14" x14ac:dyDescent="0.25">
      <c r="A686" s="11">
        <f t="shared" ca="1" si="85"/>
        <v>-58</v>
      </c>
      <c r="B686" s="37">
        <f t="shared" si="86"/>
        <v>15</v>
      </c>
      <c r="C686" s="11" t="s">
        <v>582</v>
      </c>
      <c r="D686" s="11" t="str">
        <f>VLOOKUP(VALUE(MID($C686,13,2)), [2]codigos!$A$2:$B$60, 2, 1) &amp; " " &amp; VLOOKUP(VALUE(MID($C686,15,4)), [2]codigos!$E$2:$F$102, 2, FALSE)</f>
        <v>OLLA RECTA 20</v>
      </c>
      <c r="E686" s="11" t="str">
        <f>VLOOKUP(VALUE(MID($C686,19,2)),[2]codigos!$H$2:$I$62,2,1) &amp; " " &amp; VLOOKUP(VALUE(MID($C686,21,2)),[2]codigos!$K$2:$L$12,2,FALSE)</f>
        <v>BICOLOR AZUL S/I</v>
      </c>
      <c r="F686" s="11" t="s">
        <v>573</v>
      </c>
      <c r="G686" s="11" t="s">
        <v>11</v>
      </c>
      <c r="H686" s="52" t="s">
        <v>1301</v>
      </c>
      <c r="I686" s="20" t="s">
        <v>1299</v>
      </c>
      <c r="J686" s="11">
        <v>2</v>
      </c>
      <c r="K686" s="11">
        <v>2</v>
      </c>
      <c r="L686" s="11">
        <f t="shared" si="87"/>
        <v>0</v>
      </c>
      <c r="M686" s="131"/>
      <c r="N686" s="96">
        <v>46067</v>
      </c>
    </row>
    <row r="687" spans="1:14" x14ac:dyDescent="0.25">
      <c r="A687" s="11">
        <f t="shared" ca="1" si="85"/>
        <v>-58</v>
      </c>
      <c r="B687" s="37">
        <f t="shared" si="86"/>
        <v>15</v>
      </c>
      <c r="C687" s="11" t="s">
        <v>583</v>
      </c>
      <c r="D687" s="11" t="str">
        <f>VLOOKUP(VALUE(MID($C687,13,2)), [2]codigos!$A$2:$B$60, 2, 1) &amp; " " &amp; VLOOKUP(VALUE(MID($C687,15,4)), [2]codigos!$E$2:$F$102, 2, FALSE)</f>
        <v>OLLA RECTA 20</v>
      </c>
      <c r="E687" s="11" t="str">
        <f>VLOOKUP(VALUE(MID($C687,19,2)),[2]codigos!$H$2:$I$62,2,1) &amp; " " &amp; VLOOKUP(VALUE(MID($C687,21,2)),[2]codigos!$K$2:$L$12,2,FALSE)</f>
        <v>BICOLOR NARANJA S/I</v>
      </c>
      <c r="F687" s="11" t="s">
        <v>573</v>
      </c>
      <c r="G687" s="11" t="s">
        <v>11</v>
      </c>
      <c r="H687" s="52" t="s">
        <v>1301</v>
      </c>
      <c r="I687" s="20" t="s">
        <v>1299</v>
      </c>
      <c r="J687" s="11">
        <v>4</v>
      </c>
      <c r="K687" s="11">
        <f>1+3</f>
        <v>4</v>
      </c>
      <c r="L687" s="11">
        <f t="shared" si="87"/>
        <v>0</v>
      </c>
      <c r="M687" s="131"/>
      <c r="N687" s="96">
        <v>46067</v>
      </c>
    </row>
    <row r="688" spans="1:14" x14ac:dyDescent="0.25">
      <c r="A688" s="11">
        <f t="shared" ca="1" si="85"/>
        <v>-58</v>
      </c>
      <c r="B688" s="37">
        <f t="shared" si="86"/>
        <v>15</v>
      </c>
      <c r="C688" s="11" t="s">
        <v>584</v>
      </c>
      <c r="D688" s="11" t="str">
        <f>VLOOKUP(VALUE(MID($C688,13,2)), [2]codigos!$A$2:$B$60, 2, 1) &amp; " " &amp; VLOOKUP(VALUE(MID($C688,15,4)), [2]codigos!$E$2:$F$102, 2, FALSE)</f>
        <v>OLLA RECTA 20</v>
      </c>
      <c r="E688" s="11" t="str">
        <f>VLOOKUP(VALUE(MID($C688,19,2)),[2]codigos!$H$2:$I$62,2,1) &amp; " " &amp; VLOOKUP(VALUE(MID($C688,21,2)),[2]codigos!$K$2:$L$12,2,FALSE)</f>
        <v>BICOLOR ROJO S/I</v>
      </c>
      <c r="F688" s="11" t="s">
        <v>573</v>
      </c>
      <c r="G688" s="11" t="s">
        <v>11</v>
      </c>
      <c r="H688" s="52" t="s">
        <v>1301</v>
      </c>
      <c r="I688" s="20" t="s">
        <v>1299</v>
      </c>
      <c r="J688" s="11">
        <v>3</v>
      </c>
      <c r="K688" s="11">
        <v>3</v>
      </c>
      <c r="L688" s="11">
        <f t="shared" si="87"/>
        <v>0</v>
      </c>
      <c r="M688" s="131"/>
      <c r="N688" s="96">
        <v>46067</v>
      </c>
    </row>
    <row r="689" spans="1:15" x14ac:dyDescent="0.25">
      <c r="A689" s="11">
        <f t="shared" ca="1" si="85"/>
        <v>-58</v>
      </c>
      <c r="B689" s="37">
        <f t="shared" si="86"/>
        <v>15</v>
      </c>
      <c r="C689" s="11" t="s">
        <v>585</v>
      </c>
      <c r="D689" s="11" t="str">
        <f>VLOOKUP(VALUE(MID($C689,13,2)), [2]codigos!$A$2:$B$60, 2, 1) &amp; " " &amp; VLOOKUP(VALUE(MID($C689,15,4)), [2]codigos!$E$2:$F$102, 2, FALSE)</f>
        <v>OLLA RECTA 24</v>
      </c>
      <c r="E689" s="11" t="str">
        <f>VLOOKUP(VALUE(MID($C689,19,2)),[2]codigos!$H$2:$I$62,2,1) &amp; " " &amp; VLOOKUP(VALUE(MID($C689,21,2)),[2]codigos!$K$2:$L$12,2,FALSE)</f>
        <v>BICOLOR AZUL S/I</v>
      </c>
      <c r="F689" s="11" t="s">
        <v>573</v>
      </c>
      <c r="G689" s="11" t="s">
        <v>11</v>
      </c>
      <c r="H689" s="52" t="s">
        <v>1301</v>
      </c>
      <c r="I689" s="20" t="s">
        <v>1299</v>
      </c>
      <c r="J689" s="11">
        <v>11</v>
      </c>
      <c r="K689" s="11">
        <f>8+3</f>
        <v>11</v>
      </c>
      <c r="L689" s="11">
        <f t="shared" si="87"/>
        <v>0</v>
      </c>
      <c r="M689" s="131"/>
      <c r="N689" s="96">
        <v>46067</v>
      </c>
    </row>
    <row r="690" spans="1:15" x14ac:dyDescent="0.25">
      <c r="A690" s="11">
        <f t="shared" ca="1" si="85"/>
        <v>-58</v>
      </c>
      <c r="B690" s="37">
        <f t="shared" si="86"/>
        <v>15</v>
      </c>
      <c r="C690" s="11" t="s">
        <v>586</v>
      </c>
      <c r="D690" s="11" t="str">
        <f>VLOOKUP(VALUE(MID($C690,13,2)), [2]codigos!$A$2:$B$60, 2, 1) &amp; " " &amp; VLOOKUP(VALUE(MID($C690,15,4)), [2]codigos!$E$2:$F$102, 2, FALSE)</f>
        <v>OLLA RECTA 24</v>
      </c>
      <c r="E690" s="11" t="str">
        <f>VLOOKUP(VALUE(MID($C690,19,2)),[2]codigos!$H$2:$I$62,2,1) &amp; " " &amp; VLOOKUP(VALUE(MID($C690,21,2)),[2]codigos!$K$2:$L$12,2,FALSE)</f>
        <v>BICOLOR NARANJA S/I</v>
      </c>
      <c r="F690" s="11" t="s">
        <v>573</v>
      </c>
      <c r="G690" s="11" t="s">
        <v>11</v>
      </c>
      <c r="H690" s="52" t="s">
        <v>1301</v>
      </c>
      <c r="I690" s="20" t="s">
        <v>1299</v>
      </c>
      <c r="J690" s="11">
        <v>3</v>
      </c>
      <c r="K690" s="11">
        <v>3</v>
      </c>
      <c r="L690" s="11">
        <f t="shared" si="87"/>
        <v>0</v>
      </c>
      <c r="M690" s="131"/>
      <c r="N690" s="96">
        <v>46067</v>
      </c>
    </row>
    <row r="691" spans="1:15" x14ac:dyDescent="0.25">
      <c r="A691" s="11">
        <f t="shared" ca="1" si="85"/>
        <v>-58</v>
      </c>
      <c r="B691" s="37">
        <f t="shared" si="86"/>
        <v>15</v>
      </c>
      <c r="C691" s="11" t="s">
        <v>587</v>
      </c>
      <c r="D691" s="11" t="str">
        <f>VLOOKUP(VALUE(MID($C691,13,2)), [2]codigos!$A$2:$B$60, 2, 1) &amp; " " &amp; VLOOKUP(VALUE(MID($C691,15,4)), [2]codigos!$E$2:$F$102, 2, FALSE)</f>
        <v>OLLA RECTA 24</v>
      </c>
      <c r="E691" s="11" t="str">
        <f>VLOOKUP(VALUE(MID($C691,19,2)),[2]codigos!$H$2:$I$62,2,1) &amp; " " &amp; VLOOKUP(VALUE(MID($C691,21,2)),[2]codigos!$K$2:$L$12,2,FALSE)</f>
        <v>BICOLOR ROJO S/I</v>
      </c>
      <c r="F691" s="11" t="s">
        <v>573</v>
      </c>
      <c r="G691" s="11" t="s">
        <v>11</v>
      </c>
      <c r="H691" s="52" t="s">
        <v>1301</v>
      </c>
      <c r="I691" s="20" t="s">
        <v>1299</v>
      </c>
      <c r="J691" s="11">
        <v>4</v>
      </c>
      <c r="K691" s="11">
        <v>4</v>
      </c>
      <c r="L691" s="11">
        <f t="shared" si="87"/>
        <v>0</v>
      </c>
      <c r="M691" s="131"/>
      <c r="N691" s="96">
        <v>46067</v>
      </c>
    </row>
    <row r="692" spans="1:15" x14ac:dyDescent="0.25">
      <c r="A692" s="11">
        <f t="shared" ca="1" si="85"/>
        <v>-58</v>
      </c>
      <c r="B692" s="37">
        <f t="shared" si="86"/>
        <v>15</v>
      </c>
      <c r="C692" s="11" t="s">
        <v>588</v>
      </c>
      <c r="D692" s="11" t="str">
        <f>VLOOKUP(VALUE(MID($C692,13,2)), [2]codigos!$A$2:$B$60, 2, 1) &amp; " " &amp; VLOOKUP(VALUE(MID($C692,15,4)), [2]codigos!$E$2:$F$102, 2, FALSE)</f>
        <v>OLLA RECTA 28</v>
      </c>
      <c r="E692" s="11" t="str">
        <f>VLOOKUP(VALUE(MID($C692,19,2)),[2]codigos!$H$2:$I$62,2,1) &amp; " " &amp; VLOOKUP(VALUE(MID($C692,21,2)),[2]codigos!$K$2:$L$12,2,FALSE)</f>
        <v>A/T S/I</v>
      </c>
      <c r="F692" s="11" t="s">
        <v>573</v>
      </c>
      <c r="G692" s="11" t="s">
        <v>11</v>
      </c>
      <c r="H692" s="52" t="s">
        <v>1301</v>
      </c>
      <c r="I692" s="20" t="s">
        <v>1299</v>
      </c>
      <c r="J692" s="11">
        <v>12</v>
      </c>
      <c r="K692" s="11">
        <v>12</v>
      </c>
      <c r="L692" s="11">
        <f t="shared" si="87"/>
        <v>0</v>
      </c>
      <c r="M692" s="131"/>
      <c r="N692" s="96">
        <v>46067</v>
      </c>
    </row>
    <row r="693" spans="1:15" x14ac:dyDescent="0.25">
      <c r="A693" s="11">
        <f t="shared" ca="1" si="85"/>
        <v>-58</v>
      </c>
      <c r="B693" s="37">
        <f t="shared" si="86"/>
        <v>15</v>
      </c>
      <c r="C693" s="11" t="s">
        <v>589</v>
      </c>
      <c r="D693" s="11" t="str">
        <f>VLOOKUP(VALUE(MID($C693,13,2)), [2]codigos!$A$2:$B$60, 2, 1) &amp; " " &amp; VLOOKUP(VALUE(MID($C693,15,4)), [2]codigos!$E$2:$F$102, 2, FALSE)</f>
        <v>POCILLO 14</v>
      </c>
      <c r="E693" s="11" t="str">
        <f>VLOOKUP(VALUE(MID($C693,19,2)),[2]codigos!$H$2:$I$62,2,1) &amp; " " &amp; VLOOKUP(VALUE(MID($C693,21,2)),[2]codigos!$K$2:$L$12,2,FALSE)</f>
        <v>S/I S/I</v>
      </c>
      <c r="F693" s="11" t="s">
        <v>573</v>
      </c>
      <c r="G693" s="11" t="s">
        <v>11</v>
      </c>
      <c r="H693" s="52" t="s">
        <v>1301</v>
      </c>
      <c r="I693" s="20" t="s">
        <v>1299</v>
      </c>
      <c r="J693" s="11">
        <v>11</v>
      </c>
      <c r="K693" s="11">
        <v>11</v>
      </c>
      <c r="L693" s="11">
        <f t="shared" si="87"/>
        <v>0</v>
      </c>
      <c r="M693" s="131"/>
      <c r="N693" s="96">
        <v>46067</v>
      </c>
    </row>
    <row r="694" spans="1:15" x14ac:dyDescent="0.25">
      <c r="A694" s="11">
        <f t="shared" ca="1" si="85"/>
        <v>-58</v>
      </c>
      <c r="B694" s="37">
        <f t="shared" si="86"/>
        <v>15</v>
      </c>
      <c r="C694" s="11" t="s">
        <v>590</v>
      </c>
      <c r="D694" s="11" t="str">
        <f>VLOOKUP(VALUE(MID($C694,13,2)), [2]codigos!$A$2:$B$60, 2, 1) &amp; " " &amp; VLOOKUP(VALUE(MID($C694,15,4)), [2]codigos!$E$2:$F$102, 2, FALSE)</f>
        <v>POCILLO 14</v>
      </c>
      <c r="E694" s="11" t="str">
        <f>VLOOKUP(VALUE(MID($C694,19,2)),[2]codigos!$H$2:$I$62,2,1) &amp; " " &amp; VLOOKUP(VALUE(MID($C694,21,2)),[2]codigos!$K$2:$L$12,2,FALSE)</f>
        <v>A/T S/I</v>
      </c>
      <c r="F694" s="11" t="s">
        <v>573</v>
      </c>
      <c r="G694" s="11" t="s">
        <v>11</v>
      </c>
      <c r="H694" s="52" t="s">
        <v>1301</v>
      </c>
      <c r="I694" s="20" t="s">
        <v>1299</v>
      </c>
      <c r="J694" s="11">
        <v>14</v>
      </c>
      <c r="K694" s="11">
        <v>14</v>
      </c>
      <c r="L694" s="11">
        <f t="shared" si="87"/>
        <v>0</v>
      </c>
      <c r="M694" s="131"/>
      <c r="N694" s="96">
        <v>46067</v>
      </c>
    </row>
    <row r="695" spans="1:15" x14ac:dyDescent="0.25">
      <c r="A695" s="11">
        <f t="shared" ca="1" si="85"/>
        <v>-58</v>
      </c>
      <c r="B695" s="37">
        <f t="shared" si="86"/>
        <v>15</v>
      </c>
      <c r="C695" s="11" t="s">
        <v>591</v>
      </c>
      <c r="D695" s="11" t="str">
        <f>VLOOKUP(VALUE(MID($C695,13,2)), [2]codigos!$A$2:$B$60, 2, 1) &amp; " " &amp; VLOOKUP(VALUE(MID($C695,15,4)), [2]codigos!$E$2:$F$102, 2, FALSE)</f>
        <v>POCILLO 14</v>
      </c>
      <c r="E695" s="11" t="str">
        <f>VLOOKUP(VALUE(MID($C695,19,2)),[2]codigos!$H$2:$I$62,2,1) &amp; " " &amp; VLOOKUP(VALUE(MID($C695,21,2)),[2]codigos!$K$2:$L$12,2,FALSE)</f>
        <v>BICOLOR AZUL S/I</v>
      </c>
      <c r="F695" s="11" t="s">
        <v>573</v>
      </c>
      <c r="G695" s="11" t="s">
        <v>11</v>
      </c>
      <c r="H695" s="52" t="s">
        <v>1301</v>
      </c>
      <c r="I695" s="20" t="s">
        <v>1299</v>
      </c>
      <c r="J695" s="11">
        <v>15</v>
      </c>
      <c r="K695" s="11">
        <f>6+9</f>
        <v>15</v>
      </c>
      <c r="L695" s="11">
        <f t="shared" si="87"/>
        <v>0</v>
      </c>
      <c r="M695" s="131"/>
      <c r="N695" s="96">
        <v>46067</v>
      </c>
    </row>
    <row r="696" spans="1:15" x14ac:dyDescent="0.25">
      <c r="A696" s="11">
        <f t="shared" ca="1" si="85"/>
        <v>-58</v>
      </c>
      <c r="B696" s="37">
        <f t="shared" si="86"/>
        <v>15</v>
      </c>
      <c r="C696" s="11" t="s">
        <v>592</v>
      </c>
      <c r="D696" s="11" t="str">
        <f>VLOOKUP(VALUE(MID($C696,13,2)), [2]codigos!$A$2:$B$60, 2, 1) &amp; " " &amp; VLOOKUP(VALUE(MID($C696,15,4)), [2]codigos!$E$2:$F$102, 2, FALSE)</f>
        <v>POCILLO 14</v>
      </c>
      <c r="E696" s="11" t="str">
        <f>VLOOKUP(VALUE(MID($C696,19,2)),[2]codigos!$H$2:$I$62,2,1) &amp; " " &amp; VLOOKUP(VALUE(MID($C696,21,2)),[2]codigos!$K$2:$L$12,2,FALSE)</f>
        <v>BICOLOR NARANJA S/I</v>
      </c>
      <c r="F696" s="11" t="s">
        <v>573</v>
      </c>
      <c r="G696" s="11" t="s">
        <v>11</v>
      </c>
      <c r="H696" s="52" t="s">
        <v>1301</v>
      </c>
      <c r="I696" s="20" t="s">
        <v>1299</v>
      </c>
      <c r="J696" s="11">
        <v>4</v>
      </c>
      <c r="K696" s="11">
        <v>4</v>
      </c>
      <c r="L696" s="11">
        <f t="shared" si="87"/>
        <v>0</v>
      </c>
      <c r="M696" s="131"/>
      <c r="N696" s="96">
        <v>46067</v>
      </c>
    </row>
    <row r="697" spans="1:15" x14ac:dyDescent="0.25">
      <c r="A697" s="11">
        <f t="shared" ca="1" si="85"/>
        <v>-58</v>
      </c>
      <c r="B697" s="37">
        <f t="shared" si="86"/>
        <v>15</v>
      </c>
      <c r="C697" s="11" t="s">
        <v>593</v>
      </c>
      <c r="D697" s="11" t="str">
        <f>VLOOKUP(VALUE(MID($C697,13,2)), [2]codigos!$A$2:$B$60, 2, 1) &amp; " " &amp; VLOOKUP(VALUE(MID($C697,15,4)), [2]codigos!$E$2:$F$102, 2, FALSE)</f>
        <v>POCILLO 14</v>
      </c>
      <c r="E697" s="11" t="str">
        <f>VLOOKUP(VALUE(MID($C697,19,2)),[2]codigos!$H$2:$I$62,2,1) &amp; " " &amp; VLOOKUP(VALUE(MID($C697,21,2)),[2]codigos!$K$2:$L$12,2,FALSE)</f>
        <v>BICOLOR ROJO S/I</v>
      </c>
      <c r="F697" s="11" t="s">
        <v>573</v>
      </c>
      <c r="G697" s="11" t="s">
        <v>11</v>
      </c>
      <c r="H697" s="52" t="s">
        <v>1301</v>
      </c>
      <c r="I697" s="20" t="s">
        <v>1299</v>
      </c>
      <c r="J697" s="11">
        <v>6</v>
      </c>
      <c r="K697" s="11">
        <v>6</v>
      </c>
      <c r="L697" s="11">
        <f t="shared" si="87"/>
        <v>0</v>
      </c>
      <c r="M697" s="131"/>
      <c r="N697" s="96">
        <v>46067</v>
      </c>
    </row>
    <row r="698" spans="1:15" x14ac:dyDescent="0.25">
      <c r="A698" s="11">
        <f t="shared" ref="A698:A719" ca="1" si="88">DAYS360($B$1,I698)</f>
        <v>-82</v>
      </c>
      <c r="B698" s="37">
        <f t="shared" ref="B698:B719" si="89">+N698-I698</f>
        <v>41</v>
      </c>
      <c r="C698" s="11" t="s">
        <v>19</v>
      </c>
      <c r="D698" s="11" t="str">
        <f>VLOOKUP(VALUE(MID($C698,13,2)), [2]codigos!$A$2:$B$60, 2, 1) &amp; " " &amp; VLOOKUP(VALUE(MID($C698,15,4)), [2]codigos!$E$2:$F$102, 2, FALSE)</f>
        <v>BACINICA 24</v>
      </c>
      <c r="E698" s="11" t="str">
        <f>VLOOKUP(VALUE(MID($C698,19,2)),[2]codigos!$H$2:$I$62,2,1) &amp; " " &amp; VLOOKUP(VALUE(MID($C698,21,2)),[2]codigos!$K$2:$L$12,2,FALSE)</f>
        <v>BLANCO  NEGRO</v>
      </c>
      <c r="F698" s="11" t="s">
        <v>1017</v>
      </c>
      <c r="G698" s="11" t="s">
        <v>11</v>
      </c>
      <c r="H698" s="52" t="s">
        <v>1018</v>
      </c>
      <c r="I698" s="20" t="s">
        <v>995</v>
      </c>
      <c r="J698" s="11">
        <v>24</v>
      </c>
      <c r="K698" s="11">
        <v>24</v>
      </c>
      <c r="L698" s="11">
        <f t="shared" si="87"/>
        <v>0</v>
      </c>
      <c r="M698" s="134">
        <f>(SUM(K698:K719))/(SUM(J698:J719))</f>
        <v>1</v>
      </c>
      <c r="N698" s="96">
        <v>46069</v>
      </c>
      <c r="O698" s="118">
        <v>46066</v>
      </c>
    </row>
    <row r="699" spans="1:15" x14ac:dyDescent="0.25">
      <c r="A699" s="11">
        <f t="shared" ca="1" si="88"/>
        <v>-82</v>
      </c>
      <c r="B699" s="37">
        <f t="shared" si="89"/>
        <v>41</v>
      </c>
      <c r="C699" s="11" t="s">
        <v>256</v>
      </c>
      <c r="D699" s="11" t="str">
        <f>VLOOKUP(VALUE(MID($C699,13,2)), [2]codigos!$A$2:$B$60, 2, 1) &amp; " " &amp; VLOOKUP(VALUE(MID($C699,15,4)), [2]codigos!$E$2:$F$102, 2, FALSE)</f>
        <v>BUDINERA   14</v>
      </c>
      <c r="E699" s="11" t="str">
        <f>VLOOKUP(VALUE(MID($C699,19,2)),[2]codigos!$H$2:$I$62,2,1) &amp; " " &amp; VLOOKUP(VALUE(MID($C699,21,2)),[2]codigos!$K$2:$L$12,2,FALSE)</f>
        <v>A/T S/I</v>
      </c>
      <c r="F699" s="11" t="s">
        <v>1017</v>
      </c>
      <c r="G699" s="11" t="s">
        <v>11</v>
      </c>
      <c r="H699" s="52" t="s">
        <v>1018</v>
      </c>
      <c r="I699" s="20" t="s">
        <v>995</v>
      </c>
      <c r="J699" s="11">
        <v>36</v>
      </c>
      <c r="K699" s="11">
        <f>10+18+8</f>
        <v>36</v>
      </c>
      <c r="L699" s="11">
        <f t="shared" si="87"/>
        <v>0</v>
      </c>
      <c r="M699" s="134"/>
      <c r="N699" s="96">
        <v>46069</v>
      </c>
      <c r="O699" s="118">
        <v>46066</v>
      </c>
    </row>
    <row r="700" spans="1:15" x14ac:dyDescent="0.25">
      <c r="A700" s="11">
        <f t="shared" ca="1" si="88"/>
        <v>-82</v>
      </c>
      <c r="B700" s="37">
        <f t="shared" si="89"/>
        <v>41</v>
      </c>
      <c r="C700" s="11" t="s">
        <v>189</v>
      </c>
      <c r="D700" s="11" t="str">
        <f>VLOOKUP(VALUE(MID($C700,13,2)), [2]codigos!$A$2:$B$60, 2, 1) &amp; " " &amp; VLOOKUP(VALUE(MID($C700,15,4)), [2]codigos!$E$2:$F$102, 2, FALSE)</f>
        <v>BUDINERA   16</v>
      </c>
      <c r="E700" s="11" t="str">
        <f>VLOOKUP(VALUE(MID($C700,19,2)),[2]codigos!$H$2:$I$62,2,1) &amp; " " &amp; VLOOKUP(VALUE(MID($C700,21,2)),[2]codigos!$K$2:$L$12,2,FALSE)</f>
        <v>A/T S/I</v>
      </c>
      <c r="F700" s="11" t="s">
        <v>1017</v>
      </c>
      <c r="G700" s="11" t="s">
        <v>11</v>
      </c>
      <c r="H700" s="52" t="s">
        <v>1018</v>
      </c>
      <c r="I700" s="20" t="s">
        <v>995</v>
      </c>
      <c r="J700" s="11">
        <v>36</v>
      </c>
      <c r="K700" s="11">
        <v>36</v>
      </c>
      <c r="L700" s="11">
        <f t="shared" si="87"/>
        <v>0</v>
      </c>
      <c r="M700" s="134"/>
      <c r="N700" s="96">
        <v>46069</v>
      </c>
      <c r="O700" s="118">
        <v>46066</v>
      </c>
    </row>
    <row r="701" spans="1:15" x14ac:dyDescent="0.25">
      <c r="A701" s="11">
        <f t="shared" ca="1" si="88"/>
        <v>-82</v>
      </c>
      <c r="B701" s="37">
        <f t="shared" si="89"/>
        <v>41</v>
      </c>
      <c r="C701" s="11" t="s">
        <v>214</v>
      </c>
      <c r="D701" s="11" t="str">
        <f>VLOOKUP(VALUE(MID($C701,13,2)), [2]codigos!$A$2:$B$60, 2, 1) &amp; " " &amp; VLOOKUP(VALUE(MID($C701,15,4)), [2]codigos!$E$2:$F$102, 2, FALSE)</f>
        <v>BUDINERA   18</v>
      </c>
      <c r="E701" s="11" t="str">
        <f>VLOOKUP(VALUE(MID($C701,19,2)),[2]codigos!$H$2:$I$62,2,1) &amp; " " &amp; VLOOKUP(VALUE(MID($C701,21,2)),[2]codigos!$K$2:$L$12,2,FALSE)</f>
        <v>A/T S/I</v>
      </c>
      <c r="F701" s="11" t="s">
        <v>1017</v>
      </c>
      <c r="G701" s="11" t="s">
        <v>11</v>
      </c>
      <c r="H701" s="52" t="s">
        <v>1018</v>
      </c>
      <c r="I701" s="20" t="s">
        <v>995</v>
      </c>
      <c r="J701" s="11">
        <v>36</v>
      </c>
      <c r="K701" s="11">
        <v>36</v>
      </c>
      <c r="L701" s="11">
        <f t="shared" si="87"/>
        <v>0</v>
      </c>
      <c r="M701" s="134"/>
      <c r="N701" s="96">
        <v>46069</v>
      </c>
      <c r="O701" s="118">
        <v>46066</v>
      </c>
    </row>
    <row r="702" spans="1:15" x14ac:dyDescent="0.25">
      <c r="A702" s="11">
        <f t="shared" ca="1" si="88"/>
        <v>-82</v>
      </c>
      <c r="B702" s="37">
        <f t="shared" si="89"/>
        <v>41</v>
      </c>
      <c r="C702" s="11" t="s">
        <v>215</v>
      </c>
      <c r="D702" s="11" t="str">
        <f>VLOOKUP(VALUE(MID($C702,13,2)), [2]codigos!$A$2:$B$60, 2, 1) &amp; " " &amp; VLOOKUP(VALUE(MID($C702,15,4)), [2]codigos!$E$2:$F$102, 2, FALSE)</f>
        <v>BUDINERA   20</v>
      </c>
      <c r="E702" s="11" t="str">
        <f>VLOOKUP(VALUE(MID($C702,19,2)),[2]codigos!$H$2:$I$62,2,1) &amp; " " &amp; VLOOKUP(VALUE(MID($C702,21,2)),[2]codigos!$K$2:$L$12,2,FALSE)</f>
        <v>A/T S/I</v>
      </c>
      <c r="F702" s="11" t="s">
        <v>1017</v>
      </c>
      <c r="G702" s="11" t="s">
        <v>11</v>
      </c>
      <c r="H702" s="52" t="s">
        <v>1018</v>
      </c>
      <c r="I702" s="20" t="s">
        <v>995</v>
      </c>
      <c r="J702" s="11">
        <v>36</v>
      </c>
      <c r="K702" s="11">
        <v>36</v>
      </c>
      <c r="L702" s="11">
        <f t="shared" si="87"/>
        <v>0</v>
      </c>
      <c r="M702" s="134"/>
      <c r="N702" s="96">
        <v>46069</v>
      </c>
      <c r="O702" s="118">
        <v>46066</v>
      </c>
    </row>
    <row r="703" spans="1:15" x14ac:dyDescent="0.25">
      <c r="A703" s="11">
        <f t="shared" ca="1" si="88"/>
        <v>-82</v>
      </c>
      <c r="B703" s="37">
        <f t="shared" si="89"/>
        <v>41</v>
      </c>
      <c r="C703" s="11" t="s">
        <v>485</v>
      </c>
      <c r="D703" s="11" t="str">
        <f>VLOOKUP(VALUE(MID($C703,13,2)), [2]codigos!$A$2:$B$60, 2, 1) &amp; " " &amp; VLOOKUP(VALUE(MID($C703,15,4)), [2]codigos!$E$2:$F$102, 2, FALSE)</f>
        <v>BUDINERA   24</v>
      </c>
      <c r="E703" s="11" t="str">
        <f>VLOOKUP(VALUE(MID($C703,19,2)),[2]codigos!$H$2:$I$62,2,1) &amp; " " &amp; VLOOKUP(VALUE(MID($C703,21,2)),[2]codigos!$K$2:$L$12,2,FALSE)</f>
        <v>BICOLOR NARANJA S/I</v>
      </c>
      <c r="F703" s="11" t="s">
        <v>1017</v>
      </c>
      <c r="G703" s="11" t="s">
        <v>11</v>
      </c>
      <c r="H703" s="52" t="s">
        <v>1018</v>
      </c>
      <c r="I703" s="20" t="s">
        <v>995</v>
      </c>
      <c r="J703" s="11">
        <v>12</v>
      </c>
      <c r="K703" s="11">
        <v>12</v>
      </c>
      <c r="L703" s="11">
        <f t="shared" si="87"/>
        <v>0</v>
      </c>
      <c r="M703" s="134"/>
      <c r="N703" s="96">
        <v>46069</v>
      </c>
      <c r="O703" s="118">
        <v>46066</v>
      </c>
    </row>
    <row r="704" spans="1:15" x14ac:dyDescent="0.25">
      <c r="A704" s="11">
        <f t="shared" ca="1" si="88"/>
        <v>-82</v>
      </c>
      <c r="B704" s="37">
        <f t="shared" si="89"/>
        <v>41</v>
      </c>
      <c r="C704" s="11" t="s">
        <v>332</v>
      </c>
      <c r="D704" s="11" t="str">
        <f>VLOOKUP(VALUE(MID($C704,13,2)), [2]codigos!$A$2:$B$60, 2, 1) &amp; " " &amp; VLOOKUP(VALUE(MID($C704,15,4)), [2]codigos!$E$2:$F$102, 2, FALSE)</f>
        <v>BUDINERA   24</v>
      </c>
      <c r="E704" s="11" t="str">
        <f>VLOOKUP(VALUE(MID($C704,19,2)),[2]codigos!$H$2:$I$62,2,1) &amp; " " &amp; VLOOKUP(VALUE(MID($C704,21,2)),[2]codigos!$K$2:$L$12,2,FALSE)</f>
        <v>BICOLOR ROJO S/I</v>
      </c>
      <c r="F704" s="11" t="s">
        <v>1017</v>
      </c>
      <c r="G704" s="11" t="s">
        <v>11</v>
      </c>
      <c r="H704" s="52" t="s">
        <v>1018</v>
      </c>
      <c r="I704" s="20" t="s">
        <v>995</v>
      </c>
      <c r="J704" s="11">
        <v>12</v>
      </c>
      <c r="K704" s="11">
        <v>12</v>
      </c>
      <c r="L704" s="11">
        <f t="shared" si="87"/>
        <v>0</v>
      </c>
      <c r="M704" s="134"/>
      <c r="N704" s="96">
        <v>46069</v>
      </c>
      <c r="O704" s="118">
        <v>46066</v>
      </c>
    </row>
    <row r="705" spans="1:15" x14ac:dyDescent="0.25">
      <c r="A705" s="11">
        <f t="shared" ca="1" si="88"/>
        <v>-82</v>
      </c>
      <c r="B705" s="37">
        <f t="shared" si="89"/>
        <v>41</v>
      </c>
      <c r="C705" s="11" t="s">
        <v>169</v>
      </c>
      <c r="D705" s="11" t="str">
        <f>VLOOKUP(VALUE(MID($C705,13,2)), [2]codigos!$A$2:$B$60, 2, 1) &amp; " " &amp; VLOOKUP(VALUE(MID($C705,15,4)), [2]codigos!$E$2:$F$102, 2, FALSE)</f>
        <v>BUDINERA   30</v>
      </c>
      <c r="E705" s="11" t="str">
        <f>VLOOKUP(VALUE(MID($C705,19,2)),[2]codigos!$H$2:$I$62,2,1) &amp; " " &amp; VLOOKUP(VALUE(MID($C705,21,2)),[2]codigos!$K$2:$L$12,2,FALSE)</f>
        <v>A/T S/I</v>
      </c>
      <c r="F705" s="11" t="s">
        <v>1017</v>
      </c>
      <c r="G705" s="11" t="s">
        <v>11</v>
      </c>
      <c r="H705" s="52" t="s">
        <v>1018</v>
      </c>
      <c r="I705" s="20" t="s">
        <v>995</v>
      </c>
      <c r="J705" s="11">
        <v>12</v>
      </c>
      <c r="K705" s="11">
        <v>12</v>
      </c>
      <c r="L705" s="11">
        <f t="shared" si="87"/>
        <v>0</v>
      </c>
      <c r="M705" s="134"/>
      <c r="N705" s="96">
        <v>46069</v>
      </c>
      <c r="O705" s="118">
        <v>46066</v>
      </c>
    </row>
    <row r="706" spans="1:15" x14ac:dyDescent="0.25">
      <c r="A706" s="11">
        <f t="shared" ca="1" si="88"/>
        <v>-82</v>
      </c>
      <c r="B706" s="37">
        <f t="shared" si="89"/>
        <v>41</v>
      </c>
      <c r="C706" s="11" t="s">
        <v>38</v>
      </c>
      <c r="D706" s="11" t="str">
        <f>VLOOKUP(VALUE(MID($C706,13,2)), [2]codigos!$A$2:$B$60, 2, 1) &amp; " " &amp; VLOOKUP(VALUE(MID($C706,15,4)), [2]codigos!$E$2:$F$102, 2, FALSE)</f>
        <v>BUDINERA   42</v>
      </c>
      <c r="E706" s="11" t="str">
        <f>VLOOKUP(VALUE(MID($C706,19,2)),[2]codigos!$H$2:$I$62,2,1) &amp; " " &amp; VLOOKUP(VALUE(MID($C706,21,2)),[2]codigos!$K$2:$L$12,2,FALSE)</f>
        <v>A/T S/I</v>
      </c>
      <c r="F706" s="11" t="s">
        <v>1017</v>
      </c>
      <c r="G706" s="11" t="s">
        <v>11</v>
      </c>
      <c r="H706" s="52" t="s">
        <v>1018</v>
      </c>
      <c r="I706" s="20" t="s">
        <v>995</v>
      </c>
      <c r="J706" s="11">
        <v>4</v>
      </c>
      <c r="K706" s="11">
        <v>4</v>
      </c>
      <c r="L706" s="11">
        <f t="shared" si="87"/>
        <v>0</v>
      </c>
      <c r="M706" s="134"/>
      <c r="N706" s="96">
        <v>46069</v>
      </c>
      <c r="O706" s="118">
        <v>46066</v>
      </c>
    </row>
    <row r="707" spans="1:15" x14ac:dyDescent="0.25">
      <c r="A707" s="11">
        <f t="shared" ca="1" si="88"/>
        <v>-82</v>
      </c>
      <c r="B707" s="37">
        <f t="shared" si="89"/>
        <v>41</v>
      </c>
      <c r="C707" s="11" t="s">
        <v>219</v>
      </c>
      <c r="D707" s="11" t="str">
        <f>VLOOKUP(VALUE(MID($C707,13,2)), [2]codigos!$A$2:$B$60, 2, 1) &amp; " " &amp; VLOOKUP(VALUE(MID($C707,15,4)), [2]codigos!$E$2:$F$102, 2, FALSE)</f>
        <v>CAZO 16</v>
      </c>
      <c r="E707" s="11" t="str">
        <f>VLOOKUP(VALUE(MID($C707,19,2)),[2]codigos!$H$2:$I$62,2,1) &amp; " " &amp; VLOOKUP(VALUE(MID($C707,21,2)),[2]codigos!$K$2:$L$12,2,FALSE)</f>
        <v>A/T S/I</v>
      </c>
      <c r="F707" s="11" t="s">
        <v>1017</v>
      </c>
      <c r="G707" s="11" t="s">
        <v>11</v>
      </c>
      <c r="H707" s="52" t="s">
        <v>1018</v>
      </c>
      <c r="I707" s="20" t="s">
        <v>995</v>
      </c>
      <c r="J707" s="11">
        <v>24</v>
      </c>
      <c r="K707" s="11">
        <v>24</v>
      </c>
      <c r="L707" s="11">
        <f t="shared" si="87"/>
        <v>0</v>
      </c>
      <c r="M707" s="134"/>
      <c r="N707" s="96">
        <v>46069</v>
      </c>
      <c r="O707" s="118">
        <v>46066</v>
      </c>
    </row>
    <row r="708" spans="1:15" x14ac:dyDescent="0.25">
      <c r="A708" s="11">
        <f t="shared" ca="1" si="88"/>
        <v>-82</v>
      </c>
      <c r="B708" s="37">
        <f t="shared" si="89"/>
        <v>41</v>
      </c>
      <c r="C708" s="11" t="s">
        <v>344</v>
      </c>
      <c r="D708" s="11" t="str">
        <f>VLOOKUP(VALUE(MID($C708,13,2)), [2]codigos!$A$2:$B$60, 2, 1) &amp; " " &amp; VLOOKUP(VALUE(MID($C708,15,4)), [2]codigos!$E$2:$F$102, 2, FALSE)</f>
        <v>COMAL 36</v>
      </c>
      <c r="E708" s="11" t="str">
        <f>VLOOKUP(VALUE(MID($C708,19,2)),[2]codigos!$H$2:$I$62,2,1) &amp; " " &amp; VLOOKUP(VALUE(MID($C708,21,2)),[2]codigos!$K$2:$L$12,2,FALSE)</f>
        <v>NEGRO MOTAS S/I</v>
      </c>
      <c r="F708" s="11" t="s">
        <v>1017</v>
      </c>
      <c r="G708" s="11" t="s">
        <v>11</v>
      </c>
      <c r="H708" s="52" t="s">
        <v>1018</v>
      </c>
      <c r="I708" s="20" t="s">
        <v>995</v>
      </c>
      <c r="J708" s="11">
        <v>24</v>
      </c>
      <c r="K708" s="11">
        <v>24</v>
      </c>
      <c r="L708" s="11">
        <f t="shared" si="87"/>
        <v>0</v>
      </c>
      <c r="M708" s="134"/>
      <c r="N708" s="96">
        <v>46069</v>
      </c>
      <c r="O708" s="118">
        <v>46066</v>
      </c>
    </row>
    <row r="709" spans="1:15" x14ac:dyDescent="0.25">
      <c r="A709" s="11">
        <f t="shared" ca="1" si="88"/>
        <v>-82</v>
      </c>
      <c r="B709" s="37">
        <f t="shared" si="89"/>
        <v>41</v>
      </c>
      <c r="C709" s="11" t="s">
        <v>151</v>
      </c>
      <c r="D709" s="11" t="str">
        <f>VLOOKUP(VALUE(MID($C709,13,2)), [2]codigos!$A$2:$B$60, 2, 1) &amp; " " &amp; VLOOKUP(VALUE(MID($C709,15,4)), [2]codigos!$E$2:$F$102, 2, FALSE)</f>
        <v>OLLA CONVEXA 20</v>
      </c>
      <c r="E709" s="11" t="str">
        <f>VLOOKUP(VALUE(MID($C709,19,2)),[2]codigos!$H$2:$I$62,2,1) &amp; " " &amp; VLOOKUP(VALUE(MID($C709,21,2)),[2]codigos!$K$2:$L$12,2,FALSE)</f>
        <v>A/T S/I</v>
      </c>
      <c r="F709" s="11" t="s">
        <v>1017</v>
      </c>
      <c r="G709" s="11" t="s">
        <v>11</v>
      </c>
      <c r="H709" s="52" t="s">
        <v>1018</v>
      </c>
      <c r="I709" s="20" t="s">
        <v>995</v>
      </c>
      <c r="J709" s="11">
        <v>24</v>
      </c>
      <c r="K709" s="11">
        <f>7+12+5</f>
        <v>24</v>
      </c>
      <c r="L709" s="11">
        <f t="shared" si="87"/>
        <v>0</v>
      </c>
      <c r="M709" s="134"/>
      <c r="N709" s="96">
        <v>46069</v>
      </c>
      <c r="O709" s="118">
        <v>46066</v>
      </c>
    </row>
    <row r="710" spans="1:15" x14ac:dyDescent="0.25">
      <c r="A710" s="11">
        <f t="shared" ca="1" si="88"/>
        <v>-82</v>
      </c>
      <c r="B710" s="37">
        <f t="shared" si="89"/>
        <v>41</v>
      </c>
      <c r="C710" s="11" t="s">
        <v>43</v>
      </c>
      <c r="D710" s="11" t="str">
        <f>VLOOKUP(VALUE(MID($C710,13,2)), [2]codigos!$A$2:$B$60, 2, 1) &amp; " " &amp; VLOOKUP(VALUE(MID($C710,15,4)), [2]codigos!$E$2:$F$102, 2, FALSE)</f>
        <v>OLLA CONVEXA 22</v>
      </c>
      <c r="E710" s="11" t="str">
        <f>VLOOKUP(VALUE(MID($C710,19,2)),[2]codigos!$H$2:$I$62,2,1) &amp; " " &amp; VLOOKUP(VALUE(MID($C710,21,2)),[2]codigos!$K$2:$L$12,2,FALSE)</f>
        <v>A/T S/I</v>
      </c>
      <c r="F710" s="11" t="s">
        <v>1017</v>
      </c>
      <c r="G710" s="11" t="s">
        <v>11</v>
      </c>
      <c r="H710" s="52" t="s">
        <v>1018</v>
      </c>
      <c r="I710" s="20" t="s">
        <v>995</v>
      </c>
      <c r="J710" s="11">
        <v>18</v>
      </c>
      <c r="K710" s="11">
        <f>5+12+1</f>
        <v>18</v>
      </c>
      <c r="L710" s="11">
        <f t="shared" si="87"/>
        <v>0</v>
      </c>
      <c r="M710" s="134"/>
      <c r="N710" s="96">
        <v>46069</v>
      </c>
      <c r="O710" s="118">
        <v>46066</v>
      </c>
    </row>
    <row r="711" spans="1:15" x14ac:dyDescent="0.25">
      <c r="A711" s="11">
        <f t="shared" ca="1" si="88"/>
        <v>-82</v>
      </c>
      <c r="B711" s="37">
        <f t="shared" si="89"/>
        <v>41</v>
      </c>
      <c r="C711" s="11" t="s">
        <v>153</v>
      </c>
      <c r="D711" s="11" t="str">
        <f>VLOOKUP(VALUE(MID($C711,13,2)), [2]codigos!$A$2:$B$60, 2, 1) &amp; " " &amp; VLOOKUP(VALUE(MID($C711,15,4)), [2]codigos!$E$2:$F$102, 2, FALSE)</f>
        <v>OLLA CONVEXA 26</v>
      </c>
      <c r="E711" s="11" t="str">
        <f>VLOOKUP(VALUE(MID($C711,19,2)),[2]codigos!$H$2:$I$62,2,1) &amp; " " &amp; VLOOKUP(VALUE(MID($C711,21,2)),[2]codigos!$K$2:$L$12,2,FALSE)</f>
        <v>A/T S/I</v>
      </c>
      <c r="F711" s="11" t="s">
        <v>1017</v>
      </c>
      <c r="G711" s="11" t="s">
        <v>11</v>
      </c>
      <c r="H711" s="52" t="s">
        <v>1018</v>
      </c>
      <c r="I711" s="20" t="s">
        <v>995</v>
      </c>
      <c r="J711" s="11">
        <v>12</v>
      </c>
      <c r="K711" s="11">
        <v>12</v>
      </c>
      <c r="L711" s="11">
        <f t="shared" si="87"/>
        <v>0</v>
      </c>
      <c r="M711" s="134"/>
      <c r="N711" s="96">
        <v>46069</v>
      </c>
      <c r="O711" s="118">
        <v>46066</v>
      </c>
    </row>
    <row r="712" spans="1:15" x14ac:dyDescent="0.25">
      <c r="A712" s="11">
        <f t="shared" ca="1" si="88"/>
        <v>-82</v>
      </c>
      <c r="B712" s="37">
        <f t="shared" si="89"/>
        <v>41</v>
      </c>
      <c r="C712" s="11" t="s">
        <v>221</v>
      </c>
      <c r="D712" s="11" t="str">
        <f>VLOOKUP(VALUE(MID($C712,13,2)), [2]codigos!$A$2:$B$60, 2, 1) &amp; " " &amp; VLOOKUP(VALUE(MID($C712,15,4)), [2]codigos!$E$2:$F$102, 2, FALSE)</f>
        <v>OLLA CONVEXA 34</v>
      </c>
      <c r="E712" s="11" t="str">
        <f>VLOOKUP(VALUE(MID($C712,19,2)),[2]codigos!$H$2:$I$62,2,1) &amp; " " &amp; VLOOKUP(VALUE(MID($C712,21,2)),[2]codigos!$K$2:$L$12,2,FALSE)</f>
        <v>A/T S/I</v>
      </c>
      <c r="F712" s="11" t="s">
        <v>1017</v>
      </c>
      <c r="G712" s="11" t="s">
        <v>11</v>
      </c>
      <c r="H712" s="52" t="s">
        <v>1018</v>
      </c>
      <c r="I712" s="20" t="s">
        <v>995</v>
      </c>
      <c r="J712" s="11">
        <v>4</v>
      </c>
      <c r="K712" s="11">
        <v>4</v>
      </c>
      <c r="L712" s="11">
        <f t="shared" si="87"/>
        <v>0</v>
      </c>
      <c r="M712" s="134"/>
      <c r="N712" s="96">
        <v>46069</v>
      </c>
      <c r="O712" s="118">
        <v>46066</v>
      </c>
    </row>
    <row r="713" spans="1:15" x14ac:dyDescent="0.25">
      <c r="A713" s="11">
        <f t="shared" ca="1" si="88"/>
        <v>-82</v>
      </c>
      <c r="B713" s="37">
        <f t="shared" si="89"/>
        <v>41</v>
      </c>
      <c r="C713" s="11" t="s">
        <v>260</v>
      </c>
      <c r="D713" s="11" t="str">
        <f>VLOOKUP(VALUE(MID($C713,13,2)), [2]codigos!$A$2:$B$60, 2, 1) &amp; " " &amp; VLOOKUP(VALUE(MID($C713,15,4)), [2]codigos!$E$2:$F$102, 2, FALSE)</f>
        <v>OLLA RECTA 20</v>
      </c>
      <c r="E713" s="11" t="str">
        <f>VLOOKUP(VALUE(MID($C713,19,2)),[2]codigos!$H$2:$I$62,2,1) &amp; " " &amp; VLOOKUP(VALUE(MID($C713,21,2)),[2]codigos!$K$2:$L$12,2,FALSE)</f>
        <v>A/T S/I</v>
      </c>
      <c r="F713" s="11" t="s">
        <v>1017</v>
      </c>
      <c r="G713" s="11" t="s">
        <v>11</v>
      </c>
      <c r="H713" s="52" t="s">
        <v>1018</v>
      </c>
      <c r="I713" s="20" t="s">
        <v>995</v>
      </c>
      <c r="J713" s="11">
        <v>24</v>
      </c>
      <c r="K713" s="11">
        <v>24</v>
      </c>
      <c r="L713" s="11">
        <f t="shared" si="87"/>
        <v>0</v>
      </c>
      <c r="M713" s="134"/>
      <c r="N713" s="96">
        <v>46069</v>
      </c>
      <c r="O713" s="118">
        <v>46066</v>
      </c>
    </row>
    <row r="714" spans="1:15" x14ac:dyDescent="0.25">
      <c r="A714" s="11">
        <f t="shared" ca="1" si="88"/>
        <v>-82</v>
      </c>
      <c r="B714" s="37">
        <f t="shared" si="89"/>
        <v>41</v>
      </c>
      <c r="C714" s="11" t="s">
        <v>1019</v>
      </c>
      <c r="D714" s="11" t="str">
        <f>VLOOKUP(VALUE(MID($C714,13,2)), [2]codigos!$A$2:$B$60, 2, 1) &amp; " " &amp; VLOOKUP(VALUE(MID($C714,15,4)), [2]codigos!$E$2:$F$102, 2, FALSE)</f>
        <v>VAPORERA 24</v>
      </c>
      <c r="E714" s="11" t="str">
        <f>VLOOKUP(VALUE(MID($C714,19,2)),[2]codigos!$H$2:$I$62,2,1) &amp; " " &amp; VLOOKUP(VALUE(MID($C714,21,2)),[2]codigos!$K$2:$L$12,2,FALSE)</f>
        <v>A/T S/I</v>
      </c>
      <c r="F714" s="11" t="s">
        <v>1017</v>
      </c>
      <c r="G714" s="11" t="s">
        <v>11</v>
      </c>
      <c r="H714" s="52" t="s">
        <v>1018</v>
      </c>
      <c r="I714" s="20" t="s">
        <v>995</v>
      </c>
      <c r="J714" s="11">
        <v>12</v>
      </c>
      <c r="K714" s="11">
        <v>12</v>
      </c>
      <c r="L714" s="11">
        <f t="shared" si="87"/>
        <v>0</v>
      </c>
      <c r="M714" s="134"/>
      <c r="N714" s="96">
        <v>46069</v>
      </c>
      <c r="O714" s="118">
        <v>46066</v>
      </c>
    </row>
    <row r="715" spans="1:15" x14ac:dyDescent="0.25">
      <c r="A715" s="11">
        <f t="shared" ca="1" si="88"/>
        <v>-82</v>
      </c>
      <c r="B715" s="37">
        <f t="shared" si="89"/>
        <v>41</v>
      </c>
      <c r="C715" s="11" t="s">
        <v>487</v>
      </c>
      <c r="D715" s="11" t="str">
        <f>VLOOKUP(VALUE(MID($C715,13,2)), [2]codigos!$A$2:$B$60, 2, 1) &amp; " " &amp; VLOOKUP(VALUE(MID($C715,15,4)), [2]codigos!$E$2:$F$102, 2, FALSE)</f>
        <v>VAPORERA 30</v>
      </c>
      <c r="E715" s="11" t="str">
        <f>VLOOKUP(VALUE(MID($C715,19,2)),[2]codigos!$H$2:$I$62,2,1) &amp; " " &amp; VLOOKUP(VALUE(MID($C715,21,2)),[2]codigos!$K$2:$L$12,2,FALSE)</f>
        <v>A/T S/I</v>
      </c>
      <c r="F715" s="11" t="s">
        <v>1017</v>
      </c>
      <c r="G715" s="11" t="s">
        <v>11</v>
      </c>
      <c r="H715" s="52" t="s">
        <v>1018</v>
      </c>
      <c r="I715" s="20" t="s">
        <v>995</v>
      </c>
      <c r="J715" s="11">
        <v>4</v>
      </c>
      <c r="K715" s="11">
        <v>4</v>
      </c>
      <c r="L715" s="11">
        <f t="shared" si="87"/>
        <v>0</v>
      </c>
      <c r="M715" s="134"/>
      <c r="N715" s="96">
        <v>46069</v>
      </c>
      <c r="O715" s="118">
        <v>46066</v>
      </c>
    </row>
    <row r="716" spans="1:15" x14ac:dyDescent="0.25">
      <c r="A716" s="11">
        <f t="shared" ca="1" si="88"/>
        <v>-82</v>
      </c>
      <c r="B716" s="37">
        <f t="shared" si="89"/>
        <v>41</v>
      </c>
      <c r="C716" s="11" t="s">
        <v>846</v>
      </c>
      <c r="D716" s="11" t="str">
        <f>VLOOKUP(VALUE(MID($C716,13,2)), [2]codigos!$A$2:$B$60, 2, 1) &amp; " " &amp; VLOOKUP(VALUE(MID($C716,15,4)), [2]codigos!$E$2:$F$102, 2, FALSE)</f>
        <v>VAPORERA 42</v>
      </c>
      <c r="E716" s="11" t="str">
        <f>VLOOKUP(VALUE(MID($C716,19,2)),[2]codigos!$H$2:$I$62,2,1) &amp; " " &amp; VLOOKUP(VALUE(MID($C716,21,2)),[2]codigos!$K$2:$L$12,2,FALSE)</f>
        <v>A/T S/I</v>
      </c>
      <c r="F716" s="11" t="s">
        <v>1017</v>
      </c>
      <c r="G716" s="11" t="s">
        <v>11</v>
      </c>
      <c r="H716" s="52" t="s">
        <v>1018</v>
      </c>
      <c r="I716" s="20" t="s">
        <v>995</v>
      </c>
      <c r="J716" s="11">
        <v>2</v>
      </c>
      <c r="K716" s="11">
        <v>2</v>
      </c>
      <c r="L716" s="11">
        <f t="shared" si="87"/>
        <v>0</v>
      </c>
      <c r="M716" s="134"/>
      <c r="N716" s="96">
        <v>46069</v>
      </c>
      <c r="O716" s="118">
        <v>46066</v>
      </c>
    </row>
    <row r="717" spans="1:15" x14ac:dyDescent="0.25">
      <c r="A717" s="11">
        <f t="shared" ca="1" si="88"/>
        <v>-82</v>
      </c>
      <c r="B717" s="37">
        <f t="shared" si="89"/>
        <v>41</v>
      </c>
      <c r="C717" s="11" t="s">
        <v>855</v>
      </c>
      <c r="D717" s="11" t="str">
        <f>VLOOKUP(VALUE(MID($C717,13,2)), [2]codigos!$A$2:$B$60, 2, 1) &amp; " " &amp; VLOOKUP(VALUE(MID($C717,15,4)), [2]codigos!$E$2:$F$102, 2, FALSE)</f>
        <v>OLLA RECTA PROFUNDA 14</v>
      </c>
      <c r="E717" s="11" t="str">
        <f>VLOOKUP(VALUE(MID($C717,19,2)),[2]codigos!$H$2:$I$62,2,1) &amp; " " &amp; VLOOKUP(VALUE(MID($C717,21,2)),[2]codigos!$K$2:$L$12,2,FALSE)</f>
        <v>A/T S/I</v>
      </c>
      <c r="F717" s="11" t="s">
        <v>1017</v>
      </c>
      <c r="G717" s="11" t="s">
        <v>11</v>
      </c>
      <c r="H717" s="52" t="s">
        <v>1018</v>
      </c>
      <c r="I717" s="20" t="s">
        <v>995</v>
      </c>
      <c r="J717" s="11">
        <v>24</v>
      </c>
      <c r="K717" s="11">
        <v>24</v>
      </c>
      <c r="L717" s="11">
        <f t="shared" si="87"/>
        <v>0</v>
      </c>
      <c r="M717" s="134"/>
      <c r="N717" s="96">
        <v>46069</v>
      </c>
      <c r="O717" s="118">
        <v>46066</v>
      </c>
    </row>
    <row r="718" spans="1:15" x14ac:dyDescent="0.25">
      <c r="A718" s="11">
        <f t="shared" ca="1" si="88"/>
        <v>-82</v>
      </c>
      <c r="B718" s="37">
        <f t="shared" si="89"/>
        <v>41</v>
      </c>
      <c r="C718" s="11" t="s">
        <v>238</v>
      </c>
      <c r="D718" s="11" t="str">
        <f>VLOOKUP(VALUE(MID($C718,13,2)), [2]codigos!$A$2:$B$60, 2, 1) &amp; " " &amp; VLOOKUP(VALUE(MID($C718,15,4)), [2]codigos!$E$2:$F$102, 2, FALSE)</f>
        <v>OLLA RECTA 38</v>
      </c>
      <c r="E718" s="11" t="str">
        <f>VLOOKUP(VALUE(MID($C718,19,2)),[2]codigos!$H$2:$I$62,2,1) &amp; " " &amp; VLOOKUP(VALUE(MID($C718,21,2)),[2]codigos!$K$2:$L$12,2,FALSE)</f>
        <v>A/T S/I</v>
      </c>
      <c r="F718" s="11" t="s">
        <v>1017</v>
      </c>
      <c r="G718" s="11" t="s">
        <v>11</v>
      </c>
      <c r="H718" s="52" t="s">
        <v>1018</v>
      </c>
      <c r="I718" s="20" t="s">
        <v>995</v>
      </c>
      <c r="J718" s="11">
        <v>4</v>
      </c>
      <c r="K718" s="11">
        <v>4</v>
      </c>
      <c r="L718" s="11">
        <f t="shared" si="87"/>
        <v>0</v>
      </c>
      <c r="M718" s="134"/>
      <c r="N718" s="96">
        <v>46069</v>
      </c>
      <c r="O718" s="118">
        <v>46066</v>
      </c>
    </row>
    <row r="719" spans="1:15" x14ac:dyDescent="0.25">
      <c r="A719" s="11">
        <f t="shared" ca="1" si="88"/>
        <v>-82</v>
      </c>
      <c r="B719" s="37">
        <f t="shared" si="89"/>
        <v>41</v>
      </c>
      <c r="C719" s="11" t="s">
        <v>849</v>
      </c>
      <c r="D719" s="11" t="str">
        <f>VLOOKUP(VALUE(MID($C719,13,2)), [2]codigos!$A$2:$B$60, 2, 1) &amp; " " &amp; VLOOKUP(VALUE(MID($C719,15,4)), [2]codigos!$E$2:$F$102, 2, FALSE)</f>
        <v>PAVERA OVAL 15"</v>
      </c>
      <c r="E719" s="11" t="str">
        <f>VLOOKUP(VALUE(MID($C719,19,2)),[2]codigos!$H$2:$I$62,2,1) &amp; " " &amp; VLOOKUP(VALUE(MID($C719,21,2)),[2]codigos!$K$2:$L$12,2,FALSE)</f>
        <v>NEGRO MOTAS S/I</v>
      </c>
      <c r="F719" s="11" t="s">
        <v>1017</v>
      </c>
      <c r="G719" s="11" t="s">
        <v>11</v>
      </c>
      <c r="H719" s="52" t="s">
        <v>1018</v>
      </c>
      <c r="I719" s="20" t="s">
        <v>995</v>
      </c>
      <c r="J719" s="11">
        <v>6</v>
      </c>
      <c r="K719" s="11">
        <v>6</v>
      </c>
      <c r="L719" s="11">
        <f t="shared" si="87"/>
        <v>0</v>
      </c>
      <c r="M719" s="134"/>
      <c r="N719" s="96">
        <v>46069</v>
      </c>
      <c r="O719" s="118">
        <v>46066</v>
      </c>
    </row>
    <row r="720" spans="1:15" x14ac:dyDescent="0.25">
      <c r="A720" s="11">
        <f t="shared" ref="A720:A734" ca="1" si="90">DAYS360($B$1,I720)</f>
        <v>-68</v>
      </c>
      <c r="B720" s="37">
        <f t="shared" ref="B720:B734" si="91">+N720-I720</f>
        <v>27</v>
      </c>
      <c r="C720" s="11" t="s">
        <v>344</v>
      </c>
      <c r="D720" s="11" t="str">
        <f>VLOOKUP(VALUE(MID($C720,13,2)), codigos!$A$2:$B$60, 2, 1) &amp; " " &amp; VLOOKUP(VALUE(MID($C720,15,4)), codigos!$E$2:$F$102, 2, FALSE)</f>
        <v>COMAL 36</v>
      </c>
      <c r="E720" s="11" t="str">
        <f>VLOOKUP(VALUE(MID($C720,19,2)),codigos!$H$2:$I$62,2,1) &amp; " " &amp; VLOOKUP(VALUE(MID($C720,21,2)),codigos!$K$2:$L$12,2,FALSE)</f>
        <v>NEGRO MOTAS S/I</v>
      </c>
      <c r="F720" s="11" t="s">
        <v>1081</v>
      </c>
      <c r="G720" s="11" t="s">
        <v>11</v>
      </c>
      <c r="H720" s="11" t="s">
        <v>1082</v>
      </c>
      <c r="I720" s="11" t="s">
        <v>1080</v>
      </c>
      <c r="J720" s="25">
        <v>12</v>
      </c>
      <c r="K720" s="25">
        <v>12</v>
      </c>
      <c r="L720" s="15">
        <f t="shared" ref="L720:L764" si="92">+J720-K720</f>
        <v>0</v>
      </c>
      <c r="M720" s="131">
        <f>(SUM(K720:K728))/(SUM(J720:J728))</f>
        <v>1</v>
      </c>
      <c r="N720" s="96">
        <v>46069</v>
      </c>
      <c r="O720" s="93">
        <v>46066</v>
      </c>
    </row>
    <row r="721" spans="1:15" x14ac:dyDescent="0.25">
      <c r="A721" s="11">
        <f t="shared" ca="1" si="90"/>
        <v>-68</v>
      </c>
      <c r="B721" s="37">
        <f t="shared" si="91"/>
        <v>27</v>
      </c>
      <c r="C721" s="11" t="s">
        <v>43</v>
      </c>
      <c r="D721" s="11" t="str">
        <f>VLOOKUP(VALUE(MID($C721,13,2)), codigos!$A$2:$B$60, 2, 1) &amp; " " &amp; VLOOKUP(VALUE(MID($C721,15,4)), codigos!$E$2:$F$102, 2, FALSE)</f>
        <v>OLLA CONVEXA 22</v>
      </c>
      <c r="E721" s="11" t="str">
        <f>VLOOKUP(VALUE(MID($C721,19,2)),codigos!$H$2:$I$62,2,1) &amp; " " &amp; VLOOKUP(VALUE(MID($C721,21,2)),codigos!$K$2:$L$12,2,FALSE)</f>
        <v>A/T S/I</v>
      </c>
      <c r="F721" s="11" t="s">
        <v>1081</v>
      </c>
      <c r="G721" s="11" t="s">
        <v>11</v>
      </c>
      <c r="H721" s="11" t="s">
        <v>1082</v>
      </c>
      <c r="I721" s="11" t="s">
        <v>1080</v>
      </c>
      <c r="J721" s="25">
        <v>6</v>
      </c>
      <c r="K721" s="25">
        <v>6</v>
      </c>
      <c r="L721" s="15">
        <f t="shared" si="92"/>
        <v>0</v>
      </c>
      <c r="M721" s="131"/>
      <c r="N721" s="96">
        <v>46069</v>
      </c>
      <c r="O721" s="93">
        <v>46066</v>
      </c>
    </row>
    <row r="722" spans="1:15" x14ac:dyDescent="0.25">
      <c r="A722" s="11">
        <f t="shared" ca="1" si="90"/>
        <v>-68</v>
      </c>
      <c r="B722" s="37">
        <f t="shared" si="91"/>
        <v>27</v>
      </c>
      <c r="C722" s="11" t="s">
        <v>260</v>
      </c>
      <c r="D722" s="11" t="str">
        <f>VLOOKUP(VALUE(MID($C722,13,2)), codigos!$A$2:$B$60, 2, 1) &amp; " " &amp; VLOOKUP(VALUE(MID($C722,15,4)), codigos!$E$2:$F$102, 2, FALSE)</f>
        <v>OLLA RECTA 20</v>
      </c>
      <c r="E722" s="11" t="str">
        <f>VLOOKUP(VALUE(MID($C722,19,2)),codigos!$H$2:$I$62,2,1) &amp; " " &amp; VLOOKUP(VALUE(MID($C722,21,2)),codigos!$K$2:$L$12,2,FALSE)</f>
        <v>A/T S/I</v>
      </c>
      <c r="F722" s="11" t="s">
        <v>1081</v>
      </c>
      <c r="G722" s="11" t="s">
        <v>11</v>
      </c>
      <c r="H722" s="11" t="s">
        <v>1082</v>
      </c>
      <c r="I722" s="11" t="s">
        <v>1080</v>
      </c>
      <c r="J722" s="25">
        <v>12</v>
      </c>
      <c r="K722" s="25">
        <v>12</v>
      </c>
      <c r="L722" s="15">
        <f t="shared" si="92"/>
        <v>0</v>
      </c>
      <c r="M722" s="131"/>
      <c r="N722" s="96">
        <v>46069</v>
      </c>
      <c r="O722" s="93">
        <v>46066</v>
      </c>
    </row>
    <row r="723" spans="1:15" x14ac:dyDescent="0.25">
      <c r="A723" s="11">
        <f t="shared" ca="1" si="90"/>
        <v>-68</v>
      </c>
      <c r="B723" s="37">
        <f t="shared" si="91"/>
        <v>27</v>
      </c>
      <c r="C723" s="11" t="s">
        <v>236</v>
      </c>
      <c r="D723" s="11" t="str">
        <f>VLOOKUP(VALUE(MID($C723,13,2)), codigos!$A$2:$B$60, 2, 1) &amp; " " &amp; VLOOKUP(VALUE(MID($C723,15,4)), codigos!$E$2:$F$102, 2, FALSE)</f>
        <v>OLLA RECTA 22</v>
      </c>
      <c r="E723" s="11" t="str">
        <f>VLOOKUP(VALUE(MID($C723,19,2)),codigos!$H$2:$I$62,2,1) &amp; " " &amp; VLOOKUP(VALUE(MID($C723,21,2)),codigos!$K$2:$L$12,2,FALSE)</f>
        <v>A/T S/I</v>
      </c>
      <c r="F723" s="11" t="s">
        <v>1081</v>
      </c>
      <c r="G723" s="11" t="s">
        <v>11</v>
      </c>
      <c r="H723" s="11" t="s">
        <v>1082</v>
      </c>
      <c r="I723" s="11" t="s">
        <v>1080</v>
      </c>
      <c r="J723" s="25">
        <v>6</v>
      </c>
      <c r="K723" s="25">
        <v>6</v>
      </c>
      <c r="L723" s="15">
        <f t="shared" si="92"/>
        <v>0</v>
      </c>
      <c r="M723" s="131"/>
      <c r="N723" s="96">
        <v>46069</v>
      </c>
      <c r="O723" s="93">
        <v>46066</v>
      </c>
    </row>
    <row r="724" spans="1:15" x14ac:dyDescent="0.25">
      <c r="A724" s="11">
        <f t="shared" ca="1" si="90"/>
        <v>-68</v>
      </c>
      <c r="B724" s="37">
        <f t="shared" si="91"/>
        <v>27</v>
      </c>
      <c r="C724" s="11" t="s">
        <v>237</v>
      </c>
      <c r="D724" s="11" t="str">
        <f>VLOOKUP(VALUE(MID($C724,13,2)), codigos!$A$2:$B$60, 2, 1) &amp; " " &amp; VLOOKUP(VALUE(MID($C724,15,4)), codigos!$E$2:$F$102, 2, FALSE)</f>
        <v>OLLA RECTA 24</v>
      </c>
      <c r="E724" s="11" t="str">
        <f>VLOOKUP(VALUE(MID($C724,19,2)),codigos!$H$2:$I$62,2,1) &amp; " " &amp; VLOOKUP(VALUE(MID($C724,21,2)),codigos!$K$2:$L$12,2,FALSE)</f>
        <v>A/T S/I</v>
      </c>
      <c r="F724" s="11" t="s">
        <v>1081</v>
      </c>
      <c r="G724" s="11" t="s">
        <v>11</v>
      </c>
      <c r="H724" s="11" t="s">
        <v>1082</v>
      </c>
      <c r="I724" s="11" t="s">
        <v>1080</v>
      </c>
      <c r="J724" s="25">
        <v>6</v>
      </c>
      <c r="K724" s="25">
        <f>1+5</f>
        <v>6</v>
      </c>
      <c r="L724" s="15">
        <f t="shared" si="92"/>
        <v>0</v>
      </c>
      <c r="M724" s="131"/>
      <c r="N724" s="96">
        <v>46069</v>
      </c>
      <c r="O724" s="93">
        <v>46066</v>
      </c>
    </row>
    <row r="725" spans="1:15" x14ac:dyDescent="0.25">
      <c r="A725" s="11">
        <f t="shared" ca="1" si="90"/>
        <v>-68</v>
      </c>
      <c r="B725" s="37">
        <f t="shared" si="91"/>
        <v>27</v>
      </c>
      <c r="C725" s="11" t="s">
        <v>66</v>
      </c>
      <c r="D725" s="11" t="str">
        <f>VLOOKUP(VALUE(MID($C725,13,2)), codigos!$A$2:$B$60, 2, 1) &amp; " " &amp; VLOOKUP(VALUE(MID($C725,15,4)), codigos!$E$2:$F$102, 2, FALSE)</f>
        <v>PLATO AVENERO 20</v>
      </c>
      <c r="E725" s="11" t="str">
        <f>VLOOKUP(VALUE(MID($C725,19,2)),codigos!$H$2:$I$62,2,1) &amp; " " &amp; VLOOKUP(VALUE(MID($C725,21,2)),codigos!$K$2:$L$12,2,FALSE)</f>
        <v>A/T S/I</v>
      </c>
      <c r="F725" s="11" t="s">
        <v>1081</v>
      </c>
      <c r="G725" s="11" t="s">
        <v>11</v>
      </c>
      <c r="H725" s="11" t="s">
        <v>1082</v>
      </c>
      <c r="I725" s="11" t="s">
        <v>1080</v>
      </c>
      <c r="J725" s="25">
        <v>24</v>
      </c>
      <c r="K725" s="25">
        <v>24</v>
      </c>
      <c r="L725" s="15">
        <f t="shared" si="92"/>
        <v>0</v>
      </c>
      <c r="M725" s="131"/>
      <c r="N725" s="96">
        <v>46069</v>
      </c>
      <c r="O725" s="93">
        <v>46066</v>
      </c>
    </row>
    <row r="726" spans="1:15" x14ac:dyDescent="0.25">
      <c r="A726" s="11">
        <f t="shared" ca="1" si="90"/>
        <v>-68</v>
      </c>
      <c r="B726" s="37">
        <f t="shared" si="91"/>
        <v>27</v>
      </c>
      <c r="C726" s="11" t="s">
        <v>180</v>
      </c>
      <c r="D726" s="11" t="str">
        <f>VLOOKUP(VALUE(MID($C726,13,2)), codigos!$A$2:$B$60, 2, 1) &amp; " " &amp; VLOOKUP(VALUE(MID($C726,15,4)), codigos!$E$2:$F$102, 2, FALSE)</f>
        <v>POCILLO 12</v>
      </c>
      <c r="E726" s="11" t="str">
        <f>VLOOKUP(VALUE(MID($C726,19,2)),codigos!$H$2:$I$62,2,1) &amp; " " &amp; VLOOKUP(VALUE(MID($C726,21,2)),codigos!$K$2:$L$12,2,FALSE)</f>
        <v>A/T S/I</v>
      </c>
      <c r="F726" s="11" t="s">
        <v>1081</v>
      </c>
      <c r="G726" s="11" t="s">
        <v>11</v>
      </c>
      <c r="H726" s="11" t="s">
        <v>1082</v>
      </c>
      <c r="I726" s="11" t="s">
        <v>1080</v>
      </c>
      <c r="J726" s="25">
        <v>24</v>
      </c>
      <c r="K726" s="25">
        <v>24</v>
      </c>
      <c r="L726" s="15">
        <f t="shared" si="92"/>
        <v>0</v>
      </c>
      <c r="M726" s="131"/>
      <c r="N726" s="96">
        <v>46069</v>
      </c>
      <c r="O726" s="93">
        <v>46066</v>
      </c>
    </row>
    <row r="727" spans="1:15" x14ac:dyDescent="0.25">
      <c r="A727" s="11">
        <f t="shared" ca="1" si="90"/>
        <v>-68</v>
      </c>
      <c r="B727" s="37">
        <f t="shared" si="91"/>
        <v>27</v>
      </c>
      <c r="C727" s="11" t="s">
        <v>182</v>
      </c>
      <c r="D727" s="11" t="str">
        <f>VLOOKUP(VALUE(MID($C727,13,2)), codigos!$A$2:$B$60, 2, 1) &amp; " " &amp; VLOOKUP(VALUE(MID($C727,15,4)), codigos!$E$2:$F$102, 2, FALSE)</f>
        <v>POCILLO 14</v>
      </c>
      <c r="E727" s="11" t="str">
        <f>VLOOKUP(VALUE(MID($C727,19,2)),codigos!$H$2:$I$62,2,1) &amp; " " &amp; VLOOKUP(VALUE(MID($C727,21,2)),codigos!$K$2:$L$12,2,FALSE)</f>
        <v>A/T S/I</v>
      </c>
      <c r="F727" s="11" t="s">
        <v>1081</v>
      </c>
      <c r="G727" s="11" t="s">
        <v>11</v>
      </c>
      <c r="H727" s="11" t="s">
        <v>1082</v>
      </c>
      <c r="I727" s="11" t="s">
        <v>1080</v>
      </c>
      <c r="J727" s="25">
        <v>24</v>
      </c>
      <c r="K727" s="25">
        <v>24</v>
      </c>
      <c r="L727" s="15">
        <f t="shared" si="92"/>
        <v>0</v>
      </c>
      <c r="M727" s="131"/>
      <c r="N727" s="96">
        <v>46069</v>
      </c>
      <c r="O727" s="93">
        <v>46066</v>
      </c>
    </row>
    <row r="728" spans="1:15" x14ac:dyDescent="0.25">
      <c r="A728" s="11">
        <f t="shared" ca="1" si="90"/>
        <v>-68</v>
      </c>
      <c r="B728" s="37">
        <f t="shared" si="91"/>
        <v>27</v>
      </c>
      <c r="C728" s="11" t="s">
        <v>228</v>
      </c>
      <c r="D728" s="11" t="str">
        <f>VLOOKUP(VALUE(MID($C728,13,2)), codigos!$A$2:$B$60, 2, 1) &amp; " " &amp; VLOOKUP(VALUE(MID($C728,15,4)), codigos!$E$2:$F$102, 2, FALSE)</f>
        <v>PAVERA OVAL 18"</v>
      </c>
      <c r="E728" s="11" t="str">
        <f>VLOOKUP(VALUE(MID($C728,19,2)),codigos!$H$2:$I$62,2,1) &amp; " " &amp; VLOOKUP(VALUE(MID($C728,21,2)),codigos!$K$2:$L$12,2,FALSE)</f>
        <v>NEGRO MOTAS S/I</v>
      </c>
      <c r="F728" s="11" t="s">
        <v>1081</v>
      </c>
      <c r="G728" s="11" t="s">
        <v>11</v>
      </c>
      <c r="H728" s="11" t="s">
        <v>1082</v>
      </c>
      <c r="I728" s="11" t="s">
        <v>1080</v>
      </c>
      <c r="J728" s="25">
        <v>2</v>
      </c>
      <c r="K728" s="25">
        <v>2</v>
      </c>
      <c r="L728" s="15">
        <f t="shared" si="92"/>
        <v>0</v>
      </c>
      <c r="M728" s="131"/>
      <c r="N728" s="96">
        <v>46069</v>
      </c>
      <c r="O728" s="93">
        <v>46066</v>
      </c>
    </row>
    <row r="729" spans="1:15" x14ac:dyDescent="0.25">
      <c r="A729" s="11">
        <f t="shared" ca="1" si="90"/>
        <v>-68</v>
      </c>
      <c r="B729" s="37">
        <f t="shared" si="91"/>
        <v>27</v>
      </c>
      <c r="C729" s="11" t="s">
        <v>214</v>
      </c>
      <c r="D729" s="11" t="str">
        <f>VLOOKUP(VALUE(MID($C729,13,2)), codigos!$A$2:$B$60, 2, 1) &amp; " " &amp; VLOOKUP(VALUE(MID($C729,15,4)), codigos!$E$2:$F$102, 2, FALSE)</f>
        <v>BUDINERA 18</v>
      </c>
      <c r="E729" s="11" t="str">
        <f>VLOOKUP(VALUE(MID($C729,19,2)),codigos!$H$2:$I$62,2,1) &amp; " " &amp; VLOOKUP(VALUE(MID($C729,21,2)),codigos!$K$2:$L$12,2,FALSE)</f>
        <v>A/T S/I</v>
      </c>
      <c r="F729" s="11" t="s">
        <v>1078</v>
      </c>
      <c r="G729" s="11" t="s">
        <v>11</v>
      </c>
      <c r="H729" s="11" t="s">
        <v>1079</v>
      </c>
      <c r="I729" s="11" t="s">
        <v>1080</v>
      </c>
      <c r="J729" s="25">
        <v>18</v>
      </c>
      <c r="K729" s="25">
        <v>18</v>
      </c>
      <c r="L729" s="15">
        <f t="shared" si="92"/>
        <v>0</v>
      </c>
      <c r="M729" s="131">
        <f>(SUM(K729:K734))/(SUM(J729:J734))</f>
        <v>1</v>
      </c>
      <c r="N729" s="96">
        <v>46069</v>
      </c>
      <c r="O729" s="93">
        <v>46066</v>
      </c>
    </row>
    <row r="730" spans="1:15" x14ac:dyDescent="0.25">
      <c r="A730" s="11">
        <f t="shared" ca="1" si="90"/>
        <v>-68</v>
      </c>
      <c r="B730" s="37">
        <f t="shared" si="91"/>
        <v>27</v>
      </c>
      <c r="C730" s="11" t="s">
        <v>215</v>
      </c>
      <c r="D730" s="11" t="str">
        <f>VLOOKUP(VALUE(MID($C730,13,2)), codigos!$A$2:$B$60, 2, 1) &amp; " " &amp; VLOOKUP(VALUE(MID($C730,15,4)), codigos!$E$2:$F$102, 2, FALSE)</f>
        <v>BUDINERA 20</v>
      </c>
      <c r="E730" s="11" t="str">
        <f>VLOOKUP(VALUE(MID($C730,19,2)),codigos!$H$2:$I$62,2,1) &amp; " " &amp; VLOOKUP(VALUE(MID($C730,21,2)),codigos!$K$2:$L$12,2,FALSE)</f>
        <v>A/T S/I</v>
      </c>
      <c r="F730" s="11" t="s">
        <v>1078</v>
      </c>
      <c r="G730" s="11" t="s">
        <v>11</v>
      </c>
      <c r="H730" s="11" t="s">
        <v>1079</v>
      </c>
      <c r="I730" s="11" t="s">
        <v>1080</v>
      </c>
      <c r="J730" s="25">
        <v>18</v>
      </c>
      <c r="K730" s="25">
        <v>18</v>
      </c>
      <c r="L730" s="15">
        <f t="shared" si="92"/>
        <v>0</v>
      </c>
      <c r="M730" s="131"/>
      <c r="N730" s="96">
        <v>46069</v>
      </c>
      <c r="O730" s="93">
        <v>46066</v>
      </c>
    </row>
    <row r="731" spans="1:15" x14ac:dyDescent="0.25">
      <c r="A731" s="11">
        <f t="shared" ca="1" si="90"/>
        <v>-68</v>
      </c>
      <c r="B731" s="37">
        <f t="shared" si="91"/>
        <v>27</v>
      </c>
      <c r="C731" s="11" t="s">
        <v>143</v>
      </c>
      <c r="D731" s="11" t="str">
        <f>VLOOKUP(VALUE(MID($C731,13,2)), codigos!$A$2:$B$60, 2, 1) &amp; " " &amp; VLOOKUP(VALUE(MID($C731,15,4)), codigos!$E$2:$F$102, 2, FALSE)</f>
        <v>BUDINERA 24</v>
      </c>
      <c r="E731" s="11" t="str">
        <f>VLOOKUP(VALUE(MID($C731,19,2)),codigos!$H$2:$I$62,2,1) &amp; " " &amp; VLOOKUP(VALUE(MID($C731,21,2)),codigos!$K$2:$L$12,2,FALSE)</f>
        <v>A/T S/I</v>
      </c>
      <c r="F731" s="11" t="s">
        <v>1078</v>
      </c>
      <c r="G731" s="11" t="s">
        <v>11</v>
      </c>
      <c r="H731" s="11" t="s">
        <v>1079</v>
      </c>
      <c r="I731" s="11" t="s">
        <v>1080</v>
      </c>
      <c r="J731" s="25">
        <v>12</v>
      </c>
      <c r="K731" s="25">
        <v>12</v>
      </c>
      <c r="L731" s="15">
        <f t="shared" si="92"/>
        <v>0</v>
      </c>
      <c r="M731" s="131"/>
      <c r="N731" s="96">
        <v>46069</v>
      </c>
      <c r="O731" s="93">
        <v>46066</v>
      </c>
    </row>
    <row r="732" spans="1:15" x14ac:dyDescent="0.25">
      <c r="A732" s="11">
        <f t="shared" ca="1" si="90"/>
        <v>-68</v>
      </c>
      <c r="B732" s="37">
        <f t="shared" si="91"/>
        <v>27</v>
      </c>
      <c r="C732" s="11" t="s">
        <v>187</v>
      </c>
      <c r="D732" s="11" t="str">
        <f>VLOOKUP(VALUE(MID($C732,13,2)), codigos!$A$2:$B$60, 2, 1) &amp; " " &amp; VLOOKUP(VALUE(MID($C732,15,4)), codigos!$E$2:$F$102, 2, FALSE)</f>
        <v>OLLA CONVEXA 12</v>
      </c>
      <c r="E732" s="11" t="str">
        <f>VLOOKUP(VALUE(MID($C732,19,2)),codigos!$H$2:$I$62,2,1) &amp; " " &amp; VLOOKUP(VALUE(MID($C732,21,2)),codigos!$K$2:$L$12,2,FALSE)</f>
        <v>A/T S/I</v>
      </c>
      <c r="F732" s="11" t="s">
        <v>1078</v>
      </c>
      <c r="G732" s="11" t="s">
        <v>11</v>
      </c>
      <c r="H732" s="11" t="s">
        <v>1079</v>
      </c>
      <c r="I732" s="11" t="s">
        <v>1080</v>
      </c>
      <c r="J732" s="25">
        <v>18</v>
      </c>
      <c r="K732" s="25">
        <v>18</v>
      </c>
      <c r="L732" s="15">
        <f t="shared" si="92"/>
        <v>0</v>
      </c>
      <c r="M732" s="131"/>
      <c r="N732" s="96">
        <v>46069</v>
      </c>
      <c r="O732" s="93">
        <v>46066</v>
      </c>
    </row>
    <row r="733" spans="1:15" x14ac:dyDescent="0.25">
      <c r="A733" s="11">
        <f t="shared" ca="1" si="90"/>
        <v>-68</v>
      </c>
      <c r="B733" s="37">
        <f t="shared" si="91"/>
        <v>27</v>
      </c>
      <c r="C733" s="11" t="s">
        <v>150</v>
      </c>
      <c r="D733" s="11" t="str">
        <f>VLOOKUP(VALUE(MID($C733,13,2)), codigos!$A$2:$B$60, 2, 1) &amp; " " &amp; VLOOKUP(VALUE(MID($C733,15,4)), codigos!$E$2:$F$102, 2, FALSE)</f>
        <v>OLLA CONVEXA 18</v>
      </c>
      <c r="E733" s="11" t="str">
        <f>VLOOKUP(VALUE(MID($C733,19,2)),codigos!$H$2:$I$62,2,1) &amp; " " &amp; VLOOKUP(VALUE(MID($C733,21,2)),codigos!$K$2:$L$12,2,FALSE)</f>
        <v>A/T S/I</v>
      </c>
      <c r="F733" s="11" t="s">
        <v>1078</v>
      </c>
      <c r="G733" s="11" t="s">
        <v>11</v>
      </c>
      <c r="H733" s="11" t="s">
        <v>1079</v>
      </c>
      <c r="I733" s="11" t="s">
        <v>1080</v>
      </c>
      <c r="J733" s="25">
        <v>12</v>
      </c>
      <c r="K733" s="25">
        <v>12</v>
      </c>
      <c r="L733" s="15">
        <f t="shared" si="92"/>
        <v>0</v>
      </c>
      <c r="M733" s="131"/>
      <c r="N733" s="96">
        <v>46069</v>
      </c>
      <c r="O733" s="93">
        <v>46066</v>
      </c>
    </row>
    <row r="734" spans="1:15" x14ac:dyDescent="0.25">
      <c r="A734" s="11">
        <f t="shared" ca="1" si="90"/>
        <v>-68</v>
      </c>
      <c r="B734" s="37">
        <f t="shared" si="91"/>
        <v>27</v>
      </c>
      <c r="C734" s="11" t="s">
        <v>151</v>
      </c>
      <c r="D734" s="11" t="str">
        <f>VLOOKUP(VALUE(MID($C734,13,2)), codigos!$A$2:$B$60, 2, 1) &amp; " " &amp; VLOOKUP(VALUE(MID($C734,15,4)), codigos!$E$2:$F$102, 2, FALSE)</f>
        <v>OLLA CONVEXA 20</v>
      </c>
      <c r="E734" s="11" t="str">
        <f>VLOOKUP(VALUE(MID($C734,19,2)),codigos!$H$2:$I$62,2,1) &amp; " " &amp; VLOOKUP(VALUE(MID($C734,21,2)),codigos!$K$2:$L$12,2,FALSE)</f>
        <v>A/T S/I</v>
      </c>
      <c r="F734" s="11" t="s">
        <v>1078</v>
      </c>
      <c r="G734" s="11" t="s">
        <v>11</v>
      </c>
      <c r="H734" s="11" t="s">
        <v>1079</v>
      </c>
      <c r="I734" s="11" t="s">
        <v>1080</v>
      </c>
      <c r="J734" s="25">
        <v>12</v>
      </c>
      <c r="K734" s="25">
        <v>12</v>
      </c>
      <c r="L734" s="15">
        <f t="shared" si="92"/>
        <v>0</v>
      </c>
      <c r="M734" s="131"/>
      <c r="N734" s="96">
        <v>46069</v>
      </c>
      <c r="O734" s="93">
        <v>46066</v>
      </c>
    </row>
    <row r="735" spans="1:15" x14ac:dyDescent="0.25">
      <c r="A735" s="11">
        <f t="shared" ref="A735:A764" ca="1" si="93">DAYS360($B$1,I735)</f>
        <v>-66</v>
      </c>
      <c r="B735" s="37">
        <f t="shared" ref="B735:B764" si="94">+N735-I735</f>
        <v>27</v>
      </c>
      <c r="C735" s="11" t="s">
        <v>214</v>
      </c>
      <c r="D735" s="11" t="str">
        <f>VLOOKUP(VALUE(MID($C735,13,2)), codigos!$A$2:$B$60, 2, 1) &amp; " " &amp; VLOOKUP(VALUE(MID($C735,15,4)), codigos!$E$2:$F$102, 2, FALSE)</f>
        <v>BUDINERA 18</v>
      </c>
      <c r="E735" s="11" t="str">
        <f>VLOOKUP(VALUE(MID($C735,19,2)),codigos!$H$2:$I$62,2,1) &amp; " " &amp; VLOOKUP(VALUE(MID($C735,21,2)),codigos!$K$2:$L$12,2,FALSE)</f>
        <v>A/T S/I</v>
      </c>
      <c r="F735" s="11" t="s">
        <v>1268</v>
      </c>
      <c r="G735" s="11" t="s">
        <v>11</v>
      </c>
      <c r="H735" s="11" t="s">
        <v>1267</v>
      </c>
      <c r="I735" s="11" t="s">
        <v>1263</v>
      </c>
      <c r="J735" s="25">
        <v>18</v>
      </c>
      <c r="K735" s="25">
        <v>18</v>
      </c>
      <c r="L735" s="15">
        <f t="shared" si="92"/>
        <v>0</v>
      </c>
      <c r="M735" s="131">
        <f>(SUM(K735:K764))/(SUM(J735:J764))</f>
        <v>0.95798319327731096</v>
      </c>
      <c r="N735" s="18">
        <v>46071</v>
      </c>
      <c r="O735" s="93">
        <v>46066</v>
      </c>
    </row>
    <row r="736" spans="1:15" x14ac:dyDescent="0.25">
      <c r="A736" s="11">
        <f t="shared" ca="1" si="93"/>
        <v>-66</v>
      </c>
      <c r="B736" s="37">
        <f t="shared" si="94"/>
        <v>27</v>
      </c>
      <c r="C736" s="11" t="s">
        <v>241</v>
      </c>
      <c r="D736" s="11" t="str">
        <f>VLOOKUP(VALUE(MID($C736,13,2)), codigos!$A$2:$B$60, 2, 1) &amp; " " &amp; VLOOKUP(VALUE(MID($C736,15,4)), codigos!$E$2:$F$102, 2, FALSE)</f>
        <v>BUDINERA 22</v>
      </c>
      <c r="E736" s="11" t="str">
        <f>VLOOKUP(VALUE(MID($C736,19,2)),codigos!$H$2:$I$62,2,1) &amp; " " &amp; VLOOKUP(VALUE(MID($C736,21,2)),codigos!$K$2:$L$12,2,FALSE)</f>
        <v>A/T S/I</v>
      </c>
      <c r="F736" s="11" t="s">
        <v>1268</v>
      </c>
      <c r="G736" s="11" t="s">
        <v>11</v>
      </c>
      <c r="H736" s="11" t="s">
        <v>1267</v>
      </c>
      <c r="I736" s="11" t="s">
        <v>1263</v>
      </c>
      <c r="J736" s="25">
        <v>12</v>
      </c>
      <c r="K736" s="25">
        <v>12</v>
      </c>
      <c r="L736" s="15">
        <f t="shared" si="92"/>
        <v>0</v>
      </c>
      <c r="M736" s="131"/>
      <c r="N736" s="18">
        <v>46071</v>
      </c>
      <c r="O736" s="93">
        <v>46066</v>
      </c>
    </row>
    <row r="737" spans="1:15" x14ac:dyDescent="0.25">
      <c r="A737" s="11">
        <f t="shared" ca="1" si="93"/>
        <v>-66</v>
      </c>
      <c r="B737" s="37">
        <f t="shared" si="94"/>
        <v>27</v>
      </c>
      <c r="C737" s="11" t="s">
        <v>143</v>
      </c>
      <c r="D737" s="11" t="str">
        <f>VLOOKUP(VALUE(MID($C737,13,2)), codigos!$A$2:$B$60, 2, 1) &amp; " " &amp; VLOOKUP(VALUE(MID($C737,15,4)), codigos!$E$2:$F$102, 2, FALSE)</f>
        <v>BUDINERA 24</v>
      </c>
      <c r="E737" s="11" t="str">
        <f>VLOOKUP(VALUE(MID($C737,19,2)),codigos!$H$2:$I$62,2,1) &amp; " " &amp; VLOOKUP(VALUE(MID($C737,21,2)),codigos!$K$2:$L$12,2,FALSE)</f>
        <v>A/T S/I</v>
      </c>
      <c r="F737" s="11" t="s">
        <v>1268</v>
      </c>
      <c r="G737" s="11" t="s">
        <v>11</v>
      </c>
      <c r="H737" s="11" t="s">
        <v>1267</v>
      </c>
      <c r="I737" s="11" t="s">
        <v>1263</v>
      </c>
      <c r="J737" s="25">
        <v>12</v>
      </c>
      <c r="K737" s="25">
        <v>12</v>
      </c>
      <c r="L737" s="15">
        <f t="shared" si="92"/>
        <v>0</v>
      </c>
      <c r="M737" s="131"/>
      <c r="N737" s="18">
        <v>46071</v>
      </c>
      <c r="O737" s="93">
        <v>46066</v>
      </c>
    </row>
    <row r="738" spans="1:15" x14ac:dyDescent="0.25">
      <c r="A738" s="11">
        <f t="shared" ca="1" si="93"/>
        <v>-66</v>
      </c>
      <c r="B738" s="37">
        <f t="shared" si="94"/>
        <v>27</v>
      </c>
      <c r="C738" s="11" t="s">
        <v>148</v>
      </c>
      <c r="D738" s="11" t="str">
        <f>VLOOKUP(VALUE(MID($C738,13,2)), codigos!$A$2:$B$60, 2, 1) &amp; " " &amp; VLOOKUP(VALUE(MID($C738,15,4)), codigos!$E$2:$F$102, 2, FALSE)</f>
        <v>BUDINERA 26</v>
      </c>
      <c r="E738" s="11" t="str">
        <f>VLOOKUP(VALUE(MID($C738,19,2)),codigos!$H$2:$I$62,2,1) &amp; " " &amp; VLOOKUP(VALUE(MID($C738,21,2)),codigos!$K$2:$L$12,2,FALSE)</f>
        <v>A/T S/I</v>
      </c>
      <c r="F738" s="11" t="s">
        <v>1268</v>
      </c>
      <c r="G738" s="11" t="s">
        <v>11</v>
      </c>
      <c r="H738" s="11" t="s">
        <v>1267</v>
      </c>
      <c r="I738" s="11" t="s">
        <v>1263</v>
      </c>
      <c r="J738" s="25">
        <v>12</v>
      </c>
      <c r="K738" s="25">
        <v>12</v>
      </c>
      <c r="L738" s="15">
        <f t="shared" si="92"/>
        <v>0</v>
      </c>
      <c r="M738" s="131"/>
      <c r="N738" s="18">
        <v>46071</v>
      </c>
      <c r="O738" s="93">
        <v>46066</v>
      </c>
    </row>
    <row r="739" spans="1:15" x14ac:dyDescent="0.25">
      <c r="A739" s="11">
        <f t="shared" ca="1" si="93"/>
        <v>-66</v>
      </c>
      <c r="B739" s="37">
        <f t="shared" si="94"/>
        <v>27</v>
      </c>
      <c r="C739" s="11" t="s">
        <v>169</v>
      </c>
      <c r="D739" s="11" t="str">
        <f>VLOOKUP(VALUE(MID($C739,13,2)), codigos!$A$2:$B$60, 2, 1) &amp; " " &amp; VLOOKUP(VALUE(MID($C739,15,4)), codigos!$E$2:$F$102, 2, FALSE)</f>
        <v>BUDINERA 30</v>
      </c>
      <c r="E739" s="11" t="str">
        <f>VLOOKUP(VALUE(MID($C739,19,2)),codigos!$H$2:$I$62,2,1) &amp; " " &amp; VLOOKUP(VALUE(MID($C739,21,2)),codigos!$K$2:$L$12,2,FALSE)</f>
        <v>A/T S/I</v>
      </c>
      <c r="F739" s="11" t="s">
        <v>1268</v>
      </c>
      <c r="G739" s="11" t="s">
        <v>11</v>
      </c>
      <c r="H739" s="11" t="s">
        <v>1267</v>
      </c>
      <c r="I739" s="11" t="s">
        <v>1263</v>
      </c>
      <c r="J739" s="25">
        <v>16</v>
      </c>
      <c r="K739" s="25">
        <v>16</v>
      </c>
      <c r="L739" s="15">
        <f t="shared" si="92"/>
        <v>0</v>
      </c>
      <c r="M739" s="131"/>
      <c r="N739" s="18">
        <v>46071</v>
      </c>
      <c r="O739" s="93">
        <v>46066</v>
      </c>
    </row>
    <row r="740" spans="1:15" x14ac:dyDescent="0.25">
      <c r="A740" s="11">
        <f t="shared" ca="1" si="93"/>
        <v>-66</v>
      </c>
      <c r="B740" s="37">
        <f t="shared" si="94"/>
        <v>27</v>
      </c>
      <c r="C740" s="64" t="s">
        <v>173</v>
      </c>
      <c r="D740" s="64" t="str">
        <f>VLOOKUP(VALUE(MID($C740,13,2)), codigos!$A$2:$B$60, 2, 1) &amp; " " &amp; VLOOKUP(VALUE(MID($C740,15,4)), codigos!$E$2:$F$102, 2, FALSE)</f>
        <v>BUDINERA 34</v>
      </c>
      <c r="E740" s="64" t="str">
        <f>VLOOKUP(VALUE(MID($C740,19,2)),codigos!$H$2:$I$62,2,1) &amp; " " &amp; VLOOKUP(VALUE(MID($C740,21,2)),codigos!$K$2:$L$12,2,FALSE)</f>
        <v>A/T S/I</v>
      </c>
      <c r="F740" s="64" t="s">
        <v>1268</v>
      </c>
      <c r="G740" s="64" t="s">
        <v>11</v>
      </c>
      <c r="H740" s="64" t="s">
        <v>1267</v>
      </c>
      <c r="I740" s="64" t="s">
        <v>1263</v>
      </c>
      <c r="J740" s="115">
        <v>16</v>
      </c>
      <c r="K740" s="115">
        <v>0</v>
      </c>
      <c r="L740" s="29">
        <f t="shared" si="92"/>
        <v>16</v>
      </c>
      <c r="M740" s="131"/>
      <c r="N740" s="18">
        <v>46071</v>
      </c>
      <c r="O740" s="93">
        <v>46066</v>
      </c>
    </row>
    <row r="741" spans="1:15" x14ac:dyDescent="0.25">
      <c r="A741" s="11">
        <f t="shared" ca="1" si="93"/>
        <v>-66</v>
      </c>
      <c r="B741" s="37">
        <f t="shared" si="94"/>
        <v>27</v>
      </c>
      <c r="C741" s="11" t="s">
        <v>38</v>
      </c>
      <c r="D741" s="11" t="str">
        <f>VLOOKUP(VALUE(MID($C741,13,2)), codigos!$A$2:$B$60, 2, 1) &amp; " " &amp; VLOOKUP(VALUE(MID($C741,15,4)), codigos!$E$2:$F$102, 2, FALSE)</f>
        <v>BUDINERA 42</v>
      </c>
      <c r="E741" s="11" t="str">
        <f>VLOOKUP(VALUE(MID($C741,19,2)),codigos!$H$2:$I$62,2,1) &amp; " " &amp; VLOOKUP(VALUE(MID($C741,21,2)),codigos!$K$2:$L$12,2,FALSE)</f>
        <v>A/T S/I</v>
      </c>
      <c r="F741" s="11" t="s">
        <v>1268</v>
      </c>
      <c r="G741" s="11" t="s">
        <v>11</v>
      </c>
      <c r="H741" s="11" t="s">
        <v>1267</v>
      </c>
      <c r="I741" s="11" t="s">
        <v>1263</v>
      </c>
      <c r="J741" s="25">
        <v>10</v>
      </c>
      <c r="K741" s="25">
        <v>10</v>
      </c>
      <c r="L741" s="15">
        <f t="shared" si="92"/>
        <v>0</v>
      </c>
      <c r="M741" s="131"/>
      <c r="N741" s="18">
        <v>46071</v>
      </c>
      <c r="O741" s="93">
        <v>46066</v>
      </c>
    </row>
    <row r="742" spans="1:15" x14ac:dyDescent="0.25">
      <c r="A742" s="11">
        <f t="shared" ca="1" si="93"/>
        <v>-66</v>
      </c>
      <c r="B742" s="37">
        <f t="shared" si="94"/>
        <v>27</v>
      </c>
      <c r="C742" s="11" t="s">
        <v>218</v>
      </c>
      <c r="D742" s="11" t="str">
        <f>VLOOKUP(VALUE(MID($C742,13,2)), codigos!$A$2:$B$60, 2, 1) &amp; " " &amp; VLOOKUP(VALUE(MID($C742,15,4)), codigos!$E$2:$F$102, 2, FALSE)</f>
        <v>CAZO 14</v>
      </c>
      <c r="E742" s="11" t="str">
        <f>VLOOKUP(VALUE(MID($C742,19,2)),codigos!$H$2:$I$62,2,1) &amp; " " &amp; VLOOKUP(VALUE(MID($C742,21,2)),codigos!$K$2:$L$12,2,FALSE)</f>
        <v>A/T S/I</v>
      </c>
      <c r="F742" s="11" t="s">
        <v>1268</v>
      </c>
      <c r="G742" s="11" t="s">
        <v>11</v>
      </c>
      <c r="H742" s="11" t="s">
        <v>1267</v>
      </c>
      <c r="I742" s="11" t="s">
        <v>1263</v>
      </c>
      <c r="J742" s="25">
        <v>12</v>
      </c>
      <c r="K742" s="25">
        <v>12</v>
      </c>
      <c r="L742" s="15">
        <f t="shared" si="92"/>
        <v>0</v>
      </c>
      <c r="M742" s="131"/>
      <c r="N742" s="18">
        <v>46071</v>
      </c>
      <c r="O742" s="93">
        <v>46066</v>
      </c>
    </row>
    <row r="743" spans="1:15" x14ac:dyDescent="0.25">
      <c r="A743" s="11">
        <f t="shared" ca="1" si="93"/>
        <v>-66</v>
      </c>
      <c r="B743" s="37">
        <f t="shared" si="94"/>
        <v>27</v>
      </c>
      <c r="C743" s="11" t="s">
        <v>219</v>
      </c>
      <c r="D743" s="11" t="str">
        <f>VLOOKUP(VALUE(MID($C743,13,2)), codigos!$A$2:$B$60, 2, 1) &amp; " " &amp; VLOOKUP(VALUE(MID($C743,15,4)), codigos!$E$2:$F$102, 2, FALSE)</f>
        <v>CAZO 16</v>
      </c>
      <c r="E743" s="11" t="str">
        <f>VLOOKUP(VALUE(MID($C743,19,2)),codigos!$H$2:$I$62,2,1) &amp; " " &amp; VLOOKUP(VALUE(MID($C743,21,2)),codigos!$K$2:$L$12,2,FALSE)</f>
        <v>A/T S/I</v>
      </c>
      <c r="F743" s="11" t="s">
        <v>1268</v>
      </c>
      <c r="G743" s="11" t="s">
        <v>11</v>
      </c>
      <c r="H743" s="11" t="s">
        <v>1267</v>
      </c>
      <c r="I743" s="11" t="s">
        <v>1263</v>
      </c>
      <c r="J743" s="25">
        <v>12</v>
      </c>
      <c r="K743" s="25">
        <v>12</v>
      </c>
      <c r="L743" s="15">
        <f t="shared" si="92"/>
        <v>0</v>
      </c>
      <c r="M743" s="131"/>
      <c r="N743" s="18">
        <v>46071</v>
      </c>
      <c r="O743" s="93">
        <v>46066</v>
      </c>
    </row>
    <row r="744" spans="1:15" x14ac:dyDescent="0.25">
      <c r="A744" s="11">
        <f t="shared" ca="1" si="93"/>
        <v>-66</v>
      </c>
      <c r="B744" s="37">
        <f t="shared" si="94"/>
        <v>27</v>
      </c>
      <c r="C744" s="11" t="s">
        <v>149</v>
      </c>
      <c r="D744" s="11" t="str">
        <f>VLOOKUP(VALUE(MID($C744,13,2)), codigos!$A$2:$B$60, 2, 1) &amp; " " &amp; VLOOKUP(VALUE(MID($C744,15,4)), codigos!$E$2:$F$102, 2, FALSE)</f>
        <v>COMAL 28</v>
      </c>
      <c r="E744" s="11" t="str">
        <f>VLOOKUP(VALUE(MID($C744,19,2)),codigos!$H$2:$I$62,2,1) &amp; " " &amp; VLOOKUP(VALUE(MID($C744,21,2)),codigos!$K$2:$L$12,2,FALSE)</f>
        <v>NEGRO MOTAS S/I</v>
      </c>
      <c r="F744" s="11" t="s">
        <v>1268</v>
      </c>
      <c r="G744" s="11" t="s">
        <v>11</v>
      </c>
      <c r="H744" s="11" t="s">
        <v>1267</v>
      </c>
      <c r="I744" s="11" t="s">
        <v>1263</v>
      </c>
      <c r="J744" s="25">
        <v>12</v>
      </c>
      <c r="K744" s="25">
        <v>12</v>
      </c>
      <c r="L744" s="15">
        <f t="shared" si="92"/>
        <v>0</v>
      </c>
      <c r="M744" s="131"/>
      <c r="N744" s="18">
        <v>46071</v>
      </c>
      <c r="O744" s="93">
        <v>46066</v>
      </c>
    </row>
    <row r="745" spans="1:15" x14ac:dyDescent="0.25">
      <c r="A745" s="11">
        <f t="shared" ca="1" si="93"/>
        <v>-66</v>
      </c>
      <c r="B745" s="37">
        <f t="shared" si="94"/>
        <v>27</v>
      </c>
      <c r="C745" s="11" t="s">
        <v>151</v>
      </c>
      <c r="D745" s="11" t="str">
        <f>VLOOKUP(VALUE(MID($C745,13,2)), codigos!$A$2:$B$60, 2, 1) &amp; " " &amp; VLOOKUP(VALUE(MID($C745,15,4)), codigos!$E$2:$F$102, 2, FALSE)</f>
        <v>OLLA CONVEXA 20</v>
      </c>
      <c r="E745" s="11" t="str">
        <f>VLOOKUP(VALUE(MID($C745,19,2)),codigos!$H$2:$I$62,2,1) &amp; " " &amp; VLOOKUP(VALUE(MID($C745,21,2)),codigos!$K$2:$L$12,2,FALSE)</f>
        <v>A/T S/I</v>
      </c>
      <c r="F745" s="11" t="s">
        <v>1268</v>
      </c>
      <c r="G745" s="11" t="s">
        <v>11</v>
      </c>
      <c r="H745" s="11" t="s">
        <v>1267</v>
      </c>
      <c r="I745" s="11" t="s">
        <v>1263</v>
      </c>
      <c r="J745" s="25">
        <v>12</v>
      </c>
      <c r="K745" s="25">
        <v>12</v>
      </c>
      <c r="L745" s="15">
        <f t="shared" si="92"/>
        <v>0</v>
      </c>
      <c r="M745" s="131"/>
      <c r="N745" s="18">
        <v>46071</v>
      </c>
      <c r="O745" s="93">
        <v>46066</v>
      </c>
    </row>
    <row r="746" spans="1:15" x14ac:dyDescent="0.25">
      <c r="A746" s="11">
        <f t="shared" ca="1" si="93"/>
        <v>-66</v>
      </c>
      <c r="B746" s="37">
        <f t="shared" si="94"/>
        <v>27</v>
      </c>
      <c r="C746" s="11" t="s">
        <v>152</v>
      </c>
      <c r="D746" s="11" t="str">
        <f>VLOOKUP(VALUE(MID($C746,13,2)), codigos!$A$2:$B$60, 2, 1) &amp; " " &amp; VLOOKUP(VALUE(MID($C746,15,4)), codigos!$E$2:$F$102, 2, FALSE)</f>
        <v>OLLA CONVEXA 24</v>
      </c>
      <c r="E746" s="11" t="str">
        <f>VLOOKUP(VALUE(MID($C746,19,2)),codigos!$H$2:$I$62,2,1) &amp; " " &amp; VLOOKUP(VALUE(MID($C746,21,2)),codigos!$K$2:$L$12,2,FALSE)</f>
        <v>A/T S/I</v>
      </c>
      <c r="F746" s="11" t="s">
        <v>1268</v>
      </c>
      <c r="G746" s="11" t="s">
        <v>11</v>
      </c>
      <c r="H746" s="11" t="s">
        <v>1267</v>
      </c>
      <c r="I746" s="11" t="s">
        <v>1263</v>
      </c>
      <c r="J746" s="25">
        <v>12</v>
      </c>
      <c r="K746" s="25">
        <v>12</v>
      </c>
      <c r="L746" s="15">
        <f t="shared" si="92"/>
        <v>0</v>
      </c>
      <c r="M746" s="131"/>
      <c r="N746" s="18">
        <v>46071</v>
      </c>
      <c r="O746" s="93">
        <v>46066</v>
      </c>
    </row>
    <row r="747" spans="1:15" x14ac:dyDescent="0.25">
      <c r="A747" s="11">
        <f t="shared" ca="1" si="93"/>
        <v>-66</v>
      </c>
      <c r="B747" s="37">
        <f t="shared" si="94"/>
        <v>27</v>
      </c>
      <c r="C747" s="11" t="s">
        <v>153</v>
      </c>
      <c r="D747" s="11" t="str">
        <f>VLOOKUP(VALUE(MID($C747,13,2)), codigos!$A$2:$B$60, 2, 1) &amp; " " &amp; VLOOKUP(VALUE(MID($C747,15,4)), codigos!$E$2:$F$102, 2, FALSE)</f>
        <v>OLLA CONVEXA 26</v>
      </c>
      <c r="E747" s="11" t="str">
        <f>VLOOKUP(VALUE(MID($C747,19,2)),codigos!$H$2:$I$62,2,1) &amp; " " &amp; VLOOKUP(VALUE(MID($C747,21,2)),codigos!$K$2:$L$12,2,FALSE)</f>
        <v>A/T S/I</v>
      </c>
      <c r="F747" s="11" t="s">
        <v>1268</v>
      </c>
      <c r="G747" s="11" t="s">
        <v>11</v>
      </c>
      <c r="H747" s="11" t="s">
        <v>1267</v>
      </c>
      <c r="I747" s="11" t="s">
        <v>1263</v>
      </c>
      <c r="J747" s="25">
        <v>12</v>
      </c>
      <c r="K747" s="25">
        <v>12</v>
      </c>
      <c r="L747" s="15">
        <f t="shared" si="92"/>
        <v>0</v>
      </c>
      <c r="M747" s="131"/>
      <c r="N747" s="18">
        <v>46071</v>
      </c>
      <c r="O747" s="93">
        <v>46066</v>
      </c>
    </row>
    <row r="748" spans="1:15" x14ac:dyDescent="0.25">
      <c r="A748" s="11">
        <f t="shared" ca="1" si="93"/>
        <v>-66</v>
      </c>
      <c r="B748" s="37">
        <f t="shared" si="94"/>
        <v>27</v>
      </c>
      <c r="C748" s="11" t="s">
        <v>154</v>
      </c>
      <c r="D748" s="11" t="str">
        <f>VLOOKUP(VALUE(MID($C748,13,2)), codigos!$A$2:$B$60, 2, 1) &amp; " " &amp; VLOOKUP(VALUE(MID($C748,15,4)), codigos!$E$2:$F$102, 2, FALSE)</f>
        <v>OLLA CONVEXA 30</v>
      </c>
      <c r="E748" s="11" t="str">
        <f>VLOOKUP(VALUE(MID($C748,19,2)),codigos!$H$2:$I$62,2,1) &amp; " " &amp; VLOOKUP(VALUE(MID($C748,21,2)),codigos!$K$2:$L$12,2,FALSE)</f>
        <v>A/T S/I</v>
      </c>
      <c r="F748" s="11" t="s">
        <v>1268</v>
      </c>
      <c r="G748" s="11" t="s">
        <v>11</v>
      </c>
      <c r="H748" s="11" t="s">
        <v>1267</v>
      </c>
      <c r="I748" s="11" t="s">
        <v>1263</v>
      </c>
      <c r="J748" s="25">
        <v>12</v>
      </c>
      <c r="K748" s="25">
        <v>12</v>
      </c>
      <c r="L748" s="15">
        <f t="shared" si="92"/>
        <v>0</v>
      </c>
      <c r="M748" s="131"/>
      <c r="N748" s="18">
        <v>46071</v>
      </c>
      <c r="O748" s="93">
        <v>46066</v>
      </c>
    </row>
    <row r="749" spans="1:15" x14ac:dyDescent="0.25">
      <c r="A749" s="11">
        <f t="shared" ca="1" si="93"/>
        <v>-66</v>
      </c>
      <c r="B749" s="37">
        <f t="shared" si="94"/>
        <v>27</v>
      </c>
      <c r="C749" s="11" t="s">
        <v>221</v>
      </c>
      <c r="D749" s="11" t="str">
        <f>VLOOKUP(VALUE(MID($C749,13,2)), codigos!$A$2:$B$60, 2, 1) &amp; " " &amp; VLOOKUP(VALUE(MID($C749,15,4)), codigos!$E$2:$F$102, 2, FALSE)</f>
        <v>OLLA CONVEXA 34</v>
      </c>
      <c r="E749" s="11" t="str">
        <f>VLOOKUP(VALUE(MID($C749,19,2)),codigos!$H$2:$I$62,2,1) &amp; " " &amp; VLOOKUP(VALUE(MID($C749,21,2)),codigos!$K$2:$L$12,2,FALSE)</f>
        <v>A/T S/I</v>
      </c>
      <c r="F749" s="11" t="s">
        <v>1268</v>
      </c>
      <c r="G749" s="11" t="s">
        <v>11</v>
      </c>
      <c r="H749" s="11" t="s">
        <v>1267</v>
      </c>
      <c r="I749" s="11" t="s">
        <v>1263</v>
      </c>
      <c r="J749" s="25">
        <v>12</v>
      </c>
      <c r="K749" s="25">
        <v>12</v>
      </c>
      <c r="L749" s="15">
        <f t="shared" si="92"/>
        <v>0</v>
      </c>
      <c r="M749" s="131"/>
      <c r="N749" s="18">
        <v>46071</v>
      </c>
      <c r="O749" s="93">
        <v>46066</v>
      </c>
    </row>
    <row r="750" spans="1:15" x14ac:dyDescent="0.25">
      <c r="A750" s="11">
        <f t="shared" ca="1" si="93"/>
        <v>-66</v>
      </c>
      <c r="B750" s="37">
        <f t="shared" si="94"/>
        <v>27</v>
      </c>
      <c r="C750" s="11" t="s">
        <v>260</v>
      </c>
      <c r="D750" s="11" t="str">
        <f>VLOOKUP(VALUE(MID($C750,13,2)), codigos!$A$2:$B$60, 2, 1) &amp; " " &amp; VLOOKUP(VALUE(MID($C750,15,4)), codigos!$E$2:$F$102, 2, FALSE)</f>
        <v>OLLA RECTA 20</v>
      </c>
      <c r="E750" s="11" t="str">
        <f>VLOOKUP(VALUE(MID($C750,19,2)),codigos!$H$2:$I$62,2,1) &amp; " " &amp; VLOOKUP(VALUE(MID($C750,21,2)),codigos!$K$2:$L$12,2,FALSE)</f>
        <v>A/T S/I</v>
      </c>
      <c r="F750" s="11" t="s">
        <v>1268</v>
      </c>
      <c r="G750" s="11" t="s">
        <v>11</v>
      </c>
      <c r="H750" s="11" t="s">
        <v>1267</v>
      </c>
      <c r="I750" s="11" t="s">
        <v>1263</v>
      </c>
      <c r="J750" s="25">
        <v>12</v>
      </c>
      <c r="K750" s="25">
        <v>12</v>
      </c>
      <c r="L750" s="15">
        <f t="shared" si="92"/>
        <v>0</v>
      </c>
      <c r="M750" s="131"/>
      <c r="N750" s="18">
        <v>46071</v>
      </c>
      <c r="O750" s="93">
        <v>46066</v>
      </c>
    </row>
    <row r="751" spans="1:15" x14ac:dyDescent="0.25">
      <c r="A751" s="11">
        <f t="shared" ca="1" si="93"/>
        <v>-66</v>
      </c>
      <c r="B751" s="37">
        <f t="shared" si="94"/>
        <v>27</v>
      </c>
      <c r="C751" s="11" t="s">
        <v>237</v>
      </c>
      <c r="D751" s="11" t="str">
        <f>VLOOKUP(VALUE(MID($C751,13,2)), codigos!$A$2:$B$60, 2, 1) &amp; " " &amp; VLOOKUP(VALUE(MID($C751,15,4)), codigos!$E$2:$F$102, 2, FALSE)</f>
        <v>OLLA RECTA 24</v>
      </c>
      <c r="E751" s="11" t="str">
        <f>VLOOKUP(VALUE(MID($C751,19,2)),codigos!$H$2:$I$62,2,1) &amp; " " &amp; VLOOKUP(VALUE(MID($C751,21,2)),codigos!$K$2:$L$12,2,FALSE)</f>
        <v>A/T S/I</v>
      </c>
      <c r="F751" s="11" t="s">
        <v>1268</v>
      </c>
      <c r="G751" s="11" t="s">
        <v>11</v>
      </c>
      <c r="H751" s="11" t="s">
        <v>1267</v>
      </c>
      <c r="I751" s="11" t="s">
        <v>1263</v>
      </c>
      <c r="J751" s="25">
        <v>12</v>
      </c>
      <c r="K751" s="25">
        <v>12</v>
      </c>
      <c r="L751" s="15">
        <f t="shared" si="92"/>
        <v>0</v>
      </c>
      <c r="M751" s="131"/>
      <c r="N751" s="18">
        <v>46071</v>
      </c>
      <c r="O751" s="93">
        <v>46066</v>
      </c>
    </row>
    <row r="752" spans="1:15" x14ac:dyDescent="0.25">
      <c r="A752" s="11">
        <f t="shared" ca="1" si="93"/>
        <v>-66</v>
      </c>
      <c r="B752" s="37">
        <f t="shared" si="94"/>
        <v>27</v>
      </c>
      <c r="C752" s="11" t="s">
        <v>224</v>
      </c>
      <c r="D752" s="11" t="str">
        <f>VLOOKUP(VALUE(MID($C752,13,2)), codigos!$A$2:$B$60, 2, 1) &amp; " " &amp; VLOOKUP(VALUE(MID($C752,15,4)), codigos!$E$2:$F$102, 2, FALSE)</f>
        <v>OLLA RECTA 26</v>
      </c>
      <c r="E752" s="11" t="str">
        <f>VLOOKUP(VALUE(MID($C752,19,2)),codigos!$H$2:$I$62,2,1) &amp; " " &amp; VLOOKUP(VALUE(MID($C752,21,2)),codigos!$K$2:$L$12,2,FALSE)</f>
        <v>A/T S/I</v>
      </c>
      <c r="F752" s="11" t="s">
        <v>1268</v>
      </c>
      <c r="G752" s="11" t="s">
        <v>11</v>
      </c>
      <c r="H752" s="11" t="s">
        <v>1267</v>
      </c>
      <c r="I752" s="11" t="s">
        <v>1263</v>
      </c>
      <c r="J752" s="25">
        <v>12</v>
      </c>
      <c r="K752" s="25">
        <f>6+1+5</f>
        <v>12</v>
      </c>
      <c r="L752" s="15">
        <f t="shared" si="92"/>
        <v>0</v>
      </c>
      <c r="M752" s="131"/>
      <c r="N752" s="18">
        <v>46071</v>
      </c>
      <c r="O752" s="93">
        <v>46066</v>
      </c>
    </row>
    <row r="753" spans="1:16" x14ac:dyDescent="0.25">
      <c r="A753" s="11">
        <f t="shared" ca="1" si="93"/>
        <v>-66</v>
      </c>
      <c r="B753" s="37">
        <f t="shared" si="94"/>
        <v>27</v>
      </c>
      <c r="C753" s="11" t="s">
        <v>336</v>
      </c>
      <c r="D753" s="11" t="str">
        <f>VLOOKUP(VALUE(MID($C753,13,2)), codigos!$A$2:$B$60, 2, 1) &amp; " " &amp; VLOOKUP(VALUE(MID($C753,15,4)), codigos!$E$2:$F$102, 2, FALSE)</f>
        <v>OLLA RECTA 28</v>
      </c>
      <c r="E753" s="11" t="str">
        <f>VLOOKUP(VALUE(MID($C753,19,2)),codigos!$H$2:$I$62,2,1) &amp; " " &amp; VLOOKUP(VALUE(MID($C753,21,2)),codigos!$K$2:$L$12,2,FALSE)</f>
        <v>A/T S/I</v>
      </c>
      <c r="F753" s="11" t="s">
        <v>1268</v>
      </c>
      <c r="G753" s="11" t="s">
        <v>11</v>
      </c>
      <c r="H753" s="11" t="s">
        <v>1267</v>
      </c>
      <c r="I753" s="11" t="s">
        <v>1263</v>
      </c>
      <c r="J753" s="25">
        <v>12</v>
      </c>
      <c r="K753" s="25">
        <v>12</v>
      </c>
      <c r="L753" s="15">
        <f t="shared" si="92"/>
        <v>0</v>
      </c>
      <c r="M753" s="131"/>
      <c r="N753" s="18">
        <v>46071</v>
      </c>
      <c r="O753" s="93">
        <v>46066</v>
      </c>
    </row>
    <row r="754" spans="1:16" x14ac:dyDescent="0.25">
      <c r="A754" s="11">
        <f t="shared" ca="1" si="93"/>
        <v>-66</v>
      </c>
      <c r="B754" s="37">
        <f t="shared" si="94"/>
        <v>27</v>
      </c>
      <c r="C754" s="11" t="s">
        <v>155</v>
      </c>
      <c r="D754" s="11" t="str">
        <f>VLOOKUP(VALUE(MID($C754,13,2)), codigos!$A$2:$B$60, 2, 1) &amp; " " &amp; VLOOKUP(VALUE(MID($C754,15,4)), codigos!$E$2:$F$102, 2, FALSE)</f>
        <v>OLLA RECTA 30</v>
      </c>
      <c r="E754" s="11" t="str">
        <f>VLOOKUP(VALUE(MID($C754,19,2)),codigos!$H$2:$I$62,2,1) &amp; " " &amp; VLOOKUP(VALUE(MID($C754,21,2)),codigos!$K$2:$L$12,2,FALSE)</f>
        <v>A/T S/I</v>
      </c>
      <c r="F754" s="11" t="s">
        <v>1268</v>
      </c>
      <c r="G754" s="11" t="s">
        <v>11</v>
      </c>
      <c r="H754" s="11" t="s">
        <v>1267</v>
      </c>
      <c r="I754" s="11" t="s">
        <v>1263</v>
      </c>
      <c r="J754" s="25">
        <v>12</v>
      </c>
      <c r="K754" s="25">
        <v>12</v>
      </c>
      <c r="L754" s="15">
        <f t="shared" si="92"/>
        <v>0</v>
      </c>
      <c r="M754" s="131"/>
      <c r="N754" s="18">
        <v>46071</v>
      </c>
      <c r="O754" s="93">
        <v>46066</v>
      </c>
    </row>
    <row r="755" spans="1:16" x14ac:dyDescent="0.25">
      <c r="A755" s="11">
        <f t="shared" ca="1" si="93"/>
        <v>-66</v>
      </c>
      <c r="B755" s="37">
        <f t="shared" si="94"/>
        <v>27</v>
      </c>
      <c r="C755" s="11" t="s">
        <v>156</v>
      </c>
      <c r="D755" s="11" t="str">
        <f>VLOOKUP(VALUE(MID($C755,13,2)), codigos!$A$2:$B$60, 2, 1) &amp; " " &amp; VLOOKUP(VALUE(MID($C755,15,4)), codigos!$E$2:$F$102, 2, FALSE)</f>
        <v>OLLA RECTA 34</v>
      </c>
      <c r="E755" s="11" t="str">
        <f>VLOOKUP(VALUE(MID($C755,19,2)),codigos!$H$2:$I$62,2,1) &amp; " " &amp; VLOOKUP(VALUE(MID($C755,21,2)),codigos!$K$2:$L$12,2,FALSE)</f>
        <v>A/T S/I</v>
      </c>
      <c r="F755" s="11" t="s">
        <v>1268</v>
      </c>
      <c r="G755" s="11" t="s">
        <v>11</v>
      </c>
      <c r="H755" s="11" t="s">
        <v>1267</v>
      </c>
      <c r="I755" s="11" t="s">
        <v>1263</v>
      </c>
      <c r="J755" s="25">
        <v>12</v>
      </c>
      <c r="K755" s="25">
        <v>12</v>
      </c>
      <c r="L755" s="15">
        <f t="shared" si="92"/>
        <v>0</v>
      </c>
      <c r="M755" s="131"/>
      <c r="N755" s="18">
        <v>46071</v>
      </c>
      <c r="O755" s="93">
        <v>46066</v>
      </c>
    </row>
    <row r="756" spans="1:16" x14ac:dyDescent="0.25">
      <c r="A756" s="11">
        <f t="shared" ca="1" si="93"/>
        <v>-66</v>
      </c>
      <c r="B756" s="37">
        <f t="shared" si="94"/>
        <v>27</v>
      </c>
      <c r="C756" s="64" t="s">
        <v>157</v>
      </c>
      <c r="D756" s="64" t="str">
        <f>VLOOKUP(VALUE(MID($C756,13,2)), codigos!$A$2:$B$60, 2, 1) &amp; " " &amp; VLOOKUP(VALUE(MID($C756,15,4)), codigos!$E$2:$F$102, 2, FALSE)</f>
        <v>OLLA RECTA 42</v>
      </c>
      <c r="E756" s="64" t="str">
        <f>VLOOKUP(VALUE(MID($C756,19,2)),codigos!$H$2:$I$62,2,1) &amp; " " &amp; VLOOKUP(VALUE(MID($C756,21,2)),codigos!$K$2:$L$12,2,FALSE)</f>
        <v>A/T S/I</v>
      </c>
      <c r="F756" s="64" t="s">
        <v>1268</v>
      </c>
      <c r="G756" s="64" t="s">
        <v>11</v>
      </c>
      <c r="H756" s="64" t="s">
        <v>1267</v>
      </c>
      <c r="I756" s="64" t="s">
        <v>1263</v>
      </c>
      <c r="J756" s="115">
        <v>4</v>
      </c>
      <c r="K756" s="115">
        <v>0</v>
      </c>
      <c r="L756" s="29">
        <f t="shared" si="92"/>
        <v>4</v>
      </c>
      <c r="M756" s="131"/>
      <c r="N756" s="18">
        <v>46071</v>
      </c>
      <c r="O756" s="93">
        <v>46066</v>
      </c>
    </row>
    <row r="757" spans="1:16" x14ac:dyDescent="0.25">
      <c r="A757" s="11">
        <f t="shared" ca="1" si="93"/>
        <v>-66</v>
      </c>
      <c r="B757" s="37">
        <f t="shared" si="94"/>
        <v>27</v>
      </c>
      <c r="C757" s="11" t="s">
        <v>225</v>
      </c>
      <c r="D757" s="11" t="str">
        <f>VLOOKUP(VALUE(MID($C757,13,2)), codigos!$A$2:$B$60, 2, 1) &amp; " " &amp; VLOOKUP(VALUE(MID($C757,15,4)), codigos!$E$2:$F$102, 2, FALSE)</f>
        <v>POCILLO 8</v>
      </c>
      <c r="E757" s="11" t="str">
        <f>VLOOKUP(VALUE(MID($C757,19,2)),codigos!$H$2:$I$62,2,1) &amp; " " &amp; VLOOKUP(VALUE(MID($C757,21,2)),codigos!$K$2:$L$12,2,FALSE)</f>
        <v>A/T S/I</v>
      </c>
      <c r="F757" s="11" t="s">
        <v>1268</v>
      </c>
      <c r="G757" s="11" t="s">
        <v>11</v>
      </c>
      <c r="H757" s="11" t="s">
        <v>1267</v>
      </c>
      <c r="I757" s="11" t="s">
        <v>1263</v>
      </c>
      <c r="J757" s="25">
        <v>24</v>
      </c>
      <c r="K757" s="25">
        <f>8+16</f>
        <v>24</v>
      </c>
      <c r="L757" s="15">
        <f t="shared" si="92"/>
        <v>0</v>
      </c>
      <c r="M757" s="131"/>
      <c r="N757" s="18">
        <v>46071</v>
      </c>
      <c r="O757" s="93">
        <v>46066</v>
      </c>
    </row>
    <row r="758" spans="1:16" x14ac:dyDescent="0.25">
      <c r="A758" s="11">
        <f t="shared" ca="1" si="93"/>
        <v>-66</v>
      </c>
      <c r="B758" s="37">
        <f t="shared" si="94"/>
        <v>27</v>
      </c>
      <c r="C758" s="11" t="s">
        <v>226</v>
      </c>
      <c r="D758" s="11" t="str">
        <f>VLOOKUP(VALUE(MID($C758,13,2)), codigos!$A$2:$B$60, 2, 1) &amp; " " &amp; VLOOKUP(VALUE(MID($C758,15,4)), codigos!$E$2:$F$102, 2, FALSE)</f>
        <v>POCILLO 10</v>
      </c>
      <c r="E758" s="11" t="str">
        <f>VLOOKUP(VALUE(MID($C758,19,2)),codigos!$H$2:$I$62,2,1) &amp; " " &amp; VLOOKUP(VALUE(MID($C758,21,2)),codigos!$K$2:$L$12,2,FALSE)</f>
        <v>A/T S/I</v>
      </c>
      <c r="F758" s="11" t="s">
        <v>1268</v>
      </c>
      <c r="G758" s="11" t="s">
        <v>11</v>
      </c>
      <c r="H758" s="11" t="s">
        <v>1267</v>
      </c>
      <c r="I758" s="11" t="s">
        <v>1263</v>
      </c>
      <c r="J758" s="25">
        <v>24</v>
      </c>
      <c r="K758" s="25">
        <v>24</v>
      </c>
      <c r="L758" s="15">
        <f t="shared" si="92"/>
        <v>0</v>
      </c>
      <c r="M758" s="131"/>
      <c r="N758" s="18">
        <v>46071</v>
      </c>
      <c r="O758" s="93">
        <v>46066</v>
      </c>
    </row>
    <row r="759" spans="1:16" x14ac:dyDescent="0.25">
      <c r="A759" s="11">
        <f t="shared" ca="1" si="93"/>
        <v>-66</v>
      </c>
      <c r="B759" s="37">
        <f t="shared" si="94"/>
        <v>27</v>
      </c>
      <c r="C759" s="11" t="s">
        <v>180</v>
      </c>
      <c r="D759" s="11" t="str">
        <f>VLOOKUP(VALUE(MID($C759,13,2)), codigos!$A$2:$B$60, 2, 1) &amp; " " &amp; VLOOKUP(VALUE(MID($C759,15,4)), codigos!$E$2:$F$102, 2, FALSE)</f>
        <v>POCILLO 12</v>
      </c>
      <c r="E759" s="11" t="str">
        <f>VLOOKUP(VALUE(MID($C759,19,2)),codigos!$H$2:$I$62,2,1) &amp; " " &amp; VLOOKUP(VALUE(MID($C759,21,2)),codigos!$K$2:$L$12,2,FALSE)</f>
        <v>A/T S/I</v>
      </c>
      <c r="F759" s="11" t="s">
        <v>1268</v>
      </c>
      <c r="G759" s="11" t="s">
        <v>11</v>
      </c>
      <c r="H759" s="11" t="s">
        <v>1267</v>
      </c>
      <c r="I759" s="11" t="s">
        <v>1263</v>
      </c>
      <c r="J759" s="25">
        <v>72</v>
      </c>
      <c r="K759" s="25">
        <v>72</v>
      </c>
      <c r="L759" s="15">
        <f t="shared" si="92"/>
        <v>0</v>
      </c>
      <c r="M759" s="131"/>
      <c r="N759" s="18">
        <v>46071</v>
      </c>
      <c r="O759" s="93">
        <v>46066</v>
      </c>
    </row>
    <row r="760" spans="1:16" x14ac:dyDescent="0.25">
      <c r="A760" s="11">
        <f t="shared" ca="1" si="93"/>
        <v>-66</v>
      </c>
      <c r="B760" s="37">
        <f t="shared" si="94"/>
        <v>27</v>
      </c>
      <c r="C760" s="11" t="s">
        <v>182</v>
      </c>
      <c r="D760" s="11" t="str">
        <f>VLOOKUP(VALUE(MID($C760,13,2)), codigos!$A$2:$B$60, 2, 1) &amp; " " &amp; VLOOKUP(VALUE(MID($C760,15,4)), codigos!$E$2:$F$102, 2, FALSE)</f>
        <v>POCILLO 14</v>
      </c>
      <c r="E760" s="11" t="str">
        <f>VLOOKUP(VALUE(MID($C760,19,2)),codigos!$H$2:$I$62,2,1) &amp; " " &amp; VLOOKUP(VALUE(MID($C760,21,2)),codigos!$K$2:$L$12,2,FALSE)</f>
        <v>A/T S/I</v>
      </c>
      <c r="F760" s="11" t="s">
        <v>1268</v>
      </c>
      <c r="G760" s="11" t="s">
        <v>11</v>
      </c>
      <c r="H760" s="11" t="s">
        <v>1267</v>
      </c>
      <c r="I760" s="11" t="s">
        <v>1263</v>
      </c>
      <c r="J760" s="25">
        <v>48</v>
      </c>
      <c r="K760" s="25">
        <f>4+44</f>
        <v>48</v>
      </c>
      <c r="L760" s="15">
        <f t="shared" si="92"/>
        <v>0</v>
      </c>
      <c r="M760" s="131"/>
      <c r="N760" s="18">
        <v>46071</v>
      </c>
      <c r="O760" s="93">
        <v>46066</v>
      </c>
    </row>
    <row r="761" spans="1:16" x14ac:dyDescent="0.25">
      <c r="A761" s="11">
        <f t="shared" ca="1" si="93"/>
        <v>-66</v>
      </c>
      <c r="B761" s="37">
        <f t="shared" si="94"/>
        <v>27</v>
      </c>
      <c r="C761" s="11" t="s">
        <v>262</v>
      </c>
      <c r="D761" s="11" t="str">
        <f>VLOOKUP(VALUE(MID($C761,13,2)), codigos!$A$2:$B$60, 2, 1) &amp; " " &amp; VLOOKUP(VALUE(MID($C761,15,4)), codigos!$E$2:$F$102, 2, FALSE)</f>
        <v>SARTEN 20</v>
      </c>
      <c r="E761" s="11" t="str">
        <f>VLOOKUP(VALUE(MID($C761,19,2)),codigos!$H$2:$I$62,2,1) &amp; " " &amp; VLOOKUP(VALUE(MID($C761,21,2)),codigos!$K$2:$L$12,2,FALSE)</f>
        <v>A/T S/I</v>
      </c>
      <c r="F761" s="11" t="s">
        <v>1268</v>
      </c>
      <c r="G761" s="11" t="s">
        <v>11</v>
      </c>
      <c r="H761" s="11" t="s">
        <v>1267</v>
      </c>
      <c r="I761" s="11" t="s">
        <v>1263</v>
      </c>
      <c r="J761" s="25">
        <v>12</v>
      </c>
      <c r="K761" s="25">
        <v>12</v>
      </c>
      <c r="L761" s="15">
        <f t="shared" si="92"/>
        <v>0</v>
      </c>
      <c r="M761" s="131"/>
      <c r="N761" s="18">
        <v>46071</v>
      </c>
      <c r="O761" s="93">
        <v>46066</v>
      </c>
    </row>
    <row r="762" spans="1:16" x14ac:dyDescent="0.25">
      <c r="A762" s="11">
        <f t="shared" ca="1" si="93"/>
        <v>-66</v>
      </c>
      <c r="B762" s="37">
        <f t="shared" si="94"/>
        <v>27</v>
      </c>
      <c r="C762" s="11" t="s">
        <v>44</v>
      </c>
      <c r="D762" s="11" t="str">
        <f>VLOOKUP(VALUE(MID($C762,13,2)), codigos!$A$2:$B$60, 2, 1) &amp; " " &amp; VLOOKUP(VALUE(MID($C762,15,4)), codigos!$E$2:$F$102, 2, FALSE)</f>
        <v>SARTEN 24</v>
      </c>
      <c r="E762" s="11" t="str">
        <f>VLOOKUP(VALUE(MID($C762,19,2)),codigos!$H$2:$I$62,2,1) &amp; " " &amp; VLOOKUP(VALUE(MID($C762,21,2)),codigos!$K$2:$L$12,2,FALSE)</f>
        <v>A/T S/I</v>
      </c>
      <c r="F762" s="11" t="s">
        <v>1268</v>
      </c>
      <c r="G762" s="11" t="s">
        <v>11</v>
      </c>
      <c r="H762" s="11" t="s">
        <v>1267</v>
      </c>
      <c r="I762" s="11" t="s">
        <v>1263</v>
      </c>
      <c r="J762" s="25">
        <v>12</v>
      </c>
      <c r="K762" s="25">
        <v>12</v>
      </c>
      <c r="L762" s="15">
        <f t="shared" si="92"/>
        <v>0</v>
      </c>
      <c r="M762" s="131"/>
      <c r="N762" s="18">
        <v>46071</v>
      </c>
      <c r="O762" s="93">
        <v>46066</v>
      </c>
    </row>
    <row r="763" spans="1:16" x14ac:dyDescent="0.25">
      <c r="A763" s="11">
        <f t="shared" ca="1" si="93"/>
        <v>-66</v>
      </c>
      <c r="B763" s="37">
        <f t="shared" si="94"/>
        <v>27</v>
      </c>
      <c r="C763" s="11" t="s">
        <v>239</v>
      </c>
      <c r="D763" s="11" t="str">
        <f>VLOOKUP(VALUE(MID($C763,13,2)), codigos!$A$2:$B$60, 2, 1) &amp; " " &amp; VLOOKUP(VALUE(MID($C763,15,4)), codigos!$E$2:$F$102, 2, FALSE)</f>
        <v>SARTEN 26</v>
      </c>
      <c r="E763" s="11" t="str">
        <f>VLOOKUP(VALUE(MID($C763,19,2)),codigos!$H$2:$I$62,2,1) &amp; " " &amp; VLOOKUP(VALUE(MID($C763,21,2)),codigos!$K$2:$L$12,2,FALSE)</f>
        <v>A/T S/I</v>
      </c>
      <c r="F763" s="11" t="s">
        <v>1268</v>
      </c>
      <c r="G763" s="11" t="s">
        <v>11</v>
      </c>
      <c r="H763" s="11" t="s">
        <v>1267</v>
      </c>
      <c r="I763" s="11" t="s">
        <v>1263</v>
      </c>
      <c r="J763" s="25">
        <v>12</v>
      </c>
      <c r="K763" s="25">
        <v>12</v>
      </c>
      <c r="L763" s="15">
        <f t="shared" si="92"/>
        <v>0</v>
      </c>
      <c r="M763" s="131"/>
      <c r="N763" s="18">
        <v>46071</v>
      </c>
      <c r="O763" s="93">
        <v>46066</v>
      </c>
    </row>
    <row r="764" spans="1:16" x14ac:dyDescent="0.25">
      <c r="A764" s="11">
        <f t="shared" ca="1" si="93"/>
        <v>-66</v>
      </c>
      <c r="B764" s="37">
        <f t="shared" si="94"/>
        <v>27</v>
      </c>
      <c r="C764" s="11" t="s">
        <v>238</v>
      </c>
      <c r="D764" s="11" t="str">
        <f>VLOOKUP(VALUE(MID($C764,13,2)), codigos!$A$2:$B$60, 2, 1) &amp; " " &amp; VLOOKUP(VALUE(MID($C764,15,4)), codigos!$E$2:$F$102, 2, FALSE)</f>
        <v>OLLA RECTA 38</v>
      </c>
      <c r="E764" s="11" t="str">
        <f>VLOOKUP(VALUE(MID($C764,19,2)),codigos!$H$2:$I$62,2,1) &amp; " " &amp; VLOOKUP(VALUE(MID($C764,21,2)),codigos!$K$2:$L$12,2,FALSE)</f>
        <v>A/T S/I</v>
      </c>
      <c r="F764" s="11" t="s">
        <v>1268</v>
      </c>
      <c r="G764" s="11" t="s">
        <v>11</v>
      </c>
      <c r="H764" s="11" t="s">
        <v>1267</v>
      </c>
      <c r="I764" s="11" t="s">
        <v>1263</v>
      </c>
      <c r="J764" s="25">
        <v>4</v>
      </c>
      <c r="K764" s="25">
        <v>4</v>
      </c>
      <c r="L764" s="15">
        <f t="shared" si="92"/>
        <v>0</v>
      </c>
      <c r="M764" s="131"/>
      <c r="N764" s="18">
        <v>46071</v>
      </c>
      <c r="O764" s="93">
        <v>46066</v>
      </c>
    </row>
    <row r="765" spans="1:16" x14ac:dyDescent="0.25">
      <c r="A765" s="11">
        <f t="shared" ref="A765:A787" ca="1" si="95">DAYS360($B$1,I765)</f>
        <v>-54</v>
      </c>
      <c r="B765" s="37">
        <f t="shared" ref="B765:B787" si="96">+N765-I765</f>
        <v>14</v>
      </c>
      <c r="C765" s="11" t="s">
        <v>969</v>
      </c>
      <c r="D765" s="11" t="str">
        <f>VLOOKUP(VALUE(MID($C765,13,2)), [2]codigos!$A$2:$B$60, 2, 1) &amp; " " &amp; VLOOKUP(VALUE(MID($C765,15,4)), [2]codigos!$E$2:$F$102, 2, FALSE)</f>
        <v>CHAROLA DE SERVICIO 45</v>
      </c>
      <c r="E765" s="11" t="str">
        <f>VLOOKUP(VALUE(MID($C765,19,2)),[2]codigos!$H$2:$I$62,2,1) &amp; " " &amp; VLOOKUP(VALUE(MID($C765,21,2)),[2]codigos!$K$2:$L$12,2,FALSE)</f>
        <v>BLANCO  S/I</v>
      </c>
      <c r="F765" s="11" t="s">
        <v>553</v>
      </c>
      <c r="G765" s="11" t="s">
        <v>16</v>
      </c>
      <c r="H765" s="52" t="s">
        <v>1318</v>
      </c>
      <c r="I765" s="20" t="s">
        <v>1319</v>
      </c>
      <c r="J765" s="11">
        <v>2</v>
      </c>
      <c r="K765" s="11">
        <v>2</v>
      </c>
      <c r="L765" s="11">
        <f t="shared" ref="L765:L787" si="97">J765-K765</f>
        <v>0</v>
      </c>
      <c r="M765" s="131">
        <f>(SUM(K765:K787))/(SUM(J765:J787))</f>
        <v>1</v>
      </c>
      <c r="N765" s="18">
        <v>46071</v>
      </c>
      <c r="O765" s="93">
        <v>46065</v>
      </c>
      <c r="P765" s="18"/>
    </row>
    <row r="766" spans="1:16" x14ac:dyDescent="0.25">
      <c r="A766" s="11">
        <f t="shared" ca="1" si="95"/>
        <v>-54</v>
      </c>
      <c r="B766" s="37">
        <f t="shared" si="96"/>
        <v>14</v>
      </c>
      <c r="C766" s="11" t="s">
        <v>967</v>
      </c>
      <c r="D766" s="11" t="str">
        <f>VLOOKUP(VALUE(MID($C766,13,2)), [2]codigos!$A$2:$B$60, 2, 1) &amp; " " &amp; VLOOKUP(VALUE(MID($C766,15,4)), [2]codigos!$E$2:$F$102, 2, FALSE)</f>
        <v>JARRA RECTA 2.5 LTS</v>
      </c>
      <c r="E766" s="11" t="str">
        <f>VLOOKUP(VALUE(MID($C766,19,2)),[2]codigos!$H$2:$I$62,2,1) &amp; " " &amp; VLOOKUP(VALUE(MID($C766,21,2)),[2]codigos!$K$2:$L$12,2,FALSE)</f>
        <v>NEGRO MOTAS S/I</v>
      </c>
      <c r="F766" s="11" t="s">
        <v>553</v>
      </c>
      <c r="G766" s="11" t="s">
        <v>16</v>
      </c>
      <c r="H766" s="52" t="s">
        <v>1318</v>
      </c>
      <c r="I766" s="20" t="s">
        <v>1319</v>
      </c>
      <c r="J766" s="11">
        <v>2</v>
      </c>
      <c r="K766" s="11">
        <v>2</v>
      </c>
      <c r="L766" s="11">
        <f t="shared" si="97"/>
        <v>0</v>
      </c>
      <c r="M766" s="131"/>
      <c r="N766" s="18">
        <v>46071</v>
      </c>
      <c r="O766" s="93">
        <v>46065</v>
      </c>
      <c r="P766" s="18"/>
    </row>
    <row r="767" spans="1:16" x14ac:dyDescent="0.25">
      <c r="A767" s="11">
        <f t="shared" ca="1" si="95"/>
        <v>-54</v>
      </c>
      <c r="B767" s="37">
        <f t="shared" si="96"/>
        <v>14</v>
      </c>
      <c r="C767" s="11" t="s">
        <v>971</v>
      </c>
      <c r="D767" s="11" t="str">
        <f>VLOOKUP(VALUE(MID($C767,13,2)), [2]codigos!$A$2:$B$60, 2, 1) &amp; " " &amp; VLOOKUP(VALUE(MID($C767,15,4)), [2]codigos!$E$2:$F$102, 2, FALSE)</f>
        <v>PLATO LISO 20</v>
      </c>
      <c r="E767" s="11" t="str">
        <f>VLOOKUP(VALUE(MID($C767,19,2)),[2]codigos!$H$2:$I$62,2,1) &amp; " " &amp; VLOOKUP(VALUE(MID($C767,21,2)),[2]codigos!$K$2:$L$12,2,FALSE)</f>
        <v>BLANCO  NEGRO</v>
      </c>
      <c r="F767" s="11" t="s">
        <v>553</v>
      </c>
      <c r="G767" s="11" t="s">
        <v>16</v>
      </c>
      <c r="H767" s="52" t="s">
        <v>1318</v>
      </c>
      <c r="I767" s="20" t="s">
        <v>1319</v>
      </c>
      <c r="J767" s="11">
        <v>8</v>
      </c>
      <c r="K767" s="11">
        <f>4+4</f>
        <v>8</v>
      </c>
      <c r="L767" s="11">
        <f t="shared" si="97"/>
        <v>0</v>
      </c>
      <c r="M767" s="131"/>
      <c r="N767" s="18">
        <v>46071</v>
      </c>
      <c r="O767" s="93">
        <v>46065</v>
      </c>
      <c r="P767" s="18"/>
    </row>
    <row r="768" spans="1:16" x14ac:dyDescent="0.25">
      <c r="A768" s="11">
        <f t="shared" ca="1" si="95"/>
        <v>-54</v>
      </c>
      <c r="B768" s="37">
        <f t="shared" si="96"/>
        <v>14</v>
      </c>
      <c r="C768" s="11" t="s">
        <v>558</v>
      </c>
      <c r="D768" s="11" t="str">
        <f>VLOOKUP(VALUE(MID($C768,13,2)), [2]codigos!$A$2:$B$60, 2, 1) &amp; " " &amp; VLOOKUP(VALUE(MID($C768,15,4)), [2]codigos!$E$2:$F$102, 2, FALSE)</f>
        <v>PLATO LISO 12</v>
      </c>
      <c r="E768" s="11" t="str">
        <f>VLOOKUP(VALUE(MID($C768,19,2)),[2]codigos!$H$2:$I$62,2,1) &amp; " " &amp; VLOOKUP(VALUE(MID($C768,21,2)),[2]codigos!$K$2:$L$12,2,FALSE)</f>
        <v>BLANCO  NEGRO</v>
      </c>
      <c r="F768" s="11" t="s">
        <v>553</v>
      </c>
      <c r="G768" s="11" t="s">
        <v>16</v>
      </c>
      <c r="H768" s="52" t="s">
        <v>1318</v>
      </c>
      <c r="I768" s="20" t="s">
        <v>1319</v>
      </c>
      <c r="J768" s="11">
        <v>6</v>
      </c>
      <c r="K768" s="11">
        <v>6</v>
      </c>
      <c r="L768" s="11">
        <f t="shared" si="97"/>
        <v>0</v>
      </c>
      <c r="M768" s="131"/>
      <c r="N768" s="18">
        <v>46071</v>
      </c>
      <c r="O768" s="93">
        <v>46065</v>
      </c>
      <c r="P768" s="18"/>
    </row>
    <row r="769" spans="1:16" x14ac:dyDescent="0.25">
      <c r="A769" s="11">
        <f t="shared" ca="1" si="95"/>
        <v>-54</v>
      </c>
      <c r="B769" s="37">
        <f t="shared" si="96"/>
        <v>14</v>
      </c>
      <c r="C769" s="11" t="s">
        <v>1320</v>
      </c>
      <c r="D769" s="11" t="str">
        <f>VLOOKUP(VALUE(MID($C769,13,2)), [2]codigos!$A$2:$B$60, 2, 1) &amp; " " &amp; VLOOKUP(VALUE(MID($C769,15,4)), [2]codigos!$E$2:$F$102, 2, FALSE)</f>
        <v>PLATO LISO 24</v>
      </c>
      <c r="E769" s="11" t="str">
        <f>VLOOKUP(VALUE(MID($C769,19,2)),[2]codigos!$H$2:$I$62,2,1) &amp; " " &amp; VLOOKUP(VALUE(MID($C769,21,2)),[2]codigos!$K$2:$L$12,2,FALSE)</f>
        <v>NEGRO MOTAS S/I</v>
      </c>
      <c r="F769" s="11" t="s">
        <v>553</v>
      </c>
      <c r="G769" s="11" t="s">
        <v>16</v>
      </c>
      <c r="H769" s="52" t="s">
        <v>1318</v>
      </c>
      <c r="I769" s="20" t="s">
        <v>1319</v>
      </c>
      <c r="J769" s="11">
        <v>3</v>
      </c>
      <c r="K769" s="11">
        <v>3</v>
      </c>
      <c r="L769" s="11">
        <f t="shared" si="97"/>
        <v>0</v>
      </c>
      <c r="M769" s="131"/>
      <c r="N769" s="18">
        <v>46071</v>
      </c>
      <c r="O769" s="93">
        <v>46065</v>
      </c>
      <c r="P769" s="18"/>
    </row>
    <row r="770" spans="1:16" x14ac:dyDescent="0.25">
      <c r="A770" s="11">
        <f t="shared" ca="1" si="95"/>
        <v>-54</v>
      </c>
      <c r="B770" s="37">
        <f t="shared" si="96"/>
        <v>14</v>
      </c>
      <c r="C770" s="11" t="s">
        <v>1321</v>
      </c>
      <c r="D770" s="11" t="str">
        <f>VLOOKUP(VALUE(MID($C770,13,2)), [2]codigos!$A$2:$B$60, 2, 1) &amp; " " &amp; VLOOKUP(VALUE(MID($C770,15,4)), [2]codigos!$E$2:$F$102, 2, FALSE)</f>
        <v>PLATO HONDO 27</v>
      </c>
      <c r="E770" s="11" t="str">
        <f>VLOOKUP(VALUE(MID($C770,19,2)),[2]codigos!$H$2:$I$62,2,1) &amp; " " &amp; VLOOKUP(VALUE(MID($C770,21,2)),[2]codigos!$K$2:$L$12,2,FALSE)</f>
        <v>NEGRO MOTAS S/I</v>
      </c>
      <c r="F770" s="11" t="s">
        <v>553</v>
      </c>
      <c r="G770" s="11" t="s">
        <v>16</v>
      </c>
      <c r="H770" s="52" t="s">
        <v>1318</v>
      </c>
      <c r="I770" s="20" t="s">
        <v>1319</v>
      </c>
      <c r="J770" s="11">
        <v>2</v>
      </c>
      <c r="K770" s="11">
        <v>2</v>
      </c>
      <c r="L770" s="11">
        <f t="shared" si="97"/>
        <v>0</v>
      </c>
      <c r="M770" s="131"/>
      <c r="N770" s="18">
        <v>46071</v>
      </c>
      <c r="O770" s="93">
        <v>46065</v>
      </c>
      <c r="P770" s="18"/>
    </row>
    <row r="771" spans="1:16" x14ac:dyDescent="0.25">
      <c r="A771" s="11">
        <f t="shared" ca="1" si="95"/>
        <v>-54</v>
      </c>
      <c r="B771" s="37">
        <f t="shared" si="96"/>
        <v>14</v>
      </c>
      <c r="C771" s="11" t="s">
        <v>972</v>
      </c>
      <c r="D771" s="11" t="str">
        <f>VLOOKUP(VALUE(MID($C771,13,2)), [2]codigos!$A$2:$B$60, 2, 1) &amp; " " &amp; VLOOKUP(VALUE(MID($C771,15,4)), [2]codigos!$E$2:$F$102, 2, FALSE)</f>
        <v>BUDINERA   12</v>
      </c>
      <c r="E771" s="11" t="str">
        <f>VLOOKUP(VALUE(MID($C771,19,2)),[2]codigos!$H$2:$I$62,2,1) &amp; " " &amp; VLOOKUP(VALUE(MID($C771,21,2)),[2]codigos!$K$2:$L$12,2,FALSE)</f>
        <v>BLANCO  GRIS</v>
      </c>
      <c r="F771" s="11" t="s">
        <v>553</v>
      </c>
      <c r="G771" s="11" t="s">
        <v>16</v>
      </c>
      <c r="H771" s="52" t="s">
        <v>1318</v>
      </c>
      <c r="I771" s="20" t="s">
        <v>1319</v>
      </c>
      <c r="J771" s="11">
        <v>6</v>
      </c>
      <c r="K771" s="11">
        <v>6</v>
      </c>
      <c r="L771" s="11">
        <f t="shared" si="97"/>
        <v>0</v>
      </c>
      <c r="M771" s="131"/>
      <c r="N771" s="18">
        <v>46071</v>
      </c>
      <c r="O771" s="93">
        <v>46065</v>
      </c>
      <c r="P771" s="18"/>
    </row>
    <row r="772" spans="1:16" x14ac:dyDescent="0.25">
      <c r="A772" s="11">
        <f t="shared" ca="1" si="95"/>
        <v>-54</v>
      </c>
      <c r="B772" s="37">
        <f t="shared" si="96"/>
        <v>14</v>
      </c>
      <c r="C772" s="11" t="s">
        <v>560</v>
      </c>
      <c r="D772" s="11" t="str">
        <f>VLOOKUP(VALUE(MID($C772,13,2)), [2]codigos!$A$2:$B$60, 2, 1) &amp; " " &amp; VLOOKUP(VALUE(MID($C772,15,4)), [2]codigos!$E$2:$F$102, 2, FALSE)</f>
        <v>CUCHARA MOKA</v>
      </c>
      <c r="E772" s="11" t="str">
        <f>VLOOKUP(VALUE(MID($C772,19,2)),[2]codigos!$H$2:$I$62,2,1) &amp; " " &amp; VLOOKUP(VALUE(MID($C772,21,2)),[2]codigos!$K$2:$L$12,2,FALSE)</f>
        <v>BLANCO  S/I</v>
      </c>
      <c r="F772" s="11" t="s">
        <v>553</v>
      </c>
      <c r="G772" s="11" t="s">
        <v>16</v>
      </c>
      <c r="H772" s="52" t="s">
        <v>1318</v>
      </c>
      <c r="I772" s="20" t="s">
        <v>1319</v>
      </c>
      <c r="J772" s="11">
        <v>5</v>
      </c>
      <c r="K772" s="11">
        <f>1+4</f>
        <v>5</v>
      </c>
      <c r="L772" s="11">
        <f t="shared" si="97"/>
        <v>0</v>
      </c>
      <c r="M772" s="131"/>
      <c r="N772" s="18">
        <v>46071</v>
      </c>
      <c r="O772" s="93">
        <v>46065</v>
      </c>
      <c r="P772" s="18"/>
    </row>
    <row r="773" spans="1:16" x14ac:dyDescent="0.25">
      <c r="A773" s="11">
        <f t="shared" ca="1" si="95"/>
        <v>-54</v>
      </c>
      <c r="B773" s="37">
        <f t="shared" si="96"/>
        <v>14</v>
      </c>
      <c r="C773" s="11" t="s">
        <v>561</v>
      </c>
      <c r="D773" s="11" t="str">
        <f>VLOOKUP(VALUE(MID($C773,13,2)), [2]codigos!$A$2:$B$60, 2, 1) &amp; " " &amp; VLOOKUP(VALUE(MID($C773,15,4)), [2]codigos!$E$2:$F$102, 2, FALSE)</f>
        <v>CUCHARA MOKA</v>
      </c>
      <c r="E773" s="11" t="str">
        <f>VLOOKUP(VALUE(MID($C773,19,2)),[2]codigos!$H$2:$I$62,2,1) &amp; " " &amp; VLOOKUP(VALUE(MID($C773,21,2)),[2]codigos!$K$2:$L$12,2,FALSE)</f>
        <v>NEGRO MOTAS S/I</v>
      </c>
      <c r="F773" s="11" t="s">
        <v>553</v>
      </c>
      <c r="G773" s="11" t="s">
        <v>16</v>
      </c>
      <c r="H773" s="52" t="s">
        <v>1318</v>
      </c>
      <c r="I773" s="20" t="s">
        <v>1319</v>
      </c>
      <c r="J773" s="11">
        <v>6</v>
      </c>
      <c r="K773" s="11">
        <f>4+1+1</f>
        <v>6</v>
      </c>
      <c r="L773" s="11">
        <f t="shared" si="97"/>
        <v>0</v>
      </c>
      <c r="M773" s="131"/>
      <c r="N773" s="18">
        <v>46071</v>
      </c>
      <c r="O773" s="93">
        <v>46065</v>
      </c>
      <c r="P773" s="18"/>
    </row>
    <row r="774" spans="1:16" x14ac:dyDescent="0.25">
      <c r="A774" s="11">
        <f t="shared" ca="1" si="95"/>
        <v>-54</v>
      </c>
      <c r="B774" s="37">
        <f t="shared" si="96"/>
        <v>14</v>
      </c>
      <c r="C774" s="11" t="s">
        <v>562</v>
      </c>
      <c r="D774" s="11" t="str">
        <f>VLOOKUP(VALUE(MID($C774,13,2)), [2]codigos!$A$2:$B$60, 2, 1) &amp; " " &amp; VLOOKUP(VALUE(MID($C774,15,4)), [2]codigos!$E$2:$F$102, 2, FALSE)</f>
        <v>MULTIUSOS S/I</v>
      </c>
      <c r="E774" s="11" t="str">
        <f>VLOOKUP(VALUE(MID($C774,19,2)),[2]codigos!$H$2:$I$62,2,1) &amp; " " &amp; VLOOKUP(VALUE(MID($C774,21,2)),[2]codigos!$K$2:$L$12,2,FALSE)</f>
        <v>BLANCO  GRIS</v>
      </c>
      <c r="F774" s="11" t="s">
        <v>553</v>
      </c>
      <c r="G774" s="11" t="s">
        <v>16</v>
      </c>
      <c r="H774" s="52" t="s">
        <v>1318</v>
      </c>
      <c r="I774" s="20" t="s">
        <v>1319</v>
      </c>
      <c r="J774" s="11">
        <v>8</v>
      </c>
      <c r="K774" s="11">
        <f>3+5</f>
        <v>8</v>
      </c>
      <c r="L774" s="11">
        <f t="shared" si="97"/>
        <v>0</v>
      </c>
      <c r="M774" s="131"/>
      <c r="N774" s="18">
        <v>46071</v>
      </c>
      <c r="O774" s="93">
        <v>46065</v>
      </c>
      <c r="P774" s="18"/>
    </row>
    <row r="775" spans="1:16" x14ac:dyDescent="0.25">
      <c r="A775" s="11">
        <f t="shared" ca="1" si="95"/>
        <v>-54</v>
      </c>
      <c r="B775" s="37">
        <f t="shared" si="96"/>
        <v>14</v>
      </c>
      <c r="C775" s="11" t="s">
        <v>973</v>
      </c>
      <c r="D775" s="11" t="str">
        <f>VLOOKUP(VALUE(MID($C775,13,2)), [2]codigos!$A$2:$B$60, 2, 1) &amp; " " &amp; VLOOKUP(VALUE(MID($C775,15,4)), [2]codigos!$E$2:$F$102, 2, FALSE)</f>
        <v>MULTIUSOS S/I</v>
      </c>
      <c r="E775" s="11" t="str">
        <f>VLOOKUP(VALUE(MID($C775,19,2)),[2]codigos!$H$2:$I$62,2,1) &amp; " " &amp; VLOOKUP(VALUE(MID($C775,21,2)),[2]codigos!$K$2:$L$12,2,FALSE)</f>
        <v>GRIS S/I</v>
      </c>
      <c r="F775" s="11" t="s">
        <v>553</v>
      </c>
      <c r="G775" s="11" t="s">
        <v>16</v>
      </c>
      <c r="H775" s="52" t="s">
        <v>1318</v>
      </c>
      <c r="I775" s="20" t="s">
        <v>1319</v>
      </c>
      <c r="J775" s="11">
        <v>6</v>
      </c>
      <c r="K775" s="11">
        <v>6</v>
      </c>
      <c r="L775" s="11">
        <f t="shared" si="97"/>
        <v>0</v>
      </c>
      <c r="M775" s="131"/>
      <c r="N775" s="18">
        <v>46071</v>
      </c>
      <c r="O775" s="93">
        <v>46065</v>
      </c>
      <c r="P775" s="18"/>
    </row>
    <row r="776" spans="1:16" x14ac:dyDescent="0.25">
      <c r="A776" s="11">
        <f t="shared" ca="1" si="95"/>
        <v>-54</v>
      </c>
      <c r="B776" s="37">
        <f t="shared" si="96"/>
        <v>14</v>
      </c>
      <c r="C776" s="11" t="s">
        <v>974</v>
      </c>
      <c r="D776" s="11" t="str">
        <f>VLOOKUP(VALUE(MID($C776,13,2)), [2]codigos!$A$2:$B$60, 2, 1) &amp; " " &amp; VLOOKUP(VALUE(MID($C776,15,4)), [2]codigos!$E$2:$F$102, 2, FALSE)</f>
        <v>TAZON  15.5</v>
      </c>
      <c r="E776" s="11" t="str">
        <f>VLOOKUP(VALUE(MID($C776,19,2)),[2]codigos!$H$2:$I$62,2,1) &amp; " " &amp; VLOOKUP(VALUE(MID($C776,21,2)),[2]codigos!$K$2:$L$12,2,FALSE)</f>
        <v>NEGRO MOTAS S/I</v>
      </c>
      <c r="F776" s="11" t="s">
        <v>553</v>
      </c>
      <c r="G776" s="11" t="s">
        <v>16</v>
      </c>
      <c r="H776" s="52" t="s">
        <v>1318</v>
      </c>
      <c r="I776" s="20" t="s">
        <v>1319</v>
      </c>
      <c r="J776" s="11">
        <v>6</v>
      </c>
      <c r="K776" s="11">
        <v>6</v>
      </c>
      <c r="L776" s="11">
        <f t="shared" si="97"/>
        <v>0</v>
      </c>
      <c r="M776" s="131"/>
      <c r="N776" s="18">
        <v>46071</v>
      </c>
      <c r="O776" s="93">
        <v>46065</v>
      </c>
      <c r="P776" s="18"/>
    </row>
    <row r="777" spans="1:16" x14ac:dyDescent="0.25">
      <c r="A777" s="11">
        <f t="shared" ca="1" si="95"/>
        <v>-54</v>
      </c>
      <c r="B777" s="37">
        <f t="shared" si="96"/>
        <v>14</v>
      </c>
      <c r="C777" s="11" t="s">
        <v>552</v>
      </c>
      <c r="D777" s="11" t="str">
        <f>VLOOKUP(VALUE(MID($C777,13,2)), [2]codigos!$A$2:$B$60, 2, 1) &amp; " " &amp; VLOOKUP(VALUE(MID($C777,15,4)), [2]codigos!$E$2:$F$102, 2, FALSE)</f>
        <v>TAZON  8</v>
      </c>
      <c r="E777" s="11" t="str">
        <f>VLOOKUP(VALUE(MID($C777,19,2)),[2]codigos!$H$2:$I$62,2,1) &amp; " " &amp; VLOOKUP(VALUE(MID($C777,21,2)),[2]codigos!$K$2:$L$12,2,FALSE)</f>
        <v>NEGRO MOTAS S/I</v>
      </c>
      <c r="F777" s="11" t="s">
        <v>553</v>
      </c>
      <c r="G777" s="11" t="s">
        <v>16</v>
      </c>
      <c r="H777" s="52" t="s">
        <v>1318</v>
      </c>
      <c r="I777" s="20" t="s">
        <v>1319</v>
      </c>
      <c r="J777" s="11">
        <v>7</v>
      </c>
      <c r="K777" s="11">
        <v>7</v>
      </c>
      <c r="L777" s="11">
        <f t="shared" si="97"/>
        <v>0</v>
      </c>
      <c r="M777" s="131"/>
      <c r="N777" s="18">
        <v>46071</v>
      </c>
      <c r="O777" s="93">
        <v>46065</v>
      </c>
      <c r="P777" s="18"/>
    </row>
    <row r="778" spans="1:16" x14ac:dyDescent="0.25">
      <c r="A778" s="11">
        <f t="shared" ca="1" si="95"/>
        <v>-54</v>
      </c>
      <c r="B778" s="37">
        <f t="shared" si="96"/>
        <v>14</v>
      </c>
      <c r="C778" s="11" t="s">
        <v>563</v>
      </c>
      <c r="D778" s="11" t="str">
        <f>VLOOKUP(VALUE(MID($C778,13,2)), [2]codigos!$A$2:$B$60, 2, 1) &amp; " " &amp; VLOOKUP(VALUE(MID($C778,15,4)), [2]codigos!$E$2:$F$102, 2, FALSE)</f>
        <v>POCILLO 5</v>
      </c>
      <c r="E778" s="11" t="str">
        <f>VLOOKUP(VALUE(MID($C778,19,2)),[2]codigos!$H$2:$I$62,2,1) &amp; " " &amp; VLOOKUP(VALUE(MID($C778,21,2)),[2]codigos!$K$2:$L$12,2,FALSE)</f>
        <v>BLANCO  NEGRO</v>
      </c>
      <c r="F778" s="11" t="s">
        <v>553</v>
      </c>
      <c r="G778" s="11" t="s">
        <v>16</v>
      </c>
      <c r="H778" s="52" t="s">
        <v>1318</v>
      </c>
      <c r="I778" s="20" t="s">
        <v>1319</v>
      </c>
      <c r="J778" s="11">
        <v>10</v>
      </c>
      <c r="K778" s="11">
        <v>10</v>
      </c>
      <c r="L778" s="11">
        <f t="shared" si="97"/>
        <v>0</v>
      </c>
      <c r="M778" s="131"/>
      <c r="N778" s="18">
        <v>46071</v>
      </c>
      <c r="O778" s="93">
        <v>46065</v>
      </c>
      <c r="P778" s="18"/>
    </row>
    <row r="779" spans="1:16" x14ac:dyDescent="0.25">
      <c r="A779" s="11">
        <f t="shared" ca="1" si="95"/>
        <v>-54</v>
      </c>
      <c r="B779" s="37">
        <f t="shared" si="96"/>
        <v>14</v>
      </c>
      <c r="C779" s="11" t="s">
        <v>564</v>
      </c>
      <c r="D779" s="11" t="str">
        <f>VLOOKUP(VALUE(MID($C779,13,2)), [2]codigos!$A$2:$B$60, 2, 1) &amp; " " &amp; VLOOKUP(VALUE(MID($C779,15,4)), [2]codigos!$E$2:$F$102, 2, FALSE)</f>
        <v>POCILLO 5</v>
      </c>
      <c r="E779" s="11" t="str">
        <f>VLOOKUP(VALUE(MID($C779,19,2)),[2]codigos!$H$2:$I$62,2,1) &amp; " " &amp; VLOOKUP(VALUE(MID($C779,21,2)),[2]codigos!$K$2:$L$12,2,FALSE)</f>
        <v>NEGRO MOTAS S/I</v>
      </c>
      <c r="F779" s="11" t="s">
        <v>553</v>
      </c>
      <c r="G779" s="11" t="s">
        <v>16</v>
      </c>
      <c r="H779" s="52" t="s">
        <v>1318</v>
      </c>
      <c r="I779" s="20" t="s">
        <v>1319</v>
      </c>
      <c r="J779" s="11">
        <v>11</v>
      </c>
      <c r="K779" s="11">
        <v>11</v>
      </c>
      <c r="L779" s="11">
        <f t="shared" si="97"/>
        <v>0</v>
      </c>
      <c r="M779" s="131"/>
      <c r="N779" s="18">
        <v>46071</v>
      </c>
      <c r="O779" s="93">
        <v>46065</v>
      </c>
      <c r="P779" s="18"/>
    </row>
    <row r="780" spans="1:16" x14ac:dyDescent="0.25">
      <c r="A780" s="11">
        <f t="shared" ca="1" si="95"/>
        <v>-54</v>
      </c>
      <c r="B780" s="37">
        <f t="shared" si="96"/>
        <v>14</v>
      </c>
      <c r="C780" s="11" t="s">
        <v>968</v>
      </c>
      <c r="D780" s="11" t="str">
        <f>VLOOKUP(VALUE(MID($C780,13,2)), [2]codigos!$A$2:$B$60, 2, 1) &amp; " " &amp; VLOOKUP(VALUE(MID($C780,15,4)), [2]codigos!$E$2:$F$102, 2, FALSE)</f>
        <v>POCILLO 8</v>
      </c>
      <c r="E780" s="11" t="str">
        <f>VLOOKUP(VALUE(MID($C780,19,2)),[2]codigos!$H$2:$I$62,2,1) &amp; " " &amp; VLOOKUP(VALUE(MID($C780,21,2)),[2]codigos!$K$2:$L$12,2,FALSE)</f>
        <v>BLANCO  NEGRO</v>
      </c>
      <c r="F780" s="11" t="s">
        <v>553</v>
      </c>
      <c r="G780" s="11" t="s">
        <v>16</v>
      </c>
      <c r="H780" s="52" t="s">
        <v>1318</v>
      </c>
      <c r="I780" s="20" t="s">
        <v>1319</v>
      </c>
      <c r="J780" s="11">
        <v>8</v>
      </c>
      <c r="K780" s="11">
        <f>3+3+2</f>
        <v>8</v>
      </c>
      <c r="L780" s="11">
        <f t="shared" si="97"/>
        <v>0</v>
      </c>
      <c r="M780" s="131"/>
      <c r="N780" s="18">
        <v>46071</v>
      </c>
      <c r="O780" s="93">
        <v>46065</v>
      </c>
      <c r="P780" s="18"/>
    </row>
    <row r="781" spans="1:16" x14ac:dyDescent="0.25">
      <c r="A781" s="11">
        <f t="shared" ca="1" si="95"/>
        <v>-54</v>
      </c>
      <c r="B781" s="37">
        <f t="shared" si="96"/>
        <v>14</v>
      </c>
      <c r="C781" s="11" t="s">
        <v>565</v>
      </c>
      <c r="D781" s="11" t="str">
        <f>VLOOKUP(VALUE(MID($C781,13,2)), [2]codigos!$A$2:$B$60, 2, 1) &amp; " " &amp; VLOOKUP(VALUE(MID($C781,15,4)), [2]codigos!$E$2:$F$102, 2, FALSE)</f>
        <v>POCILLO 8</v>
      </c>
      <c r="E781" s="11" t="str">
        <f>VLOOKUP(VALUE(MID($C781,19,2)),[2]codigos!$H$2:$I$62,2,1) &amp; " " &amp; VLOOKUP(VALUE(MID($C781,21,2)),[2]codigos!$K$2:$L$12,2,FALSE)</f>
        <v>NEGRO MOTAS S/I</v>
      </c>
      <c r="F781" s="11" t="s">
        <v>553</v>
      </c>
      <c r="G781" s="11" t="s">
        <v>16</v>
      </c>
      <c r="H781" s="52" t="s">
        <v>1318</v>
      </c>
      <c r="I781" s="20" t="s">
        <v>1319</v>
      </c>
      <c r="J781" s="11">
        <v>9</v>
      </c>
      <c r="K781" s="11">
        <v>9</v>
      </c>
      <c r="L781" s="11">
        <f t="shared" si="97"/>
        <v>0</v>
      </c>
      <c r="M781" s="131"/>
      <c r="N781" s="18">
        <v>46071</v>
      </c>
      <c r="O781" s="93">
        <v>46065</v>
      </c>
      <c r="P781" s="18"/>
    </row>
    <row r="782" spans="1:16" x14ac:dyDescent="0.25">
      <c r="A782" s="11">
        <f t="shared" ca="1" si="95"/>
        <v>-54</v>
      </c>
      <c r="B782" s="37">
        <f t="shared" si="96"/>
        <v>14</v>
      </c>
      <c r="C782" s="11" t="s">
        <v>963</v>
      </c>
      <c r="D782" s="11" t="str">
        <f>VLOOKUP(VALUE(MID($C782,13,2)), [2]codigos!$A$2:$B$60, 2, 1) &amp; " " &amp; VLOOKUP(VALUE(MID($C782,15,4)), [2]codigos!$E$2:$F$102, 2, FALSE)</f>
        <v>TORTILLERO  18</v>
      </c>
      <c r="E782" s="11" t="str">
        <f>VLOOKUP(VALUE(MID($C782,19,2)),[2]codigos!$H$2:$I$62,2,1) &amp; " " &amp; VLOOKUP(VALUE(MID($C782,21,2)),[2]codigos!$K$2:$L$12,2,FALSE)</f>
        <v>GRIS S/I</v>
      </c>
      <c r="F782" s="11" t="s">
        <v>553</v>
      </c>
      <c r="G782" s="11" t="s">
        <v>16</v>
      </c>
      <c r="H782" s="52" t="s">
        <v>1318</v>
      </c>
      <c r="I782" s="20" t="s">
        <v>1319</v>
      </c>
      <c r="J782" s="11">
        <v>6</v>
      </c>
      <c r="K782" s="11">
        <v>6</v>
      </c>
      <c r="L782" s="11">
        <f t="shared" si="97"/>
        <v>0</v>
      </c>
      <c r="M782" s="131"/>
      <c r="N782" s="18">
        <v>46071</v>
      </c>
      <c r="O782" s="93">
        <v>46065</v>
      </c>
      <c r="P782" s="18"/>
    </row>
    <row r="783" spans="1:16" x14ac:dyDescent="0.25">
      <c r="A783" s="11">
        <f t="shared" ca="1" si="95"/>
        <v>-54</v>
      </c>
      <c r="B783" s="37">
        <f t="shared" si="96"/>
        <v>14</v>
      </c>
      <c r="C783" s="11" t="s">
        <v>557</v>
      </c>
      <c r="D783" s="11" t="str">
        <f>VLOOKUP(VALUE(MID($C783,13,2)), [2]codigos!$A$2:$B$60, 2, 1) &amp; " " &amp; VLOOKUP(VALUE(MID($C783,15,4)), [2]codigos!$E$2:$F$102, 2, FALSE)</f>
        <v>TORTILLERO  18</v>
      </c>
      <c r="E783" s="11" t="str">
        <f>VLOOKUP(VALUE(MID($C783,19,2)),[2]codigos!$H$2:$I$62,2,1) &amp; " " &amp; VLOOKUP(VALUE(MID($C783,21,2)),[2]codigos!$K$2:$L$12,2,FALSE)</f>
        <v>NEGRO MOTAS S/I</v>
      </c>
      <c r="F783" s="11" t="s">
        <v>553</v>
      </c>
      <c r="G783" s="11" t="s">
        <v>16</v>
      </c>
      <c r="H783" s="52" t="s">
        <v>1318</v>
      </c>
      <c r="I783" s="20" t="s">
        <v>1319</v>
      </c>
      <c r="J783" s="11">
        <v>5</v>
      </c>
      <c r="K783" s="11">
        <v>5</v>
      </c>
      <c r="L783" s="11">
        <f t="shared" si="97"/>
        <v>0</v>
      </c>
      <c r="M783" s="131"/>
      <c r="N783" s="18">
        <v>46071</v>
      </c>
      <c r="O783" s="93">
        <v>46065</v>
      </c>
      <c r="P783" s="18"/>
    </row>
    <row r="784" spans="1:16" x14ac:dyDescent="0.25">
      <c r="A784" s="11">
        <f t="shared" ca="1" si="95"/>
        <v>-54</v>
      </c>
      <c r="B784" s="37">
        <f t="shared" si="96"/>
        <v>14</v>
      </c>
      <c r="C784" s="11" t="s">
        <v>555</v>
      </c>
      <c r="D784" s="11" t="str">
        <f>VLOOKUP(VALUE(MID($C784,13,2)), [2]codigos!$A$2:$B$60, 2, 1) &amp; " " &amp; VLOOKUP(VALUE(MID($C784,15,4)), [2]codigos!$E$2:$F$102, 2, FALSE)</f>
        <v>COMAL 28</v>
      </c>
      <c r="E784" s="11" t="str">
        <f>VLOOKUP(VALUE(MID($C784,19,2)),[2]codigos!$H$2:$I$62,2,1) &amp; " " &amp; VLOOKUP(VALUE(MID($C784,21,2)),[2]codigos!$K$2:$L$12,2,FALSE)</f>
        <v>NEGRO MOTAS S/I</v>
      </c>
      <c r="F784" s="11" t="s">
        <v>553</v>
      </c>
      <c r="G784" s="11" t="s">
        <v>16</v>
      </c>
      <c r="H784" s="52" t="s">
        <v>1318</v>
      </c>
      <c r="I784" s="20" t="s">
        <v>1319</v>
      </c>
      <c r="J784" s="11">
        <v>10</v>
      </c>
      <c r="K784" s="11">
        <f>1+9</f>
        <v>10</v>
      </c>
      <c r="L784" s="11">
        <f t="shared" si="97"/>
        <v>0</v>
      </c>
      <c r="M784" s="131"/>
      <c r="N784" s="18">
        <v>46071</v>
      </c>
      <c r="O784" s="93">
        <v>46065</v>
      </c>
      <c r="P784" s="18"/>
    </row>
    <row r="785" spans="1:16" x14ac:dyDescent="0.25">
      <c r="A785" s="11">
        <f t="shared" ca="1" si="95"/>
        <v>-54</v>
      </c>
      <c r="B785" s="37">
        <f t="shared" si="96"/>
        <v>14</v>
      </c>
      <c r="C785" s="11" t="s">
        <v>566</v>
      </c>
      <c r="D785" s="11" t="str">
        <f>VLOOKUP(VALUE(MID($C785,13,2)), [2]codigos!$A$2:$B$60, 2, 1) &amp; " " &amp; VLOOKUP(VALUE(MID($C785,15,4)), [2]codigos!$E$2:$F$102, 2, FALSE)</f>
        <v>PLATO LISO 16</v>
      </c>
      <c r="E785" s="11" t="str">
        <f>VLOOKUP(VALUE(MID($C785,19,2)),[2]codigos!$H$2:$I$62,2,1) &amp; " " &amp; VLOOKUP(VALUE(MID($C785,21,2)),[2]codigos!$K$2:$L$12,2,FALSE)</f>
        <v>NEGRO MOTAS S/I</v>
      </c>
      <c r="F785" s="11" t="s">
        <v>553</v>
      </c>
      <c r="G785" s="11" t="s">
        <v>16</v>
      </c>
      <c r="H785" s="52" t="s">
        <v>1318</v>
      </c>
      <c r="I785" s="20" t="s">
        <v>1319</v>
      </c>
      <c r="J785" s="11">
        <v>5</v>
      </c>
      <c r="K785" s="11">
        <f>3+2</f>
        <v>5</v>
      </c>
      <c r="L785" s="11">
        <f t="shared" si="97"/>
        <v>0</v>
      </c>
      <c r="M785" s="131"/>
      <c r="N785" s="18">
        <v>46071</v>
      </c>
      <c r="O785" s="93">
        <v>46065</v>
      </c>
      <c r="P785" s="18"/>
    </row>
    <row r="786" spans="1:16" x14ac:dyDescent="0.25">
      <c r="A786" s="11">
        <f t="shared" ca="1" si="95"/>
        <v>-54</v>
      </c>
      <c r="B786" s="37">
        <f t="shared" si="96"/>
        <v>14</v>
      </c>
      <c r="C786" s="11" t="s">
        <v>975</v>
      </c>
      <c r="D786" s="11" t="str">
        <f>VLOOKUP(VALUE(MID($C786,13,2)), [2]codigos!$A$2:$B$60, 2, 1) &amp; " " &amp; VLOOKUP(VALUE(MID($C786,15,4)), [2]codigos!$E$2:$F$102, 2, FALSE)</f>
        <v>PLATO LISO 16</v>
      </c>
      <c r="E786" s="11" t="str">
        <f>VLOOKUP(VALUE(MID($C786,19,2)),[2]codigos!$H$2:$I$62,2,1) &amp; " " &amp; VLOOKUP(VALUE(MID($C786,21,2)),[2]codigos!$K$2:$L$12,2,FALSE)</f>
        <v>BLANCO  NEGRO</v>
      </c>
      <c r="F786" s="11" t="s">
        <v>553</v>
      </c>
      <c r="G786" s="11" t="s">
        <v>16</v>
      </c>
      <c r="H786" s="52" t="s">
        <v>1318</v>
      </c>
      <c r="I786" s="20" t="s">
        <v>1319</v>
      </c>
      <c r="J786" s="11">
        <v>4</v>
      </c>
      <c r="K786" s="11">
        <f>2+2</f>
        <v>4</v>
      </c>
      <c r="L786" s="11">
        <f t="shared" si="97"/>
        <v>0</v>
      </c>
      <c r="M786" s="131"/>
      <c r="N786" s="18">
        <v>46071</v>
      </c>
      <c r="O786" s="93">
        <v>46065</v>
      </c>
      <c r="P786" s="18"/>
    </row>
    <row r="787" spans="1:16" x14ac:dyDescent="0.25">
      <c r="A787" s="11">
        <f t="shared" ca="1" si="95"/>
        <v>-54</v>
      </c>
      <c r="B787" s="37">
        <f t="shared" si="96"/>
        <v>14</v>
      </c>
      <c r="C787" s="11" t="s">
        <v>567</v>
      </c>
      <c r="D787" s="11" t="str">
        <f>VLOOKUP(VALUE(MID($C787,13,2)), [2]codigos!$A$2:$B$60, 2, 1) &amp; " " &amp; VLOOKUP(VALUE(MID($C787,15,4)), [2]codigos!$E$2:$F$102, 2, FALSE)</f>
        <v>MULTIUSOS RAYADO 17.5</v>
      </c>
      <c r="E787" s="11" t="str">
        <f>VLOOKUP(VALUE(MID($C787,19,2)),[2]codigos!$H$2:$I$62,2,1) &amp; " " &amp; VLOOKUP(VALUE(MID($C787,21,2)),[2]codigos!$K$2:$L$12,2,FALSE)</f>
        <v>NEGRO MOTAS S/I</v>
      </c>
      <c r="F787" s="11" t="s">
        <v>553</v>
      </c>
      <c r="G787" s="11" t="s">
        <v>16</v>
      </c>
      <c r="H787" s="52" t="s">
        <v>1318</v>
      </c>
      <c r="I787" s="20" t="s">
        <v>1319</v>
      </c>
      <c r="J787" s="11">
        <v>6</v>
      </c>
      <c r="K787" s="11">
        <v>6</v>
      </c>
      <c r="L787" s="11">
        <f t="shared" si="97"/>
        <v>0</v>
      </c>
      <c r="M787" s="131"/>
      <c r="N787" s="18">
        <v>46071</v>
      </c>
      <c r="O787" s="93">
        <v>46065</v>
      </c>
      <c r="P787" s="18"/>
    </row>
    <row r="788" spans="1:16" x14ac:dyDescent="0.25">
      <c r="A788" s="11">
        <f t="shared" ref="A788:A808" ca="1" si="98">DAYS360($B$1,I788)</f>
        <v>-75</v>
      </c>
      <c r="B788" s="37">
        <f t="shared" ref="B788:B808" si="99">+N788-I788</f>
        <v>37</v>
      </c>
      <c r="C788" s="11" t="s">
        <v>189</v>
      </c>
      <c r="D788" s="11" t="str">
        <f>VLOOKUP(VALUE(MID($C788,13,2)), codigos!$A$2:$B$60, 2, 1) &amp; " " &amp; VLOOKUP(VALUE(MID($C788,15,4)), codigos!$E$2:$F$102, 2, FALSE)</f>
        <v>BUDINERA 16</v>
      </c>
      <c r="E788" s="11" t="str">
        <f>VLOOKUP(VALUE(MID($C788,19,2)),codigos!$H$2:$I$62,2,1) &amp; " " &amp; VLOOKUP(VALUE(MID($C788,21,2)),codigos!$K$2:$L$12,2,FALSE)</f>
        <v>A/T S/I</v>
      </c>
      <c r="F788" s="11" t="s">
        <v>1030</v>
      </c>
      <c r="G788" s="11" t="s">
        <v>11</v>
      </c>
      <c r="H788" s="52" t="s">
        <v>1031</v>
      </c>
      <c r="I788" s="20" t="s">
        <v>1032</v>
      </c>
      <c r="J788" s="11">
        <v>18</v>
      </c>
      <c r="K788" s="11">
        <v>18</v>
      </c>
      <c r="L788" s="11">
        <f t="shared" ref="L788:L808" si="100">+J788-K788</f>
        <v>0</v>
      </c>
      <c r="M788" s="134">
        <f>(SUM(K788:K808))/(SUM(J788:J808))</f>
        <v>0.97241379310344822</v>
      </c>
      <c r="N788" s="18">
        <v>46072</v>
      </c>
      <c r="O788" s="93">
        <v>46065</v>
      </c>
    </row>
    <row r="789" spans="1:16" x14ac:dyDescent="0.25">
      <c r="A789" s="11">
        <f t="shared" ca="1" si="98"/>
        <v>-75</v>
      </c>
      <c r="B789" s="37">
        <f t="shared" si="99"/>
        <v>37</v>
      </c>
      <c r="C789" s="11" t="s">
        <v>215</v>
      </c>
      <c r="D789" s="11" t="str">
        <f>VLOOKUP(VALUE(MID($C789,13,2)), codigos!$A$2:$B$60, 2, 1) &amp; " " &amp; VLOOKUP(VALUE(MID($C789,15,4)), codigos!$E$2:$F$102, 2, FALSE)</f>
        <v>BUDINERA 20</v>
      </c>
      <c r="E789" s="11" t="str">
        <f>VLOOKUP(VALUE(MID($C789,19,2)),codigos!$H$2:$I$62,2,1) &amp; " " &amp; VLOOKUP(VALUE(MID($C789,21,2)),codigos!$K$2:$L$12,2,FALSE)</f>
        <v>A/T S/I</v>
      </c>
      <c r="F789" s="11" t="s">
        <v>1030</v>
      </c>
      <c r="G789" s="11" t="s">
        <v>11</v>
      </c>
      <c r="H789" s="52" t="s">
        <v>1031</v>
      </c>
      <c r="I789" s="20" t="s">
        <v>1032</v>
      </c>
      <c r="J789" s="11">
        <v>18</v>
      </c>
      <c r="K789" s="11">
        <v>18</v>
      </c>
      <c r="L789" s="11">
        <f t="shared" si="100"/>
        <v>0</v>
      </c>
      <c r="M789" s="134"/>
      <c r="N789" s="18">
        <v>46072</v>
      </c>
      <c r="O789" s="93">
        <v>46065</v>
      </c>
    </row>
    <row r="790" spans="1:16" x14ac:dyDescent="0.25">
      <c r="A790" s="11">
        <f t="shared" ca="1" si="98"/>
        <v>-75</v>
      </c>
      <c r="B790" s="37">
        <f t="shared" si="99"/>
        <v>37</v>
      </c>
      <c r="C790" s="11" t="s">
        <v>241</v>
      </c>
      <c r="D790" s="11" t="str">
        <f>VLOOKUP(VALUE(MID($C790,13,2)), codigos!$A$2:$B$60, 2, 1) &amp; " " &amp; VLOOKUP(VALUE(MID($C790,15,4)), codigos!$E$2:$F$102, 2, FALSE)</f>
        <v>BUDINERA 22</v>
      </c>
      <c r="E790" s="11" t="str">
        <f>VLOOKUP(VALUE(MID($C790,19,2)),codigos!$H$2:$I$62,2,1) &amp; " " &amp; VLOOKUP(VALUE(MID($C790,21,2)),codigos!$K$2:$L$12,2,FALSE)</f>
        <v>A/T S/I</v>
      </c>
      <c r="F790" s="11" t="s">
        <v>1030</v>
      </c>
      <c r="G790" s="11" t="s">
        <v>11</v>
      </c>
      <c r="H790" s="52" t="s">
        <v>1031</v>
      </c>
      <c r="I790" s="20" t="s">
        <v>1032</v>
      </c>
      <c r="J790" s="11">
        <v>12</v>
      </c>
      <c r="K790" s="11">
        <f>4+8</f>
        <v>12</v>
      </c>
      <c r="L790" s="11">
        <f t="shared" si="100"/>
        <v>0</v>
      </c>
      <c r="M790" s="134"/>
      <c r="N790" s="18">
        <v>46072</v>
      </c>
      <c r="O790" s="93">
        <v>46065</v>
      </c>
    </row>
    <row r="791" spans="1:16" x14ac:dyDescent="0.25">
      <c r="A791" s="11">
        <f t="shared" ca="1" si="98"/>
        <v>-75</v>
      </c>
      <c r="B791" s="37">
        <f t="shared" si="99"/>
        <v>37</v>
      </c>
      <c r="C791" s="11" t="s">
        <v>143</v>
      </c>
      <c r="D791" s="11" t="str">
        <f>VLOOKUP(VALUE(MID($C791,13,2)), codigos!$A$2:$B$60, 2, 1) &amp; " " &amp; VLOOKUP(VALUE(MID($C791,15,4)), codigos!$E$2:$F$102, 2, FALSE)</f>
        <v>BUDINERA 24</v>
      </c>
      <c r="E791" s="11" t="str">
        <f>VLOOKUP(VALUE(MID($C791,19,2)),codigos!$H$2:$I$62,2,1) &amp; " " &amp; VLOOKUP(VALUE(MID($C791,21,2)),codigos!$K$2:$L$12,2,FALSE)</f>
        <v>A/T S/I</v>
      </c>
      <c r="F791" s="11" t="s">
        <v>1030</v>
      </c>
      <c r="G791" s="11" t="s">
        <v>11</v>
      </c>
      <c r="H791" s="52" t="s">
        <v>1031</v>
      </c>
      <c r="I791" s="20" t="s">
        <v>1032</v>
      </c>
      <c r="J791" s="11">
        <v>24</v>
      </c>
      <c r="K791" s="11">
        <v>24</v>
      </c>
      <c r="L791" s="11">
        <f t="shared" si="100"/>
        <v>0</v>
      </c>
      <c r="M791" s="134"/>
      <c r="N791" s="18">
        <v>46072</v>
      </c>
      <c r="O791" s="93">
        <v>46065</v>
      </c>
    </row>
    <row r="792" spans="1:16" x14ac:dyDescent="0.25">
      <c r="A792" s="11">
        <f t="shared" ca="1" si="98"/>
        <v>-75</v>
      </c>
      <c r="B792" s="37">
        <f t="shared" si="99"/>
        <v>37</v>
      </c>
      <c r="C792" s="11" t="s">
        <v>148</v>
      </c>
      <c r="D792" s="11" t="str">
        <f>VLOOKUP(VALUE(MID($C792,13,2)), codigos!$A$2:$B$60, 2, 1) &amp; " " &amp; VLOOKUP(VALUE(MID($C792,15,4)), codigos!$E$2:$F$102, 2, FALSE)</f>
        <v>BUDINERA 26</v>
      </c>
      <c r="E792" s="11" t="str">
        <f>VLOOKUP(VALUE(MID($C792,19,2)),codigos!$H$2:$I$62,2,1) &amp; " " &amp; VLOOKUP(VALUE(MID($C792,21,2)),codigos!$K$2:$L$12,2,FALSE)</f>
        <v>A/T S/I</v>
      </c>
      <c r="F792" s="11" t="s">
        <v>1030</v>
      </c>
      <c r="G792" s="11" t="s">
        <v>11</v>
      </c>
      <c r="H792" s="52" t="s">
        <v>1031</v>
      </c>
      <c r="I792" s="20" t="s">
        <v>1032</v>
      </c>
      <c r="J792" s="11">
        <v>12</v>
      </c>
      <c r="K792" s="11">
        <v>12</v>
      </c>
      <c r="L792" s="11">
        <f t="shared" si="100"/>
        <v>0</v>
      </c>
      <c r="M792" s="134"/>
      <c r="N792" s="18">
        <v>46072</v>
      </c>
      <c r="O792" s="93">
        <v>46065</v>
      </c>
    </row>
    <row r="793" spans="1:16" x14ac:dyDescent="0.25">
      <c r="A793" s="11">
        <f t="shared" ca="1" si="98"/>
        <v>-75</v>
      </c>
      <c r="B793" s="37">
        <f t="shared" si="99"/>
        <v>37</v>
      </c>
      <c r="C793" s="64" t="s">
        <v>173</v>
      </c>
      <c r="D793" s="64" t="str">
        <f>VLOOKUP(VALUE(MID($C793,13,2)), codigos!$A$2:$B$60, 2, 1) &amp; " " &amp; VLOOKUP(VALUE(MID($C793,15,4)), codigos!$E$2:$F$102, 2, FALSE)</f>
        <v>BUDINERA 34</v>
      </c>
      <c r="E793" s="64" t="str">
        <f>VLOOKUP(VALUE(MID($C793,19,2)),codigos!$H$2:$I$62,2,1) &amp; " " &amp; VLOOKUP(VALUE(MID($C793,21,2)),codigos!$K$2:$L$12,2,FALSE)</f>
        <v>A/T S/I</v>
      </c>
      <c r="F793" s="64" t="s">
        <v>1030</v>
      </c>
      <c r="G793" s="64" t="s">
        <v>11</v>
      </c>
      <c r="H793" s="66" t="s">
        <v>1031</v>
      </c>
      <c r="I793" s="64" t="s">
        <v>1032</v>
      </c>
      <c r="J793" s="64">
        <v>8</v>
      </c>
      <c r="K793" s="64">
        <v>0</v>
      </c>
      <c r="L793" s="64">
        <f t="shared" si="100"/>
        <v>8</v>
      </c>
      <c r="M793" s="134"/>
      <c r="N793" s="18">
        <v>46072</v>
      </c>
      <c r="O793" s="93">
        <v>46065</v>
      </c>
    </row>
    <row r="794" spans="1:16" x14ac:dyDescent="0.25">
      <c r="A794" s="11">
        <f t="shared" ca="1" si="98"/>
        <v>-75</v>
      </c>
      <c r="B794" s="37">
        <f t="shared" si="99"/>
        <v>37</v>
      </c>
      <c r="C794" s="11" t="s">
        <v>242</v>
      </c>
      <c r="D794" s="11" t="str">
        <f>VLOOKUP(VALUE(MID($C794,13,2)), codigos!$A$2:$B$60, 2, 1) &amp; " " &amp; VLOOKUP(VALUE(MID($C794,15,4)), codigos!$E$2:$F$102, 2, FALSE)</f>
        <v>COMAL 22</v>
      </c>
      <c r="E794" s="11" t="str">
        <f>VLOOKUP(VALUE(MID($C794,19,2)),codigos!$H$2:$I$62,2,1) &amp; " " &amp; VLOOKUP(VALUE(MID($C794,21,2)),codigos!$K$2:$L$12,2,FALSE)</f>
        <v>NEGRO MOTAS S/I</v>
      </c>
      <c r="F794" s="11" t="s">
        <v>1030</v>
      </c>
      <c r="G794" s="11" t="s">
        <v>11</v>
      </c>
      <c r="H794" s="52" t="s">
        <v>1031</v>
      </c>
      <c r="I794" s="20" t="s">
        <v>1032</v>
      </c>
      <c r="J794" s="11">
        <v>12</v>
      </c>
      <c r="K794" s="11">
        <v>12</v>
      </c>
      <c r="L794" s="11">
        <f t="shared" si="100"/>
        <v>0</v>
      </c>
      <c r="M794" s="134"/>
      <c r="N794" s="18">
        <v>46072</v>
      </c>
      <c r="O794" s="93">
        <v>46065</v>
      </c>
    </row>
    <row r="795" spans="1:16" x14ac:dyDescent="0.25">
      <c r="A795" s="11">
        <f t="shared" ca="1" si="98"/>
        <v>-75</v>
      </c>
      <c r="B795" s="37">
        <f t="shared" si="99"/>
        <v>37</v>
      </c>
      <c r="C795" s="11" t="s">
        <v>149</v>
      </c>
      <c r="D795" s="11" t="str">
        <f>VLOOKUP(VALUE(MID($C795,13,2)), codigos!$A$2:$B$60, 2, 1) &amp; " " &amp; VLOOKUP(VALUE(MID($C795,15,4)), codigos!$E$2:$F$102, 2, FALSE)</f>
        <v>COMAL 28</v>
      </c>
      <c r="E795" s="11" t="str">
        <f>VLOOKUP(VALUE(MID($C795,19,2)),codigos!$H$2:$I$62,2,1) &amp; " " &amp; VLOOKUP(VALUE(MID($C795,21,2)),codigos!$K$2:$L$12,2,FALSE)</f>
        <v>NEGRO MOTAS S/I</v>
      </c>
      <c r="F795" s="11" t="s">
        <v>1030</v>
      </c>
      <c r="G795" s="11" t="s">
        <v>11</v>
      </c>
      <c r="H795" s="52" t="s">
        <v>1031</v>
      </c>
      <c r="I795" s="20" t="s">
        <v>1032</v>
      </c>
      <c r="J795" s="11">
        <v>12</v>
      </c>
      <c r="K795" s="11">
        <v>12</v>
      </c>
      <c r="L795" s="11">
        <f t="shared" si="100"/>
        <v>0</v>
      </c>
      <c r="M795" s="134"/>
      <c r="N795" s="18">
        <v>46072</v>
      </c>
      <c r="O795" s="93">
        <v>46065</v>
      </c>
    </row>
    <row r="796" spans="1:16" x14ac:dyDescent="0.25">
      <c r="A796" s="11">
        <f t="shared" ca="1" si="98"/>
        <v>-75</v>
      </c>
      <c r="B796" s="37">
        <f t="shared" si="99"/>
        <v>37</v>
      </c>
      <c r="C796" s="11" t="s">
        <v>344</v>
      </c>
      <c r="D796" s="11" t="str">
        <f>VLOOKUP(VALUE(MID($C796,13,2)), codigos!$A$2:$B$60, 2, 1) &amp; " " &amp; VLOOKUP(VALUE(MID($C796,15,4)), codigos!$E$2:$F$102, 2, FALSE)</f>
        <v>COMAL 36</v>
      </c>
      <c r="E796" s="11" t="str">
        <f>VLOOKUP(VALUE(MID($C796,19,2)),codigos!$H$2:$I$62,2,1) &amp; " " &amp; VLOOKUP(VALUE(MID($C796,21,2)),codigos!$K$2:$L$12,2,FALSE)</f>
        <v>NEGRO MOTAS S/I</v>
      </c>
      <c r="F796" s="11" t="s">
        <v>1030</v>
      </c>
      <c r="G796" s="11" t="s">
        <v>11</v>
      </c>
      <c r="H796" s="52" t="s">
        <v>1031</v>
      </c>
      <c r="I796" s="20" t="s">
        <v>1032</v>
      </c>
      <c r="J796" s="11">
        <v>12</v>
      </c>
      <c r="K796" s="11">
        <v>12</v>
      </c>
      <c r="L796" s="11">
        <f t="shared" si="100"/>
        <v>0</v>
      </c>
      <c r="M796" s="134"/>
      <c r="N796" s="18">
        <v>46072</v>
      </c>
      <c r="O796" s="93">
        <v>46065</v>
      </c>
    </row>
    <row r="797" spans="1:16" x14ac:dyDescent="0.25">
      <c r="A797" s="11">
        <f t="shared" ca="1" si="98"/>
        <v>-75</v>
      </c>
      <c r="B797" s="37">
        <f t="shared" si="99"/>
        <v>37</v>
      </c>
      <c r="C797" s="11" t="s">
        <v>150</v>
      </c>
      <c r="D797" s="11" t="str">
        <f>VLOOKUP(VALUE(MID($C797,13,2)), codigos!$A$2:$B$60, 2, 1) &amp; " " &amp; VLOOKUP(VALUE(MID($C797,15,4)), codigos!$E$2:$F$102, 2, FALSE)</f>
        <v>OLLA CONVEXA 18</v>
      </c>
      <c r="E797" s="11" t="str">
        <f>VLOOKUP(VALUE(MID($C797,19,2)),codigos!$H$2:$I$62,2,1) &amp; " " &amp; VLOOKUP(VALUE(MID($C797,21,2)),codigos!$K$2:$L$12,2,FALSE)</f>
        <v>A/T S/I</v>
      </c>
      <c r="F797" s="11" t="s">
        <v>1030</v>
      </c>
      <c r="G797" s="11" t="s">
        <v>11</v>
      </c>
      <c r="H797" s="52" t="s">
        <v>1031</v>
      </c>
      <c r="I797" s="20" t="s">
        <v>1032</v>
      </c>
      <c r="J797" s="11">
        <v>24</v>
      </c>
      <c r="K797" s="11">
        <f>12+12</f>
        <v>24</v>
      </c>
      <c r="L797" s="11">
        <f t="shared" si="100"/>
        <v>0</v>
      </c>
      <c r="M797" s="134"/>
      <c r="N797" s="18">
        <v>46072</v>
      </c>
      <c r="O797" s="93">
        <v>46065</v>
      </c>
    </row>
    <row r="798" spans="1:16" x14ac:dyDescent="0.25">
      <c r="A798" s="11">
        <f t="shared" ca="1" si="98"/>
        <v>-75</v>
      </c>
      <c r="B798" s="37">
        <f t="shared" si="99"/>
        <v>37</v>
      </c>
      <c r="C798" s="11" t="s">
        <v>151</v>
      </c>
      <c r="D798" s="11" t="str">
        <f>VLOOKUP(VALUE(MID($C798,13,2)), codigos!$A$2:$B$60, 2, 1) &amp; " " &amp; VLOOKUP(VALUE(MID($C798,15,4)), codigos!$E$2:$F$102, 2, FALSE)</f>
        <v>OLLA CONVEXA 20</v>
      </c>
      <c r="E798" s="11" t="str">
        <f>VLOOKUP(VALUE(MID($C798,19,2)),codigos!$H$2:$I$62,2,1) &amp; " " &amp; VLOOKUP(VALUE(MID($C798,21,2)),codigos!$K$2:$L$12,2,FALSE)</f>
        <v>A/T S/I</v>
      </c>
      <c r="F798" s="11" t="s">
        <v>1030</v>
      </c>
      <c r="G798" s="11" t="s">
        <v>11</v>
      </c>
      <c r="H798" s="52" t="s">
        <v>1031</v>
      </c>
      <c r="I798" s="20" t="s">
        <v>1032</v>
      </c>
      <c r="J798" s="11">
        <v>24</v>
      </c>
      <c r="K798" s="11">
        <f>12+12</f>
        <v>24</v>
      </c>
      <c r="L798" s="11">
        <f t="shared" si="100"/>
        <v>0</v>
      </c>
      <c r="M798" s="134"/>
      <c r="N798" s="18">
        <v>46072</v>
      </c>
      <c r="O798" s="93">
        <v>46065</v>
      </c>
    </row>
    <row r="799" spans="1:16" x14ac:dyDescent="0.25">
      <c r="A799" s="11">
        <f t="shared" ca="1" si="98"/>
        <v>-75</v>
      </c>
      <c r="B799" s="37">
        <f t="shared" si="99"/>
        <v>37</v>
      </c>
      <c r="C799" s="11" t="s">
        <v>152</v>
      </c>
      <c r="D799" s="11" t="str">
        <f>VLOOKUP(VALUE(MID($C799,13,2)), codigos!$A$2:$B$60, 2, 1) &amp; " " &amp; VLOOKUP(VALUE(MID($C799,15,4)), codigos!$E$2:$F$102, 2, FALSE)</f>
        <v>OLLA CONVEXA 24</v>
      </c>
      <c r="E799" s="11" t="str">
        <f>VLOOKUP(VALUE(MID($C799,19,2)),codigos!$H$2:$I$62,2,1) &amp; " " &amp; VLOOKUP(VALUE(MID($C799,21,2)),codigos!$K$2:$L$12,2,FALSE)</f>
        <v>A/T S/I</v>
      </c>
      <c r="F799" s="11" t="s">
        <v>1030</v>
      </c>
      <c r="G799" s="11" t="s">
        <v>11</v>
      </c>
      <c r="H799" s="52" t="s">
        <v>1031</v>
      </c>
      <c r="I799" s="20" t="s">
        <v>1032</v>
      </c>
      <c r="J799" s="11">
        <v>18</v>
      </c>
      <c r="K799" s="11">
        <v>18</v>
      </c>
      <c r="L799" s="11">
        <f t="shared" si="100"/>
        <v>0</v>
      </c>
      <c r="M799" s="134"/>
      <c r="N799" s="18">
        <v>46072</v>
      </c>
      <c r="O799" s="93">
        <v>46065</v>
      </c>
    </row>
    <row r="800" spans="1:16" x14ac:dyDescent="0.25">
      <c r="A800" s="11">
        <f t="shared" ca="1" si="98"/>
        <v>-75</v>
      </c>
      <c r="B800" s="37">
        <f t="shared" si="99"/>
        <v>37</v>
      </c>
      <c r="C800" s="11" t="s">
        <v>154</v>
      </c>
      <c r="D800" s="11" t="str">
        <f>VLOOKUP(VALUE(MID($C800,13,2)), codigos!$A$2:$B$60, 2, 1) &amp; " " &amp; VLOOKUP(VALUE(MID($C800,15,4)), codigos!$E$2:$F$102, 2, FALSE)</f>
        <v>OLLA CONVEXA 30</v>
      </c>
      <c r="E800" s="11" t="str">
        <f>VLOOKUP(VALUE(MID($C800,19,2)),codigos!$H$2:$I$62,2,1) &amp; " " &amp; VLOOKUP(VALUE(MID($C800,21,2)),codigos!$K$2:$L$12,2,FALSE)</f>
        <v>A/T S/I</v>
      </c>
      <c r="F800" s="11" t="s">
        <v>1030</v>
      </c>
      <c r="G800" s="11" t="s">
        <v>11</v>
      </c>
      <c r="H800" s="52" t="s">
        <v>1031</v>
      </c>
      <c r="I800" s="20" t="s">
        <v>1032</v>
      </c>
      <c r="J800" s="11">
        <v>8</v>
      </c>
      <c r="K800" s="11">
        <v>8</v>
      </c>
      <c r="L800" s="11">
        <f t="shared" si="100"/>
        <v>0</v>
      </c>
      <c r="M800" s="134"/>
      <c r="N800" s="18">
        <v>46072</v>
      </c>
      <c r="O800" s="93">
        <v>46065</v>
      </c>
    </row>
    <row r="801" spans="1:15" x14ac:dyDescent="0.25">
      <c r="A801" s="11">
        <f t="shared" ca="1" si="98"/>
        <v>-75</v>
      </c>
      <c r="B801" s="37">
        <f t="shared" si="99"/>
        <v>37</v>
      </c>
      <c r="C801" s="11" t="s">
        <v>221</v>
      </c>
      <c r="D801" s="11" t="str">
        <f>VLOOKUP(VALUE(MID($C801,13,2)), codigos!$A$2:$B$60, 2, 1) &amp; " " &amp; VLOOKUP(VALUE(MID($C801,15,4)), codigos!$E$2:$F$102, 2, FALSE)</f>
        <v>OLLA CONVEXA 34</v>
      </c>
      <c r="E801" s="11" t="str">
        <f>VLOOKUP(VALUE(MID($C801,19,2)),codigos!$H$2:$I$62,2,1) &amp; " " &amp; VLOOKUP(VALUE(MID($C801,21,2)),codigos!$K$2:$L$12,2,FALSE)</f>
        <v>A/T S/I</v>
      </c>
      <c r="F801" s="11" t="s">
        <v>1030</v>
      </c>
      <c r="G801" s="11" t="s">
        <v>11</v>
      </c>
      <c r="H801" s="52" t="s">
        <v>1031</v>
      </c>
      <c r="I801" s="20" t="s">
        <v>1032</v>
      </c>
      <c r="J801" s="11">
        <v>4</v>
      </c>
      <c r="K801" s="11">
        <v>4</v>
      </c>
      <c r="L801" s="11">
        <f t="shared" si="100"/>
        <v>0</v>
      </c>
      <c r="M801" s="134"/>
      <c r="N801" s="18">
        <v>46072</v>
      </c>
      <c r="O801" s="93">
        <v>46065</v>
      </c>
    </row>
    <row r="802" spans="1:15" x14ac:dyDescent="0.25">
      <c r="A802" s="11">
        <f t="shared" ca="1" si="98"/>
        <v>-75</v>
      </c>
      <c r="B802" s="37">
        <f t="shared" si="99"/>
        <v>37</v>
      </c>
      <c r="C802" s="11" t="s">
        <v>260</v>
      </c>
      <c r="D802" s="11" t="str">
        <f>VLOOKUP(VALUE(MID($C802,13,2)), codigos!$A$2:$B$60, 2, 1) &amp; " " &amp; VLOOKUP(VALUE(MID($C802,15,4)), codigos!$E$2:$F$102, 2, FALSE)</f>
        <v>OLLA RECTA 20</v>
      </c>
      <c r="E802" s="11" t="str">
        <f>VLOOKUP(VALUE(MID($C802,19,2)),codigos!$H$2:$I$62,2,1) &amp; " " &amp; VLOOKUP(VALUE(MID($C802,21,2)),codigos!$K$2:$L$12,2,FALSE)</f>
        <v>A/T S/I</v>
      </c>
      <c r="F802" s="11" t="s">
        <v>1030</v>
      </c>
      <c r="G802" s="11" t="s">
        <v>11</v>
      </c>
      <c r="H802" s="52" t="s">
        <v>1031</v>
      </c>
      <c r="I802" s="20" t="s">
        <v>1032</v>
      </c>
      <c r="J802" s="11">
        <v>24</v>
      </c>
      <c r="K802" s="11">
        <v>24</v>
      </c>
      <c r="L802" s="11">
        <f t="shared" si="100"/>
        <v>0</v>
      </c>
      <c r="M802" s="134"/>
      <c r="N802" s="18">
        <v>46072</v>
      </c>
      <c r="O802" s="93">
        <v>46065</v>
      </c>
    </row>
    <row r="803" spans="1:15" x14ac:dyDescent="0.25">
      <c r="A803" s="11">
        <f t="shared" ca="1" si="98"/>
        <v>-75</v>
      </c>
      <c r="B803" s="37">
        <f t="shared" si="99"/>
        <v>37</v>
      </c>
      <c r="C803" s="11" t="s">
        <v>236</v>
      </c>
      <c r="D803" s="11" t="str">
        <f>VLOOKUP(VALUE(MID($C803,13,2)), codigos!$A$2:$B$60, 2, 1) &amp; " " &amp; VLOOKUP(VALUE(MID($C803,15,4)), codigos!$E$2:$F$102, 2, FALSE)</f>
        <v>OLLA RECTA 22</v>
      </c>
      <c r="E803" s="11" t="str">
        <f>VLOOKUP(VALUE(MID($C803,19,2)),codigos!$H$2:$I$62,2,1) &amp; " " &amp; VLOOKUP(VALUE(MID($C803,21,2)),codigos!$K$2:$L$12,2,FALSE)</f>
        <v>A/T S/I</v>
      </c>
      <c r="F803" s="11" t="s">
        <v>1030</v>
      </c>
      <c r="G803" s="11" t="s">
        <v>11</v>
      </c>
      <c r="H803" s="52" t="s">
        <v>1031</v>
      </c>
      <c r="I803" s="20" t="s">
        <v>1032</v>
      </c>
      <c r="J803" s="11">
        <v>12</v>
      </c>
      <c r="K803" s="11">
        <v>12</v>
      </c>
      <c r="L803" s="11">
        <f t="shared" si="100"/>
        <v>0</v>
      </c>
      <c r="M803" s="134"/>
      <c r="N803" s="18">
        <v>46072</v>
      </c>
      <c r="O803" s="93">
        <v>46065</v>
      </c>
    </row>
    <row r="804" spans="1:15" x14ac:dyDescent="0.25">
      <c r="A804" s="11">
        <f t="shared" ca="1" si="98"/>
        <v>-75</v>
      </c>
      <c r="B804" s="37">
        <f t="shared" si="99"/>
        <v>37</v>
      </c>
      <c r="C804" s="11" t="s">
        <v>224</v>
      </c>
      <c r="D804" s="11" t="str">
        <f>VLOOKUP(VALUE(MID($C804,13,2)), codigos!$A$2:$B$60, 2, 1) &amp; " " &amp; VLOOKUP(VALUE(MID($C804,15,4)), codigos!$E$2:$F$102, 2, FALSE)</f>
        <v>OLLA RECTA 26</v>
      </c>
      <c r="E804" s="11" t="str">
        <f>VLOOKUP(VALUE(MID($C804,19,2)),codigos!$H$2:$I$62,2,1) &amp; " " &amp; VLOOKUP(VALUE(MID($C804,21,2)),codigos!$K$2:$L$12,2,FALSE)</f>
        <v>A/T S/I</v>
      </c>
      <c r="F804" s="11" t="s">
        <v>1030</v>
      </c>
      <c r="G804" s="11" t="s">
        <v>11</v>
      </c>
      <c r="H804" s="52" t="s">
        <v>1031</v>
      </c>
      <c r="I804" s="20" t="s">
        <v>1032</v>
      </c>
      <c r="J804" s="11">
        <v>18</v>
      </c>
      <c r="K804" s="11">
        <v>18</v>
      </c>
      <c r="L804" s="11">
        <f t="shared" si="100"/>
        <v>0</v>
      </c>
      <c r="M804" s="134"/>
      <c r="N804" s="18">
        <v>46072</v>
      </c>
      <c r="O804" s="93">
        <v>46065</v>
      </c>
    </row>
    <row r="805" spans="1:15" x14ac:dyDescent="0.25">
      <c r="A805" s="11">
        <f t="shared" ca="1" si="98"/>
        <v>-75</v>
      </c>
      <c r="B805" s="37">
        <f t="shared" si="99"/>
        <v>37</v>
      </c>
      <c r="C805" s="11" t="s">
        <v>157</v>
      </c>
      <c r="D805" s="11" t="str">
        <f>VLOOKUP(VALUE(MID($C805,13,2)), codigos!$A$2:$B$60, 2, 1) &amp; " " &amp; VLOOKUP(VALUE(MID($C805,15,4)), codigos!$E$2:$F$102, 2, FALSE)</f>
        <v>OLLA RECTA 42</v>
      </c>
      <c r="E805" s="11" t="str">
        <f>VLOOKUP(VALUE(MID($C805,19,2)),codigos!$H$2:$I$62,2,1) &amp; " " &amp; VLOOKUP(VALUE(MID($C805,21,2)),codigos!$K$2:$L$12,2,FALSE)</f>
        <v>A/T S/I</v>
      </c>
      <c r="F805" s="11" t="s">
        <v>1030</v>
      </c>
      <c r="G805" s="11" t="s">
        <v>11</v>
      </c>
      <c r="H805" s="52" t="s">
        <v>1031</v>
      </c>
      <c r="I805" s="20" t="s">
        <v>1032</v>
      </c>
      <c r="J805" s="11">
        <v>3</v>
      </c>
      <c r="K805" s="11">
        <v>3</v>
      </c>
      <c r="L805" s="11">
        <f t="shared" si="100"/>
        <v>0</v>
      </c>
      <c r="M805" s="134"/>
      <c r="N805" s="18">
        <v>46072</v>
      </c>
      <c r="O805" s="93">
        <v>46065</v>
      </c>
    </row>
    <row r="806" spans="1:15" x14ac:dyDescent="0.25">
      <c r="A806" s="11">
        <f t="shared" ca="1" si="98"/>
        <v>-75</v>
      </c>
      <c r="B806" s="37">
        <f t="shared" si="99"/>
        <v>37</v>
      </c>
      <c r="C806" s="11" t="s">
        <v>262</v>
      </c>
      <c r="D806" s="11" t="str">
        <f>VLOOKUP(VALUE(MID($C806,13,2)), codigos!$A$2:$B$60, 2, 1) &amp; " " &amp; VLOOKUP(VALUE(MID($C806,15,4)), codigos!$E$2:$F$102, 2, FALSE)</f>
        <v>SARTEN 20</v>
      </c>
      <c r="E806" s="11" t="str">
        <f>VLOOKUP(VALUE(MID($C806,19,2)),codigos!$H$2:$I$62,2,1) &amp; " " &amp; VLOOKUP(VALUE(MID($C806,21,2)),codigos!$K$2:$L$12,2,FALSE)</f>
        <v>A/T S/I</v>
      </c>
      <c r="F806" s="11" t="s">
        <v>1030</v>
      </c>
      <c r="G806" s="11" t="s">
        <v>11</v>
      </c>
      <c r="H806" s="52" t="s">
        <v>1031</v>
      </c>
      <c r="I806" s="20" t="s">
        <v>1032</v>
      </c>
      <c r="J806" s="11">
        <v>12</v>
      </c>
      <c r="K806" s="11">
        <v>12</v>
      </c>
      <c r="L806" s="11">
        <f t="shared" si="100"/>
        <v>0</v>
      </c>
      <c r="M806" s="134"/>
      <c r="N806" s="18">
        <v>46072</v>
      </c>
      <c r="O806" s="93">
        <v>46065</v>
      </c>
    </row>
    <row r="807" spans="1:15" x14ac:dyDescent="0.25">
      <c r="A807" s="11">
        <f t="shared" ca="1" si="98"/>
        <v>-75</v>
      </c>
      <c r="B807" s="37">
        <f t="shared" si="99"/>
        <v>37</v>
      </c>
      <c r="C807" s="11" t="s">
        <v>44</v>
      </c>
      <c r="D807" s="11" t="str">
        <f>VLOOKUP(VALUE(MID($C807,13,2)), codigos!$A$2:$B$60, 2, 1) &amp; " " &amp; VLOOKUP(VALUE(MID($C807,15,4)), codigos!$E$2:$F$102, 2, FALSE)</f>
        <v>SARTEN 24</v>
      </c>
      <c r="E807" s="11" t="str">
        <f>VLOOKUP(VALUE(MID($C807,19,2)),codigos!$H$2:$I$62,2,1) &amp; " " &amp; VLOOKUP(VALUE(MID($C807,21,2)),codigos!$K$2:$L$12,2,FALSE)</f>
        <v>A/T S/I</v>
      </c>
      <c r="F807" s="11" t="s">
        <v>1030</v>
      </c>
      <c r="G807" s="11" t="s">
        <v>11</v>
      </c>
      <c r="H807" s="52" t="s">
        <v>1031</v>
      </c>
      <c r="I807" s="20" t="s">
        <v>1032</v>
      </c>
      <c r="J807" s="11">
        <v>12</v>
      </c>
      <c r="K807" s="11">
        <v>12</v>
      </c>
      <c r="L807" s="11">
        <f t="shared" si="100"/>
        <v>0</v>
      </c>
      <c r="M807" s="134"/>
      <c r="N807" s="18">
        <v>46072</v>
      </c>
      <c r="O807" s="93">
        <v>46065</v>
      </c>
    </row>
    <row r="808" spans="1:15" x14ac:dyDescent="0.25">
      <c r="A808" s="11">
        <f t="shared" ca="1" si="98"/>
        <v>-75</v>
      </c>
      <c r="B808" s="37">
        <f t="shared" si="99"/>
        <v>37</v>
      </c>
      <c r="C808" s="11" t="s">
        <v>238</v>
      </c>
      <c r="D808" s="11" t="str">
        <f>VLOOKUP(VALUE(MID($C808,13,2)), codigos!$A$2:$B$60, 2, 1) &amp; " " &amp; VLOOKUP(VALUE(MID($C808,15,4)), codigos!$E$2:$F$102, 2, FALSE)</f>
        <v>OLLA RECTA 38</v>
      </c>
      <c r="E808" s="11" t="str">
        <f>VLOOKUP(VALUE(MID($C808,19,2)),codigos!$H$2:$I$62,2,1) &amp; " " &amp; VLOOKUP(VALUE(MID($C808,21,2)),codigos!$K$2:$L$12,2,FALSE)</f>
        <v>A/T S/I</v>
      </c>
      <c r="F808" s="11" t="s">
        <v>1030</v>
      </c>
      <c r="G808" s="11" t="s">
        <v>11</v>
      </c>
      <c r="H808" s="52" t="s">
        <v>1031</v>
      </c>
      <c r="I808" s="20" t="s">
        <v>1032</v>
      </c>
      <c r="J808" s="11">
        <v>3</v>
      </c>
      <c r="K808" s="11">
        <v>3</v>
      </c>
      <c r="L808" s="11">
        <f t="shared" si="100"/>
        <v>0</v>
      </c>
      <c r="M808" s="134"/>
      <c r="N808" s="18">
        <v>46072</v>
      </c>
      <c r="O808" s="93">
        <v>46065</v>
      </c>
    </row>
    <row r="809" spans="1:15" x14ac:dyDescent="0.25">
      <c r="A809" s="11">
        <f t="shared" ref="A809:A814" ca="1" si="101">DAYS360($B$1,I809)</f>
        <v>-82</v>
      </c>
      <c r="B809" s="37">
        <f t="shared" ref="B809:B814" si="102">+N809-I809</f>
        <v>44</v>
      </c>
      <c r="C809" s="11" t="s">
        <v>214</v>
      </c>
      <c r="D809" s="11" t="str">
        <f>VLOOKUP(VALUE(MID($C809,13,2)), [2]codigos!$A$2:$B$60, 2, 1) &amp; " " &amp; VLOOKUP(VALUE(MID($C809,15,4)), [2]codigos!$E$2:$F$102, 2, FALSE)</f>
        <v>BUDINERA   18</v>
      </c>
      <c r="E809" s="11" t="str">
        <f>VLOOKUP(VALUE(MID($C809,19,2)),[2]codigos!$H$2:$I$62,2,1) &amp; " " &amp; VLOOKUP(VALUE(MID($C809,21,2)),[2]codigos!$K$2:$L$12,2,FALSE)</f>
        <v>A/T S/I</v>
      </c>
      <c r="F809" s="11" t="s">
        <v>489</v>
      </c>
      <c r="G809" s="11" t="s">
        <v>16</v>
      </c>
      <c r="H809" s="52" t="s">
        <v>1022</v>
      </c>
      <c r="I809" s="20" t="s">
        <v>995</v>
      </c>
      <c r="J809" s="11">
        <v>18</v>
      </c>
      <c r="K809" s="11">
        <v>18</v>
      </c>
      <c r="L809" s="11">
        <f t="shared" ref="L809:L872" si="103">J809-K809</f>
        <v>0</v>
      </c>
      <c r="M809" s="134">
        <f>(SUM(K809:K814))/(SUM(J809:J814))</f>
        <v>1</v>
      </c>
      <c r="N809" s="18">
        <v>46072</v>
      </c>
      <c r="O809" s="93">
        <v>46059</v>
      </c>
    </row>
    <row r="810" spans="1:15" x14ac:dyDescent="0.25">
      <c r="A810" s="11">
        <f t="shared" ca="1" si="101"/>
        <v>-82</v>
      </c>
      <c r="B810" s="37">
        <f t="shared" si="102"/>
        <v>44</v>
      </c>
      <c r="C810" s="11" t="s">
        <v>218</v>
      </c>
      <c r="D810" s="11" t="str">
        <f>VLOOKUP(VALUE(MID($C810,13,2)), [2]codigos!$A$2:$B$60, 2, 1) &amp; " " &amp; VLOOKUP(VALUE(MID($C810,15,4)), [2]codigos!$E$2:$F$102, 2, FALSE)</f>
        <v>CAZO 14</v>
      </c>
      <c r="E810" s="11" t="str">
        <f>VLOOKUP(VALUE(MID($C810,19,2)),[2]codigos!$H$2:$I$62,2,1) &amp; " " &amp; VLOOKUP(VALUE(MID($C810,21,2)),[2]codigos!$K$2:$L$12,2,FALSE)</f>
        <v>A/T S/I</v>
      </c>
      <c r="F810" s="11" t="s">
        <v>489</v>
      </c>
      <c r="G810" s="11" t="s">
        <v>16</v>
      </c>
      <c r="H810" s="52" t="s">
        <v>1022</v>
      </c>
      <c r="I810" s="20" t="s">
        <v>995</v>
      </c>
      <c r="J810" s="11">
        <v>24</v>
      </c>
      <c r="K810" s="11">
        <v>24</v>
      </c>
      <c r="L810" s="11">
        <f t="shared" si="103"/>
        <v>0</v>
      </c>
      <c r="M810" s="134"/>
      <c r="N810" s="18">
        <v>46072</v>
      </c>
      <c r="O810" s="93">
        <v>46059</v>
      </c>
    </row>
    <row r="811" spans="1:15" x14ac:dyDescent="0.25">
      <c r="A811" s="11">
        <f t="shared" ca="1" si="101"/>
        <v>-82</v>
      </c>
      <c r="B811" s="37">
        <f t="shared" si="102"/>
        <v>44</v>
      </c>
      <c r="C811" s="11" t="s">
        <v>333</v>
      </c>
      <c r="D811" s="11" t="str">
        <f>VLOOKUP(VALUE(MID($C811,13,2)), [2]codigos!$A$2:$B$60, 2, 1) &amp; " " &amp; VLOOKUP(VALUE(MID($C811,15,4)), [2]codigos!$E$2:$F$102, 2, FALSE)</f>
        <v>OLLA CONVEXA 14</v>
      </c>
      <c r="E811" s="11" t="str">
        <f>VLOOKUP(VALUE(MID($C811,19,2)),[2]codigos!$H$2:$I$62,2,1) &amp; " " &amp; VLOOKUP(VALUE(MID($C811,21,2)),[2]codigos!$K$2:$L$12,2,FALSE)</f>
        <v>A/T S/I</v>
      </c>
      <c r="F811" s="11" t="s">
        <v>489</v>
      </c>
      <c r="G811" s="11" t="s">
        <v>16</v>
      </c>
      <c r="H811" s="52" t="s">
        <v>1022</v>
      </c>
      <c r="I811" s="20" t="s">
        <v>995</v>
      </c>
      <c r="J811" s="11">
        <v>18</v>
      </c>
      <c r="K811" s="11">
        <v>18</v>
      </c>
      <c r="L811" s="11">
        <f t="shared" si="103"/>
        <v>0</v>
      </c>
      <c r="M811" s="134"/>
      <c r="N811" s="18">
        <v>46072</v>
      </c>
      <c r="O811" s="93">
        <v>46059</v>
      </c>
    </row>
    <row r="812" spans="1:15" x14ac:dyDescent="0.25">
      <c r="A812" s="11">
        <f t="shared" ca="1" si="101"/>
        <v>-82</v>
      </c>
      <c r="B812" s="37">
        <f t="shared" si="102"/>
        <v>44</v>
      </c>
      <c r="C812" s="11" t="s">
        <v>220</v>
      </c>
      <c r="D812" s="11" t="str">
        <f>VLOOKUP(VALUE(MID($C812,13,2)), [2]codigos!$A$2:$B$60, 2, 1) &amp; " " &amp; VLOOKUP(VALUE(MID($C812,15,4)), [2]codigos!$E$2:$F$102, 2, FALSE)</f>
        <v>OLLA CONVEXA 16</v>
      </c>
      <c r="E812" s="11" t="str">
        <f>VLOOKUP(VALUE(MID($C812,19,2)),[2]codigos!$H$2:$I$62,2,1) &amp; " " &amp; VLOOKUP(VALUE(MID($C812,21,2)),[2]codigos!$K$2:$L$12,2,FALSE)</f>
        <v>A/T S/I</v>
      </c>
      <c r="F812" s="11" t="s">
        <v>489</v>
      </c>
      <c r="G812" s="11" t="s">
        <v>16</v>
      </c>
      <c r="H812" s="52" t="s">
        <v>1022</v>
      </c>
      <c r="I812" s="20" t="s">
        <v>995</v>
      </c>
      <c r="J812" s="11">
        <v>12</v>
      </c>
      <c r="K812" s="11">
        <v>12</v>
      </c>
      <c r="L812" s="11">
        <f t="shared" si="103"/>
        <v>0</v>
      </c>
      <c r="M812" s="134"/>
      <c r="N812" s="18">
        <v>46072</v>
      </c>
      <c r="O812" s="93">
        <v>46059</v>
      </c>
    </row>
    <row r="813" spans="1:15" x14ac:dyDescent="0.25">
      <c r="A813" s="11">
        <f t="shared" ca="1" si="101"/>
        <v>-82</v>
      </c>
      <c r="B813" s="37">
        <f t="shared" si="102"/>
        <v>44</v>
      </c>
      <c r="C813" s="11" t="s">
        <v>225</v>
      </c>
      <c r="D813" s="11" t="str">
        <f>VLOOKUP(VALUE(MID($C813,13,2)), [2]codigos!$A$2:$B$60, 2, 1) &amp; " " &amp; VLOOKUP(VALUE(MID($C813,15,4)), [2]codigos!$E$2:$F$102, 2, FALSE)</f>
        <v>POCILLO 8</v>
      </c>
      <c r="E813" s="11" t="str">
        <f>VLOOKUP(VALUE(MID($C813,19,2)),[2]codigos!$H$2:$I$62,2,1) &amp; " " &amp; VLOOKUP(VALUE(MID($C813,21,2)),[2]codigos!$K$2:$L$12,2,FALSE)</f>
        <v>A/T S/I</v>
      </c>
      <c r="F813" s="11" t="s">
        <v>489</v>
      </c>
      <c r="G813" s="11" t="s">
        <v>16</v>
      </c>
      <c r="H813" s="52" t="s">
        <v>1022</v>
      </c>
      <c r="I813" s="20" t="s">
        <v>995</v>
      </c>
      <c r="J813" s="11">
        <v>48</v>
      </c>
      <c r="K813" s="11">
        <v>48</v>
      </c>
      <c r="L813" s="11">
        <f t="shared" si="103"/>
        <v>0</v>
      </c>
      <c r="M813" s="134"/>
      <c r="N813" s="18">
        <v>46072</v>
      </c>
      <c r="O813" s="93">
        <v>46059</v>
      </c>
    </row>
    <row r="814" spans="1:15" x14ac:dyDescent="0.25">
      <c r="A814" s="11">
        <f t="shared" ca="1" si="101"/>
        <v>-82</v>
      </c>
      <c r="B814" s="37">
        <f t="shared" si="102"/>
        <v>44</v>
      </c>
      <c r="C814" s="11" t="s">
        <v>226</v>
      </c>
      <c r="D814" s="11" t="str">
        <f>VLOOKUP(VALUE(MID($C814,13,2)), [2]codigos!$A$2:$B$60, 2, 1) &amp; " " &amp; VLOOKUP(VALUE(MID($C814,15,4)), [2]codigos!$E$2:$F$102, 2, FALSE)</f>
        <v>POCILLO 10</v>
      </c>
      <c r="E814" s="11" t="str">
        <f>VLOOKUP(VALUE(MID($C814,19,2)),[2]codigos!$H$2:$I$62,2,1) &amp; " " &amp; VLOOKUP(VALUE(MID($C814,21,2)),[2]codigos!$K$2:$L$12,2,FALSE)</f>
        <v>A/T S/I</v>
      </c>
      <c r="F814" s="11" t="s">
        <v>489</v>
      </c>
      <c r="G814" s="11" t="s">
        <v>16</v>
      </c>
      <c r="H814" s="52" t="s">
        <v>1022</v>
      </c>
      <c r="I814" s="20" t="s">
        <v>995</v>
      </c>
      <c r="J814" s="11">
        <v>120</v>
      </c>
      <c r="K814" s="11">
        <v>120</v>
      </c>
      <c r="L814" s="11">
        <f t="shared" si="103"/>
        <v>0</v>
      </c>
      <c r="M814" s="134"/>
      <c r="N814" s="18">
        <v>46072</v>
      </c>
      <c r="O814" s="93">
        <v>46059</v>
      </c>
    </row>
    <row r="815" spans="1:15" x14ac:dyDescent="0.25">
      <c r="A815" s="11">
        <f t="shared" ref="A815:A847" ca="1" si="104">DAYS360($B$1,I815)</f>
        <v>-60</v>
      </c>
      <c r="B815" s="37">
        <f t="shared" ref="B815:B847" si="105">+N815-I815</f>
        <v>22</v>
      </c>
      <c r="C815" s="11" t="s">
        <v>151</v>
      </c>
      <c r="D815" s="11" t="str">
        <f>VLOOKUP(VALUE(MID($C815,13,2)), [2]codigos!$A$2:$B$60, 2, 1) &amp; " " &amp; VLOOKUP(VALUE(MID($C815,15,4)), [2]codigos!$E$2:$F$102, 2, FALSE)</f>
        <v>OLLA CONVEXA 20</v>
      </c>
      <c r="E815" s="11" t="str">
        <f>VLOOKUP(VALUE(MID($C815,19,2)),[2]codigos!$H$2:$I$62,2,1) &amp; " " &amp; VLOOKUP(VALUE(MID($C815,21,2)),[2]codigos!$K$2:$L$12,2,FALSE)</f>
        <v>A/T S/I</v>
      </c>
      <c r="F815" s="11" t="s">
        <v>1325</v>
      </c>
      <c r="G815" s="11" t="s">
        <v>11</v>
      </c>
      <c r="H815" s="52" t="s">
        <v>1323</v>
      </c>
      <c r="I815" s="20" t="s">
        <v>1324</v>
      </c>
      <c r="J815" s="11">
        <v>84</v>
      </c>
      <c r="K815" s="11">
        <f>60+24</f>
        <v>84</v>
      </c>
      <c r="L815" s="11">
        <f t="shared" si="103"/>
        <v>0</v>
      </c>
      <c r="M815" s="131">
        <f>(SUM(K815:K831))/(SUM(J815:J831))</f>
        <v>1</v>
      </c>
      <c r="N815" s="18">
        <v>46072</v>
      </c>
      <c r="O815" s="93">
        <v>46071</v>
      </c>
    </row>
    <row r="816" spans="1:15" x14ac:dyDescent="0.25">
      <c r="A816" s="11">
        <f t="shared" ca="1" si="104"/>
        <v>-60</v>
      </c>
      <c r="B816" s="37">
        <f t="shared" si="105"/>
        <v>22</v>
      </c>
      <c r="C816" s="11" t="s">
        <v>43</v>
      </c>
      <c r="D816" s="11" t="str">
        <f>VLOOKUP(VALUE(MID($C816,13,2)), [2]codigos!$A$2:$B$60, 2, 1) &amp; " " &amp; VLOOKUP(VALUE(MID($C816,15,4)), [2]codigos!$E$2:$F$102, 2, FALSE)</f>
        <v>OLLA CONVEXA 22</v>
      </c>
      <c r="E816" s="11" t="str">
        <f>VLOOKUP(VALUE(MID($C816,19,2)),[2]codigos!$H$2:$I$62,2,1) &amp; " " &amp; VLOOKUP(VALUE(MID($C816,21,2)),[2]codigos!$K$2:$L$12,2,FALSE)</f>
        <v>A/T S/I</v>
      </c>
      <c r="F816" s="11" t="s">
        <v>1325</v>
      </c>
      <c r="G816" s="11" t="s">
        <v>11</v>
      </c>
      <c r="H816" s="52" t="s">
        <v>1323</v>
      </c>
      <c r="I816" s="20" t="s">
        <v>1324</v>
      </c>
      <c r="J816" s="11">
        <v>120</v>
      </c>
      <c r="K816" s="11">
        <v>120</v>
      </c>
      <c r="L816" s="11">
        <f t="shared" si="103"/>
        <v>0</v>
      </c>
      <c r="M816" s="131"/>
      <c r="N816" s="18">
        <v>46072</v>
      </c>
      <c r="O816" s="93">
        <v>46071</v>
      </c>
    </row>
    <row r="817" spans="1:15" x14ac:dyDescent="0.25">
      <c r="A817" s="11">
        <f t="shared" ca="1" si="104"/>
        <v>-60</v>
      </c>
      <c r="B817" s="37">
        <f t="shared" si="105"/>
        <v>22</v>
      </c>
      <c r="C817" s="11" t="s">
        <v>152</v>
      </c>
      <c r="D817" s="11" t="str">
        <f>VLOOKUP(VALUE(MID($C817,13,2)), [2]codigos!$A$2:$B$60, 2, 1) &amp; " " &amp; VLOOKUP(VALUE(MID($C817,15,4)), [2]codigos!$E$2:$F$102, 2, FALSE)</f>
        <v>OLLA CONVEXA 24</v>
      </c>
      <c r="E817" s="11" t="str">
        <f>VLOOKUP(VALUE(MID($C817,19,2)),[2]codigos!$H$2:$I$62,2,1) &amp; " " &amp; VLOOKUP(VALUE(MID($C817,21,2)),[2]codigos!$K$2:$L$12,2,FALSE)</f>
        <v>A/T S/I</v>
      </c>
      <c r="F817" s="11" t="s">
        <v>1325</v>
      </c>
      <c r="G817" s="11" t="s">
        <v>11</v>
      </c>
      <c r="H817" s="52" t="s">
        <v>1323</v>
      </c>
      <c r="I817" s="20" t="s">
        <v>1324</v>
      </c>
      <c r="J817" s="11">
        <v>120</v>
      </c>
      <c r="K817" s="11">
        <v>120</v>
      </c>
      <c r="L817" s="11">
        <f t="shared" si="103"/>
        <v>0</v>
      </c>
      <c r="M817" s="131"/>
      <c r="N817" s="18">
        <v>46072</v>
      </c>
      <c r="O817" s="93">
        <v>46071</v>
      </c>
    </row>
    <row r="818" spans="1:15" x14ac:dyDescent="0.25">
      <c r="A818" s="11">
        <f t="shared" ca="1" si="104"/>
        <v>-60</v>
      </c>
      <c r="B818" s="37">
        <f t="shared" si="105"/>
        <v>22</v>
      </c>
      <c r="C818" s="11" t="s">
        <v>154</v>
      </c>
      <c r="D818" s="11" t="str">
        <f>VLOOKUP(VALUE(MID($C818,13,2)), [2]codigos!$A$2:$B$60, 2, 1) &amp; " " &amp; VLOOKUP(VALUE(MID($C818,15,4)), [2]codigos!$E$2:$F$102, 2, FALSE)</f>
        <v>OLLA CONVEXA 30</v>
      </c>
      <c r="E818" s="11" t="str">
        <f>VLOOKUP(VALUE(MID($C818,19,2)),[2]codigos!$H$2:$I$62,2,1) &amp; " " &amp; VLOOKUP(VALUE(MID($C818,21,2)),[2]codigos!$K$2:$L$12,2,FALSE)</f>
        <v>A/T S/I</v>
      </c>
      <c r="F818" s="11" t="s">
        <v>1325</v>
      </c>
      <c r="G818" s="11" t="s">
        <v>11</v>
      </c>
      <c r="H818" s="52" t="s">
        <v>1323</v>
      </c>
      <c r="I818" s="20" t="s">
        <v>1324</v>
      </c>
      <c r="J818" s="11">
        <v>20</v>
      </c>
      <c r="K818" s="11">
        <v>20</v>
      </c>
      <c r="L818" s="11">
        <f t="shared" si="103"/>
        <v>0</v>
      </c>
      <c r="M818" s="131"/>
      <c r="N818" s="18">
        <v>46072</v>
      </c>
      <c r="O818" s="93">
        <v>46071</v>
      </c>
    </row>
    <row r="819" spans="1:15" x14ac:dyDescent="0.25">
      <c r="A819" s="11">
        <f t="shared" ca="1" si="104"/>
        <v>-60</v>
      </c>
      <c r="B819" s="37">
        <f t="shared" si="105"/>
        <v>22</v>
      </c>
      <c r="C819" s="11" t="s">
        <v>215</v>
      </c>
      <c r="D819" s="11" t="str">
        <f>VLOOKUP(VALUE(MID($C819,13,2)), [2]codigos!$A$2:$B$60, 2, 1) &amp; " " &amp; VLOOKUP(VALUE(MID($C819,15,4)), [2]codigos!$E$2:$F$102, 2, FALSE)</f>
        <v>BUDINERA   20</v>
      </c>
      <c r="E819" s="11" t="str">
        <f>VLOOKUP(VALUE(MID($C819,19,2)),[2]codigos!$H$2:$I$62,2,1) &amp; " " &amp; VLOOKUP(VALUE(MID($C819,21,2)),[2]codigos!$K$2:$L$12,2,FALSE)</f>
        <v>A/T S/I</v>
      </c>
      <c r="F819" s="11" t="s">
        <v>1325</v>
      </c>
      <c r="G819" s="11" t="s">
        <v>11</v>
      </c>
      <c r="H819" s="52" t="s">
        <v>1323</v>
      </c>
      <c r="I819" s="20" t="s">
        <v>1324</v>
      </c>
      <c r="J819" s="11">
        <v>180</v>
      </c>
      <c r="K819" s="11">
        <v>180</v>
      </c>
      <c r="L819" s="11">
        <f t="shared" si="103"/>
        <v>0</v>
      </c>
      <c r="M819" s="131"/>
      <c r="N819" s="18">
        <v>46072</v>
      </c>
      <c r="O819" s="93">
        <v>46071</v>
      </c>
    </row>
    <row r="820" spans="1:15" x14ac:dyDescent="0.25">
      <c r="A820" s="11">
        <f t="shared" ca="1" si="104"/>
        <v>-60</v>
      </c>
      <c r="B820" s="37">
        <f t="shared" si="105"/>
        <v>22</v>
      </c>
      <c r="C820" s="11" t="s">
        <v>241</v>
      </c>
      <c r="D820" s="11" t="str">
        <f>VLOOKUP(VALUE(MID($C820,13,2)), [2]codigos!$A$2:$B$60, 2, 1) &amp; " " &amp; VLOOKUP(VALUE(MID($C820,15,4)), [2]codigos!$E$2:$F$102, 2, FALSE)</f>
        <v>BUDINERA   22</v>
      </c>
      <c r="E820" s="11" t="str">
        <f>VLOOKUP(VALUE(MID($C820,19,2)),[2]codigos!$H$2:$I$62,2,1) &amp; " " &amp; VLOOKUP(VALUE(MID($C820,21,2)),[2]codigos!$K$2:$L$12,2,FALSE)</f>
        <v>A/T S/I</v>
      </c>
      <c r="F820" s="11" t="s">
        <v>1325</v>
      </c>
      <c r="G820" s="11" t="s">
        <v>11</v>
      </c>
      <c r="H820" s="52" t="s">
        <v>1323</v>
      </c>
      <c r="I820" s="20" t="s">
        <v>1324</v>
      </c>
      <c r="J820" s="11">
        <v>120</v>
      </c>
      <c r="K820" s="11">
        <v>120</v>
      </c>
      <c r="L820" s="11">
        <f t="shared" si="103"/>
        <v>0</v>
      </c>
      <c r="M820" s="131"/>
      <c r="N820" s="18">
        <v>46072</v>
      </c>
      <c r="O820" s="93">
        <v>46071</v>
      </c>
    </row>
    <row r="821" spans="1:15" x14ac:dyDescent="0.25">
      <c r="A821" s="11">
        <f t="shared" ca="1" si="104"/>
        <v>-60</v>
      </c>
      <c r="B821" s="37">
        <f t="shared" si="105"/>
        <v>22</v>
      </c>
      <c r="C821" s="11" t="s">
        <v>143</v>
      </c>
      <c r="D821" s="11" t="str">
        <f>VLOOKUP(VALUE(MID($C821,13,2)), [2]codigos!$A$2:$B$60, 2, 1) &amp; " " &amp; VLOOKUP(VALUE(MID($C821,15,4)), [2]codigos!$E$2:$F$102, 2, FALSE)</f>
        <v>BUDINERA   24</v>
      </c>
      <c r="E821" s="11" t="str">
        <f>VLOOKUP(VALUE(MID($C821,19,2)),[2]codigos!$H$2:$I$62,2,1) &amp; " " &amp; VLOOKUP(VALUE(MID($C821,21,2)),[2]codigos!$K$2:$L$12,2,FALSE)</f>
        <v>A/T S/I</v>
      </c>
      <c r="F821" s="11" t="s">
        <v>1325</v>
      </c>
      <c r="G821" s="11" t="s">
        <v>11</v>
      </c>
      <c r="H821" s="52" t="s">
        <v>1323</v>
      </c>
      <c r="I821" s="20" t="s">
        <v>1324</v>
      </c>
      <c r="J821" s="11">
        <v>120</v>
      </c>
      <c r="K821" s="11">
        <v>120</v>
      </c>
      <c r="L821" s="11">
        <f t="shared" si="103"/>
        <v>0</v>
      </c>
      <c r="M821" s="131"/>
      <c r="N821" s="18">
        <v>46072</v>
      </c>
      <c r="O821" s="93">
        <v>46071</v>
      </c>
    </row>
    <row r="822" spans="1:15" x14ac:dyDescent="0.25">
      <c r="A822" s="11">
        <f t="shared" ca="1" si="104"/>
        <v>-60</v>
      </c>
      <c r="B822" s="37">
        <f t="shared" si="105"/>
        <v>22</v>
      </c>
      <c r="C822" s="11" t="s">
        <v>148</v>
      </c>
      <c r="D822" s="11" t="str">
        <f>VLOOKUP(VALUE(MID($C822,13,2)), [2]codigos!$A$2:$B$60, 2, 1) &amp; " " &amp; VLOOKUP(VALUE(MID($C822,15,4)), [2]codigos!$E$2:$F$102, 2, FALSE)</f>
        <v>BUDINERA   26</v>
      </c>
      <c r="E822" s="11" t="str">
        <f>VLOOKUP(VALUE(MID($C822,19,2)),[2]codigos!$H$2:$I$62,2,1) &amp; " " &amp; VLOOKUP(VALUE(MID($C822,21,2)),[2]codigos!$K$2:$L$12,2,FALSE)</f>
        <v>A/T S/I</v>
      </c>
      <c r="F822" s="11" t="s">
        <v>1325</v>
      </c>
      <c r="G822" s="11" t="s">
        <v>11</v>
      </c>
      <c r="H822" s="52" t="s">
        <v>1323</v>
      </c>
      <c r="I822" s="20" t="s">
        <v>1324</v>
      </c>
      <c r="J822" s="11">
        <v>120</v>
      </c>
      <c r="K822" s="11">
        <v>120</v>
      </c>
      <c r="L822" s="11">
        <f t="shared" si="103"/>
        <v>0</v>
      </c>
      <c r="M822" s="131"/>
      <c r="N822" s="18">
        <v>46072</v>
      </c>
      <c r="O822" s="93">
        <v>46071</v>
      </c>
    </row>
    <row r="823" spans="1:15" x14ac:dyDescent="0.25">
      <c r="A823" s="11">
        <f t="shared" ca="1" si="104"/>
        <v>-60</v>
      </c>
      <c r="B823" s="37">
        <f t="shared" si="105"/>
        <v>22</v>
      </c>
      <c r="C823" s="11" t="s">
        <v>19</v>
      </c>
      <c r="D823" s="11" t="str">
        <f>VLOOKUP(VALUE(MID($C823,13,2)), [2]codigos!$A$2:$B$60, 2, 1) &amp; " " &amp; VLOOKUP(VALUE(MID($C823,15,4)), [2]codigos!$E$2:$F$102, 2, FALSE)</f>
        <v>BACINICA 24</v>
      </c>
      <c r="E823" s="11" t="str">
        <f>VLOOKUP(VALUE(MID($C823,19,2)),[2]codigos!$H$2:$I$62,2,1) &amp; " " &amp; VLOOKUP(VALUE(MID($C823,21,2)),[2]codigos!$K$2:$L$12,2,FALSE)</f>
        <v>BLANCO  NEGRO</v>
      </c>
      <c r="F823" s="11" t="s">
        <v>1325</v>
      </c>
      <c r="G823" s="11" t="s">
        <v>11</v>
      </c>
      <c r="H823" s="52" t="s">
        <v>1323</v>
      </c>
      <c r="I823" s="20" t="s">
        <v>1324</v>
      </c>
      <c r="J823" s="11">
        <v>48</v>
      </c>
      <c r="K823" s="11">
        <v>48</v>
      </c>
      <c r="L823" s="11">
        <f t="shared" si="103"/>
        <v>0</v>
      </c>
      <c r="M823" s="131"/>
      <c r="N823" s="18">
        <v>46072</v>
      </c>
      <c r="O823" s="93">
        <v>46071</v>
      </c>
    </row>
    <row r="824" spans="1:15" x14ac:dyDescent="0.25">
      <c r="A824" s="11">
        <f t="shared" ca="1" si="104"/>
        <v>-60</v>
      </c>
      <c r="B824" s="37">
        <f t="shared" si="105"/>
        <v>22</v>
      </c>
      <c r="C824" s="11" t="s">
        <v>225</v>
      </c>
      <c r="D824" s="11" t="str">
        <f>VLOOKUP(VALUE(MID($C824,13,2)), [2]codigos!$A$2:$B$60, 2, 1) &amp; " " &amp; VLOOKUP(VALUE(MID($C824,15,4)), [2]codigos!$E$2:$F$102, 2, FALSE)</f>
        <v>POCILLO 8</v>
      </c>
      <c r="E824" s="11" t="str">
        <f>VLOOKUP(VALUE(MID($C824,19,2)),[2]codigos!$H$2:$I$62,2,1) &amp; " " &amp; VLOOKUP(VALUE(MID($C824,21,2)),[2]codigos!$K$2:$L$12,2,FALSE)</f>
        <v>A/T S/I</v>
      </c>
      <c r="F824" s="11" t="s">
        <v>1325</v>
      </c>
      <c r="G824" s="11" t="s">
        <v>11</v>
      </c>
      <c r="H824" s="52" t="s">
        <v>1323</v>
      </c>
      <c r="I824" s="20" t="s">
        <v>1324</v>
      </c>
      <c r="J824" s="11">
        <v>240</v>
      </c>
      <c r="K824" s="11">
        <f>24+6+210</f>
        <v>240</v>
      </c>
      <c r="L824" s="11">
        <f t="shared" si="103"/>
        <v>0</v>
      </c>
      <c r="M824" s="131"/>
      <c r="N824" s="18">
        <v>46072</v>
      </c>
      <c r="O824" s="93">
        <v>46071</v>
      </c>
    </row>
    <row r="825" spans="1:15" x14ac:dyDescent="0.25">
      <c r="A825" s="11">
        <f t="shared" ca="1" si="104"/>
        <v>-60</v>
      </c>
      <c r="B825" s="37">
        <f t="shared" si="105"/>
        <v>22</v>
      </c>
      <c r="C825" s="11" t="s">
        <v>226</v>
      </c>
      <c r="D825" s="11" t="str">
        <f>VLOOKUP(VALUE(MID($C825,13,2)), [2]codigos!$A$2:$B$60, 2, 1) &amp; " " &amp; VLOOKUP(VALUE(MID($C825,15,4)), [2]codigos!$E$2:$F$102, 2, FALSE)</f>
        <v>POCILLO 10</v>
      </c>
      <c r="E825" s="11" t="str">
        <f>VLOOKUP(VALUE(MID($C825,19,2)),[2]codigos!$H$2:$I$62,2,1) &amp; " " &amp; VLOOKUP(VALUE(MID($C825,21,2)),[2]codigos!$K$2:$L$12,2,FALSE)</f>
        <v>A/T S/I</v>
      </c>
      <c r="F825" s="11" t="s">
        <v>1325</v>
      </c>
      <c r="G825" s="11" t="s">
        <v>11</v>
      </c>
      <c r="H825" s="52" t="s">
        <v>1323</v>
      </c>
      <c r="I825" s="20" t="s">
        <v>1324</v>
      </c>
      <c r="J825" s="11">
        <v>240</v>
      </c>
      <c r="K825" s="11">
        <v>240</v>
      </c>
      <c r="L825" s="11">
        <f t="shared" si="103"/>
        <v>0</v>
      </c>
      <c r="M825" s="131"/>
      <c r="N825" s="18">
        <v>46072</v>
      </c>
      <c r="O825" s="93">
        <v>46071</v>
      </c>
    </row>
    <row r="826" spans="1:15" x14ac:dyDescent="0.25">
      <c r="A826" s="11">
        <f t="shared" ca="1" si="104"/>
        <v>-60</v>
      </c>
      <c r="B826" s="37">
        <f t="shared" si="105"/>
        <v>22</v>
      </c>
      <c r="C826" s="11" t="s">
        <v>180</v>
      </c>
      <c r="D826" s="11" t="str">
        <f>VLOOKUP(VALUE(MID($C826,13,2)), [2]codigos!$A$2:$B$60, 2, 1) &amp; " " &amp; VLOOKUP(VALUE(MID($C826,15,4)), [2]codigos!$E$2:$F$102, 2, FALSE)</f>
        <v>POCILLO 12</v>
      </c>
      <c r="E826" s="11" t="str">
        <f>VLOOKUP(VALUE(MID($C826,19,2)),[2]codigos!$H$2:$I$62,2,1) &amp; " " &amp; VLOOKUP(VALUE(MID($C826,21,2)),[2]codigos!$K$2:$L$12,2,FALSE)</f>
        <v>A/T S/I</v>
      </c>
      <c r="F826" s="11" t="s">
        <v>1325</v>
      </c>
      <c r="G826" s="11" t="s">
        <v>11</v>
      </c>
      <c r="H826" s="52" t="s">
        <v>1323</v>
      </c>
      <c r="I826" s="20" t="s">
        <v>1324</v>
      </c>
      <c r="J826" s="11">
        <v>240</v>
      </c>
      <c r="K826" s="11">
        <v>240</v>
      </c>
      <c r="L826" s="11">
        <f t="shared" si="103"/>
        <v>0</v>
      </c>
      <c r="M826" s="131"/>
      <c r="N826" s="18">
        <v>46072</v>
      </c>
      <c r="O826" s="93">
        <v>46071</v>
      </c>
    </row>
    <row r="827" spans="1:15" x14ac:dyDescent="0.25">
      <c r="A827" s="11">
        <f t="shared" ca="1" si="104"/>
        <v>-60</v>
      </c>
      <c r="B827" s="37">
        <f t="shared" si="105"/>
        <v>22</v>
      </c>
      <c r="C827" s="11" t="s">
        <v>182</v>
      </c>
      <c r="D827" s="11" t="str">
        <f>VLOOKUP(VALUE(MID($C827,13,2)), [2]codigos!$A$2:$B$60, 2, 1) &amp; " " &amp; VLOOKUP(VALUE(MID($C827,15,4)), [2]codigos!$E$2:$F$102, 2, FALSE)</f>
        <v>POCILLO 14</v>
      </c>
      <c r="E827" s="11" t="str">
        <f>VLOOKUP(VALUE(MID($C827,19,2)),[2]codigos!$H$2:$I$62,2,1) &amp; " " &amp; VLOOKUP(VALUE(MID($C827,21,2)),[2]codigos!$K$2:$L$12,2,FALSE)</f>
        <v>A/T S/I</v>
      </c>
      <c r="F827" s="11" t="s">
        <v>1325</v>
      </c>
      <c r="G827" s="11" t="s">
        <v>11</v>
      </c>
      <c r="H827" s="52" t="s">
        <v>1323</v>
      </c>
      <c r="I827" s="20" t="s">
        <v>1324</v>
      </c>
      <c r="J827" s="11">
        <v>180</v>
      </c>
      <c r="K827" s="11">
        <v>180</v>
      </c>
      <c r="L827" s="11">
        <f t="shared" si="103"/>
        <v>0</v>
      </c>
      <c r="M827" s="131"/>
      <c r="N827" s="18">
        <v>46072</v>
      </c>
      <c r="O827" s="93">
        <v>46071</v>
      </c>
    </row>
    <row r="828" spans="1:15" x14ac:dyDescent="0.25">
      <c r="A828" s="11">
        <f t="shared" ca="1" si="104"/>
        <v>-60</v>
      </c>
      <c r="B828" s="37">
        <f t="shared" si="105"/>
        <v>22</v>
      </c>
      <c r="C828" s="11" t="s">
        <v>262</v>
      </c>
      <c r="D828" s="11" t="str">
        <f>VLOOKUP(VALUE(MID($C828,13,2)), [2]codigos!$A$2:$B$60, 2, 1) &amp; " " &amp; VLOOKUP(VALUE(MID($C828,15,4)), [2]codigos!$E$2:$F$102, 2, FALSE)</f>
        <v>SARTEN 20</v>
      </c>
      <c r="E828" s="11" t="str">
        <f>VLOOKUP(VALUE(MID($C828,19,2)),[2]codigos!$H$2:$I$62,2,1) &amp; " " &amp; VLOOKUP(VALUE(MID($C828,21,2)),[2]codigos!$K$2:$L$12,2,FALSE)</f>
        <v>A/T S/I</v>
      </c>
      <c r="F828" s="11" t="s">
        <v>1325</v>
      </c>
      <c r="G828" s="11" t="s">
        <v>11</v>
      </c>
      <c r="H828" s="52" t="s">
        <v>1323</v>
      </c>
      <c r="I828" s="20" t="s">
        <v>1324</v>
      </c>
      <c r="J828" s="11">
        <v>120</v>
      </c>
      <c r="K828" s="11">
        <v>120</v>
      </c>
      <c r="L828" s="11">
        <f t="shared" si="103"/>
        <v>0</v>
      </c>
      <c r="M828" s="131"/>
      <c r="N828" s="18">
        <v>46072</v>
      </c>
      <c r="O828" s="93">
        <v>46071</v>
      </c>
    </row>
    <row r="829" spans="1:15" x14ac:dyDescent="0.25">
      <c r="A829" s="11">
        <f t="shared" ca="1" si="104"/>
        <v>-60</v>
      </c>
      <c r="B829" s="37">
        <f t="shared" si="105"/>
        <v>22</v>
      </c>
      <c r="C829" s="11" t="s">
        <v>227</v>
      </c>
      <c r="D829" s="11" t="str">
        <f>VLOOKUP(VALUE(MID($C829,13,2)), [2]codigos!$A$2:$B$60, 2, 1) &amp; " " &amp; VLOOKUP(VALUE(MID($C829,15,4)), [2]codigos!$E$2:$F$102, 2, FALSE)</f>
        <v>SARTEN 22</v>
      </c>
      <c r="E829" s="11" t="str">
        <f>VLOOKUP(VALUE(MID($C829,19,2)),[2]codigos!$H$2:$I$62,2,1) &amp; " " &amp; VLOOKUP(VALUE(MID($C829,21,2)),[2]codigos!$K$2:$L$12,2,FALSE)</f>
        <v>A/T S/I</v>
      </c>
      <c r="F829" s="11" t="s">
        <v>1325</v>
      </c>
      <c r="G829" s="11" t="s">
        <v>11</v>
      </c>
      <c r="H829" s="52" t="s">
        <v>1323</v>
      </c>
      <c r="I829" s="20" t="s">
        <v>1324</v>
      </c>
      <c r="J829" s="11">
        <v>120</v>
      </c>
      <c r="K829" s="11">
        <f>12+108</f>
        <v>120</v>
      </c>
      <c r="L829" s="11">
        <f t="shared" si="103"/>
        <v>0</v>
      </c>
      <c r="M829" s="131"/>
      <c r="N829" s="18">
        <v>46072</v>
      </c>
      <c r="O829" s="93">
        <v>46071</v>
      </c>
    </row>
    <row r="830" spans="1:15" x14ac:dyDescent="0.25">
      <c r="A830" s="11">
        <f t="shared" ca="1" si="104"/>
        <v>-60</v>
      </c>
      <c r="B830" s="37">
        <f t="shared" si="105"/>
        <v>22</v>
      </c>
      <c r="C830" s="11" t="s">
        <v>44</v>
      </c>
      <c r="D830" s="11" t="str">
        <f>VLOOKUP(VALUE(MID($C830,13,2)), [2]codigos!$A$2:$B$60, 2, 1) &amp; " " &amp; VLOOKUP(VALUE(MID($C830,15,4)), [2]codigos!$E$2:$F$102, 2, FALSE)</f>
        <v>SARTEN 24</v>
      </c>
      <c r="E830" s="11" t="str">
        <f>VLOOKUP(VALUE(MID($C830,19,2)),[2]codigos!$H$2:$I$62,2,1) &amp; " " &amp; VLOOKUP(VALUE(MID($C830,21,2)),[2]codigos!$K$2:$L$12,2,FALSE)</f>
        <v>A/T S/I</v>
      </c>
      <c r="F830" s="11" t="s">
        <v>1325</v>
      </c>
      <c r="G830" s="11" t="s">
        <v>11</v>
      </c>
      <c r="H830" s="52" t="s">
        <v>1323</v>
      </c>
      <c r="I830" s="20" t="s">
        <v>1324</v>
      </c>
      <c r="J830" s="11">
        <v>120</v>
      </c>
      <c r="K830" s="11">
        <v>120</v>
      </c>
      <c r="L830" s="11">
        <f t="shared" si="103"/>
        <v>0</v>
      </c>
      <c r="M830" s="131"/>
      <c r="N830" s="18">
        <v>46072</v>
      </c>
      <c r="O830" s="93">
        <v>46071</v>
      </c>
    </row>
    <row r="831" spans="1:15" x14ac:dyDescent="0.25">
      <c r="A831" s="11">
        <f t="shared" ca="1" si="104"/>
        <v>-60</v>
      </c>
      <c r="B831" s="37">
        <f t="shared" si="105"/>
        <v>22</v>
      </c>
      <c r="C831" s="11" t="s">
        <v>239</v>
      </c>
      <c r="D831" s="11" t="str">
        <f>VLOOKUP(VALUE(MID($C831,13,2)), [2]codigos!$A$2:$B$60, 2, 1) &amp; " " &amp; VLOOKUP(VALUE(MID($C831,15,4)), [2]codigos!$E$2:$F$102, 2, FALSE)</f>
        <v>SARTEN 26</v>
      </c>
      <c r="E831" s="11" t="str">
        <f>VLOOKUP(VALUE(MID($C831,19,2)),[2]codigos!$H$2:$I$62,2,1) &amp; " " &amp; VLOOKUP(VALUE(MID($C831,21,2)),[2]codigos!$K$2:$L$12,2,FALSE)</f>
        <v>A/T S/I</v>
      </c>
      <c r="F831" s="11" t="s">
        <v>1325</v>
      </c>
      <c r="G831" s="11" t="s">
        <v>11</v>
      </c>
      <c r="H831" s="52" t="s">
        <v>1323</v>
      </c>
      <c r="I831" s="20" t="s">
        <v>1324</v>
      </c>
      <c r="J831" s="11">
        <v>120</v>
      </c>
      <c r="K831" s="11">
        <v>120</v>
      </c>
      <c r="L831" s="11">
        <f t="shared" si="103"/>
        <v>0</v>
      </c>
      <c r="M831" s="131"/>
      <c r="N831" s="18">
        <v>46072</v>
      </c>
      <c r="O831" s="93">
        <v>46071</v>
      </c>
    </row>
    <row r="832" spans="1:15" x14ac:dyDescent="0.25">
      <c r="A832" s="11">
        <f t="shared" ca="1" si="104"/>
        <v>-69</v>
      </c>
      <c r="B832" s="37">
        <f t="shared" si="105"/>
        <v>31</v>
      </c>
      <c r="C832" s="11" t="s">
        <v>143</v>
      </c>
      <c r="D832" s="11" t="str">
        <f>VLOOKUP(VALUE(MID($C832,13,2)), codigos!$A$2:$B$60, 2, 1) &amp; " " &amp; VLOOKUP(VALUE(MID($C832,15,4)), codigos!$E$2:$F$102, 2, FALSE)</f>
        <v>BUDINERA 24</v>
      </c>
      <c r="E832" s="11" t="str">
        <f>VLOOKUP(VALUE(MID($C832,19,2)),codigos!$H$2:$I$62,2,1) &amp; " " &amp; VLOOKUP(VALUE(MID($C832,21,2)),codigos!$K$2:$L$12,2,FALSE)</f>
        <v>A/T S/I</v>
      </c>
      <c r="F832" s="11" t="s">
        <v>1075</v>
      </c>
      <c r="G832" s="11" t="s">
        <v>11</v>
      </c>
      <c r="H832" s="11" t="s">
        <v>1076</v>
      </c>
      <c r="I832" s="11" t="s">
        <v>1077</v>
      </c>
      <c r="J832" s="25">
        <v>36</v>
      </c>
      <c r="K832" s="25">
        <f>24+12</f>
        <v>36</v>
      </c>
      <c r="L832" s="11">
        <f t="shared" si="103"/>
        <v>0</v>
      </c>
      <c r="M832" s="131">
        <f>(SUM(K832:K847))/(SUM(J832:J847))</f>
        <v>0.98927038626609443</v>
      </c>
      <c r="N832" s="18">
        <v>46072</v>
      </c>
      <c r="O832" s="93">
        <v>46066</v>
      </c>
    </row>
    <row r="833" spans="1:16" x14ac:dyDescent="0.25">
      <c r="A833" s="11">
        <f t="shared" ca="1" si="104"/>
        <v>-69</v>
      </c>
      <c r="B833" s="37">
        <f t="shared" si="105"/>
        <v>31</v>
      </c>
      <c r="C833" s="11" t="s">
        <v>148</v>
      </c>
      <c r="D833" s="11" t="str">
        <f>VLOOKUP(VALUE(MID($C833,13,2)), codigos!$A$2:$B$60, 2, 1) &amp; " " &amp; VLOOKUP(VALUE(MID($C833,15,4)), codigos!$E$2:$F$102, 2, FALSE)</f>
        <v>BUDINERA 26</v>
      </c>
      <c r="E833" s="11" t="str">
        <f>VLOOKUP(VALUE(MID($C833,19,2)),codigos!$H$2:$I$62,2,1) &amp; " " &amp; VLOOKUP(VALUE(MID($C833,21,2)),codigos!$K$2:$L$12,2,FALSE)</f>
        <v>A/T S/I</v>
      </c>
      <c r="F833" s="11" t="s">
        <v>1075</v>
      </c>
      <c r="G833" s="11" t="s">
        <v>11</v>
      </c>
      <c r="H833" s="11" t="s">
        <v>1076</v>
      </c>
      <c r="I833" s="11" t="s">
        <v>1077</v>
      </c>
      <c r="J833" s="25">
        <v>36</v>
      </c>
      <c r="K833" s="25">
        <v>36</v>
      </c>
      <c r="L833" s="11">
        <f t="shared" si="103"/>
        <v>0</v>
      </c>
      <c r="M833" s="131"/>
      <c r="N833" s="18">
        <v>46072</v>
      </c>
      <c r="O833" s="93">
        <v>46066</v>
      </c>
    </row>
    <row r="834" spans="1:16" x14ac:dyDescent="0.25">
      <c r="A834" s="11">
        <f t="shared" ca="1" si="104"/>
        <v>-69</v>
      </c>
      <c r="B834" s="37">
        <f t="shared" si="105"/>
        <v>31</v>
      </c>
      <c r="C834" s="11" t="s">
        <v>38</v>
      </c>
      <c r="D834" s="11" t="str">
        <f>VLOOKUP(VALUE(MID($C834,13,2)), codigos!$A$2:$B$60, 2, 1) &amp; " " &amp; VLOOKUP(VALUE(MID($C834,15,4)), codigos!$E$2:$F$102, 2, FALSE)</f>
        <v>BUDINERA 42</v>
      </c>
      <c r="E834" s="11" t="str">
        <f>VLOOKUP(VALUE(MID($C834,19,2)),codigos!$H$2:$I$62,2,1) &amp; " " &amp; VLOOKUP(VALUE(MID($C834,21,2)),codigos!$K$2:$L$12,2,FALSE)</f>
        <v>A/T S/I</v>
      </c>
      <c r="F834" s="11" t="s">
        <v>1075</v>
      </c>
      <c r="G834" s="11" t="s">
        <v>11</v>
      </c>
      <c r="H834" s="11" t="s">
        <v>1076</v>
      </c>
      <c r="I834" s="11" t="s">
        <v>1077</v>
      </c>
      <c r="J834" s="25">
        <v>20</v>
      </c>
      <c r="K834" s="25">
        <v>20</v>
      </c>
      <c r="L834" s="11">
        <f t="shared" si="103"/>
        <v>0</v>
      </c>
      <c r="M834" s="131"/>
      <c r="N834" s="18">
        <v>46072</v>
      </c>
      <c r="O834" s="93">
        <v>46066</v>
      </c>
    </row>
    <row r="835" spans="1:16" x14ac:dyDescent="0.25">
      <c r="A835" s="11">
        <f t="shared" ca="1" si="104"/>
        <v>-69</v>
      </c>
      <c r="B835" s="37">
        <f t="shared" si="105"/>
        <v>31</v>
      </c>
      <c r="C835" s="11" t="s">
        <v>187</v>
      </c>
      <c r="D835" s="11" t="str">
        <f>VLOOKUP(VALUE(MID($C835,13,2)), codigos!$A$2:$B$60, 2, 1) &amp; " " &amp; VLOOKUP(VALUE(MID($C835,15,4)), codigos!$E$2:$F$102, 2, FALSE)</f>
        <v>OLLA CONVEXA 12</v>
      </c>
      <c r="E835" s="11" t="str">
        <f>VLOOKUP(VALUE(MID($C835,19,2)),codigos!$H$2:$I$62,2,1) &amp; " " &amp; VLOOKUP(VALUE(MID($C835,21,2)),codigos!$K$2:$L$12,2,FALSE)</f>
        <v>A/T S/I</v>
      </c>
      <c r="F835" s="11" t="s">
        <v>1075</v>
      </c>
      <c r="G835" s="11" t="s">
        <v>11</v>
      </c>
      <c r="H835" s="11" t="s">
        <v>1076</v>
      </c>
      <c r="I835" s="11" t="s">
        <v>1077</v>
      </c>
      <c r="J835" s="25">
        <v>180</v>
      </c>
      <c r="K835" s="25">
        <f>18+72+36+9+36+9</f>
        <v>180</v>
      </c>
      <c r="L835" s="11">
        <f t="shared" si="103"/>
        <v>0</v>
      </c>
      <c r="M835" s="131"/>
      <c r="N835" s="18">
        <v>46072</v>
      </c>
      <c r="O835" s="93">
        <v>46066</v>
      </c>
    </row>
    <row r="836" spans="1:16" x14ac:dyDescent="0.25">
      <c r="A836" s="11">
        <f t="shared" ca="1" si="104"/>
        <v>-69</v>
      </c>
      <c r="B836" s="37">
        <f t="shared" si="105"/>
        <v>31</v>
      </c>
      <c r="C836" s="11" t="s">
        <v>220</v>
      </c>
      <c r="D836" s="11" t="str">
        <f>VLOOKUP(VALUE(MID($C836,13,2)), codigos!$A$2:$B$60, 2, 1) &amp; " " &amp; VLOOKUP(VALUE(MID($C836,15,4)), codigos!$E$2:$F$102, 2, FALSE)</f>
        <v>OLLA CONVEXA 16</v>
      </c>
      <c r="E836" s="11" t="str">
        <f>VLOOKUP(VALUE(MID($C836,19,2)),codigos!$H$2:$I$62,2,1) &amp; " " &amp; VLOOKUP(VALUE(MID($C836,21,2)),codigos!$K$2:$L$12,2,FALSE)</f>
        <v>A/T S/I</v>
      </c>
      <c r="F836" s="11" t="s">
        <v>1075</v>
      </c>
      <c r="G836" s="11" t="s">
        <v>11</v>
      </c>
      <c r="H836" s="11" t="s">
        <v>1076</v>
      </c>
      <c r="I836" s="11" t="s">
        <v>1077</v>
      </c>
      <c r="J836" s="25">
        <v>96</v>
      </c>
      <c r="K836" s="25">
        <v>96</v>
      </c>
      <c r="L836" s="11">
        <f t="shared" si="103"/>
        <v>0</v>
      </c>
      <c r="M836" s="131"/>
      <c r="N836" s="18">
        <v>46072</v>
      </c>
      <c r="O836" s="93">
        <v>46066</v>
      </c>
    </row>
    <row r="837" spans="1:16" x14ac:dyDescent="0.25">
      <c r="A837" s="11">
        <f t="shared" ca="1" si="104"/>
        <v>-69</v>
      </c>
      <c r="B837" s="37">
        <f t="shared" si="105"/>
        <v>31</v>
      </c>
      <c r="C837" s="11" t="s">
        <v>150</v>
      </c>
      <c r="D837" s="11" t="str">
        <f>VLOOKUP(VALUE(MID($C837,13,2)), codigos!$A$2:$B$60, 2, 1) &amp; " " &amp; VLOOKUP(VALUE(MID($C837,15,4)), codigos!$E$2:$F$102, 2, FALSE)</f>
        <v>OLLA CONVEXA 18</v>
      </c>
      <c r="E837" s="11" t="str">
        <f>VLOOKUP(VALUE(MID($C837,19,2)),codigos!$H$2:$I$62,2,1) &amp; " " &amp; VLOOKUP(VALUE(MID($C837,21,2)),codigos!$K$2:$L$12,2,FALSE)</f>
        <v>A/T S/I</v>
      </c>
      <c r="F837" s="11" t="s">
        <v>1075</v>
      </c>
      <c r="G837" s="11" t="s">
        <v>11</v>
      </c>
      <c r="H837" s="11" t="s">
        <v>1076</v>
      </c>
      <c r="I837" s="11" t="s">
        <v>1077</v>
      </c>
      <c r="J837" s="25">
        <v>96</v>
      </c>
      <c r="K837" s="25">
        <f>48+24+12+12</f>
        <v>96</v>
      </c>
      <c r="L837" s="11">
        <f t="shared" si="103"/>
        <v>0</v>
      </c>
      <c r="M837" s="131"/>
      <c r="N837" s="18">
        <v>46072</v>
      </c>
      <c r="O837" s="93">
        <v>46066</v>
      </c>
    </row>
    <row r="838" spans="1:16" x14ac:dyDescent="0.25">
      <c r="A838" s="11">
        <f t="shared" ca="1" si="104"/>
        <v>-69</v>
      </c>
      <c r="B838" s="37">
        <f t="shared" si="105"/>
        <v>31</v>
      </c>
      <c r="C838" s="20" t="s">
        <v>151</v>
      </c>
      <c r="D838" s="11" t="str">
        <f>VLOOKUP(VALUE(MID($C838,13,2)), codigos!$A$2:$B$60, 2, 1) &amp; " " &amp; VLOOKUP(VALUE(MID($C838,15,4)), codigos!$E$2:$F$102, 2, FALSE)</f>
        <v>OLLA CONVEXA 20</v>
      </c>
      <c r="E838" s="11" t="str">
        <f>VLOOKUP(VALUE(MID($C838,19,2)),codigos!$H$2:$I$62,2,1) &amp; " " &amp; VLOOKUP(VALUE(MID($C838,21,2)),codigos!$K$2:$L$12,2,FALSE)</f>
        <v>A/T S/I</v>
      </c>
      <c r="F838" s="11" t="s">
        <v>1075</v>
      </c>
      <c r="G838" s="11" t="s">
        <v>11</v>
      </c>
      <c r="H838" s="11" t="s">
        <v>1076</v>
      </c>
      <c r="I838" s="11" t="s">
        <v>1077</v>
      </c>
      <c r="J838" s="25">
        <v>60</v>
      </c>
      <c r="K838" s="25">
        <v>60</v>
      </c>
      <c r="L838" s="11">
        <f t="shared" si="103"/>
        <v>0</v>
      </c>
      <c r="M838" s="131"/>
      <c r="N838" s="18">
        <v>46072</v>
      </c>
      <c r="O838" s="93">
        <v>46066</v>
      </c>
    </row>
    <row r="839" spans="1:16" x14ac:dyDescent="0.25">
      <c r="A839" s="11">
        <f t="shared" ca="1" si="104"/>
        <v>-69</v>
      </c>
      <c r="B839" s="37">
        <f t="shared" si="105"/>
        <v>31</v>
      </c>
      <c r="C839" s="11" t="s">
        <v>43</v>
      </c>
      <c r="D839" s="11" t="str">
        <f>VLOOKUP(VALUE(MID($C839,13,2)), codigos!$A$2:$B$60, 2, 1) &amp; " " &amp; VLOOKUP(VALUE(MID($C839,15,4)), codigos!$E$2:$F$102, 2, FALSE)</f>
        <v>OLLA CONVEXA 22</v>
      </c>
      <c r="E839" s="11" t="str">
        <f>VLOOKUP(VALUE(MID($C839,19,2)),codigos!$H$2:$I$62,2,1) &amp; " " &amp; VLOOKUP(VALUE(MID($C839,21,2)),codigos!$K$2:$L$12,2,FALSE)</f>
        <v>A/T S/I</v>
      </c>
      <c r="F839" s="11" t="s">
        <v>1075</v>
      </c>
      <c r="G839" s="11" t="s">
        <v>11</v>
      </c>
      <c r="H839" s="11" t="s">
        <v>1076</v>
      </c>
      <c r="I839" s="11" t="s">
        <v>1077</v>
      </c>
      <c r="J839" s="25">
        <v>96</v>
      </c>
      <c r="K839" s="25">
        <f>4+92</f>
        <v>96</v>
      </c>
      <c r="L839" s="11">
        <f t="shared" si="103"/>
        <v>0</v>
      </c>
      <c r="M839" s="131"/>
      <c r="N839" s="18">
        <v>46072</v>
      </c>
      <c r="O839" s="93">
        <v>46066</v>
      </c>
    </row>
    <row r="840" spans="1:16" x14ac:dyDescent="0.25">
      <c r="A840" s="11">
        <f t="shared" ca="1" si="104"/>
        <v>-69</v>
      </c>
      <c r="B840" s="37">
        <f t="shared" si="105"/>
        <v>31</v>
      </c>
      <c r="C840" s="11" t="s">
        <v>152</v>
      </c>
      <c r="D840" s="11" t="str">
        <f>VLOOKUP(VALUE(MID($C840,13,2)), codigos!$A$2:$B$60, 2, 1) &amp; " " &amp; VLOOKUP(VALUE(MID($C840,15,4)), codigos!$E$2:$F$102, 2, FALSE)</f>
        <v>OLLA CONVEXA 24</v>
      </c>
      <c r="E840" s="11" t="str">
        <f>VLOOKUP(VALUE(MID($C840,19,2)),codigos!$H$2:$I$62,2,1) &amp; " " &amp; VLOOKUP(VALUE(MID($C840,21,2)),codigos!$K$2:$L$12,2,FALSE)</f>
        <v>A/T S/I</v>
      </c>
      <c r="F840" s="11" t="s">
        <v>1075</v>
      </c>
      <c r="G840" s="11" t="s">
        <v>11</v>
      </c>
      <c r="H840" s="11" t="s">
        <v>1076</v>
      </c>
      <c r="I840" s="11" t="s">
        <v>1077</v>
      </c>
      <c r="J840" s="25">
        <v>60</v>
      </c>
      <c r="K840" s="25">
        <v>60</v>
      </c>
      <c r="L840" s="11">
        <f t="shared" si="103"/>
        <v>0</v>
      </c>
      <c r="M840" s="131"/>
      <c r="N840" s="18">
        <v>46072</v>
      </c>
      <c r="O840" s="93">
        <v>46066</v>
      </c>
    </row>
    <row r="841" spans="1:16" x14ac:dyDescent="0.25">
      <c r="A841" s="11">
        <f t="shared" ca="1" si="104"/>
        <v>-69</v>
      </c>
      <c r="B841" s="37">
        <f t="shared" si="105"/>
        <v>31</v>
      </c>
      <c r="C841" s="11" t="s">
        <v>154</v>
      </c>
      <c r="D841" s="11" t="str">
        <f>VLOOKUP(VALUE(MID($C841,13,2)), codigos!$A$2:$B$60, 2, 1) &amp; " " &amp; VLOOKUP(VALUE(MID($C841,15,4)), codigos!$E$2:$F$102, 2, FALSE)</f>
        <v>OLLA CONVEXA 30</v>
      </c>
      <c r="E841" s="11" t="str">
        <f>VLOOKUP(VALUE(MID($C841,19,2)),codigos!$H$2:$I$62,2,1) &amp; " " &amp; VLOOKUP(VALUE(MID($C841,21,2)),codigos!$K$2:$L$12,2,FALSE)</f>
        <v>A/T S/I</v>
      </c>
      <c r="F841" s="11" t="s">
        <v>1075</v>
      </c>
      <c r="G841" s="11" t="s">
        <v>11</v>
      </c>
      <c r="H841" s="11" t="s">
        <v>1076</v>
      </c>
      <c r="I841" s="11" t="s">
        <v>1077</v>
      </c>
      <c r="J841" s="25">
        <v>20</v>
      </c>
      <c r="K841" s="25">
        <v>20</v>
      </c>
      <c r="L841" s="11">
        <f t="shared" si="103"/>
        <v>0</v>
      </c>
      <c r="M841" s="131"/>
      <c r="N841" s="18">
        <v>46072</v>
      </c>
      <c r="O841" s="93">
        <v>46066</v>
      </c>
    </row>
    <row r="842" spans="1:16" x14ac:dyDescent="0.25">
      <c r="A842" s="11">
        <f t="shared" ca="1" si="104"/>
        <v>-69</v>
      </c>
      <c r="B842" s="37">
        <f t="shared" si="105"/>
        <v>31</v>
      </c>
      <c r="C842" s="11" t="s">
        <v>259</v>
      </c>
      <c r="D842" s="11" t="str">
        <f>VLOOKUP(VALUE(MID($C842,13,2)), codigos!$A$2:$B$60, 2, 1) &amp; " " &amp; VLOOKUP(VALUE(MID($C842,15,4)), codigos!$E$2:$F$102, 2, FALSE)</f>
        <v>OLLA RECTA 18</v>
      </c>
      <c r="E842" s="11" t="str">
        <f>VLOOKUP(VALUE(MID($C842,19,2)),codigos!$H$2:$I$62,2,1) &amp; " " &amp; VLOOKUP(VALUE(MID($C842,21,2)),codigos!$K$2:$L$12,2,FALSE)</f>
        <v>A/T S/I</v>
      </c>
      <c r="F842" s="11" t="s">
        <v>1075</v>
      </c>
      <c r="G842" s="11" t="s">
        <v>11</v>
      </c>
      <c r="H842" s="11" t="s">
        <v>1076</v>
      </c>
      <c r="I842" s="11" t="s">
        <v>1077</v>
      </c>
      <c r="J842" s="25">
        <v>60</v>
      </c>
      <c r="K842" s="25">
        <v>60</v>
      </c>
      <c r="L842" s="11">
        <f t="shared" si="103"/>
        <v>0</v>
      </c>
      <c r="M842" s="131"/>
      <c r="N842" s="18">
        <v>46072</v>
      </c>
      <c r="O842" s="93">
        <v>46066</v>
      </c>
    </row>
    <row r="843" spans="1:16" x14ac:dyDescent="0.25">
      <c r="A843" s="11">
        <f t="shared" ca="1" si="104"/>
        <v>-69</v>
      </c>
      <c r="B843" s="37">
        <f t="shared" si="105"/>
        <v>31</v>
      </c>
      <c r="C843" s="11" t="s">
        <v>260</v>
      </c>
      <c r="D843" s="11" t="str">
        <f>VLOOKUP(VALUE(MID($C843,13,2)), codigos!$A$2:$B$60, 2, 1) &amp; " " &amp; VLOOKUP(VALUE(MID($C843,15,4)), codigos!$E$2:$F$102, 2, FALSE)</f>
        <v>OLLA RECTA 20</v>
      </c>
      <c r="E843" s="11" t="str">
        <f>VLOOKUP(VALUE(MID($C843,19,2)),codigos!$H$2:$I$62,2,1) &amp; " " &amp; VLOOKUP(VALUE(MID($C843,21,2)),codigos!$K$2:$L$12,2,FALSE)</f>
        <v>A/T S/I</v>
      </c>
      <c r="F843" s="11" t="s">
        <v>1075</v>
      </c>
      <c r="G843" s="11" t="s">
        <v>11</v>
      </c>
      <c r="H843" s="11" t="s">
        <v>1076</v>
      </c>
      <c r="I843" s="11" t="s">
        <v>1077</v>
      </c>
      <c r="J843" s="25">
        <v>60</v>
      </c>
      <c r="K843" s="25">
        <v>60</v>
      </c>
      <c r="L843" s="11">
        <f t="shared" si="103"/>
        <v>0</v>
      </c>
      <c r="M843" s="131"/>
      <c r="N843" s="18">
        <v>46072</v>
      </c>
      <c r="O843" s="93">
        <v>46066</v>
      </c>
    </row>
    <row r="844" spans="1:16" x14ac:dyDescent="0.25">
      <c r="A844" s="11">
        <f t="shared" ca="1" si="104"/>
        <v>-69</v>
      </c>
      <c r="B844" s="37">
        <f t="shared" si="105"/>
        <v>31</v>
      </c>
      <c r="C844" s="11" t="s">
        <v>236</v>
      </c>
      <c r="D844" s="11" t="str">
        <f>VLOOKUP(VALUE(MID($C844,13,2)), codigos!$A$2:$B$60, 2, 1) &amp; " " &amp; VLOOKUP(VALUE(MID($C844,15,4)), codigos!$E$2:$F$102, 2, FALSE)</f>
        <v>OLLA RECTA 22</v>
      </c>
      <c r="E844" s="11" t="str">
        <f>VLOOKUP(VALUE(MID($C844,19,2)),codigos!$H$2:$I$62,2,1) &amp; " " &amp; VLOOKUP(VALUE(MID($C844,21,2)),codigos!$K$2:$L$12,2,FALSE)</f>
        <v>A/T S/I</v>
      </c>
      <c r="F844" s="11" t="s">
        <v>1075</v>
      </c>
      <c r="G844" s="11" t="s">
        <v>11</v>
      </c>
      <c r="H844" s="11" t="s">
        <v>1076</v>
      </c>
      <c r="I844" s="11" t="s">
        <v>1077</v>
      </c>
      <c r="J844" s="25">
        <v>30</v>
      </c>
      <c r="K844" s="25">
        <f>24+6</f>
        <v>30</v>
      </c>
      <c r="L844" s="11">
        <f t="shared" si="103"/>
        <v>0</v>
      </c>
      <c r="M844" s="131"/>
      <c r="N844" s="18">
        <v>46072</v>
      </c>
      <c r="O844" s="93">
        <v>46066</v>
      </c>
    </row>
    <row r="845" spans="1:16" x14ac:dyDescent="0.25">
      <c r="A845" s="11">
        <f t="shared" ca="1" si="104"/>
        <v>-69</v>
      </c>
      <c r="B845" s="37">
        <f t="shared" si="105"/>
        <v>31</v>
      </c>
      <c r="C845" s="11" t="s">
        <v>237</v>
      </c>
      <c r="D845" s="11" t="str">
        <f>VLOOKUP(VALUE(MID($C845,13,2)), codigos!$A$2:$B$60, 2, 1) &amp; " " &amp; VLOOKUP(VALUE(MID($C845,15,4)), codigos!$E$2:$F$102, 2, FALSE)</f>
        <v>OLLA RECTA 24</v>
      </c>
      <c r="E845" s="11" t="str">
        <f>VLOOKUP(VALUE(MID($C845,19,2)),codigos!$H$2:$I$62,2,1) &amp; " " &amp; VLOOKUP(VALUE(MID($C845,21,2)),codigos!$K$2:$L$12,2,FALSE)</f>
        <v>A/T S/I</v>
      </c>
      <c r="F845" s="11" t="s">
        <v>1075</v>
      </c>
      <c r="G845" s="11" t="s">
        <v>11</v>
      </c>
      <c r="H845" s="11" t="s">
        <v>1076</v>
      </c>
      <c r="I845" s="11" t="s">
        <v>1077</v>
      </c>
      <c r="J845" s="25">
        <v>36</v>
      </c>
      <c r="K845" s="25">
        <v>36</v>
      </c>
      <c r="L845" s="11">
        <f t="shared" si="103"/>
        <v>0</v>
      </c>
      <c r="M845" s="131"/>
      <c r="N845" s="18">
        <v>46072</v>
      </c>
      <c r="O845" s="93">
        <v>46066</v>
      </c>
    </row>
    <row r="846" spans="1:16" x14ac:dyDescent="0.25">
      <c r="A846" s="11">
        <f t="shared" ca="1" si="104"/>
        <v>-69</v>
      </c>
      <c r="B846" s="37">
        <f t="shared" si="105"/>
        <v>31</v>
      </c>
      <c r="C846" s="11" t="s">
        <v>224</v>
      </c>
      <c r="D846" s="11" t="str">
        <f>VLOOKUP(VALUE(MID($C846,13,2)), codigos!$A$2:$B$60, 2, 1) &amp; " " &amp; VLOOKUP(VALUE(MID($C846,15,4)), codigos!$E$2:$F$102, 2, FALSE)</f>
        <v>OLLA RECTA 26</v>
      </c>
      <c r="E846" s="11" t="str">
        <f>VLOOKUP(VALUE(MID($C846,19,2)),codigos!$H$2:$I$62,2,1) &amp; " " &amp; VLOOKUP(VALUE(MID($C846,21,2)),codigos!$K$2:$L$12,2,FALSE)</f>
        <v>A/T S/I</v>
      </c>
      <c r="F846" s="11" t="s">
        <v>1075</v>
      </c>
      <c r="G846" s="11" t="s">
        <v>11</v>
      </c>
      <c r="H846" s="11" t="s">
        <v>1076</v>
      </c>
      <c r="I846" s="11" t="s">
        <v>1077</v>
      </c>
      <c r="J846" s="25">
        <v>36</v>
      </c>
      <c r="K846" s="25">
        <v>36</v>
      </c>
      <c r="L846" s="11">
        <f t="shared" si="103"/>
        <v>0</v>
      </c>
      <c r="M846" s="131"/>
      <c r="N846" s="18">
        <v>46072</v>
      </c>
      <c r="O846" s="93">
        <v>46066</v>
      </c>
    </row>
    <row r="847" spans="1:16" x14ac:dyDescent="0.25">
      <c r="A847" s="11">
        <f t="shared" ca="1" si="104"/>
        <v>-69</v>
      </c>
      <c r="B847" s="37">
        <f t="shared" si="105"/>
        <v>31</v>
      </c>
      <c r="C847" s="64" t="s">
        <v>157</v>
      </c>
      <c r="D847" s="64" t="str">
        <f>VLOOKUP(VALUE(MID($C847,13,2)), codigos!$A$2:$B$60, 2, 1) &amp; " " &amp; VLOOKUP(VALUE(MID($C847,15,4)), codigos!$E$2:$F$102, 2, FALSE)</f>
        <v>OLLA RECTA 42</v>
      </c>
      <c r="E847" s="64" t="str">
        <f>VLOOKUP(VALUE(MID($C847,19,2)),codigos!$H$2:$I$62,2,1) &amp; " " &amp; VLOOKUP(VALUE(MID($C847,21,2)),codigos!$K$2:$L$12,2,FALSE)</f>
        <v>A/T S/I</v>
      </c>
      <c r="F847" s="64" t="s">
        <v>1075</v>
      </c>
      <c r="G847" s="64" t="s">
        <v>11</v>
      </c>
      <c r="H847" s="64" t="s">
        <v>1076</v>
      </c>
      <c r="I847" s="64" t="s">
        <v>1077</v>
      </c>
      <c r="J847" s="115">
        <v>10</v>
      </c>
      <c r="K847" s="115">
        <v>0</v>
      </c>
      <c r="L847" s="11">
        <f t="shared" si="103"/>
        <v>10</v>
      </c>
      <c r="M847" s="131"/>
      <c r="N847" s="18">
        <v>46072</v>
      </c>
      <c r="O847" s="93">
        <v>46066</v>
      </c>
    </row>
    <row r="848" spans="1:16" x14ac:dyDescent="0.25">
      <c r="A848" s="11">
        <f t="shared" ref="A848:A875" ca="1" si="106">DAYS360($B$1,I848)</f>
        <v>-273</v>
      </c>
      <c r="B848" s="37">
        <f t="shared" ref="B848:B875" si="107">+N848-I848</f>
        <v>240</v>
      </c>
      <c r="C848" s="11" t="s">
        <v>154</v>
      </c>
      <c r="D848" s="11" t="s">
        <v>903</v>
      </c>
      <c r="E848" s="11" t="s">
        <v>896</v>
      </c>
      <c r="F848" s="11" t="s">
        <v>607</v>
      </c>
      <c r="G848" s="11" t="s">
        <v>34</v>
      </c>
      <c r="H848" s="52" t="s">
        <v>840</v>
      </c>
      <c r="I848" s="20" t="s">
        <v>606</v>
      </c>
      <c r="J848" s="11">
        <v>8</v>
      </c>
      <c r="K848" s="11">
        <v>8</v>
      </c>
      <c r="L848" s="11">
        <f t="shared" si="103"/>
        <v>0</v>
      </c>
      <c r="M848" s="140">
        <v>1</v>
      </c>
      <c r="N848" s="18">
        <v>46073</v>
      </c>
      <c r="O848" s="93">
        <v>46006</v>
      </c>
      <c r="P848" s="18">
        <v>46073</v>
      </c>
    </row>
    <row r="849" spans="1:16" x14ac:dyDescent="0.25">
      <c r="A849" s="11">
        <f t="shared" ca="1" si="106"/>
        <v>-273</v>
      </c>
      <c r="B849" s="37">
        <f t="shared" si="107"/>
        <v>240</v>
      </c>
      <c r="C849" s="11" t="s">
        <v>180</v>
      </c>
      <c r="D849" s="11" t="s">
        <v>1136</v>
      </c>
      <c r="E849" s="11" t="s">
        <v>896</v>
      </c>
      <c r="F849" s="11" t="s">
        <v>607</v>
      </c>
      <c r="G849" s="11" t="s">
        <v>34</v>
      </c>
      <c r="H849" s="52" t="s">
        <v>840</v>
      </c>
      <c r="I849" s="20" t="s">
        <v>606</v>
      </c>
      <c r="J849" s="11">
        <v>120</v>
      </c>
      <c r="K849" s="11">
        <v>120</v>
      </c>
      <c r="L849" s="11">
        <f t="shared" si="103"/>
        <v>0</v>
      </c>
      <c r="M849" s="141"/>
      <c r="N849" s="18">
        <v>46073</v>
      </c>
      <c r="O849" s="93">
        <v>46006</v>
      </c>
      <c r="P849" s="18">
        <v>46073</v>
      </c>
    </row>
    <row r="850" spans="1:16" x14ac:dyDescent="0.25">
      <c r="A850" s="11">
        <f t="shared" ca="1" si="106"/>
        <v>-273</v>
      </c>
      <c r="B850" s="37">
        <f t="shared" si="107"/>
        <v>240</v>
      </c>
      <c r="C850" s="11" t="s">
        <v>44</v>
      </c>
      <c r="D850" s="11" t="s">
        <v>910</v>
      </c>
      <c r="E850" s="11" t="s">
        <v>896</v>
      </c>
      <c r="F850" s="11" t="s">
        <v>607</v>
      </c>
      <c r="G850" s="11" t="s">
        <v>34</v>
      </c>
      <c r="H850" s="52" t="s">
        <v>840</v>
      </c>
      <c r="I850" s="20" t="s">
        <v>606</v>
      </c>
      <c r="J850" s="11">
        <v>36</v>
      </c>
      <c r="K850" s="11">
        <v>36</v>
      </c>
      <c r="L850" s="11">
        <f t="shared" si="103"/>
        <v>0</v>
      </c>
      <c r="M850" s="142"/>
      <c r="N850" s="18">
        <v>46073</v>
      </c>
      <c r="O850" s="93">
        <v>46006</v>
      </c>
      <c r="P850" s="18">
        <v>46073</v>
      </c>
    </row>
    <row r="851" spans="1:16" x14ac:dyDescent="0.25">
      <c r="A851" s="11">
        <f t="shared" ca="1" si="106"/>
        <v>-55</v>
      </c>
      <c r="B851" s="37">
        <f t="shared" si="107"/>
        <v>17</v>
      </c>
      <c r="C851" s="11" t="s">
        <v>211</v>
      </c>
      <c r="D851" s="11" t="s">
        <v>1293</v>
      </c>
      <c r="E851" s="11" t="s">
        <v>1294</v>
      </c>
      <c r="F851" s="11" t="s">
        <v>607</v>
      </c>
      <c r="G851" s="11" t="s">
        <v>11</v>
      </c>
      <c r="H851" s="52" t="s">
        <v>1315</v>
      </c>
      <c r="I851" s="20" t="s">
        <v>1311</v>
      </c>
      <c r="J851" s="11">
        <v>20</v>
      </c>
      <c r="K851" s="11">
        <v>0</v>
      </c>
      <c r="L851" s="11">
        <f t="shared" si="103"/>
        <v>20</v>
      </c>
      <c r="M851" s="131">
        <v>0.5</v>
      </c>
      <c r="N851" s="18">
        <v>46073</v>
      </c>
      <c r="O851" s="117"/>
      <c r="P851" s="18">
        <v>46073</v>
      </c>
    </row>
    <row r="852" spans="1:16" x14ac:dyDescent="0.25">
      <c r="A852" s="11">
        <f t="shared" ca="1" si="106"/>
        <v>-55</v>
      </c>
      <c r="B852" s="37">
        <f t="shared" si="107"/>
        <v>17</v>
      </c>
      <c r="C852" s="11" t="s">
        <v>212</v>
      </c>
      <c r="D852" s="11" t="s">
        <v>1295</v>
      </c>
      <c r="E852" s="11" t="s">
        <v>1294</v>
      </c>
      <c r="F852" s="11" t="s">
        <v>607</v>
      </c>
      <c r="G852" s="11" t="s">
        <v>11</v>
      </c>
      <c r="H852" s="52" t="s">
        <v>1315</v>
      </c>
      <c r="I852" s="20" t="s">
        <v>1311</v>
      </c>
      <c r="J852" s="11">
        <v>20</v>
      </c>
      <c r="K852" s="11">
        <v>20</v>
      </c>
      <c r="L852" s="11">
        <f t="shared" si="103"/>
        <v>0</v>
      </c>
      <c r="M852" s="131"/>
      <c r="N852" s="18">
        <v>46073</v>
      </c>
      <c r="O852" s="117"/>
      <c r="P852" s="18">
        <v>46073</v>
      </c>
    </row>
    <row r="853" spans="1:16" x14ac:dyDescent="0.25">
      <c r="A853" s="11">
        <f t="shared" ca="1" si="106"/>
        <v>-55</v>
      </c>
      <c r="B853" s="37">
        <f t="shared" si="107"/>
        <v>17</v>
      </c>
      <c r="C853" s="11" t="s">
        <v>256</v>
      </c>
      <c r="D853" s="11" t="s">
        <v>1397</v>
      </c>
      <c r="E853" s="11" t="s">
        <v>896</v>
      </c>
      <c r="F853" s="11" t="s">
        <v>607</v>
      </c>
      <c r="G853" s="11" t="s">
        <v>11</v>
      </c>
      <c r="H853" s="52" t="s">
        <v>1316</v>
      </c>
      <c r="I853" s="20" t="s">
        <v>1311</v>
      </c>
      <c r="J853" s="11">
        <v>36</v>
      </c>
      <c r="K853" s="11">
        <v>36</v>
      </c>
      <c r="L853" s="11">
        <f t="shared" si="103"/>
        <v>0</v>
      </c>
      <c r="M853" s="131">
        <f>(SUM(K853:K875))/(SUM(J853:J875))</f>
        <v>0.85245901639344257</v>
      </c>
      <c r="N853" s="18">
        <v>46073</v>
      </c>
      <c r="O853" s="93">
        <v>46092</v>
      </c>
      <c r="P853" s="18">
        <v>46073</v>
      </c>
    </row>
    <row r="854" spans="1:16" x14ac:dyDescent="0.25">
      <c r="A854" s="11">
        <f t="shared" ca="1" si="106"/>
        <v>-55</v>
      </c>
      <c r="B854" s="37">
        <f t="shared" si="107"/>
        <v>17</v>
      </c>
      <c r="C854" s="11" t="s">
        <v>189</v>
      </c>
      <c r="D854" s="11" t="s">
        <v>1398</v>
      </c>
      <c r="E854" s="11" t="s">
        <v>896</v>
      </c>
      <c r="F854" s="11" t="s">
        <v>607</v>
      </c>
      <c r="G854" s="11" t="s">
        <v>11</v>
      </c>
      <c r="H854" s="52" t="s">
        <v>1316</v>
      </c>
      <c r="I854" s="20" t="s">
        <v>1311</v>
      </c>
      <c r="J854" s="11">
        <v>36</v>
      </c>
      <c r="K854" s="11">
        <v>36</v>
      </c>
      <c r="L854" s="11">
        <f t="shared" si="103"/>
        <v>0</v>
      </c>
      <c r="M854" s="131"/>
      <c r="N854" s="18">
        <v>46073</v>
      </c>
      <c r="O854" s="93">
        <v>46092</v>
      </c>
      <c r="P854" s="18">
        <v>46073</v>
      </c>
    </row>
    <row r="855" spans="1:16" x14ac:dyDescent="0.25">
      <c r="A855" s="11">
        <f t="shared" ca="1" si="106"/>
        <v>-55</v>
      </c>
      <c r="B855" s="37">
        <f t="shared" si="107"/>
        <v>17</v>
      </c>
      <c r="C855" s="11" t="s">
        <v>214</v>
      </c>
      <c r="D855" s="11" t="s">
        <v>1115</v>
      </c>
      <c r="E855" s="11" t="s">
        <v>896</v>
      </c>
      <c r="F855" s="11" t="s">
        <v>607</v>
      </c>
      <c r="G855" s="11" t="s">
        <v>11</v>
      </c>
      <c r="H855" s="52" t="s">
        <v>1316</v>
      </c>
      <c r="I855" s="20" t="s">
        <v>1311</v>
      </c>
      <c r="J855" s="11">
        <v>54</v>
      </c>
      <c r="K855" s="11">
        <v>54</v>
      </c>
      <c r="L855" s="11">
        <f t="shared" si="103"/>
        <v>0</v>
      </c>
      <c r="M855" s="131"/>
      <c r="N855" s="18">
        <v>46073</v>
      </c>
      <c r="O855" s="93">
        <v>46092</v>
      </c>
      <c r="P855" s="18">
        <v>46073</v>
      </c>
    </row>
    <row r="856" spans="1:16" x14ac:dyDescent="0.25">
      <c r="A856" s="11">
        <f t="shared" ca="1" si="106"/>
        <v>-55</v>
      </c>
      <c r="B856" s="37">
        <f t="shared" si="107"/>
        <v>17</v>
      </c>
      <c r="C856" s="11" t="s">
        <v>215</v>
      </c>
      <c r="D856" s="11" t="s">
        <v>901</v>
      </c>
      <c r="E856" s="11" t="s">
        <v>896</v>
      </c>
      <c r="F856" s="11" t="s">
        <v>607</v>
      </c>
      <c r="G856" s="11" t="s">
        <v>11</v>
      </c>
      <c r="H856" s="52" t="s">
        <v>1316</v>
      </c>
      <c r="I856" s="20" t="s">
        <v>1311</v>
      </c>
      <c r="J856" s="11">
        <v>54</v>
      </c>
      <c r="K856" s="11">
        <v>36</v>
      </c>
      <c r="L856" s="11">
        <f t="shared" si="103"/>
        <v>18</v>
      </c>
      <c r="M856" s="131"/>
      <c r="N856" s="18">
        <v>46073</v>
      </c>
      <c r="O856" s="93">
        <v>46092</v>
      </c>
      <c r="P856" s="18">
        <v>46073</v>
      </c>
    </row>
    <row r="857" spans="1:16" x14ac:dyDescent="0.25">
      <c r="A857" s="11">
        <f t="shared" ca="1" si="106"/>
        <v>-55</v>
      </c>
      <c r="B857" s="37">
        <f t="shared" si="107"/>
        <v>17</v>
      </c>
      <c r="C857" s="11" t="s">
        <v>241</v>
      </c>
      <c r="D857" s="11" t="s">
        <v>911</v>
      </c>
      <c r="E857" s="11" t="s">
        <v>896</v>
      </c>
      <c r="F857" s="11" t="s">
        <v>607</v>
      </c>
      <c r="G857" s="11" t="s">
        <v>11</v>
      </c>
      <c r="H857" s="52" t="s">
        <v>1316</v>
      </c>
      <c r="I857" s="20" t="s">
        <v>1311</v>
      </c>
      <c r="J857" s="11">
        <v>36</v>
      </c>
      <c r="K857" s="11">
        <v>36</v>
      </c>
      <c r="L857" s="11">
        <f t="shared" si="103"/>
        <v>0</v>
      </c>
      <c r="M857" s="131"/>
      <c r="N857" s="18">
        <v>46073</v>
      </c>
      <c r="O857" s="93">
        <v>46092</v>
      </c>
      <c r="P857" s="18">
        <v>46073</v>
      </c>
    </row>
    <row r="858" spans="1:16" x14ac:dyDescent="0.25">
      <c r="A858" s="11">
        <f t="shared" ca="1" si="106"/>
        <v>-55</v>
      </c>
      <c r="B858" s="37">
        <f t="shared" si="107"/>
        <v>17</v>
      </c>
      <c r="C858" s="11" t="s">
        <v>143</v>
      </c>
      <c r="D858" s="11" t="s">
        <v>890</v>
      </c>
      <c r="E858" s="11" t="s">
        <v>896</v>
      </c>
      <c r="F858" s="11" t="s">
        <v>607</v>
      </c>
      <c r="G858" s="11" t="s">
        <v>11</v>
      </c>
      <c r="H858" s="52" t="s">
        <v>1316</v>
      </c>
      <c r="I858" s="20" t="s">
        <v>1311</v>
      </c>
      <c r="J858" s="11">
        <v>36</v>
      </c>
      <c r="K858" s="11">
        <v>12</v>
      </c>
      <c r="L858" s="11">
        <f t="shared" si="103"/>
        <v>24</v>
      </c>
      <c r="M858" s="131"/>
      <c r="N858" s="18">
        <v>46073</v>
      </c>
      <c r="O858" s="93">
        <v>46092</v>
      </c>
      <c r="P858" s="18">
        <v>46073</v>
      </c>
    </row>
    <row r="859" spans="1:16" x14ac:dyDescent="0.25">
      <c r="A859" s="11">
        <f t="shared" ca="1" si="106"/>
        <v>-55</v>
      </c>
      <c r="B859" s="37">
        <f t="shared" si="107"/>
        <v>17</v>
      </c>
      <c r="C859" s="11" t="s">
        <v>148</v>
      </c>
      <c r="D859" s="11" t="s">
        <v>895</v>
      </c>
      <c r="E859" s="11" t="s">
        <v>896</v>
      </c>
      <c r="F859" s="11" t="s">
        <v>607</v>
      </c>
      <c r="G859" s="11" t="s">
        <v>11</v>
      </c>
      <c r="H859" s="52" t="s">
        <v>1316</v>
      </c>
      <c r="I859" s="20" t="s">
        <v>1311</v>
      </c>
      <c r="J859" s="11">
        <v>36</v>
      </c>
      <c r="K859" s="11">
        <v>36</v>
      </c>
      <c r="L859" s="11">
        <f t="shared" si="103"/>
        <v>0</v>
      </c>
      <c r="M859" s="131"/>
      <c r="N859" s="18">
        <v>46073</v>
      </c>
      <c r="O859" s="93">
        <v>46092</v>
      </c>
      <c r="P859" s="18">
        <v>46073</v>
      </c>
    </row>
    <row r="860" spans="1:16" x14ac:dyDescent="0.25">
      <c r="A860" s="11">
        <f t="shared" ca="1" si="106"/>
        <v>-55</v>
      </c>
      <c r="B860" s="37">
        <f t="shared" si="107"/>
        <v>17</v>
      </c>
      <c r="C860" s="11" t="s">
        <v>218</v>
      </c>
      <c r="D860" s="11" t="s">
        <v>1399</v>
      </c>
      <c r="E860" s="11" t="s">
        <v>896</v>
      </c>
      <c r="F860" s="11" t="s">
        <v>607</v>
      </c>
      <c r="G860" s="11" t="s">
        <v>11</v>
      </c>
      <c r="H860" s="52" t="s">
        <v>1316</v>
      </c>
      <c r="I860" s="20" t="s">
        <v>1311</v>
      </c>
      <c r="J860" s="11">
        <v>60</v>
      </c>
      <c r="K860" s="11">
        <v>60</v>
      </c>
      <c r="L860" s="11">
        <f t="shared" si="103"/>
        <v>0</v>
      </c>
      <c r="M860" s="131"/>
      <c r="N860" s="18">
        <v>46073</v>
      </c>
      <c r="O860" s="93">
        <v>46092</v>
      </c>
      <c r="P860" s="18">
        <v>46073</v>
      </c>
    </row>
    <row r="861" spans="1:16" x14ac:dyDescent="0.25">
      <c r="A861" s="11">
        <f t="shared" ca="1" si="106"/>
        <v>-55</v>
      </c>
      <c r="B861" s="37">
        <f t="shared" si="107"/>
        <v>17</v>
      </c>
      <c r="C861" s="11" t="s">
        <v>219</v>
      </c>
      <c r="D861" s="11" t="s">
        <v>1400</v>
      </c>
      <c r="E861" s="11" t="s">
        <v>896</v>
      </c>
      <c r="F861" s="11" t="s">
        <v>607</v>
      </c>
      <c r="G861" s="11" t="s">
        <v>11</v>
      </c>
      <c r="H861" s="52" t="s">
        <v>1316</v>
      </c>
      <c r="I861" s="20" t="s">
        <v>1311</v>
      </c>
      <c r="J861" s="11">
        <v>60</v>
      </c>
      <c r="K861" s="11">
        <v>60</v>
      </c>
      <c r="L861" s="11">
        <f t="shared" si="103"/>
        <v>0</v>
      </c>
      <c r="M861" s="131"/>
      <c r="N861" s="18">
        <v>46073</v>
      </c>
      <c r="O861" s="93">
        <v>46092</v>
      </c>
      <c r="P861" s="18">
        <v>46073</v>
      </c>
    </row>
    <row r="862" spans="1:16" x14ac:dyDescent="0.25">
      <c r="A862" s="11">
        <f t="shared" ca="1" si="106"/>
        <v>-55</v>
      </c>
      <c r="B862" s="37">
        <f t="shared" si="107"/>
        <v>17</v>
      </c>
      <c r="C862" s="11" t="s">
        <v>220</v>
      </c>
      <c r="D862" s="11" t="s">
        <v>1401</v>
      </c>
      <c r="E862" s="11" t="s">
        <v>896</v>
      </c>
      <c r="F862" s="11" t="s">
        <v>607</v>
      </c>
      <c r="G862" s="11" t="s">
        <v>11</v>
      </c>
      <c r="H862" s="52" t="s">
        <v>1316</v>
      </c>
      <c r="I862" s="20" t="s">
        <v>1311</v>
      </c>
      <c r="J862" s="11">
        <v>24</v>
      </c>
      <c r="K862" s="11">
        <v>24</v>
      </c>
      <c r="L862" s="11">
        <f t="shared" si="103"/>
        <v>0</v>
      </c>
      <c r="M862" s="131"/>
      <c r="N862" s="18">
        <v>46073</v>
      </c>
      <c r="O862" s="93">
        <v>46092</v>
      </c>
      <c r="P862" s="18">
        <v>46073</v>
      </c>
    </row>
    <row r="863" spans="1:16" x14ac:dyDescent="0.25">
      <c r="A863" s="11">
        <f t="shared" ca="1" si="106"/>
        <v>-55</v>
      </c>
      <c r="B863" s="37">
        <f t="shared" si="107"/>
        <v>17</v>
      </c>
      <c r="C863" s="11" t="s">
        <v>150</v>
      </c>
      <c r="D863" s="11" t="s">
        <v>1118</v>
      </c>
      <c r="E863" s="11" t="s">
        <v>896</v>
      </c>
      <c r="F863" s="11" t="s">
        <v>607</v>
      </c>
      <c r="G863" s="11" t="s">
        <v>11</v>
      </c>
      <c r="H863" s="52" t="s">
        <v>1316</v>
      </c>
      <c r="I863" s="20" t="s">
        <v>1311</v>
      </c>
      <c r="J863" s="11">
        <v>24</v>
      </c>
      <c r="K863" s="11">
        <v>24</v>
      </c>
      <c r="L863" s="11">
        <f t="shared" si="103"/>
        <v>0</v>
      </c>
      <c r="M863" s="131"/>
      <c r="N863" s="18">
        <v>46073</v>
      </c>
      <c r="O863" s="93">
        <v>46092</v>
      </c>
      <c r="P863" s="18">
        <v>46073</v>
      </c>
    </row>
    <row r="864" spans="1:16" x14ac:dyDescent="0.25">
      <c r="A864" s="11">
        <f t="shared" ca="1" si="106"/>
        <v>-55</v>
      </c>
      <c r="B864" s="37">
        <f t="shared" si="107"/>
        <v>17</v>
      </c>
      <c r="C864" s="11" t="s">
        <v>151</v>
      </c>
      <c r="D864" s="11" t="s">
        <v>1332</v>
      </c>
      <c r="E864" s="11" t="s">
        <v>896</v>
      </c>
      <c r="F864" s="11" t="s">
        <v>607</v>
      </c>
      <c r="G864" s="11" t="s">
        <v>11</v>
      </c>
      <c r="H864" s="52" t="s">
        <v>1316</v>
      </c>
      <c r="I864" s="20" t="s">
        <v>1311</v>
      </c>
      <c r="J864" s="11">
        <v>36</v>
      </c>
      <c r="K864" s="11">
        <v>24</v>
      </c>
      <c r="L864" s="11">
        <f t="shared" si="103"/>
        <v>12</v>
      </c>
      <c r="M864" s="131"/>
      <c r="N864" s="18">
        <v>46073</v>
      </c>
      <c r="O864" s="93">
        <v>46092</v>
      </c>
      <c r="P864" s="18">
        <v>46073</v>
      </c>
    </row>
    <row r="865" spans="1:16" x14ac:dyDescent="0.25">
      <c r="A865" s="11">
        <f t="shared" ca="1" si="106"/>
        <v>-55</v>
      </c>
      <c r="B865" s="37">
        <f>+N865-I865</f>
        <v>17</v>
      </c>
      <c r="C865" s="11" t="s">
        <v>43</v>
      </c>
      <c r="D865" s="11" t="s">
        <v>1119</v>
      </c>
      <c r="E865" s="11" t="s">
        <v>896</v>
      </c>
      <c r="F865" s="11" t="s">
        <v>607</v>
      </c>
      <c r="G865" s="11" t="s">
        <v>11</v>
      </c>
      <c r="H865" s="52" t="s">
        <v>1316</v>
      </c>
      <c r="I865" s="20" t="s">
        <v>1311</v>
      </c>
      <c r="J865" s="11">
        <v>18</v>
      </c>
      <c r="K865" s="11">
        <v>18</v>
      </c>
      <c r="L865" s="11">
        <f t="shared" si="103"/>
        <v>0</v>
      </c>
      <c r="M865" s="131"/>
      <c r="N865" s="18">
        <v>46073</v>
      </c>
      <c r="O865" s="93">
        <v>46092</v>
      </c>
      <c r="P865" s="18">
        <v>46073</v>
      </c>
    </row>
    <row r="866" spans="1:16" x14ac:dyDescent="0.25">
      <c r="A866" s="11">
        <f t="shared" ca="1" si="106"/>
        <v>-55</v>
      </c>
      <c r="B866" s="37">
        <f t="shared" si="107"/>
        <v>17</v>
      </c>
      <c r="C866" s="11" t="s">
        <v>152</v>
      </c>
      <c r="D866" s="11" t="s">
        <v>1402</v>
      </c>
      <c r="E866" s="11" t="s">
        <v>896</v>
      </c>
      <c r="F866" s="11" t="s">
        <v>607</v>
      </c>
      <c r="G866" s="11" t="s">
        <v>11</v>
      </c>
      <c r="H866" s="52" t="s">
        <v>1316</v>
      </c>
      <c r="I866" s="20" t="s">
        <v>1311</v>
      </c>
      <c r="J866" s="11">
        <v>18</v>
      </c>
      <c r="K866" s="11">
        <v>18</v>
      </c>
      <c r="L866" s="11">
        <f t="shared" si="103"/>
        <v>0</v>
      </c>
      <c r="M866" s="131"/>
      <c r="N866" s="18">
        <v>46073</v>
      </c>
      <c r="O866" s="93">
        <v>46092</v>
      </c>
      <c r="P866" s="18">
        <v>46073</v>
      </c>
    </row>
    <row r="867" spans="1:16" x14ac:dyDescent="0.25">
      <c r="A867" s="11">
        <f t="shared" ca="1" si="106"/>
        <v>-55</v>
      </c>
      <c r="B867" s="37">
        <f t="shared" si="107"/>
        <v>17</v>
      </c>
      <c r="C867" s="11" t="s">
        <v>153</v>
      </c>
      <c r="D867" s="11" t="s">
        <v>1333</v>
      </c>
      <c r="E867" s="11" t="s">
        <v>896</v>
      </c>
      <c r="F867" s="11" t="s">
        <v>607</v>
      </c>
      <c r="G867" s="11" t="s">
        <v>11</v>
      </c>
      <c r="H867" s="52" t="s">
        <v>1316</v>
      </c>
      <c r="I867" s="20" t="s">
        <v>1311</v>
      </c>
      <c r="J867" s="11">
        <v>18</v>
      </c>
      <c r="K867" s="11">
        <v>18</v>
      </c>
      <c r="L867" s="11">
        <f t="shared" si="103"/>
        <v>0</v>
      </c>
      <c r="M867" s="131"/>
      <c r="N867" s="18">
        <v>46073</v>
      </c>
      <c r="O867" s="93">
        <v>46092</v>
      </c>
      <c r="P867" s="18">
        <v>46073</v>
      </c>
    </row>
    <row r="868" spans="1:16" x14ac:dyDescent="0.25">
      <c r="A868" s="11">
        <f t="shared" ca="1" si="106"/>
        <v>-55</v>
      </c>
      <c r="B868" s="37">
        <f t="shared" si="107"/>
        <v>17</v>
      </c>
      <c r="C868" s="11" t="s">
        <v>154</v>
      </c>
      <c r="D868" s="11" t="s">
        <v>903</v>
      </c>
      <c r="E868" s="11" t="s">
        <v>896</v>
      </c>
      <c r="F868" s="11" t="s">
        <v>607</v>
      </c>
      <c r="G868" s="11" t="s">
        <v>11</v>
      </c>
      <c r="H868" s="52" t="s">
        <v>1316</v>
      </c>
      <c r="I868" s="20" t="s">
        <v>1311</v>
      </c>
      <c r="J868" s="11">
        <v>6</v>
      </c>
      <c r="K868" s="11">
        <v>6</v>
      </c>
      <c r="L868" s="11">
        <f t="shared" si="103"/>
        <v>0</v>
      </c>
      <c r="M868" s="131"/>
      <c r="N868" s="18">
        <v>46073</v>
      </c>
      <c r="O868" s="93">
        <v>46092</v>
      </c>
      <c r="P868" s="18">
        <v>46073</v>
      </c>
    </row>
    <row r="869" spans="1:16" x14ac:dyDescent="0.25">
      <c r="A869" s="11">
        <f t="shared" ca="1" si="106"/>
        <v>-55</v>
      </c>
      <c r="B869" s="37">
        <f t="shared" si="107"/>
        <v>17</v>
      </c>
      <c r="C869" s="11" t="s">
        <v>258</v>
      </c>
      <c r="D869" s="11" t="s">
        <v>1403</v>
      </c>
      <c r="E869" s="11" t="s">
        <v>896</v>
      </c>
      <c r="F869" s="11" t="s">
        <v>607</v>
      </c>
      <c r="G869" s="11" t="s">
        <v>11</v>
      </c>
      <c r="H869" s="52" t="s">
        <v>1316</v>
      </c>
      <c r="I869" s="20" t="s">
        <v>1311</v>
      </c>
      <c r="J869" s="11">
        <v>36</v>
      </c>
      <c r="K869" s="11">
        <v>36</v>
      </c>
      <c r="L869" s="11">
        <f t="shared" si="103"/>
        <v>0</v>
      </c>
      <c r="M869" s="131"/>
      <c r="N869" s="18">
        <v>46073</v>
      </c>
      <c r="O869" s="93">
        <v>46092</v>
      </c>
      <c r="P869" s="18">
        <v>46073</v>
      </c>
    </row>
    <row r="870" spans="1:16" x14ac:dyDescent="0.25">
      <c r="A870" s="11">
        <f t="shared" ca="1" si="106"/>
        <v>-55</v>
      </c>
      <c r="B870" s="37">
        <f t="shared" si="107"/>
        <v>17</v>
      </c>
      <c r="C870" s="11" t="s">
        <v>259</v>
      </c>
      <c r="D870" s="11" t="s">
        <v>1404</v>
      </c>
      <c r="E870" s="11" t="s">
        <v>896</v>
      </c>
      <c r="F870" s="11" t="s">
        <v>607</v>
      </c>
      <c r="G870" s="11" t="s">
        <v>11</v>
      </c>
      <c r="H870" s="52" t="s">
        <v>1316</v>
      </c>
      <c r="I870" s="20" t="s">
        <v>1311</v>
      </c>
      <c r="J870" s="11">
        <v>36</v>
      </c>
      <c r="K870" s="11">
        <v>36</v>
      </c>
      <c r="L870" s="11">
        <f t="shared" si="103"/>
        <v>0</v>
      </c>
      <c r="M870" s="131"/>
      <c r="N870" s="18">
        <v>46073</v>
      </c>
      <c r="O870" s="93">
        <v>46092</v>
      </c>
      <c r="P870" s="18">
        <v>46073</v>
      </c>
    </row>
    <row r="871" spans="1:16" x14ac:dyDescent="0.25">
      <c r="A871" s="11">
        <f t="shared" ca="1" si="106"/>
        <v>-55</v>
      </c>
      <c r="B871" s="37">
        <f t="shared" si="107"/>
        <v>17</v>
      </c>
      <c r="C871" s="11" t="s">
        <v>260</v>
      </c>
      <c r="D871" s="11" t="s">
        <v>904</v>
      </c>
      <c r="E871" s="11" t="s">
        <v>896</v>
      </c>
      <c r="F871" s="11" t="s">
        <v>607</v>
      </c>
      <c r="G871" s="11" t="s">
        <v>11</v>
      </c>
      <c r="H871" s="52" t="s">
        <v>1316</v>
      </c>
      <c r="I871" s="20" t="s">
        <v>1311</v>
      </c>
      <c r="J871" s="11">
        <v>36</v>
      </c>
      <c r="K871" s="11">
        <v>36</v>
      </c>
      <c r="L871" s="11">
        <f t="shared" si="103"/>
        <v>0</v>
      </c>
      <c r="M871" s="131"/>
      <c r="N871" s="18">
        <v>46073</v>
      </c>
      <c r="O871" s="93">
        <v>46092</v>
      </c>
      <c r="P871" s="18">
        <v>46073</v>
      </c>
    </row>
    <row r="872" spans="1:16" x14ac:dyDescent="0.25">
      <c r="A872" s="11">
        <f t="shared" ca="1" si="106"/>
        <v>-55</v>
      </c>
      <c r="B872" s="37">
        <f t="shared" si="107"/>
        <v>17</v>
      </c>
      <c r="C872" s="11" t="s">
        <v>226</v>
      </c>
      <c r="D872" s="11" t="s">
        <v>1405</v>
      </c>
      <c r="E872" s="11" t="s">
        <v>896</v>
      </c>
      <c r="F872" s="11" t="s">
        <v>607</v>
      </c>
      <c r="G872" s="11" t="s">
        <v>11</v>
      </c>
      <c r="H872" s="52" t="s">
        <v>1316</v>
      </c>
      <c r="I872" s="20" t="s">
        <v>1311</v>
      </c>
      <c r="J872" s="11">
        <v>192</v>
      </c>
      <c r="K872" s="11">
        <v>144</v>
      </c>
      <c r="L872" s="11">
        <f t="shared" si="103"/>
        <v>48</v>
      </c>
      <c r="M872" s="131"/>
      <c r="N872" s="18">
        <v>46073</v>
      </c>
      <c r="O872" s="93">
        <v>46092</v>
      </c>
      <c r="P872" s="18">
        <v>46073</v>
      </c>
    </row>
    <row r="873" spans="1:16" x14ac:dyDescent="0.25">
      <c r="A873" s="11">
        <f t="shared" ca="1" si="106"/>
        <v>-55</v>
      </c>
      <c r="B873" s="37">
        <f t="shared" si="107"/>
        <v>17</v>
      </c>
      <c r="C873" s="11" t="s">
        <v>180</v>
      </c>
      <c r="D873" s="11" t="s">
        <v>1136</v>
      </c>
      <c r="E873" s="11" t="s">
        <v>896</v>
      </c>
      <c r="F873" s="11" t="s">
        <v>607</v>
      </c>
      <c r="G873" s="11" t="s">
        <v>11</v>
      </c>
      <c r="H873" s="52" t="s">
        <v>1316</v>
      </c>
      <c r="I873" s="20" t="s">
        <v>1311</v>
      </c>
      <c r="J873" s="11">
        <v>120</v>
      </c>
      <c r="K873" s="11">
        <v>120</v>
      </c>
      <c r="L873" s="11">
        <f>J873-K873</f>
        <v>0</v>
      </c>
      <c r="M873" s="131"/>
      <c r="N873" s="18">
        <v>46073</v>
      </c>
      <c r="O873" s="93">
        <v>46092</v>
      </c>
      <c r="P873" s="18">
        <v>46073</v>
      </c>
    </row>
    <row r="874" spans="1:16" x14ac:dyDescent="0.25">
      <c r="A874" s="11">
        <f t="shared" ca="1" si="106"/>
        <v>-55</v>
      </c>
      <c r="B874" s="37">
        <f t="shared" si="107"/>
        <v>17</v>
      </c>
      <c r="C874" s="11" t="s">
        <v>182</v>
      </c>
      <c r="D874" s="11" t="s">
        <v>905</v>
      </c>
      <c r="E874" s="11" t="s">
        <v>896</v>
      </c>
      <c r="F874" s="11" t="s">
        <v>607</v>
      </c>
      <c r="G874" s="11" t="s">
        <v>11</v>
      </c>
      <c r="H874" s="52" t="s">
        <v>1316</v>
      </c>
      <c r="I874" s="20" t="s">
        <v>1311</v>
      </c>
      <c r="J874" s="11">
        <v>90</v>
      </c>
      <c r="K874" s="11">
        <v>30</v>
      </c>
      <c r="L874" s="11">
        <f>J874-K874</f>
        <v>60</v>
      </c>
      <c r="M874" s="131"/>
      <c r="N874" s="18">
        <v>46073</v>
      </c>
      <c r="O874" s="93">
        <v>46092</v>
      </c>
      <c r="P874" s="18">
        <v>46073</v>
      </c>
    </row>
    <row r="875" spans="1:16" x14ac:dyDescent="0.25">
      <c r="A875" s="11">
        <f t="shared" ca="1" si="106"/>
        <v>-55</v>
      </c>
      <c r="B875" s="37">
        <f t="shared" si="107"/>
        <v>17</v>
      </c>
      <c r="C875" s="11" t="s">
        <v>44</v>
      </c>
      <c r="D875" s="11" t="s">
        <v>910</v>
      </c>
      <c r="E875" s="11" t="s">
        <v>896</v>
      </c>
      <c r="F875" s="11" t="s">
        <v>607</v>
      </c>
      <c r="G875" s="11" t="s">
        <v>11</v>
      </c>
      <c r="H875" s="52" t="s">
        <v>1316</v>
      </c>
      <c r="I875" s="20" t="s">
        <v>1311</v>
      </c>
      <c r="J875" s="11">
        <v>36</v>
      </c>
      <c r="K875" s="11">
        <v>36</v>
      </c>
      <c r="L875" s="11">
        <f>J875-K875</f>
        <v>0</v>
      </c>
      <c r="M875" s="131"/>
      <c r="N875" s="18">
        <v>46073</v>
      </c>
      <c r="O875" s="93">
        <v>46092</v>
      </c>
      <c r="P875" s="18">
        <v>46073</v>
      </c>
    </row>
    <row r="876" spans="1:16" x14ac:dyDescent="0.25">
      <c r="A876" s="11">
        <f t="shared" ref="A876:A915" ca="1" si="108">DAYS360($B$1,I876)</f>
        <v>-102</v>
      </c>
      <c r="B876" s="37">
        <f t="shared" ref="B876:B915" si="109">+N876-I876</f>
        <v>69</v>
      </c>
      <c r="C876" s="11" t="s">
        <v>282</v>
      </c>
      <c r="D876" s="11" t="s">
        <v>1410</v>
      </c>
      <c r="E876" s="11" t="s">
        <v>919</v>
      </c>
      <c r="F876" s="11" t="s">
        <v>497</v>
      </c>
      <c r="G876" s="11" t="s">
        <v>16</v>
      </c>
      <c r="H876" s="52" t="s">
        <v>884</v>
      </c>
      <c r="I876" s="20" t="s">
        <v>885</v>
      </c>
      <c r="J876" s="11">
        <v>36</v>
      </c>
      <c r="K876" s="11">
        <v>36</v>
      </c>
      <c r="L876" s="11">
        <v>0</v>
      </c>
      <c r="M876" s="131">
        <v>1</v>
      </c>
      <c r="N876" s="18">
        <v>46076</v>
      </c>
      <c r="O876" s="93">
        <v>46066</v>
      </c>
    </row>
    <row r="877" spans="1:16" x14ac:dyDescent="0.25">
      <c r="A877" s="11">
        <f t="shared" ca="1" si="108"/>
        <v>-102</v>
      </c>
      <c r="B877" s="37">
        <f t="shared" si="109"/>
        <v>69</v>
      </c>
      <c r="C877" s="11" t="s">
        <v>288</v>
      </c>
      <c r="D877" s="11" t="s">
        <v>923</v>
      </c>
      <c r="E877" s="11" t="s">
        <v>926</v>
      </c>
      <c r="F877" s="11" t="s">
        <v>497</v>
      </c>
      <c r="G877" s="11" t="s">
        <v>16</v>
      </c>
      <c r="H877" s="52" t="s">
        <v>884</v>
      </c>
      <c r="I877" s="20" t="s">
        <v>885</v>
      </c>
      <c r="J877" s="11">
        <v>12</v>
      </c>
      <c r="K877" s="11">
        <v>12</v>
      </c>
      <c r="L877" s="11">
        <v>0</v>
      </c>
      <c r="M877" s="131"/>
      <c r="N877" s="18">
        <v>46076</v>
      </c>
      <c r="O877" s="93">
        <v>46066</v>
      </c>
    </row>
    <row r="878" spans="1:16" x14ac:dyDescent="0.25">
      <c r="A878" s="11">
        <f t="shared" ca="1" si="108"/>
        <v>-102</v>
      </c>
      <c r="B878" s="37">
        <f t="shared" si="109"/>
        <v>69</v>
      </c>
      <c r="C878" s="11" t="s">
        <v>411</v>
      </c>
      <c r="D878" s="11" t="s">
        <v>923</v>
      </c>
      <c r="E878" s="11" t="s">
        <v>1411</v>
      </c>
      <c r="F878" s="11" t="s">
        <v>497</v>
      </c>
      <c r="G878" s="11" t="s">
        <v>16</v>
      </c>
      <c r="H878" s="52" t="s">
        <v>884</v>
      </c>
      <c r="I878" s="20" t="s">
        <v>885</v>
      </c>
      <c r="J878" s="11">
        <v>12</v>
      </c>
      <c r="K878" s="11">
        <v>12</v>
      </c>
      <c r="L878" s="11">
        <v>0</v>
      </c>
      <c r="M878" s="131"/>
      <c r="N878" s="18">
        <v>46076</v>
      </c>
      <c r="O878" s="93">
        <v>46066</v>
      </c>
    </row>
    <row r="879" spans="1:16" x14ac:dyDescent="0.25">
      <c r="A879" s="11">
        <f t="shared" ca="1" si="108"/>
        <v>-102</v>
      </c>
      <c r="B879" s="37">
        <f t="shared" si="109"/>
        <v>69</v>
      </c>
      <c r="C879" s="11" t="s">
        <v>70</v>
      </c>
      <c r="D879" s="11" t="s">
        <v>925</v>
      </c>
      <c r="E879" s="11" t="s">
        <v>1411</v>
      </c>
      <c r="F879" s="11" t="s">
        <v>497</v>
      </c>
      <c r="G879" s="11" t="s">
        <v>16</v>
      </c>
      <c r="H879" s="52" t="s">
        <v>884</v>
      </c>
      <c r="I879" s="20" t="s">
        <v>885</v>
      </c>
      <c r="J879" s="11">
        <v>6</v>
      </c>
      <c r="K879" s="11">
        <v>6</v>
      </c>
      <c r="L879" s="11">
        <v>0</v>
      </c>
      <c r="M879" s="131"/>
      <c r="N879" s="18">
        <v>46076</v>
      </c>
      <c r="O879" s="93">
        <v>46066</v>
      </c>
    </row>
    <row r="880" spans="1:16" x14ac:dyDescent="0.25">
      <c r="A880" s="11">
        <f t="shared" ca="1" si="108"/>
        <v>-102</v>
      </c>
      <c r="B880" s="37">
        <f t="shared" si="109"/>
        <v>69</v>
      </c>
      <c r="C880" s="11" t="s">
        <v>73</v>
      </c>
      <c r="D880" s="11" t="s">
        <v>795</v>
      </c>
      <c r="E880" s="11" t="s">
        <v>896</v>
      </c>
      <c r="F880" s="11" t="s">
        <v>497</v>
      </c>
      <c r="G880" s="11" t="s">
        <v>16</v>
      </c>
      <c r="H880" s="52" t="s">
        <v>884</v>
      </c>
      <c r="I880" s="20" t="s">
        <v>885</v>
      </c>
      <c r="J880" s="11">
        <v>24</v>
      </c>
      <c r="K880" s="11">
        <v>24</v>
      </c>
      <c r="L880" s="11">
        <v>0</v>
      </c>
      <c r="M880" s="131"/>
      <c r="N880" s="18">
        <v>46076</v>
      </c>
      <c r="O880" s="93">
        <v>46066</v>
      </c>
    </row>
    <row r="881" spans="1:15" x14ac:dyDescent="0.25">
      <c r="A881" s="11">
        <f t="shared" ca="1" si="108"/>
        <v>-102</v>
      </c>
      <c r="B881" s="37">
        <f t="shared" si="109"/>
        <v>69</v>
      </c>
      <c r="C881" s="11" t="s">
        <v>75</v>
      </c>
      <c r="D881" s="11" t="s">
        <v>795</v>
      </c>
      <c r="E881" s="11" t="s">
        <v>926</v>
      </c>
      <c r="F881" s="11" t="s">
        <v>497</v>
      </c>
      <c r="G881" s="11" t="s">
        <v>16</v>
      </c>
      <c r="H881" s="52" t="s">
        <v>884</v>
      </c>
      <c r="I881" s="20" t="s">
        <v>885</v>
      </c>
      <c r="J881" s="11">
        <v>24</v>
      </c>
      <c r="K881" s="11">
        <v>24</v>
      </c>
      <c r="L881" s="11">
        <v>0</v>
      </c>
      <c r="M881" s="131"/>
      <c r="N881" s="18">
        <v>46076</v>
      </c>
      <c r="O881" s="93">
        <v>46066</v>
      </c>
    </row>
    <row r="882" spans="1:15" x14ac:dyDescent="0.25">
      <c r="A882" s="11">
        <f t="shared" ca="1" si="108"/>
        <v>-102</v>
      </c>
      <c r="B882" s="37">
        <f t="shared" si="109"/>
        <v>69</v>
      </c>
      <c r="C882" s="11" t="s">
        <v>371</v>
      </c>
      <c r="D882" s="11" t="s">
        <v>795</v>
      </c>
      <c r="E882" s="11" t="s">
        <v>1411</v>
      </c>
      <c r="F882" s="11" t="s">
        <v>497</v>
      </c>
      <c r="G882" s="11" t="s">
        <v>16</v>
      </c>
      <c r="H882" s="52" t="s">
        <v>884</v>
      </c>
      <c r="I882" s="20" t="s">
        <v>885</v>
      </c>
      <c r="J882" s="11">
        <v>24</v>
      </c>
      <c r="K882" s="11">
        <v>24</v>
      </c>
      <c r="L882" s="11">
        <v>0</v>
      </c>
      <c r="M882" s="131"/>
      <c r="N882" s="18">
        <v>46076</v>
      </c>
      <c r="O882" s="93">
        <v>46066</v>
      </c>
    </row>
    <row r="883" spans="1:15" x14ac:dyDescent="0.25">
      <c r="A883" s="11">
        <f t="shared" ca="1" si="108"/>
        <v>-102</v>
      </c>
      <c r="B883" s="37">
        <f t="shared" si="109"/>
        <v>69</v>
      </c>
      <c r="C883" s="11" t="s">
        <v>76</v>
      </c>
      <c r="D883" s="11" t="s">
        <v>795</v>
      </c>
      <c r="E883" s="11" t="s">
        <v>1412</v>
      </c>
      <c r="F883" s="11" t="s">
        <v>497</v>
      </c>
      <c r="G883" s="11" t="s">
        <v>16</v>
      </c>
      <c r="H883" s="52" t="s">
        <v>884</v>
      </c>
      <c r="I883" s="20" t="s">
        <v>885</v>
      </c>
      <c r="J883" s="11">
        <v>24</v>
      </c>
      <c r="K883" s="11">
        <v>24</v>
      </c>
      <c r="L883" s="11">
        <v>0</v>
      </c>
      <c r="M883" s="131"/>
      <c r="N883" s="18">
        <v>46076</v>
      </c>
      <c r="O883" s="93">
        <v>46066</v>
      </c>
    </row>
    <row r="884" spans="1:15" x14ac:dyDescent="0.25">
      <c r="A884" s="11">
        <f t="shared" ca="1" si="108"/>
        <v>-102</v>
      </c>
      <c r="B884" s="37">
        <f t="shared" si="109"/>
        <v>69</v>
      </c>
      <c r="C884" s="11" t="s">
        <v>298</v>
      </c>
      <c r="D884" s="11" t="s">
        <v>795</v>
      </c>
      <c r="E884" s="11" t="s">
        <v>919</v>
      </c>
      <c r="F884" s="11" t="s">
        <v>497</v>
      </c>
      <c r="G884" s="11" t="s">
        <v>16</v>
      </c>
      <c r="H884" s="52" t="s">
        <v>884</v>
      </c>
      <c r="I884" s="20" t="s">
        <v>885</v>
      </c>
      <c r="J884" s="11">
        <v>24</v>
      </c>
      <c r="K884" s="11">
        <v>24</v>
      </c>
      <c r="L884" s="11">
        <v>0</v>
      </c>
      <c r="M884" s="131"/>
      <c r="N884" s="18">
        <v>46076</v>
      </c>
      <c r="O884" s="93">
        <v>46066</v>
      </c>
    </row>
    <row r="885" spans="1:15" x14ac:dyDescent="0.25">
      <c r="A885" s="11">
        <f t="shared" ca="1" si="108"/>
        <v>-102</v>
      </c>
      <c r="B885" s="37">
        <f t="shared" si="109"/>
        <v>69</v>
      </c>
      <c r="C885" s="11" t="s">
        <v>886</v>
      </c>
      <c r="D885" s="11" t="s">
        <v>1413</v>
      </c>
      <c r="E885" s="11" t="s">
        <v>1411</v>
      </c>
      <c r="F885" s="11" t="s">
        <v>497</v>
      </c>
      <c r="G885" s="11" t="s">
        <v>16</v>
      </c>
      <c r="H885" s="52" t="s">
        <v>884</v>
      </c>
      <c r="I885" s="20" t="s">
        <v>885</v>
      </c>
      <c r="J885" s="11">
        <v>36</v>
      </c>
      <c r="K885" s="11">
        <v>36</v>
      </c>
      <c r="L885" s="11">
        <v>0</v>
      </c>
      <c r="M885" s="131"/>
      <c r="N885" s="18">
        <v>46076</v>
      </c>
      <c r="O885" s="93">
        <v>46066</v>
      </c>
    </row>
    <row r="886" spans="1:15" x14ac:dyDescent="0.25">
      <c r="A886" s="11">
        <f t="shared" ca="1" si="108"/>
        <v>-102</v>
      </c>
      <c r="B886" s="37">
        <f t="shared" si="109"/>
        <v>69</v>
      </c>
      <c r="C886" s="11" t="s">
        <v>84</v>
      </c>
      <c r="D886" s="11" t="s">
        <v>1414</v>
      </c>
      <c r="E886" s="11" t="s">
        <v>1411</v>
      </c>
      <c r="F886" s="11" t="s">
        <v>497</v>
      </c>
      <c r="G886" s="11" t="s">
        <v>16</v>
      </c>
      <c r="H886" s="52" t="s">
        <v>884</v>
      </c>
      <c r="I886" s="20" t="s">
        <v>885</v>
      </c>
      <c r="J886" s="11">
        <v>12</v>
      </c>
      <c r="K886" s="11">
        <v>12</v>
      </c>
      <c r="L886" s="11">
        <v>0</v>
      </c>
      <c r="M886" s="131"/>
      <c r="N886" s="18">
        <v>46076</v>
      </c>
      <c r="O886" s="93">
        <v>46066</v>
      </c>
    </row>
    <row r="887" spans="1:15" x14ac:dyDescent="0.25">
      <c r="A887" s="11">
        <f t="shared" ca="1" si="108"/>
        <v>-102</v>
      </c>
      <c r="B887" s="37">
        <f t="shared" si="109"/>
        <v>69</v>
      </c>
      <c r="C887" s="11" t="s">
        <v>273</v>
      </c>
      <c r="D887" s="11" t="s">
        <v>1415</v>
      </c>
      <c r="E887" s="11" t="s">
        <v>896</v>
      </c>
      <c r="F887" s="11" t="s">
        <v>497</v>
      </c>
      <c r="G887" s="11" t="s">
        <v>16</v>
      </c>
      <c r="H887" s="52" t="s">
        <v>884</v>
      </c>
      <c r="I887" s="20" t="s">
        <v>885</v>
      </c>
      <c r="J887" s="11">
        <v>6</v>
      </c>
      <c r="K887" s="11">
        <v>6</v>
      </c>
      <c r="L887" s="11">
        <v>0</v>
      </c>
      <c r="M887" s="131"/>
      <c r="N887" s="18">
        <v>46076</v>
      </c>
      <c r="O887" s="93">
        <v>46066</v>
      </c>
    </row>
    <row r="888" spans="1:15" x14ac:dyDescent="0.25">
      <c r="A888" s="11">
        <f t="shared" ca="1" si="108"/>
        <v>-102</v>
      </c>
      <c r="B888" s="37">
        <f t="shared" si="109"/>
        <v>69</v>
      </c>
      <c r="C888" s="11" t="s">
        <v>308</v>
      </c>
      <c r="D888" s="11" t="s">
        <v>1415</v>
      </c>
      <c r="E888" s="11" t="s">
        <v>926</v>
      </c>
      <c r="F888" s="11" t="s">
        <v>497</v>
      </c>
      <c r="G888" s="11" t="s">
        <v>16</v>
      </c>
      <c r="H888" s="52" t="s">
        <v>884</v>
      </c>
      <c r="I888" s="20" t="s">
        <v>885</v>
      </c>
      <c r="J888" s="11">
        <v>6</v>
      </c>
      <c r="K888" s="11">
        <v>6</v>
      </c>
      <c r="L888" s="11">
        <v>0</v>
      </c>
      <c r="M888" s="131"/>
      <c r="N888" s="18">
        <v>46076</v>
      </c>
      <c r="O888" s="93">
        <v>46066</v>
      </c>
    </row>
    <row r="889" spans="1:15" x14ac:dyDescent="0.25">
      <c r="A889" s="11">
        <f t="shared" ca="1" si="108"/>
        <v>-102</v>
      </c>
      <c r="B889" s="37">
        <f t="shared" si="109"/>
        <v>69</v>
      </c>
      <c r="C889" s="11" t="s">
        <v>287</v>
      </c>
      <c r="D889" s="11" t="s">
        <v>1416</v>
      </c>
      <c r="E889" s="11" t="s">
        <v>919</v>
      </c>
      <c r="F889" s="11" t="s">
        <v>497</v>
      </c>
      <c r="G889" s="11" t="s">
        <v>16</v>
      </c>
      <c r="H889" s="52" t="s">
        <v>884</v>
      </c>
      <c r="I889" s="20" t="s">
        <v>885</v>
      </c>
      <c r="J889" s="11">
        <v>12</v>
      </c>
      <c r="K889" s="11">
        <v>12</v>
      </c>
      <c r="L889" s="11">
        <v>0</v>
      </c>
      <c r="M889" s="131"/>
      <c r="N889" s="18">
        <v>46076</v>
      </c>
      <c r="O889" s="93">
        <v>46066</v>
      </c>
    </row>
    <row r="890" spans="1:15" x14ac:dyDescent="0.25">
      <c r="A890" s="11">
        <f t="shared" ca="1" si="108"/>
        <v>-67</v>
      </c>
      <c r="B890" s="37">
        <f t="shared" si="109"/>
        <v>33</v>
      </c>
      <c r="C890" s="11" t="s">
        <v>277</v>
      </c>
      <c r="D890" s="11" t="s">
        <v>1417</v>
      </c>
      <c r="E890" s="11" t="s">
        <v>926</v>
      </c>
      <c r="F890" s="11" t="s">
        <v>497</v>
      </c>
      <c r="G890" s="11" t="s">
        <v>16</v>
      </c>
      <c r="H890" s="11" t="s">
        <v>1260</v>
      </c>
      <c r="I890" s="11" t="s">
        <v>1261</v>
      </c>
      <c r="J890" s="25">
        <v>18</v>
      </c>
      <c r="K890" s="25">
        <v>18</v>
      </c>
      <c r="L890" s="15">
        <v>0</v>
      </c>
      <c r="M890" s="131">
        <v>1</v>
      </c>
      <c r="N890" s="18">
        <v>46076</v>
      </c>
      <c r="O890" s="93">
        <v>46092</v>
      </c>
    </row>
    <row r="891" spans="1:15" x14ac:dyDescent="0.25">
      <c r="A891" s="11">
        <f t="shared" ca="1" si="108"/>
        <v>-67</v>
      </c>
      <c r="B891" s="37">
        <f t="shared" si="109"/>
        <v>33</v>
      </c>
      <c r="C891" s="11" t="s">
        <v>280</v>
      </c>
      <c r="D891" s="11" t="s">
        <v>1410</v>
      </c>
      <c r="E891" s="11" t="s">
        <v>926</v>
      </c>
      <c r="F891" s="11" t="s">
        <v>497</v>
      </c>
      <c r="G891" s="11" t="s">
        <v>16</v>
      </c>
      <c r="H891" s="11" t="s">
        <v>1260</v>
      </c>
      <c r="I891" s="11" t="s">
        <v>1261</v>
      </c>
      <c r="J891" s="25">
        <v>36</v>
      </c>
      <c r="K891" s="25">
        <v>36</v>
      </c>
      <c r="L891" s="15">
        <v>0</v>
      </c>
      <c r="M891" s="131"/>
      <c r="N891" s="18">
        <v>46076</v>
      </c>
      <c r="O891" s="93">
        <v>46092</v>
      </c>
    </row>
    <row r="892" spans="1:15" x14ac:dyDescent="0.25">
      <c r="A892" s="11">
        <f t="shared" ca="1" si="108"/>
        <v>-67</v>
      </c>
      <c r="B892" s="37">
        <f t="shared" si="109"/>
        <v>33</v>
      </c>
      <c r="C892" s="11" t="s">
        <v>1168</v>
      </c>
      <c r="D892" s="11" t="s">
        <v>1410</v>
      </c>
      <c r="E892" s="11" t="s">
        <v>1411</v>
      </c>
      <c r="F892" s="11" t="s">
        <v>497</v>
      </c>
      <c r="G892" s="11" t="s">
        <v>16</v>
      </c>
      <c r="H892" s="11" t="s">
        <v>1260</v>
      </c>
      <c r="I892" s="11" t="s">
        <v>1261</v>
      </c>
      <c r="J892" s="25">
        <v>36</v>
      </c>
      <c r="K892" s="25">
        <v>36</v>
      </c>
      <c r="L892" s="15">
        <v>0</v>
      </c>
      <c r="M892" s="131"/>
      <c r="N892" s="18">
        <v>46076</v>
      </c>
      <c r="O892" s="93">
        <v>46092</v>
      </c>
    </row>
    <row r="893" spans="1:15" x14ac:dyDescent="0.25">
      <c r="A893" s="11">
        <f t="shared" ca="1" si="108"/>
        <v>-67</v>
      </c>
      <c r="B893" s="37">
        <f t="shared" si="109"/>
        <v>33</v>
      </c>
      <c r="C893" s="11" t="s">
        <v>1251</v>
      </c>
      <c r="D893" s="11" t="s">
        <v>1418</v>
      </c>
      <c r="E893" s="11" t="s">
        <v>926</v>
      </c>
      <c r="F893" s="11" t="s">
        <v>497</v>
      </c>
      <c r="G893" s="11" t="s">
        <v>16</v>
      </c>
      <c r="H893" s="11" t="s">
        <v>1260</v>
      </c>
      <c r="I893" s="11" t="s">
        <v>1261</v>
      </c>
      <c r="J893" s="25">
        <v>12</v>
      </c>
      <c r="K893" s="25">
        <v>12</v>
      </c>
      <c r="L893" s="15">
        <v>0</v>
      </c>
      <c r="M893" s="131"/>
      <c r="N893" s="18">
        <v>46076</v>
      </c>
      <c r="O893" s="93">
        <v>46092</v>
      </c>
    </row>
    <row r="894" spans="1:15" x14ac:dyDescent="0.25">
      <c r="A894" s="11">
        <f t="shared" ca="1" si="108"/>
        <v>-67</v>
      </c>
      <c r="B894" s="37">
        <f t="shared" si="109"/>
        <v>33</v>
      </c>
      <c r="C894" s="11" t="s">
        <v>283</v>
      </c>
      <c r="D894" s="11" t="s">
        <v>1331</v>
      </c>
      <c r="E894" s="11" t="s">
        <v>926</v>
      </c>
      <c r="F894" s="11" t="s">
        <v>497</v>
      </c>
      <c r="G894" s="11" t="s">
        <v>16</v>
      </c>
      <c r="H894" s="11" t="s">
        <v>1260</v>
      </c>
      <c r="I894" s="11" t="s">
        <v>1261</v>
      </c>
      <c r="J894" s="25">
        <v>24</v>
      </c>
      <c r="K894" s="25">
        <v>24</v>
      </c>
      <c r="L894" s="15">
        <v>0</v>
      </c>
      <c r="M894" s="131"/>
      <c r="N894" s="18">
        <v>46076</v>
      </c>
      <c r="O894" s="93">
        <v>46092</v>
      </c>
    </row>
    <row r="895" spans="1:15" x14ac:dyDescent="0.25">
      <c r="A895" s="11">
        <f t="shared" ca="1" si="108"/>
        <v>-67</v>
      </c>
      <c r="B895" s="37">
        <f t="shared" si="109"/>
        <v>33</v>
      </c>
      <c r="C895" s="11" t="s">
        <v>1165</v>
      </c>
      <c r="D895" s="11" t="s">
        <v>795</v>
      </c>
      <c r="E895" s="11" t="s">
        <v>1419</v>
      </c>
      <c r="F895" s="11" t="s">
        <v>497</v>
      </c>
      <c r="G895" s="11" t="s">
        <v>16</v>
      </c>
      <c r="H895" s="11" t="s">
        <v>1260</v>
      </c>
      <c r="I895" s="11" t="s">
        <v>1261</v>
      </c>
      <c r="J895" s="25">
        <v>24</v>
      </c>
      <c r="K895" s="25">
        <v>24</v>
      </c>
      <c r="L895" s="15">
        <v>0</v>
      </c>
      <c r="M895" s="131"/>
      <c r="N895" s="18">
        <v>46076</v>
      </c>
      <c r="O895" s="93">
        <v>46092</v>
      </c>
    </row>
    <row r="896" spans="1:15" x14ac:dyDescent="0.25">
      <c r="A896" s="11">
        <f t="shared" ca="1" si="108"/>
        <v>-67</v>
      </c>
      <c r="B896" s="37">
        <f t="shared" si="109"/>
        <v>33</v>
      </c>
      <c r="C896" s="11" t="s">
        <v>74</v>
      </c>
      <c r="D896" s="11" t="s">
        <v>795</v>
      </c>
      <c r="E896" s="11" t="s">
        <v>924</v>
      </c>
      <c r="F896" s="11" t="s">
        <v>497</v>
      </c>
      <c r="G896" s="11" t="s">
        <v>16</v>
      </c>
      <c r="H896" s="11" t="s">
        <v>1260</v>
      </c>
      <c r="I896" s="11" t="s">
        <v>1261</v>
      </c>
      <c r="J896" s="25">
        <v>24</v>
      </c>
      <c r="K896" s="25">
        <v>24</v>
      </c>
      <c r="L896" s="15">
        <v>0</v>
      </c>
      <c r="M896" s="131"/>
      <c r="N896" s="18">
        <v>46076</v>
      </c>
      <c r="O896" s="93">
        <v>46092</v>
      </c>
    </row>
    <row r="897" spans="1:15" x14ac:dyDescent="0.25">
      <c r="A897" s="11">
        <f t="shared" ca="1" si="108"/>
        <v>-67</v>
      </c>
      <c r="B897" s="37">
        <f t="shared" si="109"/>
        <v>33</v>
      </c>
      <c r="C897" s="11" t="s">
        <v>1169</v>
      </c>
      <c r="D897" s="11" t="s">
        <v>1413</v>
      </c>
      <c r="E897" s="11" t="s">
        <v>924</v>
      </c>
      <c r="F897" s="11" t="s">
        <v>497</v>
      </c>
      <c r="G897" s="11" t="s">
        <v>16</v>
      </c>
      <c r="H897" s="11" t="s">
        <v>1260</v>
      </c>
      <c r="I897" s="11" t="s">
        <v>1261</v>
      </c>
      <c r="J897" s="25">
        <v>36</v>
      </c>
      <c r="K897" s="25">
        <v>36</v>
      </c>
      <c r="L897" s="15">
        <v>0</v>
      </c>
      <c r="M897" s="131"/>
      <c r="N897" s="18">
        <v>46076</v>
      </c>
      <c r="O897" s="93">
        <v>46092</v>
      </c>
    </row>
    <row r="898" spans="1:15" x14ac:dyDescent="0.25">
      <c r="A898" s="11">
        <f t="shared" ca="1" si="108"/>
        <v>-67</v>
      </c>
      <c r="B898" s="37">
        <f t="shared" si="109"/>
        <v>33</v>
      </c>
      <c r="C898" s="11" t="s">
        <v>83</v>
      </c>
      <c r="D898" s="11" t="s">
        <v>1414</v>
      </c>
      <c r="E898" s="11" t="s">
        <v>926</v>
      </c>
      <c r="F898" s="11" t="s">
        <v>497</v>
      </c>
      <c r="G898" s="11" t="s">
        <v>16</v>
      </c>
      <c r="H898" s="11" t="s">
        <v>1260</v>
      </c>
      <c r="I898" s="11" t="s">
        <v>1261</v>
      </c>
      <c r="J898" s="25">
        <v>12</v>
      </c>
      <c r="K898" s="25">
        <v>12</v>
      </c>
      <c r="L898" s="15">
        <v>0</v>
      </c>
      <c r="M898" s="131"/>
      <c r="N898" s="18">
        <v>46076</v>
      </c>
      <c r="O898" s="93">
        <v>46092</v>
      </c>
    </row>
    <row r="899" spans="1:15" x14ac:dyDescent="0.25">
      <c r="A899" s="11">
        <f t="shared" ca="1" si="108"/>
        <v>-67</v>
      </c>
      <c r="B899" s="37">
        <f t="shared" si="109"/>
        <v>33</v>
      </c>
      <c r="C899" s="11" t="s">
        <v>306</v>
      </c>
      <c r="D899" s="11" t="s">
        <v>918</v>
      </c>
      <c r="E899" s="11" t="s">
        <v>931</v>
      </c>
      <c r="F899" s="11" t="s">
        <v>497</v>
      </c>
      <c r="G899" s="11" t="s">
        <v>16</v>
      </c>
      <c r="H899" s="11" t="s">
        <v>1260</v>
      </c>
      <c r="I899" s="11" t="s">
        <v>1261</v>
      </c>
      <c r="J899" s="25">
        <v>12</v>
      </c>
      <c r="K899" s="25">
        <v>12</v>
      </c>
      <c r="L899" s="15">
        <v>0</v>
      </c>
      <c r="M899" s="131"/>
      <c r="N899" s="18">
        <v>46076</v>
      </c>
      <c r="O899" s="93">
        <v>46092</v>
      </c>
    </row>
    <row r="900" spans="1:15" x14ac:dyDescent="0.25">
      <c r="A900" s="11">
        <f t="shared" ca="1" si="108"/>
        <v>-58</v>
      </c>
      <c r="B900" s="37">
        <f t="shared" si="109"/>
        <v>24</v>
      </c>
      <c r="C900" s="11" t="s">
        <v>214</v>
      </c>
      <c r="D900" s="11" t="str">
        <f>VLOOKUP(VALUE(MID($C900,13,2)), [2]codigos!$A$2:$B$60, 2, 1) &amp; " " &amp; VLOOKUP(VALUE(MID($C900,15,4)), [2]codigos!$E$2:$F$102, 2, FALSE)</f>
        <v>BUDINERA   18</v>
      </c>
      <c r="E900" s="11" t="str">
        <f>VLOOKUP(VALUE(MID($C900,19,2)),[2]codigos!$H$2:$I$62,2,1) &amp; " " &amp; VLOOKUP(VALUE(MID($C900,21,2)),[2]codigos!$K$2:$L$12,2,FALSE)</f>
        <v>A/T S/I</v>
      </c>
      <c r="F900" s="11" t="s">
        <v>1304</v>
      </c>
      <c r="G900" s="11" t="s">
        <v>11</v>
      </c>
      <c r="H900" s="52" t="s">
        <v>1305</v>
      </c>
      <c r="I900" s="20" t="s">
        <v>1299</v>
      </c>
      <c r="J900" s="11">
        <v>18</v>
      </c>
      <c r="K900" s="11">
        <f>4+14</f>
        <v>18</v>
      </c>
      <c r="L900" s="11">
        <f t="shared" ref="L900:L963" si="110">J900-K900</f>
        <v>0</v>
      </c>
      <c r="M900" s="131">
        <f>(SUM(K900:K915))/(SUM(J900:J915))</f>
        <v>1</v>
      </c>
      <c r="N900" s="18">
        <v>46076</v>
      </c>
      <c r="O900" s="93">
        <v>46078</v>
      </c>
    </row>
    <row r="901" spans="1:15" x14ac:dyDescent="0.25">
      <c r="A901" s="11">
        <f t="shared" ca="1" si="108"/>
        <v>-58</v>
      </c>
      <c r="B901" s="37">
        <f t="shared" si="109"/>
        <v>24</v>
      </c>
      <c r="C901" s="11" t="s">
        <v>241</v>
      </c>
      <c r="D901" s="11" t="str">
        <f>VLOOKUP(VALUE(MID($C901,13,2)), [2]codigos!$A$2:$B$60, 2, 1) &amp; " " &amp; VLOOKUP(VALUE(MID($C901,15,4)), [2]codigos!$E$2:$F$102, 2, FALSE)</f>
        <v>BUDINERA   22</v>
      </c>
      <c r="E901" s="11" t="str">
        <f>VLOOKUP(VALUE(MID($C901,19,2)),[2]codigos!$H$2:$I$62,2,1) &amp; " " &amp; VLOOKUP(VALUE(MID($C901,21,2)),[2]codigos!$K$2:$L$12,2,FALSE)</f>
        <v>A/T S/I</v>
      </c>
      <c r="F901" s="11" t="s">
        <v>1304</v>
      </c>
      <c r="G901" s="11" t="s">
        <v>11</v>
      </c>
      <c r="H901" s="52" t="s">
        <v>1305</v>
      </c>
      <c r="I901" s="20" t="s">
        <v>1299</v>
      </c>
      <c r="J901" s="11">
        <v>12</v>
      </c>
      <c r="K901" s="11">
        <v>12</v>
      </c>
      <c r="L901" s="11">
        <f t="shared" si="110"/>
        <v>0</v>
      </c>
      <c r="M901" s="131"/>
      <c r="N901" s="18">
        <v>46076</v>
      </c>
      <c r="O901" s="93">
        <v>46078</v>
      </c>
    </row>
    <row r="902" spans="1:15" x14ac:dyDescent="0.25">
      <c r="A902" s="11">
        <f t="shared" ca="1" si="108"/>
        <v>-58</v>
      </c>
      <c r="B902" s="37">
        <f t="shared" si="109"/>
        <v>24</v>
      </c>
      <c r="C902" s="11" t="s">
        <v>143</v>
      </c>
      <c r="D902" s="11" t="str">
        <f>VLOOKUP(VALUE(MID($C902,13,2)), [2]codigos!$A$2:$B$60, 2, 1) &amp; " " &amp; VLOOKUP(VALUE(MID($C902,15,4)), [2]codigos!$E$2:$F$102, 2, FALSE)</f>
        <v>BUDINERA   24</v>
      </c>
      <c r="E902" s="11" t="str">
        <f>VLOOKUP(VALUE(MID($C902,19,2)),[2]codigos!$H$2:$I$62,2,1) &amp; " " &amp; VLOOKUP(VALUE(MID($C902,21,2)),[2]codigos!$K$2:$L$12,2,FALSE)</f>
        <v>A/T S/I</v>
      </c>
      <c r="F902" s="11" t="s">
        <v>1304</v>
      </c>
      <c r="G902" s="11" t="s">
        <v>11</v>
      </c>
      <c r="H902" s="52" t="s">
        <v>1305</v>
      </c>
      <c r="I902" s="20" t="s">
        <v>1299</v>
      </c>
      <c r="J902" s="11">
        <v>12</v>
      </c>
      <c r="K902" s="11">
        <v>12</v>
      </c>
      <c r="L902" s="11">
        <f t="shared" si="110"/>
        <v>0</v>
      </c>
      <c r="M902" s="131"/>
      <c r="N902" s="18">
        <v>46076</v>
      </c>
      <c r="O902" s="93">
        <v>46078</v>
      </c>
    </row>
    <row r="903" spans="1:15" x14ac:dyDescent="0.25">
      <c r="A903" s="11">
        <f t="shared" ca="1" si="108"/>
        <v>-58</v>
      </c>
      <c r="B903" s="37">
        <f t="shared" si="109"/>
        <v>24</v>
      </c>
      <c r="C903" s="11" t="s">
        <v>148</v>
      </c>
      <c r="D903" s="11" t="str">
        <f>VLOOKUP(VALUE(MID($C903,13,2)), [2]codigos!$A$2:$B$60, 2, 1) &amp; " " &amp; VLOOKUP(VALUE(MID($C903,15,4)), [2]codigos!$E$2:$F$102, 2, FALSE)</f>
        <v>BUDINERA   26</v>
      </c>
      <c r="E903" s="11" t="str">
        <f>VLOOKUP(VALUE(MID($C903,19,2)),[2]codigos!$H$2:$I$62,2,1) &amp; " " &amp; VLOOKUP(VALUE(MID($C903,21,2)),[2]codigos!$K$2:$L$12,2,FALSE)</f>
        <v>A/T S/I</v>
      </c>
      <c r="F903" s="11" t="s">
        <v>1304</v>
      </c>
      <c r="G903" s="11" t="s">
        <v>11</v>
      </c>
      <c r="H903" s="52" t="s">
        <v>1305</v>
      </c>
      <c r="I903" s="20" t="s">
        <v>1299</v>
      </c>
      <c r="J903" s="11">
        <v>12</v>
      </c>
      <c r="K903" s="11">
        <v>12</v>
      </c>
      <c r="L903" s="11">
        <f t="shared" si="110"/>
        <v>0</v>
      </c>
      <c r="M903" s="131"/>
      <c r="N903" s="18">
        <v>46076</v>
      </c>
      <c r="O903" s="93">
        <v>46078</v>
      </c>
    </row>
    <row r="904" spans="1:15" x14ac:dyDescent="0.25">
      <c r="A904" s="11">
        <f t="shared" ca="1" si="108"/>
        <v>-58</v>
      </c>
      <c r="B904" s="37">
        <f t="shared" si="109"/>
        <v>24</v>
      </c>
      <c r="C904" s="11" t="s">
        <v>218</v>
      </c>
      <c r="D904" s="11" t="str">
        <f>VLOOKUP(VALUE(MID($C904,13,2)), [2]codigos!$A$2:$B$60, 2, 1) &amp; " " &amp; VLOOKUP(VALUE(MID($C904,15,4)), [2]codigos!$E$2:$F$102, 2, FALSE)</f>
        <v>CAZO 14</v>
      </c>
      <c r="E904" s="11" t="str">
        <f>VLOOKUP(VALUE(MID($C904,19,2)),[2]codigos!$H$2:$I$62,2,1) &amp; " " &amp; VLOOKUP(VALUE(MID($C904,21,2)),[2]codigos!$K$2:$L$12,2,FALSE)</f>
        <v>A/T S/I</v>
      </c>
      <c r="F904" s="11" t="s">
        <v>1304</v>
      </c>
      <c r="G904" s="11" t="s">
        <v>11</v>
      </c>
      <c r="H904" s="52" t="s">
        <v>1305</v>
      </c>
      <c r="I904" s="20" t="s">
        <v>1299</v>
      </c>
      <c r="J904" s="11">
        <v>24</v>
      </c>
      <c r="K904" s="11">
        <v>24</v>
      </c>
      <c r="L904" s="11">
        <f t="shared" si="110"/>
        <v>0</v>
      </c>
      <c r="M904" s="131"/>
      <c r="N904" s="18">
        <v>46076</v>
      </c>
      <c r="O904" s="93">
        <v>46078</v>
      </c>
    </row>
    <row r="905" spans="1:15" x14ac:dyDescent="0.25">
      <c r="A905" s="11">
        <f t="shared" ca="1" si="108"/>
        <v>-58</v>
      </c>
      <c r="B905" s="37">
        <f t="shared" si="109"/>
        <v>24</v>
      </c>
      <c r="C905" s="11" t="s">
        <v>242</v>
      </c>
      <c r="D905" s="11" t="str">
        <f>VLOOKUP(VALUE(MID($C905,13,2)), [2]codigos!$A$2:$B$60, 2, 1) &amp; " " &amp; VLOOKUP(VALUE(MID($C905,15,4)), [2]codigos!$E$2:$F$102, 2, FALSE)</f>
        <v>COMAL 22</v>
      </c>
      <c r="E905" s="11" t="str">
        <f>VLOOKUP(VALUE(MID($C905,19,2)),[2]codigos!$H$2:$I$62,2,1) &amp; " " &amp; VLOOKUP(VALUE(MID($C905,21,2)),[2]codigos!$K$2:$L$12,2,FALSE)</f>
        <v>NEGRO MOTAS S/I</v>
      </c>
      <c r="F905" s="11" t="s">
        <v>1304</v>
      </c>
      <c r="G905" s="11" t="s">
        <v>11</v>
      </c>
      <c r="H905" s="52" t="s">
        <v>1305</v>
      </c>
      <c r="I905" s="20" t="s">
        <v>1299</v>
      </c>
      <c r="J905" s="11">
        <v>24</v>
      </c>
      <c r="K905" s="11">
        <v>24</v>
      </c>
      <c r="L905" s="11">
        <f t="shared" si="110"/>
        <v>0</v>
      </c>
      <c r="M905" s="131"/>
      <c r="N905" s="18">
        <v>46076</v>
      </c>
      <c r="O905" s="93">
        <v>46078</v>
      </c>
    </row>
    <row r="906" spans="1:15" x14ac:dyDescent="0.25">
      <c r="A906" s="11">
        <f t="shared" ca="1" si="108"/>
        <v>-58</v>
      </c>
      <c r="B906" s="37">
        <f t="shared" si="109"/>
        <v>24</v>
      </c>
      <c r="C906" s="11" t="s">
        <v>149</v>
      </c>
      <c r="D906" s="11" t="str">
        <f>VLOOKUP(VALUE(MID($C906,13,2)), [2]codigos!$A$2:$B$60, 2, 1) &amp; " " &amp; VLOOKUP(VALUE(MID($C906,15,4)), [2]codigos!$E$2:$F$102, 2, FALSE)</f>
        <v>COMAL 28</v>
      </c>
      <c r="E906" s="11" t="str">
        <f>VLOOKUP(VALUE(MID($C906,19,2)),[2]codigos!$H$2:$I$62,2,1) &amp; " " &amp; VLOOKUP(VALUE(MID($C906,21,2)),[2]codigos!$K$2:$L$12,2,FALSE)</f>
        <v>NEGRO MOTAS S/I</v>
      </c>
      <c r="F906" s="11" t="s">
        <v>1304</v>
      </c>
      <c r="G906" s="11" t="s">
        <v>11</v>
      </c>
      <c r="H906" s="52" t="s">
        <v>1305</v>
      </c>
      <c r="I906" s="20" t="s">
        <v>1299</v>
      </c>
      <c r="J906" s="11">
        <v>12</v>
      </c>
      <c r="K906" s="11">
        <v>12</v>
      </c>
      <c r="L906" s="11">
        <f t="shared" si="110"/>
        <v>0</v>
      </c>
      <c r="M906" s="131"/>
      <c r="N906" s="18">
        <v>46076</v>
      </c>
      <c r="O906" s="93">
        <v>46078</v>
      </c>
    </row>
    <row r="907" spans="1:15" x14ac:dyDescent="0.25">
      <c r="A907" s="11">
        <f t="shared" ca="1" si="108"/>
        <v>-58</v>
      </c>
      <c r="B907" s="37">
        <f t="shared" si="109"/>
        <v>24</v>
      </c>
      <c r="C907" s="11" t="s">
        <v>333</v>
      </c>
      <c r="D907" s="11" t="str">
        <f>VLOOKUP(VALUE(MID($C907,13,2)), [2]codigos!$A$2:$B$60, 2, 1) &amp; " " &amp; VLOOKUP(VALUE(MID($C907,15,4)), [2]codigos!$E$2:$F$102, 2, FALSE)</f>
        <v>OLLA CONVEXA 14</v>
      </c>
      <c r="E907" s="11" t="str">
        <f>VLOOKUP(VALUE(MID($C907,19,2)),[2]codigos!$H$2:$I$62,2,1) &amp; " " &amp; VLOOKUP(VALUE(MID($C907,21,2)),[2]codigos!$K$2:$L$12,2,FALSE)</f>
        <v>A/T S/I</v>
      </c>
      <c r="F907" s="11" t="s">
        <v>1304</v>
      </c>
      <c r="G907" s="11" t="s">
        <v>11</v>
      </c>
      <c r="H907" s="52" t="s">
        <v>1305</v>
      </c>
      <c r="I907" s="20" t="s">
        <v>1299</v>
      </c>
      <c r="J907" s="11">
        <v>18</v>
      </c>
      <c r="K907" s="11">
        <v>18</v>
      </c>
      <c r="L907" s="11">
        <f t="shared" si="110"/>
        <v>0</v>
      </c>
      <c r="M907" s="131"/>
      <c r="N907" s="18">
        <v>46076</v>
      </c>
      <c r="O907" s="93">
        <v>46078</v>
      </c>
    </row>
    <row r="908" spans="1:15" x14ac:dyDescent="0.25">
      <c r="A908" s="11">
        <f t="shared" ca="1" si="108"/>
        <v>-58</v>
      </c>
      <c r="B908" s="37">
        <f t="shared" si="109"/>
        <v>24</v>
      </c>
      <c r="C908" s="11" t="s">
        <v>150</v>
      </c>
      <c r="D908" s="11" t="str">
        <f>VLOOKUP(VALUE(MID($C908,13,2)), [2]codigos!$A$2:$B$60, 2, 1) &amp; " " &amp; VLOOKUP(VALUE(MID($C908,15,4)), [2]codigos!$E$2:$F$102, 2, FALSE)</f>
        <v>OLLA CONVEXA 18</v>
      </c>
      <c r="E908" s="11" t="str">
        <f>VLOOKUP(VALUE(MID($C908,19,2)),[2]codigos!$H$2:$I$62,2,1) &amp; " " &amp; VLOOKUP(VALUE(MID($C908,21,2)),[2]codigos!$K$2:$L$12,2,FALSE)</f>
        <v>A/T S/I</v>
      </c>
      <c r="F908" s="11" t="s">
        <v>1304</v>
      </c>
      <c r="G908" s="11" t="s">
        <v>11</v>
      </c>
      <c r="H908" s="52" t="s">
        <v>1305</v>
      </c>
      <c r="I908" s="20" t="s">
        <v>1299</v>
      </c>
      <c r="J908" s="11">
        <v>12</v>
      </c>
      <c r="K908" s="11">
        <v>12</v>
      </c>
      <c r="L908" s="11">
        <f t="shared" si="110"/>
        <v>0</v>
      </c>
      <c r="M908" s="131"/>
      <c r="N908" s="18">
        <v>46076</v>
      </c>
      <c r="O908" s="93">
        <v>46078</v>
      </c>
    </row>
    <row r="909" spans="1:15" x14ac:dyDescent="0.25">
      <c r="A909" s="11">
        <f t="shared" ca="1" si="108"/>
        <v>-58</v>
      </c>
      <c r="B909" s="37">
        <f t="shared" si="109"/>
        <v>24</v>
      </c>
      <c r="C909" s="11" t="s">
        <v>259</v>
      </c>
      <c r="D909" s="11" t="str">
        <f>VLOOKUP(VALUE(MID($C909,13,2)), [2]codigos!$A$2:$B$60, 2, 1) &amp; " " &amp; VLOOKUP(VALUE(MID($C909,15,4)), [2]codigos!$E$2:$F$102, 2, FALSE)</f>
        <v>OLLA RECTA 18</v>
      </c>
      <c r="E909" s="11" t="str">
        <f>VLOOKUP(VALUE(MID($C909,19,2)),[2]codigos!$H$2:$I$62,2,1) &amp; " " &amp; VLOOKUP(VALUE(MID($C909,21,2)),[2]codigos!$K$2:$L$12,2,FALSE)</f>
        <v>A/T S/I</v>
      </c>
      <c r="F909" s="11" t="s">
        <v>1304</v>
      </c>
      <c r="G909" s="11" t="s">
        <v>11</v>
      </c>
      <c r="H909" s="52" t="s">
        <v>1305</v>
      </c>
      <c r="I909" s="20" t="s">
        <v>1299</v>
      </c>
      <c r="J909" s="11">
        <v>12</v>
      </c>
      <c r="K909" s="11">
        <v>12</v>
      </c>
      <c r="L909" s="11">
        <f t="shared" si="110"/>
        <v>0</v>
      </c>
      <c r="M909" s="131"/>
      <c r="N909" s="18">
        <v>46076</v>
      </c>
      <c r="O909" s="93">
        <v>46078</v>
      </c>
    </row>
    <row r="910" spans="1:15" x14ac:dyDescent="0.25">
      <c r="A910" s="11">
        <f t="shared" ca="1" si="108"/>
        <v>-58</v>
      </c>
      <c r="B910" s="37">
        <f t="shared" si="109"/>
        <v>24</v>
      </c>
      <c r="C910" s="11" t="s">
        <v>180</v>
      </c>
      <c r="D910" s="11" t="str">
        <f>VLOOKUP(VALUE(MID($C910,13,2)), [2]codigos!$A$2:$B$60, 2, 1) &amp; " " &amp; VLOOKUP(VALUE(MID($C910,15,4)), [2]codigos!$E$2:$F$102, 2, FALSE)</f>
        <v>POCILLO 12</v>
      </c>
      <c r="E910" s="11" t="str">
        <f>VLOOKUP(VALUE(MID($C910,19,2)),[2]codigos!$H$2:$I$62,2,1) &amp; " " &amp; VLOOKUP(VALUE(MID($C910,21,2)),[2]codigos!$K$2:$L$12,2,FALSE)</f>
        <v>A/T S/I</v>
      </c>
      <c r="F910" s="11" t="s">
        <v>1304</v>
      </c>
      <c r="G910" s="11" t="s">
        <v>11</v>
      </c>
      <c r="H910" s="52" t="s">
        <v>1305</v>
      </c>
      <c r="I910" s="20" t="s">
        <v>1299</v>
      </c>
      <c r="J910" s="11">
        <v>24</v>
      </c>
      <c r="K910" s="11">
        <f>8+2+12+2</f>
        <v>24</v>
      </c>
      <c r="L910" s="11">
        <f t="shared" si="110"/>
        <v>0</v>
      </c>
      <c r="M910" s="131"/>
      <c r="N910" s="18">
        <v>46076</v>
      </c>
      <c r="O910" s="93">
        <v>46078</v>
      </c>
    </row>
    <row r="911" spans="1:15" x14ac:dyDescent="0.25">
      <c r="A911" s="11">
        <f t="shared" ca="1" si="108"/>
        <v>-58</v>
      </c>
      <c r="B911" s="37">
        <f t="shared" si="109"/>
        <v>24</v>
      </c>
      <c r="C911" s="11" t="s">
        <v>182</v>
      </c>
      <c r="D911" s="11" t="str">
        <f>VLOOKUP(VALUE(MID($C911,13,2)), [2]codigos!$A$2:$B$60, 2, 1) &amp; " " &amp; VLOOKUP(VALUE(MID($C911,15,4)), [2]codigos!$E$2:$F$102, 2, FALSE)</f>
        <v>POCILLO 14</v>
      </c>
      <c r="E911" s="11" t="str">
        <f>VLOOKUP(VALUE(MID($C911,19,2)),[2]codigos!$H$2:$I$62,2,1) &amp; " " &amp; VLOOKUP(VALUE(MID($C911,21,2)),[2]codigos!$K$2:$L$12,2,FALSE)</f>
        <v>A/T S/I</v>
      </c>
      <c r="F911" s="11" t="s">
        <v>1304</v>
      </c>
      <c r="G911" s="11" t="s">
        <v>11</v>
      </c>
      <c r="H911" s="52" t="s">
        <v>1305</v>
      </c>
      <c r="I911" s="20" t="s">
        <v>1299</v>
      </c>
      <c r="J911" s="11">
        <v>12</v>
      </c>
      <c r="K911" s="11">
        <f>6+6</f>
        <v>12</v>
      </c>
      <c r="L911" s="11">
        <f t="shared" si="110"/>
        <v>0</v>
      </c>
      <c r="M911" s="131"/>
      <c r="N911" s="18">
        <v>46076</v>
      </c>
      <c r="O911" s="93">
        <v>46078</v>
      </c>
    </row>
    <row r="912" spans="1:15" x14ac:dyDescent="0.25">
      <c r="A912" s="11">
        <f t="shared" ca="1" si="108"/>
        <v>-58</v>
      </c>
      <c r="B912" s="37">
        <f t="shared" si="109"/>
        <v>24</v>
      </c>
      <c r="C912" s="11" t="s">
        <v>262</v>
      </c>
      <c r="D912" s="11" t="str">
        <f>VLOOKUP(VALUE(MID($C912,13,2)), [2]codigos!$A$2:$B$60, 2, 1) &amp; " " &amp; VLOOKUP(VALUE(MID($C912,15,4)), [2]codigos!$E$2:$F$102, 2, FALSE)</f>
        <v>SARTEN 20</v>
      </c>
      <c r="E912" s="11" t="str">
        <f>VLOOKUP(VALUE(MID($C912,19,2)),[2]codigos!$H$2:$I$62,2,1) &amp; " " &amp; VLOOKUP(VALUE(MID($C912,21,2)),[2]codigos!$K$2:$L$12,2,FALSE)</f>
        <v>A/T S/I</v>
      </c>
      <c r="F912" s="11" t="s">
        <v>1304</v>
      </c>
      <c r="G912" s="11" t="s">
        <v>11</v>
      </c>
      <c r="H912" s="52" t="s">
        <v>1305</v>
      </c>
      <c r="I912" s="20" t="s">
        <v>1299</v>
      </c>
      <c r="J912" s="11">
        <v>12</v>
      </c>
      <c r="K912" s="11">
        <v>12</v>
      </c>
      <c r="L912" s="11">
        <f t="shared" si="110"/>
        <v>0</v>
      </c>
      <c r="M912" s="131"/>
      <c r="N912" s="18">
        <v>46076</v>
      </c>
      <c r="O912" s="93">
        <v>46078</v>
      </c>
    </row>
    <row r="913" spans="1:16" x14ac:dyDescent="0.25">
      <c r="A913" s="11">
        <f t="shared" ca="1" si="108"/>
        <v>-58</v>
      </c>
      <c r="B913" s="37">
        <f t="shared" si="109"/>
        <v>24</v>
      </c>
      <c r="C913" s="11" t="s">
        <v>227</v>
      </c>
      <c r="D913" s="11" t="str">
        <f>VLOOKUP(VALUE(MID($C913,13,2)), [2]codigos!$A$2:$B$60, 2, 1) &amp; " " &amp; VLOOKUP(VALUE(MID($C913,15,4)), [2]codigos!$E$2:$F$102, 2, FALSE)</f>
        <v>SARTEN 22</v>
      </c>
      <c r="E913" s="11" t="str">
        <f>VLOOKUP(VALUE(MID($C913,19,2)),[2]codigos!$H$2:$I$62,2,1) &amp; " " &amp; VLOOKUP(VALUE(MID($C913,21,2)),[2]codigos!$K$2:$L$12,2,FALSE)</f>
        <v>A/T S/I</v>
      </c>
      <c r="F913" s="11" t="s">
        <v>1304</v>
      </c>
      <c r="G913" s="11" t="s">
        <v>11</v>
      </c>
      <c r="H913" s="52" t="s">
        <v>1305</v>
      </c>
      <c r="I913" s="20" t="s">
        <v>1299</v>
      </c>
      <c r="J913" s="11">
        <v>12</v>
      </c>
      <c r="K913" s="11">
        <v>12</v>
      </c>
      <c r="L913" s="11">
        <f t="shared" si="110"/>
        <v>0</v>
      </c>
      <c r="M913" s="131"/>
      <c r="N913" s="18">
        <v>46076</v>
      </c>
      <c r="O913" s="93">
        <v>46078</v>
      </c>
    </row>
    <row r="914" spans="1:16" x14ac:dyDescent="0.25">
      <c r="A914" s="11">
        <f t="shared" ca="1" si="108"/>
        <v>-58</v>
      </c>
      <c r="B914" s="37">
        <f t="shared" si="109"/>
        <v>24</v>
      </c>
      <c r="C914" s="11" t="s">
        <v>44</v>
      </c>
      <c r="D914" s="11" t="str">
        <f>VLOOKUP(VALUE(MID($C914,13,2)), [2]codigos!$A$2:$B$60, 2, 1) &amp; " " &amp; VLOOKUP(VALUE(MID($C914,15,4)), [2]codigos!$E$2:$F$102, 2, FALSE)</f>
        <v>SARTEN 24</v>
      </c>
      <c r="E914" s="11" t="str">
        <f>VLOOKUP(VALUE(MID($C914,19,2)),[2]codigos!$H$2:$I$62,2,1) &amp; " " &amp; VLOOKUP(VALUE(MID($C914,21,2)),[2]codigos!$K$2:$L$12,2,FALSE)</f>
        <v>A/T S/I</v>
      </c>
      <c r="F914" s="11" t="s">
        <v>1304</v>
      </c>
      <c r="G914" s="11" t="s">
        <v>11</v>
      </c>
      <c r="H914" s="52" t="s">
        <v>1305</v>
      </c>
      <c r="I914" s="20" t="s">
        <v>1299</v>
      </c>
      <c r="J914" s="11">
        <v>12</v>
      </c>
      <c r="K914" s="11">
        <v>12</v>
      </c>
      <c r="L914" s="11">
        <f t="shared" si="110"/>
        <v>0</v>
      </c>
      <c r="M914" s="131"/>
      <c r="N914" s="18">
        <v>46076</v>
      </c>
      <c r="O914" s="93">
        <v>46078</v>
      </c>
    </row>
    <row r="915" spans="1:16" x14ac:dyDescent="0.25">
      <c r="A915" s="11">
        <f t="shared" ca="1" si="108"/>
        <v>-58</v>
      </c>
      <c r="B915" s="37">
        <f t="shared" si="109"/>
        <v>24</v>
      </c>
      <c r="C915" s="11" t="s">
        <v>188</v>
      </c>
      <c r="D915" s="11" t="str">
        <f>VLOOKUP(VALUE(MID($C915,13,2)), [2]codigos!$A$2:$B$60, 2, 1) &amp; " " &amp; VLOOKUP(VALUE(MID($C915,15,4)), [2]codigos!$E$2:$F$102, 2, FALSE)</f>
        <v>POCILLO 14</v>
      </c>
      <c r="E915" s="11" t="str">
        <f>VLOOKUP(VALUE(MID($C915,19,2)),[2]codigos!$H$2:$I$62,2,1) &amp; " " &amp; VLOOKUP(VALUE(MID($C915,21,2)),[2]codigos!$K$2:$L$12,2,FALSE)</f>
        <v>S/I S/I</v>
      </c>
      <c r="F915" s="11" t="s">
        <v>1304</v>
      </c>
      <c r="G915" s="11" t="s">
        <v>11</v>
      </c>
      <c r="H915" s="52" t="s">
        <v>1305</v>
      </c>
      <c r="I915" s="20" t="s">
        <v>1299</v>
      </c>
      <c r="J915" s="11">
        <v>12</v>
      </c>
      <c r="K915" s="11">
        <v>12</v>
      </c>
      <c r="L915" s="11">
        <f t="shared" si="110"/>
        <v>0</v>
      </c>
      <c r="M915" s="131"/>
      <c r="N915" s="18">
        <v>46076</v>
      </c>
      <c r="O915" s="93">
        <v>46078</v>
      </c>
    </row>
    <row r="916" spans="1:16" x14ac:dyDescent="0.25">
      <c r="A916" s="11">
        <f t="shared" ref="A916:A932" ca="1" si="111">DAYS360($B$1,I916)</f>
        <v>-46</v>
      </c>
      <c r="B916" s="37">
        <f t="shared" ref="B916:B932" si="112">+N916-I916</f>
        <v>13</v>
      </c>
      <c r="C916" s="11" t="s">
        <v>967</v>
      </c>
      <c r="D916" s="11" t="str">
        <f>VLOOKUP(VALUE(MID($C916,13,2)), [2]codigos!$A$2:$B$60, 2, 1) &amp; " " &amp; VLOOKUP(VALUE(MID($C916,15,4)), [2]codigos!$E$2:$F$102, 2, FALSE)</f>
        <v>JARRA RECTA 2.5 LTS</v>
      </c>
      <c r="E916" s="11" t="str">
        <f>VLOOKUP(VALUE(MID($C916,19,2)),[2]codigos!$H$2:$I$62,2,1) &amp; " " &amp; VLOOKUP(VALUE(MID($C916,21,2)),[2]codigos!$K$2:$L$12,2,FALSE)</f>
        <v>NEGRO MOTAS S/I</v>
      </c>
      <c r="F916" s="11" t="s">
        <v>553</v>
      </c>
      <c r="G916" s="11" t="s">
        <v>16</v>
      </c>
      <c r="H916" s="52" t="s">
        <v>1369</v>
      </c>
      <c r="I916" s="20" t="s">
        <v>1370</v>
      </c>
      <c r="J916" s="11">
        <v>1</v>
      </c>
      <c r="K916" s="11">
        <v>1</v>
      </c>
      <c r="L916" s="11">
        <f t="shared" si="110"/>
        <v>0</v>
      </c>
      <c r="M916" s="131">
        <f>(SUM(K916:K929))/(SUM(J916:J929))</f>
        <v>1</v>
      </c>
      <c r="N916" s="96">
        <v>46078</v>
      </c>
      <c r="O916" s="93">
        <v>46077</v>
      </c>
      <c r="P916" s="18">
        <v>46078</v>
      </c>
    </row>
    <row r="917" spans="1:16" x14ac:dyDescent="0.25">
      <c r="A917" s="11">
        <f t="shared" ca="1" si="111"/>
        <v>-46</v>
      </c>
      <c r="B917" s="37">
        <f t="shared" si="112"/>
        <v>13</v>
      </c>
      <c r="C917" s="11" t="s">
        <v>971</v>
      </c>
      <c r="D917" s="11" t="str">
        <f>VLOOKUP(VALUE(MID($C917,13,2)), [2]codigos!$A$2:$B$60, 2, 1) &amp; " " &amp; VLOOKUP(VALUE(MID($C917,15,4)), [2]codigos!$E$2:$F$102, 2, FALSE)</f>
        <v>PLATO LISO 20</v>
      </c>
      <c r="E917" s="11" t="str">
        <f>VLOOKUP(VALUE(MID($C917,19,2)),[2]codigos!$H$2:$I$62,2,1) &amp; " " &amp; VLOOKUP(VALUE(MID($C917,21,2)),[2]codigos!$K$2:$L$12,2,FALSE)</f>
        <v>BLANCO  NEGRO</v>
      </c>
      <c r="F917" s="11" t="s">
        <v>553</v>
      </c>
      <c r="G917" s="11" t="s">
        <v>16</v>
      </c>
      <c r="H917" s="52" t="s">
        <v>1369</v>
      </c>
      <c r="I917" s="20" t="s">
        <v>1370</v>
      </c>
      <c r="J917" s="11">
        <v>1</v>
      </c>
      <c r="K917" s="11">
        <v>1</v>
      </c>
      <c r="L917" s="11">
        <f t="shared" si="110"/>
        <v>0</v>
      </c>
      <c r="M917" s="131"/>
      <c r="N917" s="96">
        <v>46078</v>
      </c>
      <c r="O917" s="93">
        <v>46077</v>
      </c>
      <c r="P917" s="18">
        <v>46078</v>
      </c>
    </row>
    <row r="918" spans="1:16" x14ac:dyDescent="0.25">
      <c r="A918" s="11">
        <f t="shared" ca="1" si="111"/>
        <v>-46</v>
      </c>
      <c r="B918" s="37">
        <f t="shared" si="112"/>
        <v>13</v>
      </c>
      <c r="C918" s="11" t="s">
        <v>560</v>
      </c>
      <c r="D918" s="11" t="str">
        <f>VLOOKUP(VALUE(MID($C918,13,2)), [2]codigos!$A$2:$B$60, 2, 1) &amp; " " &amp; VLOOKUP(VALUE(MID($C918,15,4)), [2]codigos!$E$2:$F$102, 2, FALSE)</f>
        <v>CUCHARA MOKA</v>
      </c>
      <c r="E918" s="11" t="str">
        <f>VLOOKUP(VALUE(MID($C918,19,2)),[2]codigos!$H$2:$I$62,2,1) &amp; " " &amp; VLOOKUP(VALUE(MID($C918,21,2)),[2]codigos!$K$2:$L$12,2,FALSE)</f>
        <v>BLANCO  S/I</v>
      </c>
      <c r="F918" s="11" t="s">
        <v>553</v>
      </c>
      <c r="G918" s="11" t="s">
        <v>16</v>
      </c>
      <c r="H918" s="52" t="s">
        <v>1369</v>
      </c>
      <c r="I918" s="20" t="s">
        <v>1370</v>
      </c>
      <c r="J918" s="11">
        <v>3</v>
      </c>
      <c r="K918" s="11">
        <v>3</v>
      </c>
      <c r="L918" s="11">
        <f t="shared" si="110"/>
        <v>0</v>
      </c>
      <c r="M918" s="131"/>
      <c r="N918" s="96">
        <v>46078</v>
      </c>
      <c r="O918" s="93">
        <v>46077</v>
      </c>
      <c r="P918" s="18">
        <v>46078</v>
      </c>
    </row>
    <row r="919" spans="1:16" x14ac:dyDescent="0.25">
      <c r="A919" s="11">
        <f t="shared" ca="1" si="111"/>
        <v>-46</v>
      </c>
      <c r="B919" s="37">
        <f t="shared" si="112"/>
        <v>13</v>
      </c>
      <c r="C919" s="11" t="s">
        <v>561</v>
      </c>
      <c r="D919" s="11" t="str">
        <f>VLOOKUP(VALUE(MID($C919,13,2)), [2]codigos!$A$2:$B$60, 2, 1) &amp; " " &amp; VLOOKUP(VALUE(MID($C919,15,4)), [2]codigos!$E$2:$F$102, 2, FALSE)</f>
        <v>CUCHARA MOKA</v>
      </c>
      <c r="E919" s="11" t="str">
        <f>VLOOKUP(VALUE(MID($C919,19,2)),[2]codigos!$H$2:$I$62,2,1) &amp; " " &amp; VLOOKUP(VALUE(MID($C919,21,2)),[2]codigos!$K$2:$L$12,2,FALSE)</f>
        <v>NEGRO MOTAS S/I</v>
      </c>
      <c r="F919" s="11" t="s">
        <v>553</v>
      </c>
      <c r="G919" s="11" t="s">
        <v>16</v>
      </c>
      <c r="H919" s="52" t="s">
        <v>1369</v>
      </c>
      <c r="I919" s="20" t="s">
        <v>1370</v>
      </c>
      <c r="J919" s="11">
        <v>1</v>
      </c>
      <c r="K919" s="11">
        <v>1</v>
      </c>
      <c r="L919" s="11">
        <f t="shared" si="110"/>
        <v>0</v>
      </c>
      <c r="M919" s="131"/>
      <c r="N919" s="96">
        <v>46078</v>
      </c>
      <c r="O919" s="93">
        <v>46077</v>
      </c>
      <c r="P919" s="18">
        <v>46078</v>
      </c>
    </row>
    <row r="920" spans="1:16" x14ac:dyDescent="0.25">
      <c r="A920" s="11">
        <f t="shared" ca="1" si="111"/>
        <v>-46</v>
      </c>
      <c r="B920" s="37">
        <f t="shared" si="112"/>
        <v>13</v>
      </c>
      <c r="C920" s="11" t="s">
        <v>973</v>
      </c>
      <c r="D920" s="11" t="str">
        <f>VLOOKUP(VALUE(MID($C920,13,2)), [2]codigos!$A$2:$B$60, 2, 1) &amp; " " &amp; VLOOKUP(VALUE(MID($C920,15,4)), [2]codigos!$E$2:$F$102, 2, FALSE)</f>
        <v>MULTIUSOS S/I</v>
      </c>
      <c r="E920" s="11" t="str">
        <f>VLOOKUP(VALUE(MID($C920,19,2)),[2]codigos!$H$2:$I$62,2,1) &amp; " " &amp; VLOOKUP(VALUE(MID($C920,21,2)),[2]codigos!$K$2:$L$12,2,FALSE)</f>
        <v>GRIS S/I</v>
      </c>
      <c r="F920" s="11" t="s">
        <v>553</v>
      </c>
      <c r="G920" s="11" t="s">
        <v>16</v>
      </c>
      <c r="H920" s="52" t="s">
        <v>1369</v>
      </c>
      <c r="I920" s="20" t="s">
        <v>1370</v>
      </c>
      <c r="J920" s="11">
        <v>2</v>
      </c>
      <c r="K920" s="11">
        <f>1+1</f>
        <v>2</v>
      </c>
      <c r="L920" s="11">
        <f t="shared" si="110"/>
        <v>0</v>
      </c>
      <c r="M920" s="131"/>
      <c r="N920" s="96">
        <v>46078</v>
      </c>
      <c r="O920" s="93">
        <v>46077</v>
      </c>
      <c r="P920" s="18">
        <v>46078</v>
      </c>
    </row>
    <row r="921" spans="1:16" x14ac:dyDescent="0.25">
      <c r="A921" s="11">
        <f t="shared" ca="1" si="111"/>
        <v>-46</v>
      </c>
      <c r="B921" s="37">
        <f t="shared" si="112"/>
        <v>13</v>
      </c>
      <c r="C921" s="11" t="s">
        <v>552</v>
      </c>
      <c r="D921" s="11" t="str">
        <f>VLOOKUP(VALUE(MID($C921,13,2)), [2]codigos!$A$2:$B$60, 2, 1) &amp; " " &amp; VLOOKUP(VALUE(MID($C921,15,4)), [2]codigos!$E$2:$F$102, 2, FALSE)</f>
        <v>TAZON  8</v>
      </c>
      <c r="E921" s="11" t="str">
        <f>VLOOKUP(VALUE(MID($C921,19,2)),[2]codigos!$H$2:$I$62,2,1) &amp; " " &amp; VLOOKUP(VALUE(MID($C921,21,2)),[2]codigos!$K$2:$L$12,2,FALSE)</f>
        <v>NEGRO MOTAS S/I</v>
      </c>
      <c r="F921" s="11" t="s">
        <v>553</v>
      </c>
      <c r="G921" s="11" t="s">
        <v>16</v>
      </c>
      <c r="H921" s="52" t="s">
        <v>1369</v>
      </c>
      <c r="I921" s="20" t="s">
        <v>1370</v>
      </c>
      <c r="J921" s="11">
        <v>1</v>
      </c>
      <c r="K921" s="11">
        <v>1</v>
      </c>
      <c r="L921" s="11">
        <f t="shared" si="110"/>
        <v>0</v>
      </c>
      <c r="M921" s="131"/>
      <c r="N921" s="96">
        <v>46078</v>
      </c>
      <c r="O921" s="93">
        <v>46077</v>
      </c>
      <c r="P921" s="18">
        <v>46078</v>
      </c>
    </row>
    <row r="922" spans="1:16" x14ac:dyDescent="0.25">
      <c r="A922" s="11">
        <f t="shared" ca="1" si="111"/>
        <v>-46</v>
      </c>
      <c r="B922" s="37">
        <f t="shared" si="112"/>
        <v>13</v>
      </c>
      <c r="C922" s="11" t="s">
        <v>563</v>
      </c>
      <c r="D922" s="11" t="str">
        <f>VLOOKUP(VALUE(MID($C922,13,2)), [2]codigos!$A$2:$B$60, 2, 1) &amp; " " &amp; VLOOKUP(VALUE(MID($C922,15,4)), [2]codigos!$E$2:$F$102, 2, FALSE)</f>
        <v>POCILLO 5</v>
      </c>
      <c r="E922" s="11" t="str">
        <f>VLOOKUP(VALUE(MID($C922,19,2)),[2]codigos!$H$2:$I$62,2,1) &amp; " " &amp; VLOOKUP(VALUE(MID($C922,21,2)),[2]codigos!$K$2:$L$12,2,FALSE)</f>
        <v>BLANCO  NEGRO</v>
      </c>
      <c r="F922" s="11" t="s">
        <v>553</v>
      </c>
      <c r="G922" s="11" t="s">
        <v>16</v>
      </c>
      <c r="H922" s="52" t="s">
        <v>1369</v>
      </c>
      <c r="I922" s="20" t="s">
        <v>1370</v>
      </c>
      <c r="J922" s="11">
        <v>1</v>
      </c>
      <c r="K922" s="11">
        <v>1</v>
      </c>
      <c r="L922" s="11">
        <f t="shared" si="110"/>
        <v>0</v>
      </c>
      <c r="M922" s="131"/>
      <c r="N922" s="96">
        <v>46078</v>
      </c>
      <c r="O922" s="93">
        <v>46077</v>
      </c>
      <c r="P922" s="18">
        <v>46078</v>
      </c>
    </row>
    <row r="923" spans="1:16" x14ac:dyDescent="0.25">
      <c r="A923" s="11">
        <f t="shared" ca="1" si="111"/>
        <v>-46</v>
      </c>
      <c r="B923" s="37">
        <f t="shared" si="112"/>
        <v>13</v>
      </c>
      <c r="C923" s="11" t="s">
        <v>564</v>
      </c>
      <c r="D923" s="11" t="str">
        <f>VLOOKUP(VALUE(MID($C923,13,2)), [2]codigos!$A$2:$B$60, 2, 1) &amp; " " &amp; VLOOKUP(VALUE(MID($C923,15,4)), [2]codigos!$E$2:$F$102, 2, FALSE)</f>
        <v>POCILLO 5</v>
      </c>
      <c r="E923" s="11" t="str">
        <f>VLOOKUP(VALUE(MID($C923,19,2)),[2]codigos!$H$2:$I$62,2,1) &amp; " " &amp; VLOOKUP(VALUE(MID($C923,21,2)),[2]codigos!$K$2:$L$12,2,FALSE)</f>
        <v>NEGRO MOTAS S/I</v>
      </c>
      <c r="F923" s="11" t="s">
        <v>553</v>
      </c>
      <c r="G923" s="11" t="s">
        <v>16</v>
      </c>
      <c r="H923" s="52" t="s">
        <v>1369</v>
      </c>
      <c r="I923" s="20" t="s">
        <v>1370</v>
      </c>
      <c r="J923" s="11">
        <v>1</v>
      </c>
      <c r="K923" s="11">
        <v>1</v>
      </c>
      <c r="L923" s="11">
        <f t="shared" si="110"/>
        <v>0</v>
      </c>
      <c r="M923" s="131"/>
      <c r="N923" s="96">
        <v>46078</v>
      </c>
      <c r="O923" s="93">
        <v>46077</v>
      </c>
      <c r="P923" s="18">
        <v>46078</v>
      </c>
    </row>
    <row r="924" spans="1:16" x14ac:dyDescent="0.25">
      <c r="A924" s="11">
        <f t="shared" ca="1" si="111"/>
        <v>-46</v>
      </c>
      <c r="B924" s="37">
        <f t="shared" si="112"/>
        <v>13</v>
      </c>
      <c r="C924" s="11" t="s">
        <v>968</v>
      </c>
      <c r="D924" s="11" t="str">
        <f>VLOOKUP(VALUE(MID($C924,13,2)), [2]codigos!$A$2:$B$60, 2, 1) &amp; " " &amp; VLOOKUP(VALUE(MID($C924,15,4)), [2]codigos!$E$2:$F$102, 2, FALSE)</f>
        <v>POCILLO 8</v>
      </c>
      <c r="E924" s="11" t="str">
        <f>VLOOKUP(VALUE(MID($C924,19,2)),[2]codigos!$H$2:$I$62,2,1) &amp; " " &amp; VLOOKUP(VALUE(MID($C924,21,2)),[2]codigos!$K$2:$L$12,2,FALSE)</f>
        <v>BLANCO  NEGRO</v>
      </c>
      <c r="F924" s="11" t="s">
        <v>553</v>
      </c>
      <c r="G924" s="11" t="s">
        <v>16</v>
      </c>
      <c r="H924" s="52" t="s">
        <v>1369</v>
      </c>
      <c r="I924" s="20" t="s">
        <v>1370</v>
      </c>
      <c r="J924" s="11">
        <v>1</v>
      </c>
      <c r="K924" s="11">
        <v>1</v>
      </c>
      <c r="L924" s="11">
        <f t="shared" si="110"/>
        <v>0</v>
      </c>
      <c r="M924" s="131"/>
      <c r="N924" s="96">
        <v>46078</v>
      </c>
      <c r="O924" s="93">
        <v>46077</v>
      </c>
      <c r="P924" s="18">
        <v>46078</v>
      </c>
    </row>
    <row r="925" spans="1:16" x14ac:dyDescent="0.25">
      <c r="A925" s="11">
        <f t="shared" ca="1" si="111"/>
        <v>-46</v>
      </c>
      <c r="B925" s="37">
        <f t="shared" si="112"/>
        <v>13</v>
      </c>
      <c r="C925" s="11" t="s">
        <v>565</v>
      </c>
      <c r="D925" s="11" t="str">
        <f>VLOOKUP(VALUE(MID($C925,13,2)), [2]codigos!$A$2:$B$60, 2, 1) &amp; " " &amp; VLOOKUP(VALUE(MID($C925,15,4)), [2]codigos!$E$2:$F$102, 2, FALSE)</f>
        <v>POCILLO 8</v>
      </c>
      <c r="E925" s="11" t="str">
        <f>VLOOKUP(VALUE(MID($C925,19,2)),[2]codigos!$H$2:$I$62,2,1) &amp; " " &amp; VLOOKUP(VALUE(MID($C925,21,2)),[2]codigos!$K$2:$L$12,2,FALSE)</f>
        <v>NEGRO MOTAS S/I</v>
      </c>
      <c r="F925" s="11" t="s">
        <v>553</v>
      </c>
      <c r="G925" s="11" t="s">
        <v>16</v>
      </c>
      <c r="H925" s="52" t="s">
        <v>1369</v>
      </c>
      <c r="I925" s="20" t="s">
        <v>1370</v>
      </c>
      <c r="J925" s="11">
        <v>1</v>
      </c>
      <c r="K925" s="11">
        <v>1</v>
      </c>
      <c r="L925" s="11">
        <f t="shared" si="110"/>
        <v>0</v>
      </c>
      <c r="M925" s="131"/>
      <c r="N925" s="96">
        <v>46078</v>
      </c>
      <c r="O925" s="93">
        <v>46077</v>
      </c>
      <c r="P925" s="18">
        <v>46078</v>
      </c>
    </row>
    <row r="926" spans="1:16" x14ac:dyDescent="0.25">
      <c r="A926" s="11">
        <f t="shared" ca="1" si="111"/>
        <v>-46</v>
      </c>
      <c r="B926" s="37">
        <f t="shared" si="112"/>
        <v>13</v>
      </c>
      <c r="C926" s="11" t="s">
        <v>557</v>
      </c>
      <c r="D926" s="11" t="str">
        <f>VLOOKUP(VALUE(MID($C926,13,2)), [2]codigos!$A$2:$B$60, 2, 1) &amp; " " &amp; VLOOKUP(VALUE(MID($C926,15,4)), [2]codigos!$E$2:$F$102, 2, FALSE)</f>
        <v>TORTILLERO  18</v>
      </c>
      <c r="E926" s="11" t="str">
        <f>VLOOKUP(VALUE(MID($C926,19,2)),[2]codigos!$H$2:$I$62,2,1) &amp; " " &amp; VLOOKUP(VALUE(MID($C926,21,2)),[2]codigos!$K$2:$L$12,2,FALSE)</f>
        <v>NEGRO MOTAS S/I</v>
      </c>
      <c r="F926" s="11" t="s">
        <v>553</v>
      </c>
      <c r="G926" s="11" t="s">
        <v>16</v>
      </c>
      <c r="H926" s="52" t="s">
        <v>1369</v>
      </c>
      <c r="I926" s="20" t="s">
        <v>1370</v>
      </c>
      <c r="J926" s="11">
        <v>2</v>
      </c>
      <c r="K926" s="11">
        <v>2</v>
      </c>
      <c r="L926" s="11">
        <f t="shared" si="110"/>
        <v>0</v>
      </c>
      <c r="M926" s="131"/>
      <c r="N926" s="96">
        <v>46078</v>
      </c>
      <c r="O926" s="93">
        <v>46077</v>
      </c>
      <c r="P926" s="18">
        <v>46078</v>
      </c>
    </row>
    <row r="927" spans="1:16" x14ac:dyDescent="0.25">
      <c r="A927" s="11">
        <f t="shared" ca="1" si="111"/>
        <v>-46</v>
      </c>
      <c r="B927" s="37">
        <f t="shared" si="112"/>
        <v>13</v>
      </c>
      <c r="C927" s="11" t="s">
        <v>555</v>
      </c>
      <c r="D927" s="11" t="str">
        <f>VLOOKUP(VALUE(MID($C927,13,2)), [2]codigos!$A$2:$B$60, 2, 1) &amp; " " &amp; VLOOKUP(VALUE(MID($C927,15,4)), [2]codigos!$E$2:$F$102, 2, FALSE)</f>
        <v>COMAL 28</v>
      </c>
      <c r="E927" s="11" t="str">
        <f>VLOOKUP(VALUE(MID($C927,19,2)),[2]codigos!$H$2:$I$62,2,1) &amp; " " &amp; VLOOKUP(VALUE(MID($C927,21,2)),[2]codigos!$K$2:$L$12,2,FALSE)</f>
        <v>NEGRO MOTAS S/I</v>
      </c>
      <c r="F927" s="11" t="s">
        <v>553</v>
      </c>
      <c r="G927" s="11" t="s">
        <v>16</v>
      </c>
      <c r="H927" s="52" t="s">
        <v>1369</v>
      </c>
      <c r="I927" s="20" t="s">
        <v>1370</v>
      </c>
      <c r="J927" s="11">
        <v>5</v>
      </c>
      <c r="K927" s="11">
        <v>5</v>
      </c>
      <c r="L927" s="11">
        <f t="shared" si="110"/>
        <v>0</v>
      </c>
      <c r="M927" s="131"/>
      <c r="N927" s="96">
        <v>46078</v>
      </c>
      <c r="O927" s="93">
        <v>46077</v>
      </c>
      <c r="P927" s="18">
        <v>46078</v>
      </c>
    </row>
    <row r="928" spans="1:16" x14ac:dyDescent="0.25">
      <c r="A928" s="11">
        <f t="shared" ca="1" si="111"/>
        <v>-46</v>
      </c>
      <c r="B928" s="37">
        <f t="shared" si="112"/>
        <v>13</v>
      </c>
      <c r="C928" s="11" t="s">
        <v>566</v>
      </c>
      <c r="D928" s="11" t="str">
        <f>VLOOKUP(VALUE(MID($C928,13,2)), [2]codigos!$A$2:$B$60, 2, 1) &amp; " " &amp; VLOOKUP(VALUE(MID($C928,15,4)), [2]codigos!$E$2:$F$102, 2, FALSE)</f>
        <v>PLATO LISO 16</v>
      </c>
      <c r="E928" s="11" t="str">
        <f>VLOOKUP(VALUE(MID($C928,19,2)),[2]codigos!$H$2:$I$62,2,1) &amp; " " &amp; VLOOKUP(VALUE(MID($C928,21,2)),[2]codigos!$K$2:$L$12,2,FALSE)</f>
        <v>NEGRO MOTAS S/I</v>
      </c>
      <c r="F928" s="11" t="s">
        <v>553</v>
      </c>
      <c r="G928" s="11" t="s">
        <v>16</v>
      </c>
      <c r="H928" s="52" t="s">
        <v>1369</v>
      </c>
      <c r="I928" s="20" t="s">
        <v>1370</v>
      </c>
      <c r="J928" s="11">
        <v>1</v>
      </c>
      <c r="K928" s="11">
        <v>1</v>
      </c>
      <c r="L928" s="11">
        <f t="shared" si="110"/>
        <v>0</v>
      </c>
      <c r="M928" s="131"/>
      <c r="N928" s="96">
        <v>46078</v>
      </c>
      <c r="O928" s="93">
        <v>46077</v>
      </c>
      <c r="P928" s="18">
        <v>46078</v>
      </c>
    </row>
    <row r="929" spans="1:16" x14ac:dyDescent="0.25">
      <c r="A929" s="11">
        <f t="shared" ca="1" si="111"/>
        <v>-46</v>
      </c>
      <c r="B929" s="37">
        <f t="shared" si="112"/>
        <v>13</v>
      </c>
      <c r="C929" s="11" t="s">
        <v>567</v>
      </c>
      <c r="D929" s="11" t="str">
        <f>VLOOKUP(VALUE(MID($C929,13,2)), [2]codigos!$A$2:$B$60, 2, 1) &amp; " " &amp; VLOOKUP(VALUE(MID($C929,15,4)), [2]codigos!$E$2:$F$102, 2, FALSE)</f>
        <v>MULTIUSOS RAYADO 17.5</v>
      </c>
      <c r="E929" s="11" t="str">
        <f>VLOOKUP(VALUE(MID($C929,19,2)),[2]codigos!$H$2:$I$62,2,1) &amp; " " &amp; VLOOKUP(VALUE(MID($C929,21,2)),[2]codigos!$K$2:$L$12,2,FALSE)</f>
        <v>NEGRO MOTAS S/I</v>
      </c>
      <c r="F929" s="11" t="s">
        <v>553</v>
      </c>
      <c r="G929" s="11" t="s">
        <v>16</v>
      </c>
      <c r="H929" s="52" t="s">
        <v>1369</v>
      </c>
      <c r="I929" s="20" t="s">
        <v>1370</v>
      </c>
      <c r="J929" s="11">
        <v>2</v>
      </c>
      <c r="K929" s="11">
        <f>1+1</f>
        <v>2</v>
      </c>
      <c r="L929" s="11">
        <f t="shared" si="110"/>
        <v>0</v>
      </c>
      <c r="M929" s="131"/>
      <c r="N929" s="96">
        <v>46078</v>
      </c>
      <c r="O929" s="93">
        <v>46077</v>
      </c>
      <c r="P929" s="18">
        <v>46078</v>
      </c>
    </row>
    <row r="930" spans="1:16" x14ac:dyDescent="0.25">
      <c r="A930" s="11">
        <f t="shared" ca="1" si="111"/>
        <v>-46</v>
      </c>
      <c r="B930" s="37">
        <f t="shared" si="112"/>
        <v>13</v>
      </c>
      <c r="C930" s="11" t="s">
        <v>552</v>
      </c>
      <c r="D930" s="11" t="str">
        <f>VLOOKUP(VALUE(MID($C930,13,2)), [2]codigos!$A$2:$B$60, 2, 1) &amp; " " &amp; VLOOKUP(VALUE(MID($C930,15,4)), [2]codigos!$E$2:$F$102, 2, FALSE)</f>
        <v>TAZON  8</v>
      </c>
      <c r="E930" s="11" t="str">
        <f>VLOOKUP(VALUE(MID($C930,19,2)),[2]codigos!$H$2:$I$62,2,1) &amp; " " &amp; VLOOKUP(VALUE(MID($C930,21,2)),[2]codigos!$K$2:$L$12,2,FALSE)</f>
        <v>NEGRO MOTAS S/I</v>
      </c>
      <c r="F930" s="11" t="s">
        <v>553</v>
      </c>
      <c r="G930" s="11" t="s">
        <v>16</v>
      </c>
      <c r="H930" s="52" t="s">
        <v>1371</v>
      </c>
      <c r="I930" s="20" t="s">
        <v>1370</v>
      </c>
      <c r="J930" s="11">
        <v>1</v>
      </c>
      <c r="K930" s="11">
        <v>1</v>
      </c>
      <c r="L930" s="11">
        <f t="shared" si="110"/>
        <v>0</v>
      </c>
      <c r="M930" s="131">
        <f>(SUM(K930:K932))/(SUM(J930:J932))</f>
        <v>1</v>
      </c>
      <c r="N930" s="96">
        <v>46078</v>
      </c>
      <c r="O930" s="93">
        <v>46077</v>
      </c>
      <c r="P930" s="18">
        <v>46078</v>
      </c>
    </row>
    <row r="931" spans="1:16" x14ac:dyDescent="0.25">
      <c r="A931" s="11">
        <f t="shared" ca="1" si="111"/>
        <v>-46</v>
      </c>
      <c r="B931" s="37">
        <f t="shared" si="112"/>
        <v>13</v>
      </c>
      <c r="C931" s="11" t="s">
        <v>968</v>
      </c>
      <c r="D931" s="11" t="str">
        <f>VLOOKUP(VALUE(MID($C931,13,2)), [2]codigos!$A$2:$B$60, 2, 1) &amp; " " &amp; VLOOKUP(VALUE(MID($C931,15,4)), [2]codigos!$E$2:$F$102, 2, FALSE)</f>
        <v>POCILLO 8</v>
      </c>
      <c r="E931" s="11" t="str">
        <f>VLOOKUP(VALUE(MID($C931,19,2)),[2]codigos!$H$2:$I$62,2,1) &amp; " " &amp; VLOOKUP(VALUE(MID($C931,21,2)),[2]codigos!$K$2:$L$12,2,FALSE)</f>
        <v>BLANCO  NEGRO</v>
      </c>
      <c r="F931" s="11" t="s">
        <v>553</v>
      </c>
      <c r="G931" s="11" t="s">
        <v>16</v>
      </c>
      <c r="H931" s="52" t="s">
        <v>1371</v>
      </c>
      <c r="I931" s="20" t="s">
        <v>1370</v>
      </c>
      <c r="J931" s="11">
        <v>1</v>
      </c>
      <c r="K931" s="11">
        <v>1</v>
      </c>
      <c r="L931" s="11">
        <f t="shared" si="110"/>
        <v>0</v>
      </c>
      <c r="M931" s="131"/>
      <c r="N931" s="96">
        <v>46078</v>
      </c>
      <c r="O931" s="93">
        <v>46077</v>
      </c>
      <c r="P931" s="18">
        <v>46078</v>
      </c>
    </row>
    <row r="932" spans="1:16" x14ac:dyDescent="0.25">
      <c r="A932" s="11">
        <f t="shared" ca="1" si="111"/>
        <v>-46</v>
      </c>
      <c r="B932" s="37">
        <f t="shared" si="112"/>
        <v>13</v>
      </c>
      <c r="C932" s="11" t="s">
        <v>555</v>
      </c>
      <c r="D932" s="11" t="str">
        <f>VLOOKUP(VALUE(MID($C932,13,2)), [2]codigos!$A$2:$B$60, 2, 1) &amp; " " &amp; VLOOKUP(VALUE(MID($C932,15,4)), [2]codigos!$E$2:$F$102, 2, FALSE)</f>
        <v>COMAL 28</v>
      </c>
      <c r="E932" s="11" t="str">
        <f>VLOOKUP(VALUE(MID($C932,19,2)),[2]codigos!$H$2:$I$62,2,1) &amp; " " &amp; VLOOKUP(VALUE(MID($C932,21,2)),[2]codigos!$K$2:$L$12,2,FALSE)</f>
        <v>NEGRO MOTAS S/I</v>
      </c>
      <c r="F932" s="11" t="s">
        <v>553</v>
      </c>
      <c r="G932" s="11" t="s">
        <v>16</v>
      </c>
      <c r="H932" s="52" t="s">
        <v>1371</v>
      </c>
      <c r="I932" s="20" t="s">
        <v>1370</v>
      </c>
      <c r="J932" s="11">
        <v>4</v>
      </c>
      <c r="K932" s="11">
        <v>4</v>
      </c>
      <c r="L932" s="11">
        <f t="shared" si="110"/>
        <v>0</v>
      </c>
      <c r="M932" s="131"/>
      <c r="N932" s="96">
        <v>46078</v>
      </c>
      <c r="O932" s="93">
        <v>46077</v>
      </c>
      <c r="P932" s="18">
        <v>46078</v>
      </c>
    </row>
    <row r="933" spans="1:16" x14ac:dyDescent="0.25">
      <c r="A933" s="11">
        <f t="shared" ref="A933:A952" ca="1" si="113">DAYS360($B$1,I933)</f>
        <v>-58</v>
      </c>
      <c r="B933" s="37">
        <f t="shared" ref="B933:B952" si="114">+N933-I933</f>
        <v>27</v>
      </c>
      <c r="C933" s="11" t="s">
        <v>255</v>
      </c>
      <c r="D933" s="11" t="str">
        <f>VLOOKUP(VALUE(MID($C933,13,2)), [2]codigos!$A$2:$B$60, 2, 1) &amp; " " &amp; VLOOKUP(VALUE(MID($C933,15,4)), [2]codigos!$E$2:$F$102, 2, FALSE)</f>
        <v>BUDINERA   12</v>
      </c>
      <c r="E933" s="11" t="str">
        <f>VLOOKUP(VALUE(MID($C933,19,2)),[2]codigos!$H$2:$I$62,2,1) &amp; " " &amp; VLOOKUP(VALUE(MID($C933,21,2)),[2]codigos!$K$2:$L$12,2,FALSE)</f>
        <v>A/T S/I</v>
      </c>
      <c r="F933" s="11" t="s">
        <v>1303</v>
      </c>
      <c r="G933" s="11" t="s">
        <v>11</v>
      </c>
      <c r="H933" s="52" t="s">
        <v>1302</v>
      </c>
      <c r="I933" s="20" t="s">
        <v>1299</v>
      </c>
      <c r="J933" s="11">
        <v>108</v>
      </c>
      <c r="K933" s="11">
        <f>90+16+2</f>
        <v>108</v>
      </c>
      <c r="L933" s="11">
        <f t="shared" si="110"/>
        <v>0</v>
      </c>
      <c r="M933" s="131">
        <f>(SUM(K933:K952))/(SUM(J933:J952))</f>
        <v>0.98432055749128922</v>
      </c>
      <c r="N933" s="96">
        <v>46079</v>
      </c>
      <c r="O933" s="93">
        <v>46079</v>
      </c>
    </row>
    <row r="934" spans="1:16" x14ac:dyDescent="0.25">
      <c r="A934" s="11">
        <f t="shared" ca="1" si="113"/>
        <v>-58</v>
      </c>
      <c r="B934" s="37">
        <f t="shared" si="114"/>
        <v>27</v>
      </c>
      <c r="C934" s="11" t="s">
        <v>256</v>
      </c>
      <c r="D934" s="11" t="str">
        <f>VLOOKUP(VALUE(MID($C934,13,2)), [2]codigos!$A$2:$B$60, 2, 1) &amp; " " &amp; VLOOKUP(VALUE(MID($C934,15,4)), [2]codigos!$E$2:$F$102, 2, FALSE)</f>
        <v>BUDINERA   14</v>
      </c>
      <c r="E934" s="11" t="str">
        <f>VLOOKUP(VALUE(MID($C934,19,2)),[2]codigos!$H$2:$I$62,2,1) &amp; " " &amp; VLOOKUP(VALUE(MID($C934,21,2)),[2]codigos!$K$2:$L$12,2,FALSE)</f>
        <v>A/T S/I</v>
      </c>
      <c r="F934" s="11" t="s">
        <v>1303</v>
      </c>
      <c r="G934" s="11" t="s">
        <v>11</v>
      </c>
      <c r="H934" s="52" t="s">
        <v>1302</v>
      </c>
      <c r="I934" s="20" t="s">
        <v>1299</v>
      </c>
      <c r="J934" s="11">
        <v>18</v>
      </c>
      <c r="K934" s="11">
        <v>18</v>
      </c>
      <c r="L934" s="11">
        <f t="shared" si="110"/>
        <v>0</v>
      </c>
      <c r="M934" s="131"/>
      <c r="N934" s="96">
        <v>46079</v>
      </c>
      <c r="O934" s="93">
        <v>46079</v>
      </c>
    </row>
    <row r="935" spans="1:16" x14ac:dyDescent="0.25">
      <c r="A935" s="11">
        <f t="shared" ca="1" si="113"/>
        <v>-58</v>
      </c>
      <c r="B935" s="37">
        <f t="shared" si="114"/>
        <v>27</v>
      </c>
      <c r="C935" s="11" t="s">
        <v>214</v>
      </c>
      <c r="D935" s="11" t="str">
        <f>VLOOKUP(VALUE(MID($C935,13,2)), [2]codigos!$A$2:$B$60, 2, 1) &amp; " " &amp; VLOOKUP(VALUE(MID($C935,15,4)), [2]codigos!$E$2:$F$102, 2, FALSE)</f>
        <v>BUDINERA   18</v>
      </c>
      <c r="E935" s="11" t="str">
        <f>VLOOKUP(VALUE(MID($C935,19,2)),[2]codigos!$H$2:$I$62,2,1) &amp; " " &amp; VLOOKUP(VALUE(MID($C935,21,2)),[2]codigos!$K$2:$L$12,2,FALSE)</f>
        <v>A/T S/I</v>
      </c>
      <c r="F935" s="11" t="s">
        <v>1303</v>
      </c>
      <c r="G935" s="11" t="s">
        <v>11</v>
      </c>
      <c r="H935" s="52" t="s">
        <v>1302</v>
      </c>
      <c r="I935" s="20" t="s">
        <v>1299</v>
      </c>
      <c r="J935" s="11">
        <v>252</v>
      </c>
      <c r="K935" s="11">
        <f>6+144+18+18+54+12</f>
        <v>252</v>
      </c>
      <c r="L935" s="11">
        <f t="shared" si="110"/>
        <v>0</v>
      </c>
      <c r="M935" s="131"/>
      <c r="N935" s="96">
        <v>46079</v>
      </c>
      <c r="O935" s="93">
        <v>46079</v>
      </c>
    </row>
    <row r="936" spans="1:16" x14ac:dyDescent="0.25">
      <c r="A936" s="11">
        <f t="shared" ca="1" si="113"/>
        <v>-58</v>
      </c>
      <c r="B936" s="37">
        <f t="shared" si="114"/>
        <v>27</v>
      </c>
      <c r="C936" s="11" t="s">
        <v>215</v>
      </c>
      <c r="D936" s="11" t="str">
        <f>VLOOKUP(VALUE(MID($C936,13,2)), [2]codigos!$A$2:$B$60, 2, 1) &amp; " " &amp; VLOOKUP(VALUE(MID($C936,15,4)), [2]codigos!$E$2:$F$102, 2, FALSE)</f>
        <v>BUDINERA   20</v>
      </c>
      <c r="E936" s="11" t="str">
        <f>VLOOKUP(VALUE(MID($C936,19,2)),[2]codigos!$H$2:$I$62,2,1) &amp; " " &amp; VLOOKUP(VALUE(MID($C936,21,2)),[2]codigos!$K$2:$L$12,2,FALSE)</f>
        <v>A/T S/I</v>
      </c>
      <c r="F936" s="11" t="s">
        <v>1303</v>
      </c>
      <c r="G936" s="11" t="s">
        <v>11</v>
      </c>
      <c r="H936" s="52" t="s">
        <v>1302</v>
      </c>
      <c r="I936" s="20" t="s">
        <v>1299</v>
      </c>
      <c r="J936" s="11">
        <v>54</v>
      </c>
      <c r="K936" s="11">
        <v>54</v>
      </c>
      <c r="L936" s="11">
        <f t="shared" si="110"/>
        <v>0</v>
      </c>
      <c r="M936" s="131"/>
      <c r="N936" s="96">
        <v>46079</v>
      </c>
      <c r="O936" s="93">
        <v>46079</v>
      </c>
    </row>
    <row r="937" spans="1:16" x14ac:dyDescent="0.25">
      <c r="A937" s="11">
        <f t="shared" ca="1" si="113"/>
        <v>-58</v>
      </c>
      <c r="B937" s="37">
        <f t="shared" si="114"/>
        <v>27</v>
      </c>
      <c r="C937" s="11" t="s">
        <v>241</v>
      </c>
      <c r="D937" s="11" t="str">
        <f>VLOOKUP(VALUE(MID($C937,13,2)), [2]codigos!$A$2:$B$60, 2, 1) &amp; " " &amp; VLOOKUP(VALUE(MID($C937,15,4)), [2]codigos!$E$2:$F$102, 2, FALSE)</f>
        <v>BUDINERA   22</v>
      </c>
      <c r="E937" s="11" t="str">
        <f>VLOOKUP(VALUE(MID($C937,19,2)),[2]codigos!$H$2:$I$62,2,1) &amp; " " &amp; VLOOKUP(VALUE(MID($C937,21,2)),[2]codigos!$K$2:$L$12,2,FALSE)</f>
        <v>A/T S/I</v>
      </c>
      <c r="F937" s="11" t="s">
        <v>1303</v>
      </c>
      <c r="G937" s="11" t="s">
        <v>11</v>
      </c>
      <c r="H937" s="52" t="s">
        <v>1302</v>
      </c>
      <c r="I937" s="20" t="s">
        <v>1299</v>
      </c>
      <c r="J937" s="11">
        <v>48</v>
      </c>
      <c r="K937" s="11">
        <v>48</v>
      </c>
      <c r="L937" s="11">
        <f t="shared" si="110"/>
        <v>0</v>
      </c>
      <c r="M937" s="131"/>
      <c r="N937" s="96">
        <v>46079</v>
      </c>
      <c r="O937" s="93">
        <v>46079</v>
      </c>
    </row>
    <row r="938" spans="1:16" x14ac:dyDescent="0.25">
      <c r="A938" s="11">
        <f t="shared" ca="1" si="113"/>
        <v>-58</v>
      </c>
      <c r="B938" s="37">
        <f t="shared" si="114"/>
        <v>27</v>
      </c>
      <c r="C938" s="11" t="s">
        <v>148</v>
      </c>
      <c r="D938" s="11" t="str">
        <f>VLOOKUP(VALUE(MID($C938,13,2)), [2]codigos!$A$2:$B$60, 2, 1) &amp; " " &amp; VLOOKUP(VALUE(MID($C938,15,4)), [2]codigos!$E$2:$F$102, 2, FALSE)</f>
        <v>BUDINERA   26</v>
      </c>
      <c r="E938" s="11" t="str">
        <f>VLOOKUP(VALUE(MID($C938,19,2)),[2]codigos!$H$2:$I$62,2,1) &amp; " " &amp; VLOOKUP(VALUE(MID($C938,21,2)),[2]codigos!$K$2:$L$12,2,FALSE)</f>
        <v>A/T S/I</v>
      </c>
      <c r="F938" s="11" t="s">
        <v>1303</v>
      </c>
      <c r="G938" s="11" t="s">
        <v>11</v>
      </c>
      <c r="H938" s="52" t="s">
        <v>1302</v>
      </c>
      <c r="I938" s="20" t="s">
        <v>1299</v>
      </c>
      <c r="J938" s="11">
        <v>48</v>
      </c>
      <c r="K938" s="11">
        <f>24+24</f>
        <v>48</v>
      </c>
      <c r="L938" s="11">
        <f t="shared" si="110"/>
        <v>0</v>
      </c>
      <c r="M938" s="131"/>
      <c r="N938" s="96">
        <v>46079</v>
      </c>
      <c r="O938" s="93">
        <v>46079</v>
      </c>
    </row>
    <row r="939" spans="1:16" x14ac:dyDescent="0.25">
      <c r="A939" s="11">
        <f t="shared" ca="1" si="113"/>
        <v>-58</v>
      </c>
      <c r="B939" s="37">
        <f t="shared" si="114"/>
        <v>27</v>
      </c>
      <c r="C939" s="64" t="s">
        <v>173</v>
      </c>
      <c r="D939" s="64" t="str">
        <f>VLOOKUP(VALUE(MID($C939,13,2)), [2]codigos!$A$2:$B$60, 2, 1) &amp; " " &amp; VLOOKUP(VALUE(MID($C939,15,4)), [2]codigos!$E$2:$F$102, 2, FALSE)</f>
        <v>BUDINERA   34</v>
      </c>
      <c r="E939" s="64" t="str">
        <f>VLOOKUP(VALUE(MID($C939,19,2)),[2]codigos!$H$2:$I$62,2,1) &amp; " " &amp; VLOOKUP(VALUE(MID($C939,21,2)),[2]codigos!$K$2:$L$12,2,FALSE)</f>
        <v>A/T S/I</v>
      </c>
      <c r="F939" s="64" t="s">
        <v>1303</v>
      </c>
      <c r="G939" s="64" t="s">
        <v>11</v>
      </c>
      <c r="H939" s="66" t="s">
        <v>1302</v>
      </c>
      <c r="I939" s="64" t="s">
        <v>1299</v>
      </c>
      <c r="J939" s="64">
        <v>36</v>
      </c>
      <c r="K939" s="64">
        <v>0</v>
      </c>
      <c r="L939" s="64">
        <f t="shared" si="110"/>
        <v>36</v>
      </c>
      <c r="M939" s="131"/>
      <c r="N939" s="96">
        <v>46079</v>
      </c>
      <c r="O939" s="93">
        <v>46079</v>
      </c>
    </row>
    <row r="940" spans="1:16" x14ac:dyDescent="0.25">
      <c r="A940" s="11">
        <f t="shared" ca="1" si="113"/>
        <v>-58</v>
      </c>
      <c r="B940" s="37">
        <f t="shared" si="114"/>
        <v>27</v>
      </c>
      <c r="C940" s="11" t="s">
        <v>242</v>
      </c>
      <c r="D940" s="11" t="str">
        <f>VLOOKUP(VALUE(MID($C940,13,2)), [2]codigos!$A$2:$B$60, 2, 1) &amp; " " &amp; VLOOKUP(VALUE(MID($C940,15,4)), [2]codigos!$E$2:$F$102, 2, FALSE)</f>
        <v>COMAL 22</v>
      </c>
      <c r="E940" s="11" t="str">
        <f>VLOOKUP(VALUE(MID($C940,19,2)),[2]codigos!$H$2:$I$62,2,1) &amp; " " &amp; VLOOKUP(VALUE(MID($C940,21,2)),[2]codigos!$K$2:$L$12,2,FALSE)</f>
        <v>NEGRO MOTAS S/I</v>
      </c>
      <c r="F940" s="11" t="s">
        <v>1303</v>
      </c>
      <c r="G940" s="11" t="s">
        <v>11</v>
      </c>
      <c r="H940" s="52" t="s">
        <v>1302</v>
      </c>
      <c r="I940" s="20" t="s">
        <v>1299</v>
      </c>
      <c r="J940" s="11">
        <v>408</v>
      </c>
      <c r="K940" s="11">
        <v>408</v>
      </c>
      <c r="L940" s="11">
        <f t="shared" si="110"/>
        <v>0</v>
      </c>
      <c r="M940" s="131"/>
      <c r="N940" s="96">
        <v>46079</v>
      </c>
      <c r="O940" s="93">
        <v>46079</v>
      </c>
    </row>
    <row r="941" spans="1:16" x14ac:dyDescent="0.25">
      <c r="A941" s="11">
        <f t="shared" ca="1" si="113"/>
        <v>-58</v>
      </c>
      <c r="B941" s="37">
        <f t="shared" si="114"/>
        <v>27</v>
      </c>
      <c r="C941" s="11" t="s">
        <v>149</v>
      </c>
      <c r="D941" s="11" t="str">
        <f>VLOOKUP(VALUE(MID($C941,13,2)), [2]codigos!$A$2:$B$60, 2, 1) &amp; " " &amp; VLOOKUP(VALUE(MID($C941,15,4)), [2]codigos!$E$2:$F$102, 2, FALSE)</f>
        <v>COMAL 28</v>
      </c>
      <c r="E941" s="11" t="str">
        <f>VLOOKUP(VALUE(MID($C941,19,2)),[2]codigos!$H$2:$I$62,2,1) &amp; " " &amp; VLOOKUP(VALUE(MID($C941,21,2)),[2]codigos!$K$2:$L$12,2,FALSE)</f>
        <v>NEGRO MOTAS S/I</v>
      </c>
      <c r="F941" s="11" t="s">
        <v>1303</v>
      </c>
      <c r="G941" s="11" t="s">
        <v>11</v>
      </c>
      <c r="H941" s="52" t="s">
        <v>1302</v>
      </c>
      <c r="I941" s="20" t="s">
        <v>1299</v>
      </c>
      <c r="J941" s="11">
        <v>348</v>
      </c>
      <c r="K941" s="11">
        <f>12+36+4+9+24+144+6+108+5</f>
        <v>348</v>
      </c>
      <c r="L941" s="11">
        <f t="shared" si="110"/>
        <v>0</v>
      </c>
      <c r="M941" s="131"/>
      <c r="N941" s="96">
        <v>46079</v>
      </c>
      <c r="O941" s="93">
        <v>46079</v>
      </c>
    </row>
    <row r="942" spans="1:16" x14ac:dyDescent="0.25">
      <c r="A942" s="11">
        <f t="shared" ca="1" si="113"/>
        <v>-58</v>
      </c>
      <c r="B942" s="37">
        <f t="shared" si="114"/>
        <v>27</v>
      </c>
      <c r="C942" s="11" t="s">
        <v>187</v>
      </c>
      <c r="D942" s="11" t="str">
        <f>VLOOKUP(VALUE(MID($C942,13,2)), [2]codigos!$A$2:$B$60, 2, 1) &amp; " " &amp; VLOOKUP(VALUE(MID($C942,15,4)), [2]codigos!$E$2:$F$102, 2, FALSE)</f>
        <v>OLLA CONVEXA 12</v>
      </c>
      <c r="E942" s="11" t="str">
        <f>VLOOKUP(VALUE(MID($C942,19,2)),[2]codigos!$H$2:$I$62,2,1) &amp; " " &amp; VLOOKUP(VALUE(MID($C942,21,2)),[2]codigos!$K$2:$L$12,2,FALSE)</f>
        <v>A/T S/I</v>
      </c>
      <c r="F942" s="11" t="s">
        <v>1303</v>
      </c>
      <c r="G942" s="11" t="s">
        <v>11</v>
      </c>
      <c r="H942" s="52" t="s">
        <v>1302</v>
      </c>
      <c r="I942" s="20" t="s">
        <v>1299</v>
      </c>
      <c r="J942" s="11">
        <v>90</v>
      </c>
      <c r="K942" s="11">
        <v>90</v>
      </c>
      <c r="L942" s="11">
        <f t="shared" si="110"/>
        <v>0</v>
      </c>
      <c r="M942" s="131"/>
      <c r="N942" s="96">
        <v>46079</v>
      </c>
      <c r="O942" s="93">
        <v>46079</v>
      </c>
    </row>
    <row r="943" spans="1:16" x14ac:dyDescent="0.25">
      <c r="A943" s="11">
        <f t="shared" ca="1" si="113"/>
        <v>-58</v>
      </c>
      <c r="B943" s="37">
        <f t="shared" si="114"/>
        <v>27</v>
      </c>
      <c r="C943" s="11" t="s">
        <v>333</v>
      </c>
      <c r="D943" s="11" t="str">
        <f>VLOOKUP(VALUE(MID($C943,13,2)), [2]codigos!$A$2:$B$60, 2, 1) &amp; " " &amp; VLOOKUP(VALUE(MID($C943,15,4)), [2]codigos!$E$2:$F$102, 2, FALSE)</f>
        <v>OLLA CONVEXA 14</v>
      </c>
      <c r="E943" s="11" t="str">
        <f>VLOOKUP(VALUE(MID($C943,19,2)),[2]codigos!$H$2:$I$62,2,1) &amp; " " &amp; VLOOKUP(VALUE(MID($C943,21,2)),[2]codigos!$K$2:$L$12,2,FALSE)</f>
        <v>A/T S/I</v>
      </c>
      <c r="F943" s="11" t="s">
        <v>1303</v>
      </c>
      <c r="G943" s="11" t="s">
        <v>11</v>
      </c>
      <c r="H943" s="52" t="s">
        <v>1302</v>
      </c>
      <c r="I943" s="20" t="s">
        <v>1299</v>
      </c>
      <c r="J943" s="11">
        <v>72</v>
      </c>
      <c r="K943" s="11">
        <f>1+54+17</f>
        <v>72</v>
      </c>
      <c r="L943" s="11">
        <f t="shared" si="110"/>
        <v>0</v>
      </c>
      <c r="M943" s="131"/>
      <c r="N943" s="96">
        <v>46079</v>
      </c>
      <c r="O943" s="93">
        <v>46079</v>
      </c>
    </row>
    <row r="944" spans="1:16" x14ac:dyDescent="0.25">
      <c r="A944" s="11">
        <f t="shared" ca="1" si="113"/>
        <v>-58</v>
      </c>
      <c r="B944" s="37">
        <f t="shared" si="114"/>
        <v>27</v>
      </c>
      <c r="C944" s="11" t="s">
        <v>150</v>
      </c>
      <c r="D944" s="11" t="str">
        <f>VLOOKUP(VALUE(MID($C944,13,2)), [2]codigos!$A$2:$B$60, 2, 1) &amp; " " &amp; VLOOKUP(VALUE(MID($C944,15,4)), [2]codigos!$E$2:$F$102, 2, FALSE)</f>
        <v>OLLA CONVEXA 18</v>
      </c>
      <c r="E944" s="11" t="str">
        <f>VLOOKUP(VALUE(MID($C944,19,2)),[2]codigos!$H$2:$I$62,2,1) &amp; " " &amp; VLOOKUP(VALUE(MID($C944,21,2)),[2]codigos!$K$2:$L$12,2,FALSE)</f>
        <v>A/T S/I</v>
      </c>
      <c r="F944" s="11" t="s">
        <v>1303</v>
      </c>
      <c r="G944" s="11" t="s">
        <v>11</v>
      </c>
      <c r="H944" s="52" t="s">
        <v>1302</v>
      </c>
      <c r="I944" s="20" t="s">
        <v>1299</v>
      </c>
      <c r="J944" s="11">
        <v>84</v>
      </c>
      <c r="K944" s="11">
        <f>9+55+12+8</f>
        <v>84</v>
      </c>
      <c r="L944" s="11">
        <f t="shared" si="110"/>
        <v>0</v>
      </c>
      <c r="M944" s="131"/>
      <c r="N944" s="96">
        <v>46079</v>
      </c>
      <c r="O944" s="93">
        <v>46079</v>
      </c>
    </row>
    <row r="945" spans="1:16" x14ac:dyDescent="0.25">
      <c r="A945" s="11">
        <f t="shared" ca="1" si="113"/>
        <v>-58</v>
      </c>
      <c r="B945" s="37">
        <f t="shared" si="114"/>
        <v>27</v>
      </c>
      <c r="C945" s="11" t="s">
        <v>152</v>
      </c>
      <c r="D945" s="11" t="str">
        <f>VLOOKUP(VALUE(MID($C945,13,2)), [2]codigos!$A$2:$B$60, 2, 1) &amp; " " &amp; VLOOKUP(VALUE(MID($C945,15,4)), [2]codigos!$E$2:$F$102, 2, FALSE)</f>
        <v>OLLA CONVEXA 24</v>
      </c>
      <c r="E945" s="11" t="str">
        <f>VLOOKUP(VALUE(MID($C945,19,2)),[2]codigos!$H$2:$I$62,2,1) &amp; " " &amp; VLOOKUP(VALUE(MID($C945,21,2)),[2]codigos!$K$2:$L$12,2,FALSE)</f>
        <v>A/T S/I</v>
      </c>
      <c r="F945" s="11" t="s">
        <v>1303</v>
      </c>
      <c r="G945" s="11" t="s">
        <v>11</v>
      </c>
      <c r="H945" s="52" t="s">
        <v>1302</v>
      </c>
      <c r="I945" s="20" t="s">
        <v>1299</v>
      </c>
      <c r="J945" s="11">
        <v>12</v>
      </c>
      <c r="K945" s="11">
        <v>12</v>
      </c>
      <c r="L945" s="11">
        <f t="shared" si="110"/>
        <v>0</v>
      </c>
      <c r="M945" s="131"/>
      <c r="N945" s="96">
        <v>46079</v>
      </c>
      <c r="O945" s="93">
        <v>46079</v>
      </c>
    </row>
    <row r="946" spans="1:16" x14ac:dyDescent="0.25">
      <c r="A946" s="11">
        <f t="shared" ca="1" si="113"/>
        <v>-58</v>
      </c>
      <c r="B946" s="37">
        <f t="shared" si="114"/>
        <v>27</v>
      </c>
      <c r="C946" s="11" t="s">
        <v>153</v>
      </c>
      <c r="D946" s="11" t="str">
        <f>VLOOKUP(VALUE(MID($C946,13,2)), [2]codigos!$A$2:$B$60, 2, 1) &amp; " " &amp; VLOOKUP(VALUE(MID($C946,15,4)), [2]codigos!$E$2:$F$102, 2, FALSE)</f>
        <v>OLLA CONVEXA 26</v>
      </c>
      <c r="E946" s="11" t="str">
        <f>VLOOKUP(VALUE(MID($C946,19,2)),[2]codigos!$H$2:$I$62,2,1) &amp; " " &amp; VLOOKUP(VALUE(MID($C946,21,2)),[2]codigos!$K$2:$L$12,2,FALSE)</f>
        <v>A/T S/I</v>
      </c>
      <c r="F946" s="11" t="s">
        <v>1303</v>
      </c>
      <c r="G946" s="11" t="s">
        <v>11</v>
      </c>
      <c r="H946" s="52" t="s">
        <v>1302</v>
      </c>
      <c r="I946" s="20" t="s">
        <v>1299</v>
      </c>
      <c r="J946" s="11">
        <v>12</v>
      </c>
      <c r="K946" s="11">
        <v>12</v>
      </c>
      <c r="L946" s="11">
        <f t="shared" si="110"/>
        <v>0</v>
      </c>
      <c r="M946" s="131"/>
      <c r="N946" s="96">
        <v>46079</v>
      </c>
      <c r="O946" s="93">
        <v>46079</v>
      </c>
    </row>
    <row r="947" spans="1:16" x14ac:dyDescent="0.25">
      <c r="A947" s="11">
        <f t="shared" ca="1" si="113"/>
        <v>-58</v>
      </c>
      <c r="B947" s="37">
        <f t="shared" si="114"/>
        <v>27</v>
      </c>
      <c r="C947" s="11" t="s">
        <v>154</v>
      </c>
      <c r="D947" s="11" t="str">
        <f>VLOOKUP(VALUE(MID($C947,13,2)), [2]codigos!$A$2:$B$60, 2, 1) &amp; " " &amp; VLOOKUP(VALUE(MID($C947,15,4)), [2]codigos!$E$2:$F$102, 2, FALSE)</f>
        <v>OLLA CONVEXA 30</v>
      </c>
      <c r="E947" s="11" t="str">
        <f>VLOOKUP(VALUE(MID($C947,19,2)),[2]codigos!$H$2:$I$62,2,1) &amp; " " &amp; VLOOKUP(VALUE(MID($C947,21,2)),[2]codigos!$K$2:$L$12,2,FALSE)</f>
        <v>A/T S/I</v>
      </c>
      <c r="F947" s="11" t="s">
        <v>1303</v>
      </c>
      <c r="G947" s="11" t="s">
        <v>11</v>
      </c>
      <c r="H947" s="52" t="s">
        <v>1302</v>
      </c>
      <c r="I947" s="20" t="s">
        <v>1299</v>
      </c>
      <c r="J947" s="11">
        <v>10</v>
      </c>
      <c r="K947" s="11">
        <v>10</v>
      </c>
      <c r="L947" s="11">
        <f t="shared" si="110"/>
        <v>0</v>
      </c>
      <c r="M947" s="131"/>
      <c r="N947" s="96">
        <v>46079</v>
      </c>
      <c r="O947" s="93">
        <v>46079</v>
      </c>
    </row>
    <row r="948" spans="1:16" x14ac:dyDescent="0.25">
      <c r="A948" s="11">
        <f t="shared" ca="1" si="113"/>
        <v>-58</v>
      </c>
      <c r="B948" s="37">
        <f t="shared" si="114"/>
        <v>27</v>
      </c>
      <c r="C948" s="11" t="s">
        <v>222</v>
      </c>
      <c r="D948" s="11" t="str">
        <f>VLOOKUP(VALUE(MID($C948,13,2)), [2]codigos!$A$2:$B$60, 2, 1) &amp; " " &amp; VLOOKUP(VALUE(MID($C948,15,4)), [2]codigos!$E$2:$F$102, 2, FALSE)</f>
        <v>OLLA RECTA 12</v>
      </c>
      <c r="E948" s="11" t="str">
        <f>VLOOKUP(VALUE(MID($C948,19,2)),[2]codigos!$H$2:$I$62,2,1) &amp; " " &amp; VLOOKUP(VALUE(MID($C948,21,2)),[2]codigos!$K$2:$L$12,2,FALSE)</f>
        <v>A/T S/I</v>
      </c>
      <c r="F948" s="11" t="s">
        <v>1303</v>
      </c>
      <c r="G948" s="11" t="s">
        <v>11</v>
      </c>
      <c r="H948" s="52" t="s">
        <v>1302</v>
      </c>
      <c r="I948" s="20" t="s">
        <v>1299</v>
      </c>
      <c r="J948" s="11">
        <v>162</v>
      </c>
      <c r="K948" s="11">
        <f>90+15+3+36+18</f>
        <v>162</v>
      </c>
      <c r="L948" s="11">
        <f t="shared" si="110"/>
        <v>0</v>
      </c>
      <c r="M948" s="131"/>
      <c r="N948" s="96">
        <v>46079</v>
      </c>
      <c r="O948" s="93">
        <v>46079</v>
      </c>
    </row>
    <row r="949" spans="1:16" x14ac:dyDescent="0.25">
      <c r="A949" s="11">
        <f t="shared" ca="1" si="113"/>
        <v>-58</v>
      </c>
      <c r="B949" s="37">
        <f t="shared" si="114"/>
        <v>27</v>
      </c>
      <c r="C949" s="11" t="s">
        <v>257</v>
      </c>
      <c r="D949" s="11" t="str">
        <f>VLOOKUP(VALUE(MID($C949,13,2)), [2]codigos!$A$2:$B$60, 2, 1) &amp; " " &amp; VLOOKUP(VALUE(MID($C949,15,4)), [2]codigos!$E$2:$F$102, 2, FALSE)</f>
        <v>OLLA RECTA 14</v>
      </c>
      <c r="E949" s="11" t="str">
        <f>VLOOKUP(VALUE(MID($C949,19,2)),[2]codigos!$H$2:$I$62,2,1) &amp; " " &amp; VLOOKUP(VALUE(MID($C949,21,2)),[2]codigos!$K$2:$L$12,2,FALSE)</f>
        <v>A/T S/I</v>
      </c>
      <c r="F949" s="11" t="s">
        <v>1303</v>
      </c>
      <c r="G949" s="11" t="s">
        <v>11</v>
      </c>
      <c r="H949" s="52" t="s">
        <v>1302</v>
      </c>
      <c r="I949" s="20" t="s">
        <v>1299</v>
      </c>
      <c r="J949" s="11">
        <v>18</v>
      </c>
      <c r="K949" s="11">
        <v>18</v>
      </c>
      <c r="L949" s="11">
        <f t="shared" si="110"/>
        <v>0</v>
      </c>
      <c r="M949" s="131"/>
      <c r="N949" s="96">
        <v>46079</v>
      </c>
      <c r="O949" s="93">
        <v>46079</v>
      </c>
    </row>
    <row r="950" spans="1:16" x14ac:dyDescent="0.25">
      <c r="A950" s="11">
        <f t="shared" ca="1" si="113"/>
        <v>-58</v>
      </c>
      <c r="B950" s="37">
        <f t="shared" si="114"/>
        <v>27</v>
      </c>
      <c r="C950" s="11" t="s">
        <v>180</v>
      </c>
      <c r="D950" s="11" t="str">
        <f>VLOOKUP(VALUE(MID($C950,13,2)), [2]codigos!$A$2:$B$60, 2, 1) &amp; " " &amp; VLOOKUP(VALUE(MID($C950,15,4)), [2]codigos!$E$2:$F$102, 2, FALSE)</f>
        <v>POCILLO 12</v>
      </c>
      <c r="E950" s="11" t="str">
        <f>VLOOKUP(VALUE(MID($C950,19,2)),[2]codigos!$H$2:$I$62,2,1) &amp; " " &amp; VLOOKUP(VALUE(MID($C950,21,2)),[2]codigos!$K$2:$L$12,2,FALSE)</f>
        <v>A/T S/I</v>
      </c>
      <c r="F950" s="11" t="s">
        <v>1303</v>
      </c>
      <c r="G950" s="11" t="s">
        <v>11</v>
      </c>
      <c r="H950" s="52" t="s">
        <v>1302</v>
      </c>
      <c r="I950" s="20" t="s">
        <v>1299</v>
      </c>
      <c r="J950" s="11">
        <v>228</v>
      </c>
      <c r="K950" s="11">
        <v>228</v>
      </c>
      <c r="L950" s="11">
        <f t="shared" si="110"/>
        <v>0</v>
      </c>
      <c r="M950" s="131"/>
      <c r="N950" s="96">
        <v>46079</v>
      </c>
      <c r="O950" s="93">
        <v>46079</v>
      </c>
    </row>
    <row r="951" spans="1:16" x14ac:dyDescent="0.25">
      <c r="A951" s="11">
        <f t="shared" ca="1" si="113"/>
        <v>-58</v>
      </c>
      <c r="B951" s="37">
        <f t="shared" si="114"/>
        <v>27</v>
      </c>
      <c r="C951" s="11" t="s">
        <v>182</v>
      </c>
      <c r="D951" s="11" t="str">
        <f>VLOOKUP(VALUE(MID($C951,13,2)), [2]codigos!$A$2:$B$60, 2, 1) &amp; " " &amp; VLOOKUP(VALUE(MID($C951,15,4)), [2]codigos!$E$2:$F$102, 2, FALSE)</f>
        <v>POCILLO 14</v>
      </c>
      <c r="E951" s="11" t="str">
        <f>VLOOKUP(VALUE(MID($C951,19,2)),[2]codigos!$H$2:$I$62,2,1) &amp; " " &amp; VLOOKUP(VALUE(MID($C951,21,2)),[2]codigos!$K$2:$L$12,2,FALSE)</f>
        <v>A/T S/I</v>
      </c>
      <c r="F951" s="11" t="s">
        <v>1303</v>
      </c>
      <c r="G951" s="11" t="s">
        <v>11</v>
      </c>
      <c r="H951" s="52" t="s">
        <v>1302</v>
      </c>
      <c r="I951" s="20" t="s">
        <v>1299</v>
      </c>
      <c r="J951" s="11">
        <v>150</v>
      </c>
      <c r="K951" s="11">
        <f>30+5+6+12+97-24-44+42+2+4+3+12+5</f>
        <v>150</v>
      </c>
      <c r="L951" s="11">
        <f t="shared" si="110"/>
        <v>0</v>
      </c>
      <c r="M951" s="131"/>
      <c r="N951" s="96">
        <v>46079</v>
      </c>
      <c r="O951" s="93">
        <v>46079</v>
      </c>
    </row>
    <row r="952" spans="1:16" x14ac:dyDescent="0.25">
      <c r="A952" s="11">
        <f t="shared" ca="1" si="113"/>
        <v>-58</v>
      </c>
      <c r="B952" s="37">
        <f t="shared" si="114"/>
        <v>27</v>
      </c>
      <c r="C952" s="11" t="s">
        <v>188</v>
      </c>
      <c r="D952" s="11" t="str">
        <f>VLOOKUP(VALUE(MID($C952,13,2)), [2]codigos!$A$2:$B$60, 2, 1) &amp; " " &amp; VLOOKUP(VALUE(MID($C952,15,4)), [2]codigos!$E$2:$F$102, 2, FALSE)</f>
        <v>POCILLO 14</v>
      </c>
      <c r="E952" s="11" t="str">
        <f>VLOOKUP(VALUE(MID($C952,19,2)),[2]codigos!$H$2:$I$62,2,1) &amp; " " &amp; VLOOKUP(VALUE(MID($C952,21,2)),[2]codigos!$K$2:$L$12,2,FALSE)</f>
        <v>S/I S/I</v>
      </c>
      <c r="F952" s="11" t="s">
        <v>1303</v>
      </c>
      <c r="G952" s="11" t="s">
        <v>11</v>
      </c>
      <c r="H952" s="52" t="s">
        <v>1302</v>
      </c>
      <c r="I952" s="20" t="s">
        <v>1299</v>
      </c>
      <c r="J952" s="11">
        <v>138</v>
      </c>
      <c r="K952" s="11">
        <v>138</v>
      </c>
      <c r="L952" s="11">
        <f t="shared" si="110"/>
        <v>0</v>
      </c>
      <c r="M952" s="131"/>
      <c r="N952" s="96">
        <v>46079</v>
      </c>
      <c r="O952" s="93">
        <v>46079</v>
      </c>
    </row>
    <row r="953" spans="1:16" x14ac:dyDescent="0.25">
      <c r="A953" s="11">
        <f ca="1">DAYS360($B$1,I953)</f>
        <v>-124</v>
      </c>
      <c r="B953" s="37">
        <f>+N953-I953</f>
        <v>93</v>
      </c>
      <c r="C953" s="11" t="s">
        <v>862</v>
      </c>
      <c r="D953" s="11" t="str">
        <f>VLOOKUP(VALUE(MID($C953,13,2)), codigos!$A$2:$B$60, 2, 1) &amp; " " &amp; VLOOKUP(VALUE(MID($C953,15,4)), codigos!$E$2:$F$102, 2, FALSE)</f>
        <v>MULTIUSOS S/I</v>
      </c>
      <c r="E953" s="11" t="str">
        <f>VLOOKUP(VALUE(MID($C953,19,2)),codigos!$H$2:$I$62,2,1) &amp; " " &amp; VLOOKUP(VALUE(MID($C953,21,2)),codigos!$K$2:$L$12,2,FALSE)</f>
        <v>A/T S/I</v>
      </c>
      <c r="F953" s="11" t="s">
        <v>863</v>
      </c>
      <c r="G953" s="11" t="s">
        <v>16</v>
      </c>
      <c r="H953" s="52" t="s">
        <v>864</v>
      </c>
      <c r="I953" s="20" t="s">
        <v>865</v>
      </c>
      <c r="J953" s="11">
        <v>108</v>
      </c>
      <c r="K953" s="11">
        <v>108</v>
      </c>
      <c r="L953" s="11">
        <f t="shared" si="110"/>
        <v>0</v>
      </c>
      <c r="M953" s="88">
        <f>K953/J953</f>
        <v>1</v>
      </c>
      <c r="N953" s="96">
        <v>46078</v>
      </c>
      <c r="O953" s="93">
        <v>46059</v>
      </c>
    </row>
    <row r="954" spans="1:16" x14ac:dyDescent="0.25">
      <c r="A954" s="11">
        <f ca="1">DAYS360($B$1,I954)</f>
        <v>-72</v>
      </c>
      <c r="B954" s="37">
        <f>+N954-I954</f>
        <v>40</v>
      </c>
      <c r="C954" s="11" t="s">
        <v>1070</v>
      </c>
      <c r="D954" s="11" t="str">
        <f>VLOOKUP(VALUE(MID($C954,13,2)), codigos!$A$2:$B$60, 2, 1) &amp; " " &amp; VLOOKUP(VALUE(MID($C954,15,4)), codigos!$E$2:$F$102, 2, FALSE)</f>
        <v>POCILLO 8</v>
      </c>
      <c r="E954" s="11" t="str">
        <f>VLOOKUP(VALUE(MID($C954,19,2)),codigos!$H$2:$I$62,2,1) &amp; " " &amp; VLOOKUP(VALUE(MID($C954,21,2)),codigos!$K$2:$L$12,2,FALSE)</f>
        <v>GRIS S/I</v>
      </c>
      <c r="F954" s="11" t="s">
        <v>1071</v>
      </c>
      <c r="G954" s="11" t="s">
        <v>16</v>
      </c>
      <c r="H954" s="11" t="s">
        <v>1072</v>
      </c>
      <c r="I954" s="11" t="s">
        <v>1064</v>
      </c>
      <c r="J954" s="25">
        <v>192</v>
      </c>
      <c r="K954" s="25">
        <f>192+7</f>
        <v>199</v>
      </c>
      <c r="L954" s="11">
        <f t="shared" si="110"/>
        <v>-7</v>
      </c>
      <c r="M954" s="131">
        <f>(SUM(K954:K955))/(SUM(J954:J955))</f>
        <v>1.0224358974358974</v>
      </c>
      <c r="N954" s="18">
        <v>46078</v>
      </c>
      <c r="O954" s="93">
        <v>46066</v>
      </c>
    </row>
    <row r="955" spans="1:16" x14ac:dyDescent="0.25">
      <c r="A955" s="11">
        <f ca="1">DAYS360($B$1,I955)</f>
        <v>-72</v>
      </c>
      <c r="B955" s="37">
        <f>+N955-I955</f>
        <v>40</v>
      </c>
      <c r="C955" s="11" t="s">
        <v>364</v>
      </c>
      <c r="D955" s="11" t="str">
        <f>VLOOKUP(VALUE(MID($C955,13,2)), codigos!$A$2:$B$60, 2, 1) &amp; " " &amp; VLOOKUP(VALUE(MID($C955,15,4)), codigos!$E$2:$F$102, 2, FALSE)</f>
        <v>POCILLO 5</v>
      </c>
      <c r="E955" s="11" t="str">
        <f>VLOOKUP(VALUE(MID($C955,19,2)),codigos!$H$2:$I$62,2,1) &amp; " " &amp; VLOOKUP(VALUE(MID($C955,21,2)),codigos!$K$2:$L$12,2,FALSE)</f>
        <v>GRIS S/I</v>
      </c>
      <c r="F955" s="11" t="s">
        <v>1071</v>
      </c>
      <c r="G955" s="11" t="s">
        <v>16</v>
      </c>
      <c r="H955" s="11" t="s">
        <v>1072</v>
      </c>
      <c r="I955" s="11" t="s">
        <v>1064</v>
      </c>
      <c r="J955" s="25">
        <v>120</v>
      </c>
      <c r="K955" s="25">
        <f>96+22+2</f>
        <v>120</v>
      </c>
      <c r="L955" s="11">
        <f t="shared" si="110"/>
        <v>0</v>
      </c>
      <c r="M955" s="131"/>
      <c r="N955" s="18">
        <v>46078</v>
      </c>
      <c r="O955" s="93">
        <v>46066</v>
      </c>
    </row>
    <row r="956" spans="1:16" x14ac:dyDescent="0.25">
      <c r="A956" s="11">
        <f t="shared" ref="A956:A975" ca="1" si="115">DAYS360($B$1,I956)</f>
        <v>-45</v>
      </c>
      <c r="B956" s="37">
        <f t="shared" ref="B956:B975" si="116">+N956-I956</f>
        <v>13</v>
      </c>
      <c r="C956" s="11" t="s">
        <v>572</v>
      </c>
      <c r="D956" s="11" t="str">
        <f>VLOOKUP(VALUE(MID($C956,13,2)), [2]codigos!$A$2:$B$60, 2, 1) &amp; " " &amp; VLOOKUP(VALUE(MID($C956,15,4)), [2]codigos!$E$2:$F$102, 2, FALSE)</f>
        <v>BUDINERA   18</v>
      </c>
      <c r="E956" s="11" t="str">
        <f>VLOOKUP(VALUE(MID($C956,19,2)),[2]codigos!$H$2:$I$62,2,1) &amp; " " &amp; VLOOKUP(VALUE(MID($C956,21,2)),[2]codigos!$K$2:$L$12,2,FALSE)</f>
        <v>A/T S/I</v>
      </c>
      <c r="F956" s="11" t="s">
        <v>573</v>
      </c>
      <c r="G956" s="11" t="s">
        <v>11</v>
      </c>
      <c r="H956" s="52" t="s">
        <v>1380</v>
      </c>
      <c r="I956" s="20" t="s">
        <v>1381</v>
      </c>
      <c r="J956" s="11">
        <v>11</v>
      </c>
      <c r="K956" s="11">
        <v>11</v>
      </c>
      <c r="L956" s="11">
        <f t="shared" si="110"/>
        <v>0</v>
      </c>
      <c r="M956" s="131">
        <f>(SUM(K956:K975))/(SUM(J956:J975))</f>
        <v>1</v>
      </c>
      <c r="N956" s="18">
        <v>46079</v>
      </c>
      <c r="O956" s="93">
        <v>46077</v>
      </c>
      <c r="P956" s="18">
        <v>46078</v>
      </c>
    </row>
    <row r="957" spans="1:16" x14ac:dyDescent="0.25">
      <c r="A957" s="11">
        <f t="shared" ca="1" si="115"/>
        <v>-45</v>
      </c>
      <c r="B957" s="37">
        <f t="shared" si="116"/>
        <v>13</v>
      </c>
      <c r="C957" s="11" t="s">
        <v>576</v>
      </c>
      <c r="D957" s="11" t="str">
        <f>VLOOKUP(VALUE(MID($C957,13,2)), [2]codigos!$A$2:$B$60, 2, 1) &amp; " " &amp; VLOOKUP(VALUE(MID($C957,15,4)), [2]codigos!$E$2:$F$102, 2, FALSE)</f>
        <v>BUDINERA   24</v>
      </c>
      <c r="E957" s="11" t="str">
        <f>VLOOKUP(VALUE(MID($C957,19,2)),[2]codigos!$H$2:$I$62,2,1) &amp; " " &amp; VLOOKUP(VALUE(MID($C957,21,2)),[2]codigos!$K$2:$L$12,2,FALSE)</f>
        <v>A/T S/I</v>
      </c>
      <c r="F957" s="11" t="s">
        <v>573</v>
      </c>
      <c r="G957" s="11" t="s">
        <v>11</v>
      </c>
      <c r="H957" s="52" t="s">
        <v>1380</v>
      </c>
      <c r="I957" s="20" t="s">
        <v>1381</v>
      </c>
      <c r="J957" s="11">
        <v>8</v>
      </c>
      <c r="K957" s="11">
        <v>8</v>
      </c>
      <c r="L957" s="11">
        <f t="shared" si="110"/>
        <v>0</v>
      </c>
      <c r="M957" s="131"/>
      <c r="N957" s="18">
        <v>46079</v>
      </c>
      <c r="O957" s="93">
        <v>46077</v>
      </c>
      <c r="P957" s="18">
        <v>46078</v>
      </c>
    </row>
    <row r="958" spans="1:16" x14ac:dyDescent="0.25">
      <c r="A958" s="11">
        <f t="shared" ca="1" si="115"/>
        <v>-45</v>
      </c>
      <c r="B958" s="37">
        <f t="shared" si="116"/>
        <v>13</v>
      </c>
      <c r="C958" s="11" t="s">
        <v>577</v>
      </c>
      <c r="D958" s="11" t="str">
        <f>VLOOKUP(VALUE(MID($C958,13,2)), [2]codigos!$A$2:$B$60, 2, 1) &amp; " " &amp; VLOOKUP(VALUE(MID($C958,15,4)), [2]codigos!$E$2:$F$102, 2, FALSE)</f>
        <v>BUDINERA   24</v>
      </c>
      <c r="E958" s="11" t="str">
        <f>VLOOKUP(VALUE(MID($C958,19,2)),[2]codigos!$H$2:$I$62,2,1) &amp; " " &amp; VLOOKUP(VALUE(MID($C958,21,2)),[2]codigos!$K$2:$L$12,2,FALSE)</f>
        <v>BICOLOR NARANJA S/I</v>
      </c>
      <c r="F958" s="11" t="s">
        <v>573</v>
      </c>
      <c r="G958" s="11" t="s">
        <v>11</v>
      </c>
      <c r="H958" s="52" t="s">
        <v>1380</v>
      </c>
      <c r="I958" s="20" t="s">
        <v>1381</v>
      </c>
      <c r="J958" s="11">
        <v>2</v>
      </c>
      <c r="K958" s="11">
        <v>2</v>
      </c>
      <c r="L958" s="11">
        <f t="shared" si="110"/>
        <v>0</v>
      </c>
      <c r="M958" s="131"/>
      <c r="N958" s="18">
        <v>46079</v>
      </c>
      <c r="O958" s="93">
        <v>46077</v>
      </c>
      <c r="P958" s="18">
        <v>46078</v>
      </c>
    </row>
    <row r="959" spans="1:16" x14ac:dyDescent="0.25">
      <c r="A959" s="11">
        <f t="shared" ca="1" si="115"/>
        <v>-45</v>
      </c>
      <c r="B959" s="37">
        <f t="shared" si="116"/>
        <v>13</v>
      </c>
      <c r="C959" s="11" t="s">
        <v>1036</v>
      </c>
      <c r="D959" s="11" t="str">
        <f>VLOOKUP(VALUE(MID($C959,13,2)), [2]codigos!$A$2:$B$60, 2, 1) &amp; " " &amp; VLOOKUP(VALUE(MID($C959,15,4)), [2]codigos!$E$2:$F$102, 2, FALSE)</f>
        <v>BUDINERA   24</v>
      </c>
      <c r="E959" s="11" t="str">
        <f>VLOOKUP(VALUE(MID($C959,19,2)),[2]codigos!$H$2:$I$62,2,1) &amp; " " &amp; VLOOKUP(VALUE(MID($C959,21,2)),[2]codigos!$K$2:$L$12,2,FALSE)</f>
        <v>BICOLOR ROJO S/I</v>
      </c>
      <c r="F959" s="11" t="s">
        <v>573</v>
      </c>
      <c r="G959" s="11" t="s">
        <v>11</v>
      </c>
      <c r="H959" s="52" t="s">
        <v>1380</v>
      </c>
      <c r="I959" s="20" t="s">
        <v>1381</v>
      </c>
      <c r="J959" s="11">
        <v>2</v>
      </c>
      <c r="K959" s="11">
        <v>2</v>
      </c>
      <c r="L959" s="11">
        <f t="shared" si="110"/>
        <v>0</v>
      </c>
      <c r="M959" s="131"/>
      <c r="N959" s="18">
        <v>46079</v>
      </c>
      <c r="O959" s="93">
        <v>46077</v>
      </c>
      <c r="P959" s="18">
        <v>46078</v>
      </c>
    </row>
    <row r="960" spans="1:16" x14ac:dyDescent="0.25">
      <c r="A960" s="11">
        <f t="shared" ca="1" si="115"/>
        <v>-45</v>
      </c>
      <c r="B960" s="37">
        <f t="shared" si="116"/>
        <v>13</v>
      </c>
      <c r="C960" s="11" t="s">
        <v>578</v>
      </c>
      <c r="D960" s="11" t="str">
        <f>VLOOKUP(VALUE(MID($C960,13,2)), [2]codigos!$A$2:$B$60, 2, 1) &amp; " " &amp; VLOOKUP(VALUE(MID($C960,15,4)), [2]codigos!$E$2:$F$102, 2, FALSE)</f>
        <v>COMAL 28</v>
      </c>
      <c r="E960" s="11" t="str">
        <f>VLOOKUP(VALUE(MID($C960,19,2)),[2]codigos!$H$2:$I$62,2,1) &amp; " " &amp; VLOOKUP(VALUE(MID($C960,21,2)),[2]codigos!$K$2:$L$12,2,FALSE)</f>
        <v>NEGRO S/I</v>
      </c>
      <c r="F960" s="11" t="s">
        <v>573</v>
      </c>
      <c r="G960" s="11" t="s">
        <v>11</v>
      </c>
      <c r="H960" s="52" t="s">
        <v>1380</v>
      </c>
      <c r="I960" s="20" t="s">
        <v>1381</v>
      </c>
      <c r="J960" s="11">
        <v>9</v>
      </c>
      <c r="K960" s="11">
        <f>2+7</f>
        <v>9</v>
      </c>
      <c r="L960" s="11">
        <f t="shared" si="110"/>
        <v>0</v>
      </c>
      <c r="M960" s="131"/>
      <c r="N960" s="18">
        <v>46079</v>
      </c>
      <c r="O960" s="93">
        <v>46077</v>
      </c>
      <c r="P960" s="18">
        <v>46078</v>
      </c>
    </row>
    <row r="961" spans="1:16" x14ac:dyDescent="0.25">
      <c r="A961" s="11">
        <f t="shared" ca="1" si="115"/>
        <v>-45</v>
      </c>
      <c r="B961" s="37">
        <f t="shared" si="116"/>
        <v>13</v>
      </c>
      <c r="C961" s="11" t="s">
        <v>579</v>
      </c>
      <c r="D961" s="11" t="str">
        <f>VLOOKUP(VALUE(MID($C961,13,2)), [2]codigos!$A$2:$B$60, 2, 1) &amp; " " &amp; VLOOKUP(VALUE(MID($C961,15,4)), [2]codigos!$E$2:$F$102, 2, FALSE)</f>
        <v>OLLA CONVEXA 18</v>
      </c>
      <c r="E961" s="11" t="str">
        <f>VLOOKUP(VALUE(MID($C961,19,2)),[2]codigos!$H$2:$I$62,2,1) &amp; " " &amp; VLOOKUP(VALUE(MID($C961,21,2)),[2]codigos!$K$2:$L$12,2,FALSE)</f>
        <v>A/T S/I</v>
      </c>
      <c r="F961" s="11" t="s">
        <v>573</v>
      </c>
      <c r="G961" s="11" t="s">
        <v>11</v>
      </c>
      <c r="H961" s="52" t="s">
        <v>1380</v>
      </c>
      <c r="I961" s="20" t="s">
        <v>1381</v>
      </c>
      <c r="J961" s="11">
        <v>5</v>
      </c>
      <c r="K961" s="11">
        <f>1+1+1+2</f>
        <v>5</v>
      </c>
      <c r="L961" s="11">
        <f t="shared" si="110"/>
        <v>0</v>
      </c>
      <c r="M961" s="131"/>
      <c r="N961" s="18">
        <v>46079</v>
      </c>
      <c r="O961" s="93">
        <v>46077</v>
      </c>
      <c r="P961" s="18">
        <v>46078</v>
      </c>
    </row>
    <row r="962" spans="1:16" x14ac:dyDescent="0.25">
      <c r="A962" s="11">
        <f t="shared" ca="1" si="115"/>
        <v>-45</v>
      </c>
      <c r="B962" s="37">
        <f t="shared" si="116"/>
        <v>13</v>
      </c>
      <c r="C962" s="11" t="s">
        <v>580</v>
      </c>
      <c r="D962" s="11" t="str">
        <f>VLOOKUP(VALUE(MID($C962,13,2)), [2]codigos!$A$2:$B$60, 2, 1) &amp; " " &amp; VLOOKUP(VALUE(MID($C962,15,4)), [2]codigos!$E$2:$F$102, 2, FALSE)</f>
        <v>OLLA CONVEXA 22</v>
      </c>
      <c r="E962" s="11" t="str">
        <f>VLOOKUP(VALUE(MID($C962,19,2)),[2]codigos!$H$2:$I$62,2,1) &amp; " " &amp; VLOOKUP(VALUE(MID($C962,21,2)),[2]codigos!$K$2:$L$12,2,FALSE)</f>
        <v>A/T S/I</v>
      </c>
      <c r="F962" s="11" t="s">
        <v>573</v>
      </c>
      <c r="G962" s="11" t="s">
        <v>11</v>
      </c>
      <c r="H962" s="52" t="s">
        <v>1380</v>
      </c>
      <c r="I962" s="20" t="s">
        <v>1381</v>
      </c>
      <c r="J962" s="11">
        <v>6</v>
      </c>
      <c r="K962" s="11">
        <v>6</v>
      </c>
      <c r="L962" s="11">
        <f t="shared" si="110"/>
        <v>0</v>
      </c>
      <c r="M962" s="131"/>
      <c r="N962" s="18">
        <v>46079</v>
      </c>
      <c r="O962" s="93">
        <v>46077</v>
      </c>
      <c r="P962" s="18">
        <v>46078</v>
      </c>
    </row>
    <row r="963" spans="1:16" x14ac:dyDescent="0.25">
      <c r="A963" s="11">
        <f t="shared" ca="1" si="115"/>
        <v>-45</v>
      </c>
      <c r="B963" s="37">
        <f t="shared" si="116"/>
        <v>13</v>
      </c>
      <c r="C963" s="11" t="s">
        <v>581</v>
      </c>
      <c r="D963" s="11" t="str">
        <f>VLOOKUP(VALUE(MID($C963,13,2)), [2]codigos!$A$2:$B$60, 2, 1) &amp; " " &amp; VLOOKUP(VALUE(MID($C963,15,4)), [2]codigos!$E$2:$F$102, 2, FALSE)</f>
        <v>OLLA RECTA 20</v>
      </c>
      <c r="E963" s="11" t="str">
        <f>VLOOKUP(VALUE(MID($C963,19,2)),[2]codigos!$H$2:$I$62,2,1) &amp; " " &amp; VLOOKUP(VALUE(MID($C963,21,2)),[2]codigos!$K$2:$L$12,2,FALSE)</f>
        <v>A/T S/I</v>
      </c>
      <c r="F963" s="11" t="s">
        <v>573</v>
      </c>
      <c r="G963" s="11" t="s">
        <v>11</v>
      </c>
      <c r="H963" s="52" t="s">
        <v>1380</v>
      </c>
      <c r="I963" s="20" t="s">
        <v>1381</v>
      </c>
      <c r="J963" s="11">
        <v>2</v>
      </c>
      <c r="K963" s="11">
        <f>1+1</f>
        <v>2</v>
      </c>
      <c r="L963" s="11">
        <f t="shared" si="110"/>
        <v>0</v>
      </c>
      <c r="M963" s="131"/>
      <c r="N963" s="18">
        <v>46079</v>
      </c>
      <c r="O963" s="93">
        <v>46077</v>
      </c>
      <c r="P963" s="18">
        <v>46078</v>
      </c>
    </row>
    <row r="964" spans="1:16" x14ac:dyDescent="0.25">
      <c r="A964" s="11">
        <f t="shared" ca="1" si="115"/>
        <v>-45</v>
      </c>
      <c r="B964" s="37">
        <f t="shared" si="116"/>
        <v>13</v>
      </c>
      <c r="C964" s="11" t="s">
        <v>582</v>
      </c>
      <c r="D964" s="11" t="str">
        <f>VLOOKUP(VALUE(MID($C964,13,2)), [2]codigos!$A$2:$B$60, 2, 1) &amp; " " &amp; VLOOKUP(VALUE(MID($C964,15,4)), [2]codigos!$E$2:$F$102, 2, FALSE)</f>
        <v>OLLA RECTA 20</v>
      </c>
      <c r="E964" s="11" t="str">
        <f>VLOOKUP(VALUE(MID($C964,19,2)),[2]codigos!$H$2:$I$62,2,1) &amp; " " &amp; VLOOKUP(VALUE(MID($C964,21,2)),[2]codigos!$K$2:$L$12,2,FALSE)</f>
        <v>BICOLOR AZUL S/I</v>
      </c>
      <c r="F964" s="11" t="s">
        <v>573</v>
      </c>
      <c r="G964" s="11" t="s">
        <v>11</v>
      </c>
      <c r="H964" s="52" t="s">
        <v>1380</v>
      </c>
      <c r="I964" s="20" t="s">
        <v>1381</v>
      </c>
      <c r="J964" s="11">
        <v>2</v>
      </c>
      <c r="K964" s="11">
        <v>2</v>
      </c>
      <c r="L964" s="11">
        <f t="shared" ref="L964:L1027" si="117">J964-K964</f>
        <v>0</v>
      </c>
      <c r="M964" s="131"/>
      <c r="N964" s="18">
        <v>46079</v>
      </c>
      <c r="O964" s="93">
        <v>46077</v>
      </c>
      <c r="P964" s="18">
        <v>46078</v>
      </c>
    </row>
    <row r="965" spans="1:16" x14ac:dyDescent="0.25">
      <c r="A965" s="11">
        <f t="shared" ca="1" si="115"/>
        <v>-45</v>
      </c>
      <c r="B965" s="37">
        <f t="shared" si="116"/>
        <v>13</v>
      </c>
      <c r="C965" s="11" t="s">
        <v>583</v>
      </c>
      <c r="D965" s="11" t="str">
        <f>VLOOKUP(VALUE(MID($C965,13,2)), [2]codigos!$A$2:$B$60, 2, 1) &amp; " " &amp; VLOOKUP(VALUE(MID($C965,15,4)), [2]codigos!$E$2:$F$102, 2, FALSE)</f>
        <v>OLLA RECTA 20</v>
      </c>
      <c r="E965" s="11" t="str">
        <f>VLOOKUP(VALUE(MID($C965,19,2)),[2]codigos!$H$2:$I$62,2,1) &amp; " " &amp; VLOOKUP(VALUE(MID($C965,21,2)),[2]codigos!$K$2:$L$12,2,FALSE)</f>
        <v>BICOLOR NARANJA S/I</v>
      </c>
      <c r="F965" s="11" t="s">
        <v>573</v>
      </c>
      <c r="G965" s="11" t="s">
        <v>11</v>
      </c>
      <c r="H965" s="52" t="s">
        <v>1380</v>
      </c>
      <c r="I965" s="20" t="s">
        <v>1381</v>
      </c>
      <c r="J965" s="11">
        <v>2</v>
      </c>
      <c r="K965" s="11">
        <v>2</v>
      </c>
      <c r="L965" s="11">
        <f t="shared" si="117"/>
        <v>0</v>
      </c>
      <c r="M965" s="131"/>
      <c r="N965" s="18">
        <v>46079</v>
      </c>
      <c r="O965" s="93">
        <v>46077</v>
      </c>
      <c r="P965" s="18">
        <v>46078</v>
      </c>
    </row>
    <row r="966" spans="1:16" x14ac:dyDescent="0.25">
      <c r="A966" s="11">
        <f t="shared" ca="1" si="115"/>
        <v>-45</v>
      </c>
      <c r="B966" s="37">
        <f t="shared" si="116"/>
        <v>13</v>
      </c>
      <c r="C966" s="11" t="s">
        <v>584</v>
      </c>
      <c r="D966" s="11" t="str">
        <f>VLOOKUP(VALUE(MID($C966,13,2)), [2]codigos!$A$2:$B$60, 2, 1) &amp; " " &amp; VLOOKUP(VALUE(MID($C966,15,4)), [2]codigos!$E$2:$F$102, 2, FALSE)</f>
        <v>OLLA RECTA 20</v>
      </c>
      <c r="E966" s="11" t="str">
        <f>VLOOKUP(VALUE(MID($C966,19,2)),[2]codigos!$H$2:$I$62,2,1) &amp; " " &amp; VLOOKUP(VALUE(MID($C966,21,2)),[2]codigos!$K$2:$L$12,2,FALSE)</f>
        <v>BICOLOR ROJO S/I</v>
      </c>
      <c r="F966" s="11" t="s">
        <v>573</v>
      </c>
      <c r="G966" s="11" t="s">
        <v>11</v>
      </c>
      <c r="H966" s="52" t="s">
        <v>1380</v>
      </c>
      <c r="I966" s="20" t="s">
        <v>1381</v>
      </c>
      <c r="J966" s="11">
        <v>3</v>
      </c>
      <c r="K966" s="11">
        <v>3</v>
      </c>
      <c r="L966" s="11">
        <f t="shared" si="117"/>
        <v>0</v>
      </c>
      <c r="M966" s="131"/>
      <c r="N966" s="18">
        <v>46079</v>
      </c>
      <c r="O966" s="93">
        <v>46077</v>
      </c>
      <c r="P966" s="18">
        <v>46078</v>
      </c>
    </row>
    <row r="967" spans="1:16" x14ac:dyDescent="0.25">
      <c r="A967" s="11">
        <f t="shared" ca="1" si="115"/>
        <v>-45</v>
      </c>
      <c r="B967" s="37">
        <f t="shared" si="116"/>
        <v>13</v>
      </c>
      <c r="C967" s="11" t="s">
        <v>585</v>
      </c>
      <c r="D967" s="11" t="str">
        <f>VLOOKUP(VALUE(MID($C967,13,2)), [2]codigos!$A$2:$B$60, 2, 1) &amp; " " &amp; VLOOKUP(VALUE(MID($C967,15,4)), [2]codigos!$E$2:$F$102, 2, FALSE)</f>
        <v>OLLA RECTA 24</v>
      </c>
      <c r="E967" s="11" t="str">
        <f>VLOOKUP(VALUE(MID($C967,19,2)),[2]codigos!$H$2:$I$62,2,1) &amp; " " &amp; VLOOKUP(VALUE(MID($C967,21,2)),[2]codigos!$K$2:$L$12,2,FALSE)</f>
        <v>BICOLOR AZUL S/I</v>
      </c>
      <c r="F967" s="11" t="s">
        <v>573</v>
      </c>
      <c r="G967" s="11" t="s">
        <v>11</v>
      </c>
      <c r="H967" s="52" t="s">
        <v>1380</v>
      </c>
      <c r="I967" s="20" t="s">
        <v>1381</v>
      </c>
      <c r="J967" s="11">
        <v>2</v>
      </c>
      <c r="K967" s="11">
        <f>1+1</f>
        <v>2</v>
      </c>
      <c r="L967" s="11">
        <f t="shared" si="117"/>
        <v>0</v>
      </c>
      <c r="M967" s="131"/>
      <c r="N967" s="18">
        <v>46079</v>
      </c>
      <c r="O967" s="93">
        <v>46077</v>
      </c>
      <c r="P967" s="18">
        <v>46078</v>
      </c>
    </row>
    <row r="968" spans="1:16" x14ac:dyDescent="0.25">
      <c r="A968" s="11">
        <f t="shared" ca="1" si="115"/>
        <v>-45</v>
      </c>
      <c r="B968" s="37">
        <f t="shared" si="116"/>
        <v>13</v>
      </c>
      <c r="C968" s="11" t="s">
        <v>586</v>
      </c>
      <c r="D968" s="11" t="str">
        <f>VLOOKUP(VALUE(MID($C968,13,2)), [2]codigos!$A$2:$B$60, 2, 1) &amp; " " &amp; VLOOKUP(VALUE(MID($C968,15,4)), [2]codigos!$E$2:$F$102, 2, FALSE)</f>
        <v>OLLA RECTA 24</v>
      </c>
      <c r="E968" s="11" t="str">
        <f>VLOOKUP(VALUE(MID($C968,19,2)),[2]codigos!$H$2:$I$62,2,1) &amp; " " &amp; VLOOKUP(VALUE(MID($C968,21,2)),[2]codigos!$K$2:$L$12,2,FALSE)</f>
        <v>BICOLOR NARANJA S/I</v>
      </c>
      <c r="F968" s="11" t="s">
        <v>573</v>
      </c>
      <c r="G968" s="11" t="s">
        <v>11</v>
      </c>
      <c r="H968" s="52" t="s">
        <v>1380</v>
      </c>
      <c r="I968" s="20" t="s">
        <v>1381</v>
      </c>
      <c r="J968" s="11">
        <v>4</v>
      </c>
      <c r="K968" s="11">
        <f>3+1</f>
        <v>4</v>
      </c>
      <c r="L968" s="11">
        <f t="shared" si="117"/>
        <v>0</v>
      </c>
      <c r="M968" s="131"/>
      <c r="N968" s="18">
        <v>46079</v>
      </c>
      <c r="O968" s="93">
        <v>46077</v>
      </c>
      <c r="P968" s="18">
        <v>46078</v>
      </c>
    </row>
    <row r="969" spans="1:16" x14ac:dyDescent="0.25">
      <c r="A969" s="11">
        <f t="shared" ca="1" si="115"/>
        <v>-45</v>
      </c>
      <c r="B969" s="37">
        <f t="shared" si="116"/>
        <v>13</v>
      </c>
      <c r="C969" s="11" t="s">
        <v>587</v>
      </c>
      <c r="D969" s="11" t="str">
        <f>VLOOKUP(VALUE(MID($C969,13,2)), [2]codigos!$A$2:$B$60, 2, 1) &amp; " " &amp; VLOOKUP(VALUE(MID($C969,15,4)), [2]codigos!$E$2:$F$102, 2, FALSE)</f>
        <v>OLLA RECTA 24</v>
      </c>
      <c r="E969" s="11" t="str">
        <f>VLOOKUP(VALUE(MID($C969,19,2)),[2]codigos!$H$2:$I$62,2,1) &amp; " " &amp; VLOOKUP(VALUE(MID($C969,21,2)),[2]codigos!$K$2:$L$12,2,FALSE)</f>
        <v>BICOLOR ROJO S/I</v>
      </c>
      <c r="F969" s="11" t="s">
        <v>573</v>
      </c>
      <c r="G969" s="11" t="s">
        <v>11</v>
      </c>
      <c r="H969" s="52" t="s">
        <v>1380</v>
      </c>
      <c r="I969" s="20" t="s">
        <v>1381</v>
      </c>
      <c r="J969" s="11">
        <v>3</v>
      </c>
      <c r="K969" s="11">
        <v>3</v>
      </c>
      <c r="L969" s="11">
        <f t="shared" si="117"/>
        <v>0</v>
      </c>
      <c r="M969" s="131"/>
      <c r="N969" s="18">
        <v>46079</v>
      </c>
      <c r="O969" s="93">
        <v>46077</v>
      </c>
      <c r="P969" s="18">
        <v>46078</v>
      </c>
    </row>
    <row r="970" spans="1:16" x14ac:dyDescent="0.25">
      <c r="A970" s="11">
        <f t="shared" ca="1" si="115"/>
        <v>-45</v>
      </c>
      <c r="B970" s="37">
        <f t="shared" si="116"/>
        <v>13</v>
      </c>
      <c r="C970" s="11" t="s">
        <v>588</v>
      </c>
      <c r="D970" s="11" t="str">
        <f>VLOOKUP(VALUE(MID($C970,13,2)), [2]codigos!$A$2:$B$60, 2, 1) &amp; " " &amp; VLOOKUP(VALUE(MID($C970,15,4)), [2]codigos!$E$2:$F$102, 2, FALSE)</f>
        <v>OLLA RECTA 28</v>
      </c>
      <c r="E970" s="11" t="str">
        <f>VLOOKUP(VALUE(MID($C970,19,2)),[2]codigos!$H$2:$I$62,2,1) &amp; " " &amp; VLOOKUP(VALUE(MID($C970,21,2)),[2]codigos!$K$2:$L$12,2,FALSE)</f>
        <v>A/T S/I</v>
      </c>
      <c r="F970" s="11" t="s">
        <v>573</v>
      </c>
      <c r="G970" s="11" t="s">
        <v>11</v>
      </c>
      <c r="H970" s="52" t="s">
        <v>1380</v>
      </c>
      <c r="I970" s="20" t="s">
        <v>1381</v>
      </c>
      <c r="J970" s="11">
        <v>8</v>
      </c>
      <c r="K970" s="11">
        <f>1+5+2</f>
        <v>8</v>
      </c>
      <c r="L970" s="11">
        <f t="shared" si="117"/>
        <v>0</v>
      </c>
      <c r="M970" s="131"/>
      <c r="N970" s="18">
        <v>46079</v>
      </c>
      <c r="O970" s="93">
        <v>46077</v>
      </c>
      <c r="P970" s="18">
        <v>46078</v>
      </c>
    </row>
    <row r="971" spans="1:16" x14ac:dyDescent="0.25">
      <c r="A971" s="11">
        <f t="shared" ca="1" si="115"/>
        <v>-45</v>
      </c>
      <c r="B971" s="37">
        <f t="shared" si="116"/>
        <v>13</v>
      </c>
      <c r="C971" s="11" t="s">
        <v>589</v>
      </c>
      <c r="D971" s="11" t="str">
        <f>VLOOKUP(VALUE(MID($C971,13,2)), [2]codigos!$A$2:$B$60, 2, 1) &amp; " " &amp; VLOOKUP(VALUE(MID($C971,15,4)), [2]codigos!$E$2:$F$102, 2, FALSE)</f>
        <v>POCILLO 14</v>
      </c>
      <c r="E971" s="11" t="str">
        <f>VLOOKUP(VALUE(MID($C971,19,2)),[2]codigos!$H$2:$I$62,2,1) &amp; " " &amp; VLOOKUP(VALUE(MID($C971,21,2)),[2]codigos!$K$2:$L$12,2,FALSE)</f>
        <v>S/I S/I</v>
      </c>
      <c r="F971" s="11" t="s">
        <v>573</v>
      </c>
      <c r="G971" s="11" t="s">
        <v>11</v>
      </c>
      <c r="H971" s="52" t="s">
        <v>1380</v>
      </c>
      <c r="I971" s="20" t="s">
        <v>1381</v>
      </c>
      <c r="J971" s="11">
        <v>20</v>
      </c>
      <c r="K971" s="11">
        <f>10+3+7</f>
        <v>20</v>
      </c>
      <c r="L971" s="11">
        <f t="shared" si="117"/>
        <v>0</v>
      </c>
      <c r="M971" s="131"/>
      <c r="N971" s="18">
        <v>46079</v>
      </c>
      <c r="O971" s="93">
        <v>46077</v>
      </c>
      <c r="P971" s="18">
        <v>46078</v>
      </c>
    </row>
    <row r="972" spans="1:16" x14ac:dyDescent="0.25">
      <c r="A972" s="11">
        <f t="shared" ca="1" si="115"/>
        <v>-45</v>
      </c>
      <c r="B972" s="37">
        <f t="shared" si="116"/>
        <v>13</v>
      </c>
      <c r="C972" s="11" t="s">
        <v>590</v>
      </c>
      <c r="D972" s="11" t="str">
        <f>VLOOKUP(VALUE(MID($C972,13,2)), [2]codigos!$A$2:$B$60, 2, 1) &amp; " " &amp; VLOOKUP(VALUE(MID($C972,15,4)), [2]codigos!$E$2:$F$102, 2, FALSE)</f>
        <v>POCILLO 14</v>
      </c>
      <c r="E972" s="11" t="str">
        <f>VLOOKUP(VALUE(MID($C972,19,2)),[2]codigos!$H$2:$I$62,2,1) &amp; " " &amp; VLOOKUP(VALUE(MID($C972,21,2)),[2]codigos!$K$2:$L$12,2,FALSE)</f>
        <v>A/T S/I</v>
      </c>
      <c r="F972" s="11" t="s">
        <v>573</v>
      </c>
      <c r="G972" s="11" t="s">
        <v>11</v>
      </c>
      <c r="H972" s="52" t="s">
        <v>1380</v>
      </c>
      <c r="I972" s="20" t="s">
        <v>1381</v>
      </c>
      <c r="J972" s="11">
        <v>15</v>
      </c>
      <c r="K972" s="11">
        <v>15</v>
      </c>
      <c r="L972" s="11">
        <f t="shared" si="117"/>
        <v>0</v>
      </c>
      <c r="M972" s="131"/>
      <c r="N972" s="18">
        <v>46079</v>
      </c>
      <c r="O972" s="93">
        <v>46077</v>
      </c>
      <c r="P972" s="18">
        <v>46078</v>
      </c>
    </row>
    <row r="973" spans="1:16" x14ac:dyDescent="0.25">
      <c r="A973" s="11">
        <f t="shared" ca="1" si="115"/>
        <v>-45</v>
      </c>
      <c r="B973" s="37">
        <f t="shared" si="116"/>
        <v>13</v>
      </c>
      <c r="C973" s="11" t="s">
        <v>591</v>
      </c>
      <c r="D973" s="11" t="str">
        <f>VLOOKUP(VALUE(MID($C973,13,2)), [2]codigos!$A$2:$B$60, 2, 1) &amp; " " &amp; VLOOKUP(VALUE(MID($C973,15,4)), [2]codigos!$E$2:$F$102, 2, FALSE)</f>
        <v>POCILLO 14</v>
      </c>
      <c r="E973" s="11" t="str">
        <f>VLOOKUP(VALUE(MID($C973,19,2)),[2]codigos!$H$2:$I$62,2,1) &amp; " " &amp; VLOOKUP(VALUE(MID($C973,21,2)),[2]codigos!$K$2:$L$12,2,FALSE)</f>
        <v>BICOLOR AZUL S/I</v>
      </c>
      <c r="F973" s="11" t="s">
        <v>573</v>
      </c>
      <c r="G973" s="11" t="s">
        <v>11</v>
      </c>
      <c r="H973" s="52" t="s">
        <v>1380</v>
      </c>
      <c r="I973" s="20" t="s">
        <v>1381</v>
      </c>
      <c r="J973" s="11">
        <v>2</v>
      </c>
      <c r="K973" s="11">
        <f>1+1</f>
        <v>2</v>
      </c>
      <c r="L973" s="11">
        <f t="shared" si="117"/>
        <v>0</v>
      </c>
      <c r="M973" s="131"/>
      <c r="N973" s="18">
        <v>46079</v>
      </c>
      <c r="O973" s="93">
        <v>46077</v>
      </c>
      <c r="P973" s="18">
        <v>46078</v>
      </c>
    </row>
    <row r="974" spans="1:16" x14ac:dyDescent="0.25">
      <c r="A974" s="11">
        <f t="shared" ca="1" si="115"/>
        <v>-45</v>
      </c>
      <c r="B974" s="37">
        <f t="shared" si="116"/>
        <v>13</v>
      </c>
      <c r="C974" s="11" t="s">
        <v>592</v>
      </c>
      <c r="D974" s="11" t="str">
        <f>VLOOKUP(VALUE(MID($C974,13,2)), [2]codigos!$A$2:$B$60, 2, 1) &amp; " " &amp; VLOOKUP(VALUE(MID($C974,15,4)), [2]codigos!$E$2:$F$102, 2, FALSE)</f>
        <v>POCILLO 14</v>
      </c>
      <c r="E974" s="11" t="str">
        <f>VLOOKUP(VALUE(MID($C974,19,2)),[2]codigos!$H$2:$I$62,2,1) &amp; " " &amp; VLOOKUP(VALUE(MID($C974,21,2)),[2]codigos!$K$2:$L$12,2,FALSE)</f>
        <v>BICOLOR NARANJA S/I</v>
      </c>
      <c r="F974" s="11" t="s">
        <v>573</v>
      </c>
      <c r="G974" s="11" t="s">
        <v>11</v>
      </c>
      <c r="H974" s="52" t="s">
        <v>1380</v>
      </c>
      <c r="I974" s="20" t="s">
        <v>1381</v>
      </c>
      <c r="J974" s="11">
        <v>10</v>
      </c>
      <c r="K974" s="11">
        <f>6+3+1</f>
        <v>10</v>
      </c>
      <c r="L974" s="11">
        <f t="shared" si="117"/>
        <v>0</v>
      </c>
      <c r="M974" s="131"/>
      <c r="N974" s="18">
        <v>46079</v>
      </c>
      <c r="O974" s="93">
        <v>46077</v>
      </c>
      <c r="P974" s="18">
        <v>46078</v>
      </c>
    </row>
    <row r="975" spans="1:16" x14ac:dyDescent="0.25">
      <c r="A975" s="11">
        <f t="shared" ca="1" si="115"/>
        <v>-45</v>
      </c>
      <c r="B975" s="37">
        <f t="shared" si="116"/>
        <v>13</v>
      </c>
      <c r="C975" s="11" t="s">
        <v>593</v>
      </c>
      <c r="D975" s="11" t="str">
        <f>VLOOKUP(VALUE(MID($C975,13,2)), [2]codigos!$A$2:$B$60, 2, 1) &amp; " " &amp; VLOOKUP(VALUE(MID($C975,15,4)), [2]codigos!$E$2:$F$102, 2, FALSE)</f>
        <v>POCILLO 14</v>
      </c>
      <c r="E975" s="11" t="str">
        <f>VLOOKUP(VALUE(MID($C975,19,2)),[2]codigos!$H$2:$I$62,2,1) &amp; " " &amp; VLOOKUP(VALUE(MID($C975,21,2)),[2]codigos!$K$2:$L$12,2,FALSE)</f>
        <v>BICOLOR ROJO S/I</v>
      </c>
      <c r="F975" s="11" t="s">
        <v>573</v>
      </c>
      <c r="G975" s="11" t="s">
        <v>11</v>
      </c>
      <c r="H975" s="52" t="s">
        <v>1380</v>
      </c>
      <c r="I975" s="65">
        <v>46066</v>
      </c>
      <c r="J975" s="11">
        <v>4</v>
      </c>
      <c r="K975" s="11">
        <v>4</v>
      </c>
      <c r="L975" s="11">
        <f t="shared" si="117"/>
        <v>0</v>
      </c>
      <c r="M975" s="131"/>
      <c r="N975" s="18">
        <v>46079</v>
      </c>
      <c r="O975" s="93">
        <v>46077</v>
      </c>
      <c r="P975" s="18">
        <v>46078</v>
      </c>
    </row>
    <row r="976" spans="1:16" x14ac:dyDescent="0.25">
      <c r="A976" s="11">
        <f t="shared" ref="A976:A1039" ca="1" si="118">DAYS360($B$1,I976)</f>
        <v>-251</v>
      </c>
      <c r="B976" s="37">
        <f t="shared" ref="B976:B1039" si="119">+N976-I976</f>
        <v>224</v>
      </c>
      <c r="C976" s="11" t="s">
        <v>83</v>
      </c>
      <c r="D976" s="11" t="s">
        <v>1414</v>
      </c>
      <c r="E976" s="11" t="s">
        <v>926</v>
      </c>
      <c r="F976" s="11" t="s">
        <v>439</v>
      </c>
      <c r="G976" s="11" t="s">
        <v>34</v>
      </c>
      <c r="H976" s="52" t="s">
        <v>1027</v>
      </c>
      <c r="I976" s="20" t="s">
        <v>1028</v>
      </c>
      <c r="J976" s="11">
        <v>732</v>
      </c>
      <c r="K976" s="11">
        <v>732</v>
      </c>
      <c r="L976" s="11">
        <f t="shared" si="117"/>
        <v>0</v>
      </c>
      <c r="M976" s="134">
        <v>1</v>
      </c>
      <c r="N976" s="18">
        <v>46079</v>
      </c>
      <c r="O976" s="93">
        <v>46052</v>
      </c>
    </row>
    <row r="977" spans="1:15" x14ac:dyDescent="0.25">
      <c r="A977" s="11">
        <f t="shared" ca="1" si="118"/>
        <v>-251</v>
      </c>
      <c r="B977" s="37">
        <f t="shared" si="119"/>
        <v>224</v>
      </c>
      <c r="C977" s="11" t="s">
        <v>390</v>
      </c>
      <c r="D977" s="11" t="s">
        <v>1423</v>
      </c>
      <c r="E977" s="11" t="s">
        <v>926</v>
      </c>
      <c r="F977" s="11" t="s">
        <v>439</v>
      </c>
      <c r="G977" s="11" t="s">
        <v>34</v>
      </c>
      <c r="H977" s="52" t="s">
        <v>1027</v>
      </c>
      <c r="I977" s="20" t="s">
        <v>1028</v>
      </c>
      <c r="J977" s="11">
        <v>288</v>
      </c>
      <c r="K977" s="11">
        <v>288</v>
      </c>
      <c r="L977" s="11">
        <f t="shared" si="117"/>
        <v>0</v>
      </c>
      <c r="M977" s="134"/>
      <c r="N977" s="18">
        <v>46079</v>
      </c>
      <c r="O977" s="93">
        <v>46052</v>
      </c>
    </row>
    <row r="978" spans="1:15" x14ac:dyDescent="0.25">
      <c r="A978" s="11">
        <f t="shared" ca="1" si="118"/>
        <v>-141</v>
      </c>
      <c r="B978" s="37">
        <f t="shared" si="119"/>
        <v>111</v>
      </c>
      <c r="C978" s="11" t="s">
        <v>210</v>
      </c>
      <c r="D978" s="11" t="s">
        <v>1424</v>
      </c>
      <c r="E978" s="11" t="s">
        <v>1294</v>
      </c>
      <c r="F978" s="11" t="s">
        <v>439</v>
      </c>
      <c r="G978" s="11" t="s">
        <v>34</v>
      </c>
      <c r="H978" s="52" t="s">
        <v>1029</v>
      </c>
      <c r="I978" s="20" t="s">
        <v>852</v>
      </c>
      <c r="J978" s="11">
        <v>10</v>
      </c>
      <c r="K978" s="11">
        <v>7</v>
      </c>
      <c r="L978" s="11">
        <f t="shared" si="117"/>
        <v>3</v>
      </c>
      <c r="M978" s="95">
        <v>0.7</v>
      </c>
      <c r="N978" s="18">
        <v>46079</v>
      </c>
      <c r="O978" s="117"/>
    </row>
    <row r="979" spans="1:15" x14ac:dyDescent="0.25">
      <c r="A979" s="11">
        <f t="shared" ca="1" si="118"/>
        <v>-34</v>
      </c>
      <c r="B979" s="37">
        <f t="shared" si="119"/>
        <v>2</v>
      </c>
      <c r="C979" s="11" t="s">
        <v>255</v>
      </c>
      <c r="D979" s="11" t="s">
        <v>939</v>
      </c>
      <c r="E979" s="11" t="s">
        <v>896</v>
      </c>
      <c r="F979" s="11" t="s">
        <v>439</v>
      </c>
      <c r="G979" s="11" t="s">
        <v>11</v>
      </c>
      <c r="H979" s="52" t="s">
        <v>1420</v>
      </c>
      <c r="I979" s="20" t="s">
        <v>1421</v>
      </c>
      <c r="J979" s="11">
        <v>54</v>
      </c>
      <c r="K979" s="11">
        <v>0</v>
      </c>
      <c r="L979" s="11">
        <f t="shared" si="117"/>
        <v>54</v>
      </c>
      <c r="M979" s="131">
        <v>0.21566401816118047</v>
      </c>
      <c r="N979" s="18">
        <v>46079</v>
      </c>
      <c r="O979" s="117"/>
    </row>
    <row r="980" spans="1:15" x14ac:dyDescent="0.25">
      <c r="A980" s="11">
        <f t="shared" ca="1" si="118"/>
        <v>-34</v>
      </c>
      <c r="B980" s="37">
        <f t="shared" si="119"/>
        <v>2</v>
      </c>
      <c r="C980" s="11" t="s">
        <v>256</v>
      </c>
      <c r="D980" s="11" t="s">
        <v>1397</v>
      </c>
      <c r="E980" s="11" t="s">
        <v>896</v>
      </c>
      <c r="F980" s="11" t="s">
        <v>439</v>
      </c>
      <c r="G980" s="11" t="s">
        <v>11</v>
      </c>
      <c r="H980" s="52" t="s">
        <v>1420</v>
      </c>
      <c r="I980" s="20" t="s">
        <v>1421</v>
      </c>
      <c r="J980" s="11">
        <v>54</v>
      </c>
      <c r="K980" s="11">
        <v>0</v>
      </c>
      <c r="L980" s="11">
        <f t="shared" si="117"/>
        <v>54</v>
      </c>
      <c r="M980" s="131"/>
      <c r="N980" s="18">
        <v>46079</v>
      </c>
      <c r="O980" s="117"/>
    </row>
    <row r="981" spans="1:15" x14ac:dyDescent="0.25">
      <c r="A981" s="11">
        <f t="shared" ca="1" si="118"/>
        <v>-34</v>
      </c>
      <c r="B981" s="37">
        <f t="shared" si="119"/>
        <v>2</v>
      </c>
      <c r="C981" s="11" t="s">
        <v>189</v>
      </c>
      <c r="D981" s="11" t="s">
        <v>1398</v>
      </c>
      <c r="E981" s="11" t="s">
        <v>896</v>
      </c>
      <c r="F981" s="11" t="s">
        <v>439</v>
      </c>
      <c r="G981" s="11" t="s">
        <v>11</v>
      </c>
      <c r="H981" s="52" t="s">
        <v>1420</v>
      </c>
      <c r="I981" s="20" t="s">
        <v>1421</v>
      </c>
      <c r="J981" s="11">
        <v>12</v>
      </c>
      <c r="K981" s="11">
        <v>0</v>
      </c>
      <c r="L981" s="11">
        <f t="shared" si="117"/>
        <v>12</v>
      </c>
      <c r="M981" s="131"/>
      <c r="N981" s="18">
        <v>46079</v>
      </c>
      <c r="O981" s="117"/>
    </row>
    <row r="982" spans="1:15" x14ac:dyDescent="0.25">
      <c r="A982" s="11">
        <f t="shared" ca="1" si="118"/>
        <v>-34</v>
      </c>
      <c r="B982" s="37">
        <f t="shared" si="119"/>
        <v>2</v>
      </c>
      <c r="C982" s="11" t="s">
        <v>241</v>
      </c>
      <c r="D982" s="11" t="s">
        <v>911</v>
      </c>
      <c r="E982" s="11" t="s">
        <v>896</v>
      </c>
      <c r="F982" s="11" t="s">
        <v>439</v>
      </c>
      <c r="G982" s="11" t="s">
        <v>11</v>
      </c>
      <c r="H982" s="52" t="s">
        <v>1420</v>
      </c>
      <c r="I982" s="20" t="s">
        <v>1421</v>
      </c>
      <c r="J982" s="11">
        <v>12</v>
      </c>
      <c r="K982" s="11">
        <v>0</v>
      </c>
      <c r="L982" s="11">
        <f t="shared" si="117"/>
        <v>12</v>
      </c>
      <c r="M982" s="131"/>
      <c r="N982" s="18">
        <v>46079</v>
      </c>
      <c r="O982" s="117"/>
    </row>
    <row r="983" spans="1:15" x14ac:dyDescent="0.25">
      <c r="A983" s="11">
        <f t="shared" ca="1" si="118"/>
        <v>-34</v>
      </c>
      <c r="B983" s="37">
        <f t="shared" si="119"/>
        <v>2</v>
      </c>
      <c r="C983" s="11" t="s">
        <v>169</v>
      </c>
      <c r="D983" s="11" t="s">
        <v>897</v>
      </c>
      <c r="E983" s="11" t="s">
        <v>896</v>
      </c>
      <c r="F983" s="11" t="s">
        <v>439</v>
      </c>
      <c r="G983" s="11" t="s">
        <v>11</v>
      </c>
      <c r="H983" s="52" t="s">
        <v>1420</v>
      </c>
      <c r="I983" s="20" t="s">
        <v>1421</v>
      </c>
      <c r="J983" s="11">
        <v>12</v>
      </c>
      <c r="K983" s="11">
        <v>0</v>
      </c>
      <c r="L983" s="11">
        <f t="shared" si="117"/>
        <v>12</v>
      </c>
      <c r="M983" s="131"/>
      <c r="N983" s="18">
        <v>46079</v>
      </c>
      <c r="O983" s="117"/>
    </row>
    <row r="984" spans="1:15" x14ac:dyDescent="0.25">
      <c r="A984" s="11">
        <f t="shared" ca="1" si="118"/>
        <v>-34</v>
      </c>
      <c r="B984" s="37">
        <f t="shared" si="119"/>
        <v>2</v>
      </c>
      <c r="C984" s="11" t="s">
        <v>38</v>
      </c>
      <c r="D984" s="11" t="s">
        <v>1328</v>
      </c>
      <c r="E984" s="11" t="s">
        <v>896</v>
      </c>
      <c r="F984" s="11" t="s">
        <v>439</v>
      </c>
      <c r="G984" s="11" t="s">
        <v>11</v>
      </c>
      <c r="H984" s="52" t="s">
        <v>1420</v>
      </c>
      <c r="I984" s="20" t="s">
        <v>1421</v>
      </c>
      <c r="J984" s="11">
        <v>12</v>
      </c>
      <c r="K984" s="11">
        <v>0</v>
      </c>
      <c r="L984" s="11">
        <f t="shared" si="117"/>
        <v>12</v>
      </c>
      <c r="M984" s="131"/>
      <c r="N984" s="18">
        <v>46079</v>
      </c>
      <c r="O984" s="117"/>
    </row>
    <row r="985" spans="1:15" x14ac:dyDescent="0.25">
      <c r="A985" s="11">
        <f t="shared" ca="1" si="118"/>
        <v>-34</v>
      </c>
      <c r="B985" s="37">
        <f t="shared" si="119"/>
        <v>2</v>
      </c>
      <c r="C985" s="11" t="s">
        <v>218</v>
      </c>
      <c r="D985" s="11" t="s">
        <v>1399</v>
      </c>
      <c r="E985" s="11" t="s">
        <v>896</v>
      </c>
      <c r="F985" s="11" t="s">
        <v>439</v>
      </c>
      <c r="G985" s="11" t="s">
        <v>11</v>
      </c>
      <c r="H985" s="52" t="s">
        <v>1420</v>
      </c>
      <c r="I985" s="20" t="s">
        <v>1421</v>
      </c>
      <c r="J985" s="11">
        <v>12</v>
      </c>
      <c r="K985" s="11">
        <v>12</v>
      </c>
      <c r="L985" s="11">
        <f t="shared" si="117"/>
        <v>0</v>
      </c>
      <c r="M985" s="131"/>
      <c r="N985" s="18">
        <v>46079</v>
      </c>
      <c r="O985" s="117"/>
    </row>
    <row r="986" spans="1:15" x14ac:dyDescent="0.25">
      <c r="A986" s="11">
        <f t="shared" ca="1" si="118"/>
        <v>-34</v>
      </c>
      <c r="B986" s="37">
        <f t="shared" si="119"/>
        <v>2</v>
      </c>
      <c r="C986" s="11" t="s">
        <v>219</v>
      </c>
      <c r="D986" s="11" t="s">
        <v>1400</v>
      </c>
      <c r="E986" s="11" t="s">
        <v>896</v>
      </c>
      <c r="F986" s="11" t="s">
        <v>439</v>
      </c>
      <c r="G986" s="11" t="s">
        <v>11</v>
      </c>
      <c r="H986" s="52" t="s">
        <v>1420</v>
      </c>
      <c r="I986" s="20" t="s">
        <v>1421</v>
      </c>
      <c r="J986" s="11">
        <v>12</v>
      </c>
      <c r="K986" s="11">
        <v>0</v>
      </c>
      <c r="L986" s="11">
        <f t="shared" si="117"/>
        <v>12</v>
      </c>
      <c r="M986" s="131"/>
      <c r="N986" s="18">
        <v>46079</v>
      </c>
      <c r="O986" s="117"/>
    </row>
    <row r="987" spans="1:15" x14ac:dyDescent="0.25">
      <c r="A987" s="11">
        <f t="shared" ca="1" si="118"/>
        <v>-34</v>
      </c>
      <c r="B987" s="37">
        <f t="shared" si="119"/>
        <v>2</v>
      </c>
      <c r="C987" s="11" t="s">
        <v>149</v>
      </c>
      <c r="D987" s="11" t="s">
        <v>1117</v>
      </c>
      <c r="E987" s="11" t="s">
        <v>937</v>
      </c>
      <c r="F987" s="11" t="s">
        <v>439</v>
      </c>
      <c r="G987" s="11" t="s">
        <v>11</v>
      </c>
      <c r="H987" s="52" t="s">
        <v>1420</v>
      </c>
      <c r="I987" s="20" t="s">
        <v>1421</v>
      </c>
      <c r="J987" s="11">
        <v>72</v>
      </c>
      <c r="K987" s="11">
        <v>0</v>
      </c>
      <c r="L987" s="11">
        <f t="shared" si="117"/>
        <v>72</v>
      </c>
      <c r="M987" s="131"/>
      <c r="N987" s="18">
        <v>46079</v>
      </c>
      <c r="O987" s="117"/>
    </row>
    <row r="988" spans="1:15" x14ac:dyDescent="0.25">
      <c r="A988" s="11">
        <f t="shared" ca="1" si="118"/>
        <v>-34</v>
      </c>
      <c r="B988" s="37">
        <f t="shared" si="119"/>
        <v>2</v>
      </c>
      <c r="C988" s="11" t="s">
        <v>344</v>
      </c>
      <c r="D988" s="11" t="s">
        <v>1330</v>
      </c>
      <c r="E988" s="11" t="s">
        <v>937</v>
      </c>
      <c r="F988" s="11" t="s">
        <v>439</v>
      </c>
      <c r="G988" s="11" t="s">
        <v>11</v>
      </c>
      <c r="H988" s="52" t="s">
        <v>1420</v>
      </c>
      <c r="I988" s="20" t="s">
        <v>1421</v>
      </c>
      <c r="J988" s="11">
        <v>72</v>
      </c>
      <c r="K988" s="11">
        <v>0</v>
      </c>
      <c r="L988" s="11">
        <f t="shared" si="117"/>
        <v>72</v>
      </c>
      <c r="M988" s="131"/>
      <c r="N988" s="18">
        <v>46079</v>
      </c>
      <c r="O988" s="117"/>
    </row>
    <row r="989" spans="1:15" x14ac:dyDescent="0.25">
      <c r="A989" s="11">
        <f t="shared" ca="1" si="118"/>
        <v>-34</v>
      </c>
      <c r="B989" s="37">
        <f t="shared" si="119"/>
        <v>2</v>
      </c>
      <c r="C989" s="11" t="s">
        <v>51</v>
      </c>
      <c r="D989" s="11" t="s">
        <v>1425</v>
      </c>
      <c r="E989" s="11" t="s">
        <v>937</v>
      </c>
      <c r="F989" s="11" t="s">
        <v>439</v>
      </c>
      <c r="G989" s="11" t="s">
        <v>11</v>
      </c>
      <c r="H989" s="52" t="s">
        <v>1420</v>
      </c>
      <c r="I989" s="20" t="s">
        <v>1421</v>
      </c>
      <c r="J989" s="11">
        <v>12</v>
      </c>
      <c r="K989" s="11">
        <v>0</v>
      </c>
      <c r="L989" s="11">
        <f t="shared" si="117"/>
        <v>12</v>
      </c>
      <c r="M989" s="131"/>
      <c r="N989" s="18">
        <v>46079</v>
      </c>
      <c r="O989" s="117"/>
    </row>
    <row r="990" spans="1:15" x14ac:dyDescent="0.25">
      <c r="A990" s="11">
        <f t="shared" ca="1" si="118"/>
        <v>-34</v>
      </c>
      <c r="B990" s="37">
        <f t="shared" si="119"/>
        <v>2</v>
      </c>
      <c r="C990" s="11" t="s">
        <v>111</v>
      </c>
      <c r="D990" s="11" t="s">
        <v>1426</v>
      </c>
      <c r="E990" s="11" t="s">
        <v>937</v>
      </c>
      <c r="F990" s="11" t="s">
        <v>439</v>
      </c>
      <c r="G990" s="11" t="s">
        <v>11</v>
      </c>
      <c r="H990" s="52" t="s">
        <v>1420</v>
      </c>
      <c r="I990" s="20" t="s">
        <v>1421</v>
      </c>
      <c r="J990" s="11">
        <v>12</v>
      </c>
      <c r="K990" s="11">
        <v>0</v>
      </c>
      <c r="L990" s="11">
        <f t="shared" si="117"/>
        <v>12</v>
      </c>
      <c r="M990" s="131"/>
      <c r="N990" s="18">
        <v>46079</v>
      </c>
      <c r="O990" s="117"/>
    </row>
    <row r="991" spans="1:15" x14ac:dyDescent="0.25">
      <c r="A991" s="11">
        <f t="shared" ca="1" si="118"/>
        <v>-34</v>
      </c>
      <c r="B991" s="37">
        <f t="shared" si="119"/>
        <v>2</v>
      </c>
      <c r="C991" s="11" t="s">
        <v>40</v>
      </c>
      <c r="D991" s="11" t="s">
        <v>1427</v>
      </c>
      <c r="E991" s="11" t="s">
        <v>937</v>
      </c>
      <c r="F991" s="11" t="s">
        <v>439</v>
      </c>
      <c r="G991" s="11" t="s">
        <v>11</v>
      </c>
      <c r="H991" s="52" t="s">
        <v>1420</v>
      </c>
      <c r="I991" s="20" t="s">
        <v>1421</v>
      </c>
      <c r="J991" s="11">
        <v>12</v>
      </c>
      <c r="K991" s="11">
        <v>12</v>
      </c>
      <c r="L991" s="11">
        <f t="shared" si="117"/>
        <v>0</v>
      </c>
      <c r="M991" s="131"/>
      <c r="N991" s="18">
        <v>46079</v>
      </c>
      <c r="O991" s="117"/>
    </row>
    <row r="992" spans="1:15" x14ac:dyDescent="0.25">
      <c r="A992" s="11">
        <f t="shared" ca="1" si="118"/>
        <v>-34</v>
      </c>
      <c r="B992" s="37">
        <f t="shared" si="119"/>
        <v>2</v>
      </c>
      <c r="C992" s="11" t="s">
        <v>14</v>
      </c>
      <c r="D992" s="11" t="s">
        <v>1428</v>
      </c>
      <c r="E992" s="11" t="s">
        <v>937</v>
      </c>
      <c r="F992" s="11" t="s">
        <v>439</v>
      </c>
      <c r="G992" s="11" t="s">
        <v>11</v>
      </c>
      <c r="H992" s="52" t="s">
        <v>1420</v>
      </c>
      <c r="I992" s="20" t="s">
        <v>1421</v>
      </c>
      <c r="J992" s="11">
        <v>12</v>
      </c>
      <c r="K992" s="11">
        <v>12</v>
      </c>
      <c r="L992" s="11">
        <f t="shared" si="117"/>
        <v>0</v>
      </c>
      <c r="M992" s="131"/>
      <c r="N992" s="18">
        <v>46079</v>
      </c>
      <c r="O992" s="117"/>
    </row>
    <row r="993" spans="1:15" x14ac:dyDescent="0.25">
      <c r="A993" s="11">
        <f t="shared" ca="1" si="118"/>
        <v>-34</v>
      </c>
      <c r="B993" s="37">
        <f t="shared" si="119"/>
        <v>2</v>
      </c>
      <c r="C993" s="11" t="s">
        <v>187</v>
      </c>
      <c r="D993" s="11" t="s">
        <v>1429</v>
      </c>
      <c r="E993" s="11" t="s">
        <v>896</v>
      </c>
      <c r="F993" s="11" t="s">
        <v>439</v>
      </c>
      <c r="G993" s="11" t="s">
        <v>11</v>
      </c>
      <c r="H993" s="52" t="s">
        <v>1420</v>
      </c>
      <c r="I993" s="20" t="s">
        <v>1421</v>
      </c>
      <c r="J993" s="11">
        <v>180</v>
      </c>
      <c r="K993" s="11">
        <v>0</v>
      </c>
      <c r="L993" s="11">
        <f t="shared" si="117"/>
        <v>180</v>
      </c>
      <c r="M993" s="131"/>
      <c r="N993" s="18">
        <v>46079</v>
      </c>
      <c r="O993" s="117"/>
    </row>
    <row r="994" spans="1:15" x14ac:dyDescent="0.25">
      <c r="A994" s="11">
        <f t="shared" ca="1" si="118"/>
        <v>-34</v>
      </c>
      <c r="B994" s="37">
        <f t="shared" si="119"/>
        <v>2</v>
      </c>
      <c r="C994" s="11" t="s">
        <v>333</v>
      </c>
      <c r="D994" s="11" t="s">
        <v>902</v>
      </c>
      <c r="E994" s="11" t="s">
        <v>896</v>
      </c>
      <c r="F994" s="11" t="s">
        <v>439</v>
      </c>
      <c r="G994" s="11" t="s">
        <v>11</v>
      </c>
      <c r="H994" s="52" t="s">
        <v>1420</v>
      </c>
      <c r="I994" s="20" t="s">
        <v>1421</v>
      </c>
      <c r="J994" s="11">
        <v>90</v>
      </c>
      <c r="K994" s="11">
        <v>36</v>
      </c>
      <c r="L994" s="11">
        <f t="shared" si="117"/>
        <v>54</v>
      </c>
      <c r="M994" s="131"/>
      <c r="N994" s="18">
        <v>46079</v>
      </c>
      <c r="O994" s="117"/>
    </row>
    <row r="995" spans="1:15" x14ac:dyDescent="0.25">
      <c r="A995" s="11">
        <f t="shared" ca="1" si="118"/>
        <v>-34</v>
      </c>
      <c r="B995" s="37">
        <f t="shared" si="119"/>
        <v>2</v>
      </c>
      <c r="C995" s="11" t="s">
        <v>220</v>
      </c>
      <c r="D995" s="11" t="s">
        <v>1401</v>
      </c>
      <c r="E995" s="11" t="s">
        <v>896</v>
      </c>
      <c r="F995" s="11" t="s">
        <v>439</v>
      </c>
      <c r="G995" s="11" t="s">
        <v>11</v>
      </c>
      <c r="H995" s="52" t="s">
        <v>1420</v>
      </c>
      <c r="I995" s="20" t="s">
        <v>1421</v>
      </c>
      <c r="J995" s="11">
        <v>96</v>
      </c>
      <c r="K995" s="11">
        <v>0</v>
      </c>
      <c r="L995" s="11">
        <f t="shared" si="117"/>
        <v>96</v>
      </c>
      <c r="M995" s="131"/>
      <c r="N995" s="18">
        <v>46079</v>
      </c>
      <c r="O995" s="117"/>
    </row>
    <row r="996" spans="1:15" x14ac:dyDescent="0.25">
      <c r="A996" s="11">
        <f t="shared" ca="1" si="118"/>
        <v>-34</v>
      </c>
      <c r="B996" s="37">
        <f t="shared" si="119"/>
        <v>2</v>
      </c>
      <c r="C996" s="11" t="s">
        <v>150</v>
      </c>
      <c r="D996" s="11" t="s">
        <v>1118</v>
      </c>
      <c r="E996" s="11" t="s">
        <v>896</v>
      </c>
      <c r="F996" s="11" t="s">
        <v>439</v>
      </c>
      <c r="G996" s="11" t="s">
        <v>11</v>
      </c>
      <c r="H996" s="52" t="s">
        <v>1420</v>
      </c>
      <c r="I996" s="20" t="s">
        <v>1421</v>
      </c>
      <c r="J996" s="11">
        <v>96</v>
      </c>
      <c r="K996" s="11">
        <v>0</v>
      </c>
      <c r="L996" s="11">
        <f t="shared" si="117"/>
        <v>96</v>
      </c>
      <c r="M996" s="131"/>
      <c r="N996" s="18">
        <v>46079</v>
      </c>
      <c r="O996" s="117"/>
    </row>
    <row r="997" spans="1:15" x14ac:dyDescent="0.25">
      <c r="A997" s="11">
        <f t="shared" ca="1" si="118"/>
        <v>-34</v>
      </c>
      <c r="B997" s="37">
        <f t="shared" si="119"/>
        <v>2</v>
      </c>
      <c r="C997" s="11" t="s">
        <v>154</v>
      </c>
      <c r="D997" s="11" t="s">
        <v>903</v>
      </c>
      <c r="E997" s="11" t="s">
        <v>896</v>
      </c>
      <c r="F997" s="11" t="s">
        <v>439</v>
      </c>
      <c r="G997" s="11" t="s">
        <v>11</v>
      </c>
      <c r="H997" s="52" t="s">
        <v>1420</v>
      </c>
      <c r="I997" s="20" t="s">
        <v>1421</v>
      </c>
      <c r="J997" s="11">
        <v>20</v>
      </c>
      <c r="K997" s="11">
        <v>0</v>
      </c>
      <c r="L997" s="11">
        <f t="shared" si="117"/>
        <v>20</v>
      </c>
      <c r="M997" s="131"/>
      <c r="N997" s="18">
        <v>46079</v>
      </c>
      <c r="O997" s="117"/>
    </row>
    <row r="998" spans="1:15" x14ac:dyDescent="0.25">
      <c r="A998" s="11">
        <f t="shared" ca="1" si="118"/>
        <v>-34</v>
      </c>
      <c r="B998" s="37">
        <f t="shared" si="119"/>
        <v>2</v>
      </c>
      <c r="C998" s="11" t="s">
        <v>221</v>
      </c>
      <c r="D998" s="11" t="s">
        <v>1430</v>
      </c>
      <c r="E998" s="11" t="s">
        <v>896</v>
      </c>
      <c r="F998" s="11" t="s">
        <v>439</v>
      </c>
      <c r="G998" s="11" t="s">
        <v>11</v>
      </c>
      <c r="H998" s="52" t="s">
        <v>1420</v>
      </c>
      <c r="I998" s="20" t="s">
        <v>1421</v>
      </c>
      <c r="J998" s="11">
        <v>20</v>
      </c>
      <c r="K998" s="11">
        <v>0</v>
      </c>
      <c r="L998" s="11">
        <f t="shared" si="117"/>
        <v>20</v>
      </c>
      <c r="M998" s="131"/>
      <c r="N998" s="18">
        <v>46079</v>
      </c>
      <c r="O998" s="117"/>
    </row>
    <row r="999" spans="1:15" x14ac:dyDescent="0.25">
      <c r="A999" s="11">
        <f t="shared" ca="1" si="118"/>
        <v>-34</v>
      </c>
      <c r="B999" s="37">
        <f t="shared" si="119"/>
        <v>2</v>
      </c>
      <c r="C999" s="11" t="s">
        <v>222</v>
      </c>
      <c r="D999" s="11" t="s">
        <v>1431</v>
      </c>
      <c r="E999" s="11" t="s">
        <v>896</v>
      </c>
      <c r="F999" s="11" t="s">
        <v>439</v>
      </c>
      <c r="G999" s="11" t="s">
        <v>11</v>
      </c>
      <c r="H999" s="52" t="s">
        <v>1420</v>
      </c>
      <c r="I999" s="20" t="s">
        <v>1421</v>
      </c>
      <c r="J999" s="11">
        <v>54</v>
      </c>
      <c r="K999" s="11">
        <v>0</v>
      </c>
      <c r="L999" s="11">
        <f t="shared" si="117"/>
        <v>54</v>
      </c>
      <c r="M999" s="131"/>
      <c r="N999" s="18">
        <v>46079</v>
      </c>
      <c r="O999" s="117"/>
    </row>
    <row r="1000" spans="1:15" x14ac:dyDescent="0.25">
      <c r="A1000" s="11">
        <f t="shared" ca="1" si="118"/>
        <v>-34</v>
      </c>
      <c r="B1000" s="37">
        <f t="shared" si="119"/>
        <v>2</v>
      </c>
      <c r="C1000" s="11" t="s">
        <v>257</v>
      </c>
      <c r="D1000" s="11" t="s">
        <v>1432</v>
      </c>
      <c r="E1000" s="11" t="s">
        <v>896</v>
      </c>
      <c r="F1000" s="11" t="s">
        <v>439</v>
      </c>
      <c r="G1000" s="11" t="s">
        <v>11</v>
      </c>
      <c r="H1000" s="52" t="s">
        <v>1420</v>
      </c>
      <c r="I1000" s="20" t="s">
        <v>1421</v>
      </c>
      <c r="J1000" s="11">
        <v>54</v>
      </c>
      <c r="K1000" s="11">
        <v>54</v>
      </c>
      <c r="L1000" s="11">
        <f t="shared" si="117"/>
        <v>0</v>
      </c>
      <c r="M1000" s="131"/>
      <c r="N1000" s="18">
        <v>46079</v>
      </c>
      <c r="O1000" s="117"/>
    </row>
    <row r="1001" spans="1:15" x14ac:dyDescent="0.25">
      <c r="A1001" s="11">
        <f t="shared" ca="1" si="118"/>
        <v>-34</v>
      </c>
      <c r="B1001" s="37">
        <f t="shared" si="119"/>
        <v>2</v>
      </c>
      <c r="C1001" s="11" t="s">
        <v>258</v>
      </c>
      <c r="D1001" s="11" t="s">
        <v>1403</v>
      </c>
      <c r="E1001" s="11" t="s">
        <v>896</v>
      </c>
      <c r="F1001" s="11" t="s">
        <v>439</v>
      </c>
      <c r="G1001" s="11" t="s">
        <v>11</v>
      </c>
      <c r="H1001" s="52" t="s">
        <v>1420</v>
      </c>
      <c r="I1001" s="20" t="s">
        <v>1421</v>
      </c>
      <c r="J1001" s="11">
        <v>54</v>
      </c>
      <c r="K1001" s="11">
        <v>0</v>
      </c>
      <c r="L1001" s="11">
        <f t="shared" si="117"/>
        <v>54</v>
      </c>
      <c r="M1001" s="131"/>
      <c r="N1001" s="18">
        <v>46079</v>
      </c>
      <c r="O1001" s="117"/>
    </row>
    <row r="1002" spans="1:15" x14ac:dyDescent="0.25">
      <c r="A1002" s="11">
        <f t="shared" ca="1" si="118"/>
        <v>-34</v>
      </c>
      <c r="B1002" s="37">
        <f t="shared" si="119"/>
        <v>2</v>
      </c>
      <c r="C1002" s="11" t="s">
        <v>259</v>
      </c>
      <c r="D1002" s="11" t="s">
        <v>1404</v>
      </c>
      <c r="E1002" s="11" t="s">
        <v>896</v>
      </c>
      <c r="F1002" s="11" t="s">
        <v>439</v>
      </c>
      <c r="G1002" s="11" t="s">
        <v>11</v>
      </c>
      <c r="H1002" s="52" t="s">
        <v>1420</v>
      </c>
      <c r="I1002" s="20" t="s">
        <v>1421</v>
      </c>
      <c r="J1002" s="11">
        <v>54</v>
      </c>
      <c r="K1002" s="11">
        <v>0</v>
      </c>
      <c r="L1002" s="11">
        <f t="shared" si="117"/>
        <v>54</v>
      </c>
      <c r="M1002" s="131"/>
      <c r="N1002" s="18">
        <v>46079</v>
      </c>
      <c r="O1002" s="117"/>
    </row>
    <row r="1003" spans="1:15" x14ac:dyDescent="0.25">
      <c r="A1003" s="11">
        <f t="shared" ca="1" si="118"/>
        <v>-34</v>
      </c>
      <c r="B1003" s="37">
        <f t="shared" si="119"/>
        <v>2</v>
      </c>
      <c r="C1003" s="11" t="s">
        <v>336</v>
      </c>
      <c r="D1003" s="11" t="s">
        <v>1120</v>
      </c>
      <c r="E1003" s="11" t="s">
        <v>896</v>
      </c>
      <c r="F1003" s="11" t="s">
        <v>439</v>
      </c>
      <c r="G1003" s="11" t="s">
        <v>11</v>
      </c>
      <c r="H1003" s="52" t="s">
        <v>1420</v>
      </c>
      <c r="I1003" s="20" t="s">
        <v>1421</v>
      </c>
      <c r="J1003" s="11">
        <v>6</v>
      </c>
      <c r="K1003" s="11">
        <v>6</v>
      </c>
      <c r="L1003" s="11">
        <f t="shared" si="117"/>
        <v>0</v>
      </c>
      <c r="M1003" s="131"/>
      <c r="N1003" s="18">
        <v>46079</v>
      </c>
      <c r="O1003" s="117"/>
    </row>
    <row r="1004" spans="1:15" x14ac:dyDescent="0.25">
      <c r="A1004" s="11">
        <f t="shared" ca="1" si="118"/>
        <v>-34</v>
      </c>
      <c r="B1004" s="37">
        <f t="shared" si="119"/>
        <v>2</v>
      </c>
      <c r="C1004" s="11" t="s">
        <v>155</v>
      </c>
      <c r="D1004" s="11" t="s">
        <v>913</v>
      </c>
      <c r="E1004" s="11" t="s">
        <v>896</v>
      </c>
      <c r="F1004" s="11" t="s">
        <v>439</v>
      </c>
      <c r="G1004" s="11" t="s">
        <v>11</v>
      </c>
      <c r="H1004" s="52" t="s">
        <v>1420</v>
      </c>
      <c r="I1004" s="20" t="s">
        <v>1421</v>
      </c>
      <c r="J1004" s="11">
        <v>12</v>
      </c>
      <c r="K1004" s="11">
        <v>0</v>
      </c>
      <c r="L1004" s="11">
        <f t="shared" si="117"/>
        <v>12</v>
      </c>
      <c r="M1004" s="131"/>
      <c r="N1004" s="18">
        <v>46079</v>
      </c>
      <c r="O1004" s="117"/>
    </row>
    <row r="1005" spans="1:15" x14ac:dyDescent="0.25">
      <c r="A1005" s="11">
        <f t="shared" ca="1" si="118"/>
        <v>-34</v>
      </c>
      <c r="B1005" s="37">
        <f t="shared" si="119"/>
        <v>2</v>
      </c>
      <c r="C1005" s="11" t="s">
        <v>156</v>
      </c>
      <c r="D1005" s="11" t="s">
        <v>1433</v>
      </c>
      <c r="E1005" s="11" t="s">
        <v>896</v>
      </c>
      <c r="F1005" s="11" t="s">
        <v>439</v>
      </c>
      <c r="G1005" s="11" t="s">
        <v>11</v>
      </c>
      <c r="H1005" s="52" t="s">
        <v>1420</v>
      </c>
      <c r="I1005" s="20" t="s">
        <v>1421</v>
      </c>
      <c r="J1005" s="11">
        <v>10</v>
      </c>
      <c r="K1005" s="11">
        <v>0</v>
      </c>
      <c r="L1005" s="11">
        <f t="shared" si="117"/>
        <v>10</v>
      </c>
      <c r="M1005" s="131"/>
      <c r="N1005" s="18">
        <v>46079</v>
      </c>
      <c r="O1005" s="117"/>
    </row>
    <row r="1006" spans="1:15" x14ac:dyDescent="0.25">
      <c r="A1006" s="11">
        <f t="shared" ca="1" si="118"/>
        <v>-34</v>
      </c>
      <c r="B1006" s="37">
        <f t="shared" si="119"/>
        <v>2</v>
      </c>
      <c r="C1006" s="11" t="s">
        <v>157</v>
      </c>
      <c r="D1006" s="11" t="s">
        <v>1434</v>
      </c>
      <c r="E1006" s="11" t="s">
        <v>896</v>
      </c>
      <c r="F1006" s="11" t="s">
        <v>439</v>
      </c>
      <c r="G1006" s="11" t="s">
        <v>11</v>
      </c>
      <c r="H1006" s="52" t="s">
        <v>1420</v>
      </c>
      <c r="I1006" s="20" t="s">
        <v>1421</v>
      </c>
      <c r="J1006" s="11">
        <v>6</v>
      </c>
      <c r="K1006" s="11">
        <v>0</v>
      </c>
      <c r="L1006" s="11">
        <f t="shared" si="117"/>
        <v>6</v>
      </c>
      <c r="M1006" s="131"/>
      <c r="N1006" s="18">
        <v>46079</v>
      </c>
      <c r="O1006" s="117"/>
    </row>
    <row r="1007" spans="1:15" x14ac:dyDescent="0.25">
      <c r="A1007" s="11">
        <f t="shared" ca="1" si="118"/>
        <v>-34</v>
      </c>
      <c r="B1007" s="37">
        <f t="shared" si="119"/>
        <v>2</v>
      </c>
      <c r="C1007" s="11" t="s">
        <v>66</v>
      </c>
      <c r="D1007" s="11" t="s">
        <v>1331</v>
      </c>
      <c r="E1007" s="11" t="s">
        <v>896</v>
      </c>
      <c r="F1007" s="11" t="s">
        <v>439</v>
      </c>
      <c r="G1007" s="11" t="s">
        <v>11</v>
      </c>
      <c r="H1007" s="52" t="s">
        <v>1420</v>
      </c>
      <c r="I1007" s="20" t="s">
        <v>1421</v>
      </c>
      <c r="J1007" s="11">
        <v>120</v>
      </c>
      <c r="K1007" s="11">
        <v>0</v>
      </c>
      <c r="L1007" s="11">
        <f t="shared" si="117"/>
        <v>120</v>
      </c>
      <c r="M1007" s="131"/>
      <c r="N1007" s="18">
        <v>46079</v>
      </c>
      <c r="O1007" s="117"/>
    </row>
    <row r="1008" spans="1:15" x14ac:dyDescent="0.25">
      <c r="A1008" s="11">
        <f t="shared" ca="1" si="118"/>
        <v>-34</v>
      </c>
      <c r="B1008" s="37">
        <f t="shared" si="119"/>
        <v>2</v>
      </c>
      <c r="C1008" s="11" t="s">
        <v>283</v>
      </c>
      <c r="D1008" s="11" t="s">
        <v>1331</v>
      </c>
      <c r="E1008" s="11" t="s">
        <v>926</v>
      </c>
      <c r="F1008" s="11" t="s">
        <v>439</v>
      </c>
      <c r="G1008" s="11" t="s">
        <v>11</v>
      </c>
      <c r="H1008" s="52" t="s">
        <v>1420</v>
      </c>
      <c r="I1008" s="20" t="s">
        <v>1421</v>
      </c>
      <c r="J1008" s="11">
        <v>120</v>
      </c>
      <c r="K1008" s="11">
        <v>0</v>
      </c>
      <c r="L1008" s="11">
        <f t="shared" si="117"/>
        <v>120</v>
      </c>
      <c r="M1008" s="131"/>
      <c r="N1008" s="18">
        <v>46079</v>
      </c>
      <c r="O1008" s="117"/>
    </row>
    <row r="1009" spans="1:15" x14ac:dyDescent="0.25">
      <c r="A1009" s="11">
        <f t="shared" ca="1" si="118"/>
        <v>-34</v>
      </c>
      <c r="B1009" s="37">
        <f t="shared" si="119"/>
        <v>2</v>
      </c>
      <c r="C1009" s="64" t="s">
        <v>225</v>
      </c>
      <c r="D1009" s="64" t="s">
        <v>796</v>
      </c>
      <c r="E1009" s="64" t="s">
        <v>896</v>
      </c>
      <c r="F1009" s="64" t="s">
        <v>439</v>
      </c>
      <c r="G1009" s="64" t="s">
        <v>11</v>
      </c>
      <c r="H1009" s="66" t="s">
        <v>1420</v>
      </c>
      <c r="I1009" s="64" t="s">
        <v>1421</v>
      </c>
      <c r="J1009" s="64">
        <v>144</v>
      </c>
      <c r="K1009" s="64">
        <v>0</v>
      </c>
      <c r="L1009" s="11">
        <f t="shared" si="117"/>
        <v>144</v>
      </c>
      <c r="M1009" s="131"/>
      <c r="N1009" s="18">
        <v>46079</v>
      </c>
      <c r="O1009" s="117"/>
    </row>
    <row r="1010" spans="1:15" x14ac:dyDescent="0.25">
      <c r="A1010" s="11">
        <f t="shared" ca="1" si="118"/>
        <v>-34</v>
      </c>
      <c r="B1010" s="37">
        <f t="shared" si="119"/>
        <v>2</v>
      </c>
      <c r="C1010" s="64" t="s">
        <v>226</v>
      </c>
      <c r="D1010" s="64" t="s">
        <v>1405</v>
      </c>
      <c r="E1010" s="64" t="s">
        <v>896</v>
      </c>
      <c r="F1010" s="64" t="s">
        <v>439</v>
      </c>
      <c r="G1010" s="64" t="s">
        <v>11</v>
      </c>
      <c r="H1010" s="66" t="s">
        <v>1420</v>
      </c>
      <c r="I1010" s="64" t="s">
        <v>1421</v>
      </c>
      <c r="J1010" s="64">
        <v>144</v>
      </c>
      <c r="K1010" s="64">
        <v>0</v>
      </c>
      <c r="L1010" s="11">
        <f t="shared" si="117"/>
        <v>144</v>
      </c>
      <c r="M1010" s="131"/>
      <c r="N1010" s="18">
        <v>46079</v>
      </c>
      <c r="O1010" s="117"/>
    </row>
    <row r="1011" spans="1:15" x14ac:dyDescent="0.25">
      <c r="A1011" s="11">
        <f t="shared" ca="1" si="118"/>
        <v>-34</v>
      </c>
      <c r="B1011" s="37">
        <f t="shared" si="119"/>
        <v>2</v>
      </c>
      <c r="C1011" s="64" t="s">
        <v>180</v>
      </c>
      <c r="D1011" s="64" t="s">
        <v>1136</v>
      </c>
      <c r="E1011" s="64" t="s">
        <v>896</v>
      </c>
      <c r="F1011" s="64" t="s">
        <v>439</v>
      </c>
      <c r="G1011" s="64" t="s">
        <v>11</v>
      </c>
      <c r="H1011" s="66" t="s">
        <v>1420</v>
      </c>
      <c r="I1011" s="64" t="s">
        <v>1421</v>
      </c>
      <c r="J1011" s="64">
        <v>96</v>
      </c>
      <c r="K1011" s="64">
        <v>0</v>
      </c>
      <c r="L1011" s="11">
        <f t="shared" si="117"/>
        <v>96</v>
      </c>
      <c r="M1011" s="131"/>
      <c r="N1011" s="18">
        <v>46079</v>
      </c>
      <c r="O1011" s="117"/>
    </row>
    <row r="1012" spans="1:15" x14ac:dyDescent="0.25">
      <c r="A1012" s="11">
        <f t="shared" ca="1" si="118"/>
        <v>-34</v>
      </c>
      <c r="B1012" s="37">
        <f t="shared" si="119"/>
        <v>2</v>
      </c>
      <c r="C1012" s="64" t="s">
        <v>182</v>
      </c>
      <c r="D1012" s="64" t="s">
        <v>905</v>
      </c>
      <c r="E1012" s="64" t="s">
        <v>896</v>
      </c>
      <c r="F1012" s="64" t="s">
        <v>439</v>
      </c>
      <c r="G1012" s="64" t="s">
        <v>11</v>
      </c>
      <c r="H1012" s="66" t="s">
        <v>1420</v>
      </c>
      <c r="I1012" s="64" t="s">
        <v>1421</v>
      </c>
      <c r="J1012" s="64">
        <v>120</v>
      </c>
      <c r="K1012" s="64">
        <v>0</v>
      </c>
      <c r="L1012" s="11">
        <f t="shared" si="117"/>
        <v>120</v>
      </c>
      <c r="M1012" s="131"/>
      <c r="N1012" s="18">
        <v>46079</v>
      </c>
      <c r="O1012" s="117"/>
    </row>
    <row r="1013" spans="1:15" x14ac:dyDescent="0.25">
      <c r="A1013" s="11">
        <f t="shared" ca="1" si="118"/>
        <v>-34</v>
      </c>
      <c r="B1013" s="37">
        <f t="shared" si="119"/>
        <v>2</v>
      </c>
      <c r="C1013" s="11" t="s">
        <v>125</v>
      </c>
      <c r="D1013" s="11" t="s">
        <v>905</v>
      </c>
      <c r="E1013" s="11" t="s">
        <v>1011</v>
      </c>
      <c r="F1013" s="11" t="s">
        <v>439</v>
      </c>
      <c r="G1013" s="11" t="s">
        <v>11</v>
      </c>
      <c r="H1013" s="52" t="s">
        <v>1420</v>
      </c>
      <c r="I1013" s="20" t="s">
        <v>1421</v>
      </c>
      <c r="J1013" s="11">
        <v>60</v>
      </c>
      <c r="K1013" s="11">
        <v>4</v>
      </c>
      <c r="L1013" s="11">
        <f t="shared" si="117"/>
        <v>56</v>
      </c>
      <c r="M1013" s="131"/>
      <c r="N1013" s="18">
        <v>46079</v>
      </c>
      <c r="O1013" s="117"/>
    </row>
    <row r="1014" spans="1:15" x14ac:dyDescent="0.25">
      <c r="A1014" s="11">
        <f t="shared" ca="1" si="118"/>
        <v>-34</v>
      </c>
      <c r="B1014" s="37">
        <f t="shared" si="119"/>
        <v>2</v>
      </c>
      <c r="C1014" s="64" t="s">
        <v>129</v>
      </c>
      <c r="D1014" s="64" t="s">
        <v>905</v>
      </c>
      <c r="E1014" s="64" t="s">
        <v>907</v>
      </c>
      <c r="F1014" s="64" t="s">
        <v>439</v>
      </c>
      <c r="G1014" s="64" t="s">
        <v>11</v>
      </c>
      <c r="H1014" s="66" t="s">
        <v>1420</v>
      </c>
      <c r="I1014" s="64" t="s">
        <v>1421</v>
      </c>
      <c r="J1014" s="64">
        <v>60</v>
      </c>
      <c r="K1014" s="64">
        <v>0</v>
      </c>
      <c r="L1014" s="11">
        <f t="shared" si="117"/>
        <v>60</v>
      </c>
      <c r="M1014" s="131"/>
      <c r="N1014" s="18">
        <v>46079</v>
      </c>
      <c r="O1014" s="117"/>
    </row>
    <row r="1015" spans="1:15" x14ac:dyDescent="0.25">
      <c r="A1015" s="11">
        <f t="shared" ca="1" si="118"/>
        <v>-34</v>
      </c>
      <c r="B1015" s="37">
        <f t="shared" si="119"/>
        <v>2</v>
      </c>
      <c r="C1015" s="64" t="s">
        <v>130</v>
      </c>
      <c r="D1015" s="64" t="s">
        <v>905</v>
      </c>
      <c r="E1015" s="64" t="s">
        <v>891</v>
      </c>
      <c r="F1015" s="64" t="s">
        <v>439</v>
      </c>
      <c r="G1015" s="64" t="s">
        <v>11</v>
      </c>
      <c r="H1015" s="66" t="s">
        <v>1420</v>
      </c>
      <c r="I1015" s="64" t="s">
        <v>1421</v>
      </c>
      <c r="J1015" s="64">
        <v>60</v>
      </c>
      <c r="K1015" s="64">
        <v>0</v>
      </c>
      <c r="L1015" s="11">
        <f t="shared" si="117"/>
        <v>60</v>
      </c>
      <c r="M1015" s="131"/>
      <c r="N1015" s="18">
        <v>46079</v>
      </c>
      <c r="O1015" s="117"/>
    </row>
    <row r="1016" spans="1:15" x14ac:dyDescent="0.25">
      <c r="A1016" s="11">
        <f t="shared" ca="1" si="118"/>
        <v>-34</v>
      </c>
      <c r="B1016" s="37">
        <f t="shared" si="119"/>
        <v>2</v>
      </c>
      <c r="C1016" s="64" t="s">
        <v>44</v>
      </c>
      <c r="D1016" s="64" t="s">
        <v>910</v>
      </c>
      <c r="E1016" s="64" t="s">
        <v>896</v>
      </c>
      <c r="F1016" s="64" t="s">
        <v>439</v>
      </c>
      <c r="G1016" s="64" t="s">
        <v>11</v>
      </c>
      <c r="H1016" s="66" t="s">
        <v>1420</v>
      </c>
      <c r="I1016" s="64" t="s">
        <v>1421</v>
      </c>
      <c r="J1016" s="64">
        <v>24</v>
      </c>
      <c r="K1016" s="64">
        <v>0</v>
      </c>
      <c r="L1016" s="11">
        <f t="shared" si="117"/>
        <v>24</v>
      </c>
      <c r="M1016" s="131"/>
      <c r="N1016" s="18">
        <v>46079</v>
      </c>
      <c r="O1016" s="117"/>
    </row>
    <row r="1017" spans="1:15" x14ac:dyDescent="0.25">
      <c r="A1017" s="11">
        <f t="shared" ca="1" si="118"/>
        <v>-34</v>
      </c>
      <c r="B1017" s="37">
        <f t="shared" si="119"/>
        <v>2</v>
      </c>
      <c r="C1017" s="64" t="s">
        <v>80</v>
      </c>
      <c r="D1017" s="64" t="s">
        <v>1435</v>
      </c>
      <c r="E1017" s="64" t="s">
        <v>896</v>
      </c>
      <c r="F1017" s="64" t="s">
        <v>439</v>
      </c>
      <c r="G1017" s="64" t="s">
        <v>11</v>
      </c>
      <c r="H1017" s="66" t="s">
        <v>1420</v>
      </c>
      <c r="I1017" s="64" t="s">
        <v>1421</v>
      </c>
      <c r="J1017" s="64">
        <v>408</v>
      </c>
      <c r="K1017" s="64">
        <v>0</v>
      </c>
      <c r="L1017" s="11">
        <f t="shared" si="117"/>
        <v>408</v>
      </c>
      <c r="M1017" s="131"/>
      <c r="N1017" s="18">
        <v>46079</v>
      </c>
      <c r="O1017" s="117"/>
    </row>
    <row r="1018" spans="1:15" x14ac:dyDescent="0.25">
      <c r="A1018" s="11">
        <f t="shared" ca="1" si="118"/>
        <v>-34</v>
      </c>
      <c r="B1018" s="37">
        <f t="shared" si="119"/>
        <v>2</v>
      </c>
      <c r="C1018" s="64" t="s">
        <v>83</v>
      </c>
      <c r="D1018" s="64" t="s">
        <v>1435</v>
      </c>
      <c r="E1018" s="64" t="s">
        <v>926</v>
      </c>
      <c r="F1018" s="64" t="s">
        <v>439</v>
      </c>
      <c r="G1018" s="64" t="s">
        <v>11</v>
      </c>
      <c r="H1018" s="66" t="s">
        <v>1420</v>
      </c>
      <c r="I1018" s="64" t="s">
        <v>1421</v>
      </c>
      <c r="J1018" s="64">
        <v>408</v>
      </c>
      <c r="K1018" s="64">
        <v>0</v>
      </c>
      <c r="L1018" s="11">
        <f t="shared" si="117"/>
        <v>408</v>
      </c>
      <c r="M1018" s="131"/>
      <c r="N1018" s="18">
        <v>46079</v>
      </c>
      <c r="O1018" s="117"/>
    </row>
    <row r="1019" spans="1:15" x14ac:dyDescent="0.25">
      <c r="A1019" s="11">
        <f t="shared" ca="1" si="118"/>
        <v>-34</v>
      </c>
      <c r="B1019" s="37">
        <f t="shared" si="119"/>
        <v>2</v>
      </c>
      <c r="C1019" s="64" t="s">
        <v>85</v>
      </c>
      <c r="D1019" s="64" t="s">
        <v>1436</v>
      </c>
      <c r="E1019" s="64" t="s">
        <v>896</v>
      </c>
      <c r="F1019" s="64" t="s">
        <v>439</v>
      </c>
      <c r="G1019" s="64" t="s">
        <v>11</v>
      </c>
      <c r="H1019" s="66" t="s">
        <v>1420</v>
      </c>
      <c r="I1019" s="64" t="s">
        <v>1421</v>
      </c>
      <c r="J1019" s="64">
        <v>288</v>
      </c>
      <c r="K1019" s="64">
        <v>0</v>
      </c>
      <c r="L1019" s="11">
        <f t="shared" si="117"/>
        <v>288</v>
      </c>
      <c r="M1019" s="131"/>
      <c r="N1019" s="18">
        <v>46079</v>
      </c>
      <c r="O1019" s="117"/>
    </row>
    <row r="1020" spans="1:15" x14ac:dyDescent="0.25">
      <c r="A1020" s="11">
        <f t="shared" ca="1" si="118"/>
        <v>-34</v>
      </c>
      <c r="B1020" s="37">
        <f t="shared" si="119"/>
        <v>2</v>
      </c>
      <c r="C1020" s="11" t="s">
        <v>390</v>
      </c>
      <c r="D1020" s="11" t="s">
        <v>1436</v>
      </c>
      <c r="E1020" s="11" t="s">
        <v>926</v>
      </c>
      <c r="F1020" s="11" t="s">
        <v>439</v>
      </c>
      <c r="G1020" s="11" t="s">
        <v>11</v>
      </c>
      <c r="H1020" s="52" t="s">
        <v>1420</v>
      </c>
      <c r="I1020" s="20" t="s">
        <v>1421</v>
      </c>
      <c r="J1020" s="11">
        <v>288</v>
      </c>
      <c r="K1020" s="11">
        <v>288</v>
      </c>
      <c r="L1020" s="11">
        <f t="shared" si="117"/>
        <v>0</v>
      </c>
      <c r="M1020" s="131"/>
      <c r="N1020" s="18">
        <v>46079</v>
      </c>
      <c r="O1020" s="117"/>
    </row>
    <row r="1021" spans="1:15" x14ac:dyDescent="0.25">
      <c r="A1021" s="11">
        <f t="shared" ca="1" si="118"/>
        <v>-34</v>
      </c>
      <c r="B1021" s="37">
        <f t="shared" si="119"/>
        <v>2</v>
      </c>
      <c r="C1021" s="11" t="s">
        <v>188</v>
      </c>
      <c r="D1021" s="11" t="s">
        <v>905</v>
      </c>
      <c r="E1021" s="11" t="s">
        <v>899</v>
      </c>
      <c r="F1021" s="11" t="s">
        <v>439</v>
      </c>
      <c r="G1021" s="11" t="s">
        <v>11</v>
      </c>
      <c r="H1021" s="52" t="s">
        <v>1420</v>
      </c>
      <c r="I1021" s="20" t="s">
        <v>1421</v>
      </c>
      <c r="J1021" s="11">
        <v>60</v>
      </c>
      <c r="K1021" s="11">
        <v>0</v>
      </c>
      <c r="L1021" s="11">
        <f t="shared" si="117"/>
        <v>60</v>
      </c>
      <c r="M1021" s="131"/>
      <c r="N1021" s="18">
        <v>46079</v>
      </c>
      <c r="O1021" s="117"/>
    </row>
    <row r="1022" spans="1:15" x14ac:dyDescent="0.25">
      <c r="A1022" s="11">
        <f t="shared" ca="1" si="118"/>
        <v>-34</v>
      </c>
      <c r="B1022" s="37">
        <f t="shared" si="119"/>
        <v>2</v>
      </c>
      <c r="C1022" s="11" t="s">
        <v>206</v>
      </c>
      <c r="D1022" s="11" t="s">
        <v>1437</v>
      </c>
      <c r="E1022" s="11" t="s">
        <v>1294</v>
      </c>
      <c r="F1022" s="11" t="s">
        <v>439</v>
      </c>
      <c r="G1022" s="11" t="s">
        <v>11</v>
      </c>
      <c r="H1022" s="52" t="s">
        <v>1422</v>
      </c>
      <c r="I1022" s="20" t="s">
        <v>1421</v>
      </c>
      <c r="J1022" s="11">
        <v>15</v>
      </c>
      <c r="K1022" s="11">
        <v>15</v>
      </c>
      <c r="L1022" s="11">
        <f t="shared" si="117"/>
        <v>0</v>
      </c>
      <c r="M1022" s="131">
        <v>0.68108108108108112</v>
      </c>
      <c r="N1022" s="18">
        <v>46079</v>
      </c>
      <c r="O1022" s="117"/>
    </row>
    <row r="1023" spans="1:15" x14ac:dyDescent="0.25">
      <c r="A1023" s="11">
        <f t="shared" ca="1" si="118"/>
        <v>-34</v>
      </c>
      <c r="B1023" s="37">
        <f t="shared" si="119"/>
        <v>2</v>
      </c>
      <c r="C1023" s="11" t="s">
        <v>209</v>
      </c>
      <c r="D1023" s="11" t="s">
        <v>1438</v>
      </c>
      <c r="E1023" s="11" t="s">
        <v>1294</v>
      </c>
      <c r="F1023" s="11" t="s">
        <v>439</v>
      </c>
      <c r="G1023" s="11" t="s">
        <v>11</v>
      </c>
      <c r="H1023" s="52" t="s">
        <v>1422</v>
      </c>
      <c r="I1023" s="20" t="s">
        <v>1421</v>
      </c>
      <c r="J1023" s="11">
        <v>10</v>
      </c>
      <c r="K1023" s="11">
        <v>10</v>
      </c>
      <c r="L1023" s="11">
        <f t="shared" si="117"/>
        <v>0</v>
      </c>
      <c r="M1023" s="131"/>
      <c r="N1023" s="18">
        <v>46079</v>
      </c>
      <c r="O1023" s="117"/>
    </row>
    <row r="1024" spans="1:15" x14ac:dyDescent="0.25">
      <c r="A1024" s="11">
        <f t="shared" ca="1" si="118"/>
        <v>-34</v>
      </c>
      <c r="B1024" s="37">
        <f t="shared" si="119"/>
        <v>2</v>
      </c>
      <c r="C1024" s="11" t="s">
        <v>158</v>
      </c>
      <c r="D1024" s="11" t="s">
        <v>1439</v>
      </c>
      <c r="E1024" s="11" t="s">
        <v>1294</v>
      </c>
      <c r="F1024" s="11" t="s">
        <v>439</v>
      </c>
      <c r="G1024" s="11" t="s">
        <v>11</v>
      </c>
      <c r="H1024" s="52" t="s">
        <v>1422</v>
      </c>
      <c r="I1024" s="20" t="s">
        <v>1421</v>
      </c>
      <c r="J1024" s="11">
        <v>30</v>
      </c>
      <c r="K1024" s="11">
        <v>30</v>
      </c>
      <c r="L1024" s="11">
        <f t="shared" si="117"/>
        <v>0</v>
      </c>
      <c r="M1024" s="131"/>
      <c r="N1024" s="18">
        <v>46079</v>
      </c>
      <c r="O1024" s="117"/>
    </row>
    <row r="1025" spans="1:16" x14ac:dyDescent="0.25">
      <c r="A1025" s="11">
        <f t="shared" ca="1" si="118"/>
        <v>-34</v>
      </c>
      <c r="B1025" s="37">
        <f t="shared" si="119"/>
        <v>2</v>
      </c>
      <c r="C1025" s="11" t="s">
        <v>45</v>
      </c>
      <c r="D1025" s="11" t="s">
        <v>1440</v>
      </c>
      <c r="E1025" s="11" t="s">
        <v>1294</v>
      </c>
      <c r="F1025" s="11" t="s">
        <v>439</v>
      </c>
      <c r="G1025" s="11" t="s">
        <v>11</v>
      </c>
      <c r="H1025" s="52" t="s">
        <v>1422</v>
      </c>
      <c r="I1025" s="20" t="s">
        <v>1421</v>
      </c>
      <c r="J1025" s="11">
        <v>40</v>
      </c>
      <c r="K1025" s="11">
        <v>40</v>
      </c>
      <c r="L1025" s="11">
        <f t="shared" si="117"/>
        <v>0</v>
      </c>
      <c r="M1025" s="131"/>
      <c r="N1025" s="18">
        <v>46079</v>
      </c>
      <c r="O1025" s="117"/>
    </row>
    <row r="1026" spans="1:16" x14ac:dyDescent="0.25">
      <c r="A1026" s="11">
        <f t="shared" ca="1" si="118"/>
        <v>-34</v>
      </c>
      <c r="B1026" s="37">
        <f t="shared" si="119"/>
        <v>2</v>
      </c>
      <c r="C1026" s="11" t="s">
        <v>37</v>
      </c>
      <c r="D1026" s="11" t="s">
        <v>1441</v>
      </c>
      <c r="E1026" s="11" t="s">
        <v>1294</v>
      </c>
      <c r="F1026" s="11" t="s">
        <v>439</v>
      </c>
      <c r="G1026" s="11" t="s">
        <v>11</v>
      </c>
      <c r="H1026" s="52" t="s">
        <v>1422</v>
      </c>
      <c r="I1026" s="20" t="s">
        <v>1421</v>
      </c>
      <c r="J1026" s="11">
        <v>50</v>
      </c>
      <c r="K1026" s="11">
        <v>23</v>
      </c>
      <c r="L1026" s="11">
        <f t="shared" si="117"/>
        <v>27</v>
      </c>
      <c r="M1026" s="131"/>
      <c r="N1026" s="18">
        <v>46079</v>
      </c>
      <c r="O1026" s="117"/>
    </row>
    <row r="1027" spans="1:16" x14ac:dyDescent="0.25">
      <c r="A1027" s="11">
        <f t="shared" ca="1" si="118"/>
        <v>-34</v>
      </c>
      <c r="B1027" s="37">
        <f t="shared" si="119"/>
        <v>2</v>
      </c>
      <c r="C1027" s="11" t="s">
        <v>416</v>
      </c>
      <c r="D1027" s="11" t="s">
        <v>1442</v>
      </c>
      <c r="E1027" s="11" t="s">
        <v>1294</v>
      </c>
      <c r="F1027" s="11" t="s">
        <v>439</v>
      </c>
      <c r="G1027" s="11" t="s">
        <v>11</v>
      </c>
      <c r="H1027" s="52" t="s">
        <v>1422</v>
      </c>
      <c r="I1027" s="20" t="s">
        <v>1421</v>
      </c>
      <c r="J1027" s="11">
        <v>30</v>
      </c>
      <c r="K1027" s="11">
        <v>8</v>
      </c>
      <c r="L1027" s="11">
        <f t="shared" si="117"/>
        <v>22</v>
      </c>
      <c r="M1027" s="131"/>
      <c r="N1027" s="18">
        <v>46079</v>
      </c>
      <c r="O1027" s="117"/>
    </row>
    <row r="1028" spans="1:16" x14ac:dyDescent="0.25">
      <c r="A1028" s="11">
        <f t="shared" ca="1" si="118"/>
        <v>-34</v>
      </c>
      <c r="B1028" s="37">
        <f t="shared" si="119"/>
        <v>2</v>
      </c>
      <c r="C1028" s="11" t="s">
        <v>212</v>
      </c>
      <c r="D1028" s="11" t="s">
        <v>1295</v>
      </c>
      <c r="E1028" s="11" t="s">
        <v>1294</v>
      </c>
      <c r="F1028" s="11" t="s">
        <v>439</v>
      </c>
      <c r="G1028" s="11" t="s">
        <v>11</v>
      </c>
      <c r="H1028" s="52" t="s">
        <v>1422</v>
      </c>
      <c r="I1028" s="20" t="s">
        <v>1421</v>
      </c>
      <c r="J1028" s="11">
        <v>10</v>
      </c>
      <c r="K1028" s="11">
        <v>0</v>
      </c>
      <c r="L1028" s="11">
        <f t="shared" ref="L1028:L1091" si="120">J1028-K1028</f>
        <v>10</v>
      </c>
      <c r="M1028" s="131"/>
      <c r="N1028" s="18">
        <v>46079</v>
      </c>
      <c r="O1028" s="117"/>
    </row>
    <row r="1029" spans="1:16" x14ac:dyDescent="0.25">
      <c r="A1029" s="11">
        <f t="shared" ca="1" si="118"/>
        <v>-66</v>
      </c>
      <c r="B1029" s="37">
        <f t="shared" si="119"/>
        <v>36</v>
      </c>
      <c r="C1029" s="11" t="s">
        <v>206</v>
      </c>
      <c r="D1029" s="11" t="str">
        <f>VLOOKUP(VALUE(MID($C1029,13,2)), codigos!$A$2:$B$60, 2, 1) &amp; " " &amp; VLOOKUP(VALUE(MID($C1029,15,4)), codigos!$E$2:$F$102, 2, FALSE)</f>
        <v>BAÑO 1</v>
      </c>
      <c r="E1029" s="11" t="str">
        <f>VLOOKUP(VALUE(MID($C1029,19,2)),codigos!$H$2:$I$62,2,1) &amp; " " &amp; VLOOKUP(VALUE(MID($C1029,21,2)),codigos!$K$2:$L$12,2,FALSE)</f>
        <v>GALVANIZADO S/I</v>
      </c>
      <c r="F1029" s="11" t="s">
        <v>1264</v>
      </c>
      <c r="G1029" s="11" t="s">
        <v>11</v>
      </c>
      <c r="H1029" s="11" t="s">
        <v>1262</v>
      </c>
      <c r="I1029" s="11" t="s">
        <v>1263</v>
      </c>
      <c r="J1029" s="25">
        <v>20</v>
      </c>
      <c r="K1029" s="25">
        <f>15+5</f>
        <v>20</v>
      </c>
      <c r="L1029" s="11">
        <f t="shared" si="120"/>
        <v>0</v>
      </c>
      <c r="M1029" s="131">
        <f>(SUM(K1029:K1037))/(SUM(J1029:J1037))</f>
        <v>0.98333333333333328</v>
      </c>
      <c r="N1029" s="18">
        <v>46080</v>
      </c>
      <c r="O1029" s="93">
        <v>46078</v>
      </c>
      <c r="P1029" s="18">
        <v>46079</v>
      </c>
    </row>
    <row r="1030" spans="1:16" x14ac:dyDescent="0.25">
      <c r="A1030" s="11">
        <f t="shared" ca="1" si="118"/>
        <v>-66</v>
      </c>
      <c r="B1030" s="37">
        <f t="shared" si="119"/>
        <v>36</v>
      </c>
      <c r="C1030" s="11" t="s">
        <v>209</v>
      </c>
      <c r="D1030" s="11" t="str">
        <f>VLOOKUP(VALUE(MID($C1030,13,2)), codigos!$A$2:$B$60, 2, 1) &amp; " " &amp; VLOOKUP(VALUE(MID($C1030,15,4)), codigos!$E$2:$F$102, 2, FALSE)</f>
        <v>BAÑO 2</v>
      </c>
      <c r="E1030" s="11" t="str">
        <f>VLOOKUP(VALUE(MID($C1030,19,2)),codigos!$H$2:$I$62,2,1) &amp; " " &amp; VLOOKUP(VALUE(MID($C1030,21,2)),codigos!$K$2:$L$12,2,FALSE)</f>
        <v>GALVANIZADO S/I</v>
      </c>
      <c r="F1030" s="11" t="s">
        <v>1264</v>
      </c>
      <c r="G1030" s="11" t="s">
        <v>11</v>
      </c>
      <c r="H1030" s="11" t="s">
        <v>1262</v>
      </c>
      <c r="I1030" s="11" t="s">
        <v>1263</v>
      </c>
      <c r="J1030" s="25">
        <v>20</v>
      </c>
      <c r="K1030" s="25">
        <v>20</v>
      </c>
      <c r="L1030" s="11">
        <f t="shared" si="120"/>
        <v>0</v>
      </c>
      <c r="M1030" s="131"/>
      <c r="N1030" s="18">
        <v>46080</v>
      </c>
      <c r="O1030" s="93">
        <v>46078</v>
      </c>
      <c r="P1030" s="18">
        <v>46079</v>
      </c>
    </row>
    <row r="1031" spans="1:16" x14ac:dyDescent="0.25">
      <c r="A1031" s="11">
        <f t="shared" ca="1" si="118"/>
        <v>-66</v>
      </c>
      <c r="B1031" s="37">
        <f t="shared" si="119"/>
        <v>36</v>
      </c>
      <c r="C1031" s="11" t="s">
        <v>158</v>
      </c>
      <c r="D1031" s="11" t="str">
        <f>VLOOKUP(VALUE(MID($C1031,13,2)), codigos!$A$2:$B$60, 2, 1) &amp; " " &amp; VLOOKUP(VALUE(MID($C1031,15,4)), codigos!$E$2:$F$102, 2, FALSE)</f>
        <v>BAÑO 3</v>
      </c>
      <c r="E1031" s="11" t="str">
        <f>VLOOKUP(VALUE(MID($C1031,19,2)),codigos!$H$2:$I$62,2,1) &amp; " " &amp; VLOOKUP(VALUE(MID($C1031,21,2)),codigos!$K$2:$L$12,2,FALSE)</f>
        <v>GALVANIZADO S/I</v>
      </c>
      <c r="F1031" s="11" t="s">
        <v>1264</v>
      </c>
      <c r="G1031" s="11" t="s">
        <v>11</v>
      </c>
      <c r="H1031" s="11" t="s">
        <v>1262</v>
      </c>
      <c r="I1031" s="11" t="s">
        <v>1263</v>
      </c>
      <c r="J1031" s="25">
        <v>20</v>
      </c>
      <c r="K1031" s="25">
        <f>9+11</f>
        <v>20</v>
      </c>
      <c r="L1031" s="11">
        <f t="shared" si="120"/>
        <v>0</v>
      </c>
      <c r="M1031" s="131"/>
      <c r="N1031" s="18">
        <v>46080</v>
      </c>
      <c r="O1031" s="93">
        <v>46078</v>
      </c>
      <c r="P1031" s="18">
        <v>46079</v>
      </c>
    </row>
    <row r="1032" spans="1:16" x14ac:dyDescent="0.25">
      <c r="A1032" s="11">
        <f t="shared" ca="1" si="118"/>
        <v>-66</v>
      </c>
      <c r="B1032" s="37">
        <f t="shared" si="119"/>
        <v>36</v>
      </c>
      <c r="C1032" s="11" t="s">
        <v>45</v>
      </c>
      <c r="D1032" s="11" t="str">
        <f>VLOOKUP(VALUE(MID($C1032,13,2)), codigos!$A$2:$B$60, 2, 1) &amp; " " &amp; VLOOKUP(VALUE(MID($C1032,15,4)), codigos!$E$2:$F$102, 2, FALSE)</f>
        <v>BAÑO 4</v>
      </c>
      <c r="E1032" s="11" t="str">
        <f>VLOOKUP(VALUE(MID($C1032,19,2)),codigos!$H$2:$I$62,2,1) &amp; " " &amp; VLOOKUP(VALUE(MID($C1032,21,2)),codigos!$K$2:$L$12,2,FALSE)</f>
        <v>GALVANIZADO S/I</v>
      </c>
      <c r="F1032" s="11" t="s">
        <v>1264</v>
      </c>
      <c r="G1032" s="11" t="s">
        <v>11</v>
      </c>
      <c r="H1032" s="11" t="s">
        <v>1262</v>
      </c>
      <c r="I1032" s="11" t="s">
        <v>1263</v>
      </c>
      <c r="J1032" s="25">
        <v>20</v>
      </c>
      <c r="K1032" s="25">
        <v>20</v>
      </c>
      <c r="L1032" s="11">
        <f t="shared" si="120"/>
        <v>0</v>
      </c>
      <c r="M1032" s="131"/>
      <c r="N1032" s="18">
        <v>46080</v>
      </c>
      <c r="O1032" s="93">
        <v>46078</v>
      </c>
      <c r="P1032" s="18">
        <v>46079</v>
      </c>
    </row>
    <row r="1033" spans="1:16" x14ac:dyDescent="0.25">
      <c r="A1033" s="11">
        <f t="shared" ca="1" si="118"/>
        <v>-66</v>
      </c>
      <c r="B1033" s="37">
        <f t="shared" si="119"/>
        <v>36</v>
      </c>
      <c r="C1033" s="11" t="s">
        <v>32</v>
      </c>
      <c r="D1033" s="11" t="str">
        <f>VLOOKUP(VALUE(MID($C1033,13,2)), codigos!$A$2:$B$60, 2, 1) &amp; " " &amp; VLOOKUP(VALUE(MID($C1033,15,4)), codigos!$E$2:$F$102, 2, FALSE)</f>
        <v>BAÑO 5</v>
      </c>
      <c r="E1033" s="11" t="str">
        <f>VLOOKUP(VALUE(MID($C1033,19,2)),codigos!$H$2:$I$62,2,1) &amp; " " &amp; VLOOKUP(VALUE(MID($C1033,21,2)),codigos!$K$2:$L$12,2,FALSE)</f>
        <v>GALVANIZADO S/I</v>
      </c>
      <c r="F1033" s="11" t="s">
        <v>1264</v>
      </c>
      <c r="G1033" s="11" t="s">
        <v>11</v>
      </c>
      <c r="H1033" s="11" t="s">
        <v>1262</v>
      </c>
      <c r="I1033" s="11" t="s">
        <v>1263</v>
      </c>
      <c r="J1033" s="25">
        <v>50</v>
      </c>
      <c r="K1033" s="25">
        <f>46+4-4</f>
        <v>46</v>
      </c>
      <c r="L1033" s="11">
        <f t="shared" si="120"/>
        <v>4</v>
      </c>
      <c r="M1033" s="131"/>
      <c r="N1033" s="18">
        <v>46080</v>
      </c>
      <c r="O1033" s="93">
        <v>46078</v>
      </c>
      <c r="P1033" s="18">
        <v>46079</v>
      </c>
    </row>
    <row r="1034" spans="1:16" x14ac:dyDescent="0.25">
      <c r="A1034" s="11">
        <f t="shared" ca="1" si="118"/>
        <v>-66</v>
      </c>
      <c r="B1034" s="37">
        <f t="shared" si="119"/>
        <v>36</v>
      </c>
      <c r="C1034" s="11" t="s">
        <v>37</v>
      </c>
      <c r="D1034" s="11" t="str">
        <f>VLOOKUP(VALUE(MID($C1034,13,2)), codigos!$A$2:$B$60, 2, 1) &amp; " " &amp; VLOOKUP(VALUE(MID($C1034,15,4)), codigos!$E$2:$F$102, 2, FALSE)</f>
        <v>BAÑO 6</v>
      </c>
      <c r="E1034" s="11" t="str">
        <f>VLOOKUP(VALUE(MID($C1034,19,2)),codigos!$H$2:$I$62,2,1) &amp; " " &amp; VLOOKUP(VALUE(MID($C1034,21,2)),codigos!$K$2:$L$12,2,FALSE)</f>
        <v>GALVANIZADO S/I</v>
      </c>
      <c r="F1034" s="11" t="s">
        <v>1264</v>
      </c>
      <c r="G1034" s="11" t="s">
        <v>11</v>
      </c>
      <c r="H1034" s="11" t="s">
        <v>1262</v>
      </c>
      <c r="I1034" s="11" t="s">
        <v>1263</v>
      </c>
      <c r="J1034" s="25">
        <v>20</v>
      </c>
      <c r="K1034" s="25">
        <f>2+18</f>
        <v>20</v>
      </c>
      <c r="L1034" s="11">
        <f t="shared" si="120"/>
        <v>0</v>
      </c>
      <c r="M1034" s="131"/>
      <c r="N1034" s="18">
        <v>46080</v>
      </c>
      <c r="O1034" s="93">
        <v>46078</v>
      </c>
      <c r="P1034" s="18">
        <v>46079</v>
      </c>
    </row>
    <row r="1035" spans="1:16" x14ac:dyDescent="0.25">
      <c r="A1035" s="11">
        <f t="shared" ca="1" si="118"/>
        <v>-66</v>
      </c>
      <c r="B1035" s="37">
        <f t="shared" si="119"/>
        <v>36</v>
      </c>
      <c r="C1035" s="11" t="s">
        <v>210</v>
      </c>
      <c r="D1035" s="11" t="str">
        <f>VLOOKUP(VALUE(MID($C1035,13,2)), codigos!$A$2:$B$60, 2, 1) &amp; " " &amp; VLOOKUP(VALUE(MID($C1035,15,4)), codigos!$E$2:$F$102, 2, FALSE)</f>
        <v>BAÑO 8</v>
      </c>
      <c r="E1035" s="11" t="str">
        <f>VLOOKUP(VALUE(MID($C1035,19,2)),codigos!$H$2:$I$62,2,1) &amp; " " &amp; VLOOKUP(VALUE(MID($C1035,21,2)),codigos!$K$2:$L$12,2,FALSE)</f>
        <v>GALVANIZADO S/I</v>
      </c>
      <c r="F1035" s="11" t="s">
        <v>1264</v>
      </c>
      <c r="G1035" s="11" t="s">
        <v>11</v>
      </c>
      <c r="H1035" s="11" t="s">
        <v>1262</v>
      </c>
      <c r="I1035" s="11" t="s">
        <v>1263</v>
      </c>
      <c r="J1035" s="25">
        <v>20</v>
      </c>
      <c r="K1035" s="25">
        <v>20</v>
      </c>
      <c r="L1035" s="11">
        <f t="shared" si="120"/>
        <v>0</v>
      </c>
      <c r="M1035" s="131"/>
      <c r="N1035" s="18">
        <v>46080</v>
      </c>
      <c r="O1035" s="93">
        <v>46078</v>
      </c>
      <c r="P1035" s="18">
        <v>46079</v>
      </c>
    </row>
    <row r="1036" spans="1:16" x14ac:dyDescent="0.25">
      <c r="A1036" s="11">
        <f t="shared" ca="1" si="118"/>
        <v>-66</v>
      </c>
      <c r="B1036" s="37">
        <f t="shared" si="119"/>
        <v>36</v>
      </c>
      <c r="C1036" s="11" t="s">
        <v>211</v>
      </c>
      <c r="D1036" s="11" t="str">
        <f>VLOOKUP(VALUE(MID($C1036,13,2)), codigos!$A$2:$B$60, 2, 1) &amp; " " &amp; VLOOKUP(VALUE(MID($C1036,15,4)), codigos!$E$2:$F$102, 2, FALSE)</f>
        <v>BAÑO 10</v>
      </c>
      <c r="E1036" s="11" t="str">
        <f>VLOOKUP(VALUE(MID($C1036,19,2)),codigos!$H$2:$I$62,2,1) &amp; " " &amp; VLOOKUP(VALUE(MID($C1036,21,2)),codigos!$K$2:$L$12,2,FALSE)</f>
        <v>GALVANIZADO S/I</v>
      </c>
      <c r="F1036" s="11" t="s">
        <v>1264</v>
      </c>
      <c r="G1036" s="11" t="s">
        <v>11</v>
      </c>
      <c r="H1036" s="11" t="s">
        <v>1262</v>
      </c>
      <c r="I1036" s="11" t="s">
        <v>1263</v>
      </c>
      <c r="J1036" s="25">
        <v>20</v>
      </c>
      <c r="K1036" s="25">
        <f>1+19</f>
        <v>20</v>
      </c>
      <c r="L1036" s="11">
        <f t="shared" si="120"/>
        <v>0</v>
      </c>
      <c r="M1036" s="131"/>
      <c r="N1036" s="18">
        <v>46080</v>
      </c>
      <c r="O1036" s="93">
        <v>46078</v>
      </c>
      <c r="P1036" s="18">
        <v>46079</v>
      </c>
    </row>
    <row r="1037" spans="1:16" x14ac:dyDescent="0.25">
      <c r="A1037" s="11">
        <f t="shared" ca="1" si="118"/>
        <v>-66</v>
      </c>
      <c r="B1037" s="37">
        <f t="shared" si="119"/>
        <v>36</v>
      </c>
      <c r="C1037" s="11" t="s">
        <v>212</v>
      </c>
      <c r="D1037" s="11" t="str">
        <f>VLOOKUP(VALUE(MID($C1037,13,2)), codigos!$A$2:$B$60, 2, 1) &amp; " " &amp; VLOOKUP(VALUE(MID($C1037,15,4)), codigos!$E$2:$F$102, 2, FALSE)</f>
        <v>BAÑO 12</v>
      </c>
      <c r="E1037" s="11" t="str">
        <f>VLOOKUP(VALUE(MID($C1037,19,2)),codigos!$H$2:$I$62,2,1) &amp; " " &amp; VLOOKUP(VALUE(MID($C1037,21,2)),codigos!$K$2:$L$12,2,FALSE)</f>
        <v>GALVANIZADO S/I</v>
      </c>
      <c r="F1037" s="20" t="s">
        <v>1264</v>
      </c>
      <c r="G1037" s="11" t="s">
        <v>11</v>
      </c>
      <c r="H1037" s="11" t="s">
        <v>1262</v>
      </c>
      <c r="I1037" s="11" t="s">
        <v>1263</v>
      </c>
      <c r="J1037" s="25">
        <v>50</v>
      </c>
      <c r="K1037" s="25">
        <v>50</v>
      </c>
      <c r="L1037" s="11">
        <f t="shared" si="120"/>
        <v>0</v>
      </c>
      <c r="M1037" s="131"/>
      <c r="N1037" s="18">
        <v>46080</v>
      </c>
      <c r="O1037" s="93">
        <v>46078</v>
      </c>
      <c r="P1037" s="18">
        <v>46079</v>
      </c>
    </row>
    <row r="1038" spans="1:16" x14ac:dyDescent="0.25">
      <c r="A1038" s="11">
        <f t="shared" ca="1" si="118"/>
        <v>-66</v>
      </c>
      <c r="B1038" s="37">
        <f t="shared" si="119"/>
        <v>36</v>
      </c>
      <c r="C1038" s="11" t="s">
        <v>19</v>
      </c>
      <c r="D1038" s="11" t="str">
        <f>VLOOKUP(VALUE(MID($C1038,13,2)), codigos!$A$2:$B$60, 2, 1) &amp; " " &amp; VLOOKUP(VALUE(MID($C1038,15,4)), codigos!$E$2:$F$102, 2, FALSE)</f>
        <v>BACINICA 24</v>
      </c>
      <c r="E1038" s="11" t="str">
        <f>VLOOKUP(VALUE(MID($C1038,19,2)),codigos!$H$2:$I$62,2,1) &amp; " " &amp; VLOOKUP(VALUE(MID($C1038,21,2)),codigos!$K$2:$L$12,2,FALSE)</f>
        <v>BLANCO  NEGRO</v>
      </c>
      <c r="F1038" s="11" t="s">
        <v>1264</v>
      </c>
      <c r="G1038" s="11" t="s">
        <v>11</v>
      </c>
      <c r="H1038" s="11" t="s">
        <v>1265</v>
      </c>
      <c r="I1038" s="11" t="s">
        <v>1263</v>
      </c>
      <c r="J1038" s="25">
        <v>60</v>
      </c>
      <c r="K1038" s="25">
        <v>60</v>
      </c>
      <c r="L1038" s="11">
        <f t="shared" si="120"/>
        <v>0</v>
      </c>
      <c r="M1038" s="131">
        <f>(SUM(K1038:K1060))/(SUM(J1038:J1060))</f>
        <v>0.7354085603112841</v>
      </c>
      <c r="N1038" s="18">
        <v>46080</v>
      </c>
      <c r="O1038" s="93">
        <v>46078</v>
      </c>
      <c r="P1038" s="18">
        <v>46080</v>
      </c>
    </row>
    <row r="1039" spans="1:16" x14ac:dyDescent="0.25">
      <c r="A1039" s="11">
        <f t="shared" ca="1" si="118"/>
        <v>-66</v>
      </c>
      <c r="B1039" s="37">
        <f t="shared" si="119"/>
        <v>36</v>
      </c>
      <c r="C1039" s="11" t="s">
        <v>189</v>
      </c>
      <c r="D1039" s="11" t="str">
        <f>VLOOKUP(VALUE(MID($C1039,13,2)), codigos!$A$2:$B$60, 2, 1) &amp; " " &amp; VLOOKUP(VALUE(MID($C1039,15,4)), codigos!$E$2:$F$102, 2, FALSE)</f>
        <v>BUDINERA 16</v>
      </c>
      <c r="E1039" s="11" t="str">
        <f>VLOOKUP(VALUE(MID($C1039,19,2)),codigos!$H$2:$I$62,2,1) &amp; " " &amp; VLOOKUP(VALUE(MID($C1039,21,2)),codigos!$K$2:$L$12,2,FALSE)</f>
        <v>A/T S/I</v>
      </c>
      <c r="F1039" s="11" t="s">
        <v>1264</v>
      </c>
      <c r="G1039" s="11" t="s">
        <v>11</v>
      </c>
      <c r="H1039" s="11" t="s">
        <v>1265</v>
      </c>
      <c r="I1039" s="11" t="s">
        <v>1263</v>
      </c>
      <c r="J1039" s="25">
        <v>72</v>
      </c>
      <c r="K1039" s="25">
        <v>72</v>
      </c>
      <c r="L1039" s="11">
        <f t="shared" si="120"/>
        <v>0</v>
      </c>
      <c r="M1039" s="131"/>
      <c r="N1039" s="18">
        <v>46080</v>
      </c>
      <c r="O1039" s="93">
        <v>46078</v>
      </c>
      <c r="P1039" s="18">
        <v>46080</v>
      </c>
    </row>
    <row r="1040" spans="1:16" x14ac:dyDescent="0.25">
      <c r="A1040" s="11">
        <f t="shared" ref="A1040:A1060" ca="1" si="121">DAYS360($B$1,I1040)</f>
        <v>-66</v>
      </c>
      <c r="B1040" s="37">
        <f t="shared" ref="B1040:B1060" si="122">+N1040-I1040</f>
        <v>36</v>
      </c>
      <c r="C1040" s="11" t="s">
        <v>214</v>
      </c>
      <c r="D1040" s="11" t="str">
        <f>VLOOKUP(VALUE(MID($C1040,13,2)), codigos!$A$2:$B$60, 2, 1) &amp; " " &amp; VLOOKUP(VALUE(MID($C1040,15,4)), codigos!$E$2:$F$102, 2, FALSE)</f>
        <v>BUDINERA 18</v>
      </c>
      <c r="E1040" s="11" t="str">
        <f>VLOOKUP(VALUE(MID($C1040,19,2)),codigos!$H$2:$I$62,2,1) &amp; " " &amp; VLOOKUP(VALUE(MID($C1040,21,2)),codigos!$K$2:$L$12,2,FALSE)</f>
        <v>A/T S/I</v>
      </c>
      <c r="F1040" s="11" t="s">
        <v>1264</v>
      </c>
      <c r="G1040" s="11" t="s">
        <v>11</v>
      </c>
      <c r="H1040" s="11" t="s">
        <v>1265</v>
      </c>
      <c r="I1040" s="11" t="s">
        <v>1263</v>
      </c>
      <c r="J1040" s="25">
        <v>36</v>
      </c>
      <c r="K1040" s="25">
        <v>36</v>
      </c>
      <c r="L1040" s="11">
        <f t="shared" si="120"/>
        <v>0</v>
      </c>
      <c r="M1040" s="131"/>
      <c r="N1040" s="18">
        <v>46080</v>
      </c>
      <c r="O1040" s="93">
        <v>46078</v>
      </c>
      <c r="P1040" s="18">
        <v>46080</v>
      </c>
    </row>
    <row r="1041" spans="1:16" x14ac:dyDescent="0.25">
      <c r="A1041" s="11">
        <f t="shared" ca="1" si="121"/>
        <v>-66</v>
      </c>
      <c r="B1041" s="37">
        <f t="shared" si="122"/>
        <v>36</v>
      </c>
      <c r="C1041" s="11" t="s">
        <v>215</v>
      </c>
      <c r="D1041" s="11" t="str">
        <f>VLOOKUP(VALUE(MID($C1041,13,2)), codigos!$A$2:$B$60, 2, 1) &amp; " " &amp; VLOOKUP(VALUE(MID($C1041,15,4)), codigos!$E$2:$F$102, 2, FALSE)</f>
        <v>BUDINERA 20</v>
      </c>
      <c r="E1041" s="11" t="str">
        <f>VLOOKUP(VALUE(MID($C1041,19,2)),codigos!$H$2:$I$62,2,1) &amp; " " &amp; VLOOKUP(VALUE(MID($C1041,21,2)),codigos!$K$2:$L$12,2,FALSE)</f>
        <v>A/T S/I</v>
      </c>
      <c r="F1041" s="11" t="s">
        <v>1264</v>
      </c>
      <c r="G1041" s="11" t="s">
        <v>11</v>
      </c>
      <c r="H1041" s="11" t="s">
        <v>1265</v>
      </c>
      <c r="I1041" s="11" t="s">
        <v>1263</v>
      </c>
      <c r="J1041" s="25">
        <v>72</v>
      </c>
      <c r="K1041" s="25">
        <f>18+18+36</f>
        <v>72</v>
      </c>
      <c r="L1041" s="11">
        <f t="shared" si="120"/>
        <v>0</v>
      </c>
      <c r="M1041" s="131"/>
      <c r="N1041" s="18">
        <v>46080</v>
      </c>
      <c r="O1041" s="93">
        <v>46078</v>
      </c>
      <c r="P1041" s="18">
        <v>46080</v>
      </c>
    </row>
    <row r="1042" spans="1:16" x14ac:dyDescent="0.25">
      <c r="A1042" s="11">
        <f t="shared" ca="1" si="121"/>
        <v>-66</v>
      </c>
      <c r="B1042" s="37">
        <f t="shared" si="122"/>
        <v>36</v>
      </c>
      <c r="C1042" s="11" t="s">
        <v>241</v>
      </c>
      <c r="D1042" s="11" t="str">
        <f>VLOOKUP(VALUE(MID($C1042,13,2)), codigos!$A$2:$B$60, 2, 1) &amp; " " &amp; VLOOKUP(VALUE(MID($C1042,15,4)), codigos!$E$2:$F$102, 2, FALSE)</f>
        <v>BUDINERA 22</v>
      </c>
      <c r="E1042" s="11" t="str">
        <f>VLOOKUP(VALUE(MID($C1042,19,2)),codigos!$H$2:$I$62,2,1) &amp; " " &amp; VLOOKUP(VALUE(MID($C1042,21,2)),codigos!$K$2:$L$12,2,FALSE)</f>
        <v>A/T S/I</v>
      </c>
      <c r="F1042" s="11" t="s">
        <v>1264</v>
      </c>
      <c r="G1042" s="11" t="s">
        <v>11</v>
      </c>
      <c r="H1042" s="11" t="s">
        <v>1265</v>
      </c>
      <c r="I1042" s="11" t="s">
        <v>1263</v>
      </c>
      <c r="J1042" s="25">
        <v>60</v>
      </c>
      <c r="K1042" s="25">
        <f>6+48+6</f>
        <v>60</v>
      </c>
      <c r="L1042" s="11">
        <f t="shared" si="120"/>
        <v>0</v>
      </c>
      <c r="M1042" s="131"/>
      <c r="N1042" s="18">
        <v>46080</v>
      </c>
      <c r="O1042" s="93">
        <v>46078</v>
      </c>
      <c r="P1042" s="18">
        <v>46080</v>
      </c>
    </row>
    <row r="1043" spans="1:16" x14ac:dyDescent="0.25">
      <c r="A1043" s="11">
        <f t="shared" ca="1" si="121"/>
        <v>-66</v>
      </c>
      <c r="B1043" s="37">
        <f t="shared" si="122"/>
        <v>36</v>
      </c>
      <c r="C1043" s="11" t="s">
        <v>38</v>
      </c>
      <c r="D1043" s="11" t="str">
        <f>VLOOKUP(VALUE(MID($C1043,13,2)), codigos!$A$2:$B$60, 2, 1) &amp; " " &amp; VLOOKUP(VALUE(MID($C1043,15,4)), codigos!$E$2:$F$102, 2, FALSE)</f>
        <v>BUDINERA 42</v>
      </c>
      <c r="E1043" s="11" t="str">
        <f>VLOOKUP(VALUE(MID($C1043,19,2)),codigos!$H$2:$I$62,2,1) &amp; " " &amp; VLOOKUP(VALUE(MID($C1043,21,2)),codigos!$K$2:$L$12,2,FALSE)</f>
        <v>A/T S/I</v>
      </c>
      <c r="F1043" s="11" t="s">
        <v>1264</v>
      </c>
      <c r="G1043" s="11" t="s">
        <v>11</v>
      </c>
      <c r="H1043" s="11" t="s">
        <v>1265</v>
      </c>
      <c r="I1043" s="11" t="s">
        <v>1263</v>
      </c>
      <c r="J1043" s="25">
        <v>20</v>
      </c>
      <c r="K1043" s="25">
        <f>8+1+8+2+1</f>
        <v>20</v>
      </c>
      <c r="L1043" s="11">
        <f t="shared" si="120"/>
        <v>0</v>
      </c>
      <c r="M1043" s="131"/>
      <c r="N1043" s="18">
        <v>46080</v>
      </c>
      <c r="O1043" s="93">
        <v>46078</v>
      </c>
      <c r="P1043" s="18">
        <v>46080</v>
      </c>
    </row>
    <row r="1044" spans="1:16" x14ac:dyDescent="0.25">
      <c r="A1044" s="11">
        <f t="shared" ca="1" si="121"/>
        <v>-66</v>
      </c>
      <c r="B1044" s="37">
        <f t="shared" si="122"/>
        <v>36</v>
      </c>
      <c r="C1044" s="11" t="s">
        <v>219</v>
      </c>
      <c r="D1044" s="11" t="str">
        <f>VLOOKUP(VALUE(MID($C1044,13,2)), codigos!$A$2:$B$60, 2, 1) &amp; " " &amp; VLOOKUP(VALUE(MID($C1044,15,4)), codigos!$E$2:$F$102, 2, FALSE)</f>
        <v>CAZO 16</v>
      </c>
      <c r="E1044" s="11" t="str">
        <f>VLOOKUP(VALUE(MID($C1044,19,2)),codigos!$H$2:$I$62,2,1) &amp; " " &amp; VLOOKUP(VALUE(MID($C1044,21,2)),codigos!$K$2:$L$12,2,FALSE)</f>
        <v>A/T S/I</v>
      </c>
      <c r="F1044" s="11" t="s">
        <v>1264</v>
      </c>
      <c r="G1044" s="11" t="s">
        <v>11</v>
      </c>
      <c r="H1044" s="11" t="s">
        <v>1265</v>
      </c>
      <c r="I1044" s="11" t="s">
        <v>1263</v>
      </c>
      <c r="J1044" s="25">
        <v>60</v>
      </c>
      <c r="K1044" s="25">
        <f>43+17</f>
        <v>60</v>
      </c>
      <c r="L1044" s="11">
        <f t="shared" si="120"/>
        <v>0</v>
      </c>
      <c r="M1044" s="131"/>
      <c r="N1044" s="18">
        <v>46080</v>
      </c>
      <c r="O1044" s="93">
        <v>46078</v>
      </c>
      <c r="P1044" s="18">
        <v>46080</v>
      </c>
    </row>
    <row r="1045" spans="1:16" x14ac:dyDescent="0.25">
      <c r="A1045" s="11">
        <f t="shared" ca="1" si="121"/>
        <v>-66</v>
      </c>
      <c r="B1045" s="37">
        <f t="shared" si="122"/>
        <v>36</v>
      </c>
      <c r="C1045" s="11" t="s">
        <v>151</v>
      </c>
      <c r="D1045" s="11" t="str">
        <f>VLOOKUP(VALUE(MID($C1045,13,2)), codigos!$A$2:$B$60, 2, 1) &amp; " " &amp; VLOOKUP(VALUE(MID($C1045,15,4)), codigos!$E$2:$F$102, 2, FALSE)</f>
        <v>OLLA CONVEXA 20</v>
      </c>
      <c r="E1045" s="11" t="str">
        <f>VLOOKUP(VALUE(MID($C1045,19,2)),codigos!$H$2:$I$62,2,1) &amp; " " &amp; VLOOKUP(VALUE(MID($C1045,21,2)),codigos!$K$2:$L$12,2,FALSE)</f>
        <v>A/T S/I</v>
      </c>
      <c r="F1045" s="11" t="s">
        <v>1264</v>
      </c>
      <c r="G1045" s="11" t="s">
        <v>11</v>
      </c>
      <c r="H1045" s="11" t="s">
        <v>1265</v>
      </c>
      <c r="I1045" s="11" t="s">
        <v>1263</v>
      </c>
      <c r="J1045" s="25">
        <v>60</v>
      </c>
      <c r="K1045" s="25">
        <v>60</v>
      </c>
      <c r="L1045" s="11">
        <f t="shared" si="120"/>
        <v>0</v>
      </c>
      <c r="M1045" s="131"/>
      <c r="N1045" s="18">
        <v>46080</v>
      </c>
      <c r="O1045" s="93">
        <v>46078</v>
      </c>
      <c r="P1045" s="18">
        <v>46080</v>
      </c>
    </row>
    <row r="1046" spans="1:16" x14ac:dyDescent="0.25">
      <c r="A1046" s="11">
        <f t="shared" ca="1" si="121"/>
        <v>-66</v>
      </c>
      <c r="B1046" s="37">
        <f t="shared" si="122"/>
        <v>36</v>
      </c>
      <c r="C1046" s="11" t="s">
        <v>43</v>
      </c>
      <c r="D1046" s="11" t="str">
        <f>VLOOKUP(VALUE(MID($C1046,13,2)), codigos!$A$2:$B$60, 2, 1) &amp; " " &amp; VLOOKUP(VALUE(MID($C1046,15,4)), codigos!$E$2:$F$102, 2, FALSE)</f>
        <v>OLLA CONVEXA 22</v>
      </c>
      <c r="E1046" s="11" t="str">
        <f>VLOOKUP(VALUE(MID($C1046,19,2)),codigos!$H$2:$I$62,2,1) &amp; " " &amp; VLOOKUP(VALUE(MID($C1046,21,2)),codigos!$K$2:$L$12,2,FALSE)</f>
        <v>A/T S/I</v>
      </c>
      <c r="F1046" s="11" t="s">
        <v>1264</v>
      </c>
      <c r="G1046" s="11" t="s">
        <v>11</v>
      </c>
      <c r="H1046" s="11" t="s">
        <v>1265</v>
      </c>
      <c r="I1046" s="11" t="s">
        <v>1263</v>
      </c>
      <c r="J1046" s="25">
        <v>60</v>
      </c>
      <c r="K1046" s="25">
        <f>6+12+6+2+6+5+18+5</f>
        <v>60</v>
      </c>
      <c r="L1046" s="11">
        <f t="shared" si="120"/>
        <v>0</v>
      </c>
      <c r="M1046" s="131"/>
      <c r="N1046" s="18">
        <v>46080</v>
      </c>
      <c r="O1046" s="93">
        <v>46078</v>
      </c>
      <c r="P1046" s="18">
        <v>46080</v>
      </c>
    </row>
    <row r="1047" spans="1:16" x14ac:dyDescent="0.25">
      <c r="A1047" s="11">
        <f t="shared" ca="1" si="121"/>
        <v>-66</v>
      </c>
      <c r="B1047" s="37">
        <f t="shared" si="122"/>
        <v>36</v>
      </c>
      <c r="C1047" s="11" t="s">
        <v>152</v>
      </c>
      <c r="D1047" s="11" t="str">
        <f>VLOOKUP(VALUE(MID($C1047,13,2)), codigos!$A$2:$B$60, 2, 1) &amp; " " &amp; VLOOKUP(VALUE(MID($C1047,15,4)), codigos!$E$2:$F$102, 2, FALSE)</f>
        <v>OLLA CONVEXA 24</v>
      </c>
      <c r="E1047" s="11" t="str">
        <f>VLOOKUP(VALUE(MID($C1047,19,2)),codigos!$H$2:$I$62,2,1) &amp; " " &amp; VLOOKUP(VALUE(MID($C1047,21,2)),codigos!$K$2:$L$12,2,FALSE)</f>
        <v>A/T S/I</v>
      </c>
      <c r="F1047" s="11" t="s">
        <v>1264</v>
      </c>
      <c r="G1047" s="11" t="s">
        <v>11</v>
      </c>
      <c r="H1047" s="11" t="s">
        <v>1265</v>
      </c>
      <c r="I1047" s="11" t="s">
        <v>1263</v>
      </c>
      <c r="J1047" s="25">
        <v>60</v>
      </c>
      <c r="K1047" s="25">
        <f>12+48</f>
        <v>60</v>
      </c>
      <c r="L1047" s="11">
        <f t="shared" si="120"/>
        <v>0</v>
      </c>
      <c r="M1047" s="131"/>
      <c r="N1047" s="18">
        <v>46080</v>
      </c>
      <c r="O1047" s="93">
        <v>46078</v>
      </c>
      <c r="P1047" s="18">
        <v>46080</v>
      </c>
    </row>
    <row r="1048" spans="1:16" x14ac:dyDescent="0.25">
      <c r="A1048" s="11">
        <f t="shared" ca="1" si="121"/>
        <v>-66</v>
      </c>
      <c r="B1048" s="37">
        <f t="shared" si="122"/>
        <v>36</v>
      </c>
      <c r="C1048" s="11" t="s">
        <v>154</v>
      </c>
      <c r="D1048" s="11" t="str">
        <f>VLOOKUP(VALUE(MID($C1048,13,2)), codigos!$A$2:$B$60, 2, 1) &amp; " " &amp; VLOOKUP(VALUE(MID($C1048,15,4)), codigos!$E$2:$F$102, 2, FALSE)</f>
        <v>OLLA CONVEXA 30</v>
      </c>
      <c r="E1048" s="11" t="str">
        <f>VLOOKUP(VALUE(MID($C1048,19,2)),codigos!$H$2:$I$62,2,1) &amp; " " &amp; VLOOKUP(VALUE(MID($C1048,21,2)),codigos!$K$2:$L$12,2,FALSE)</f>
        <v>A/T S/I</v>
      </c>
      <c r="F1048" s="11" t="s">
        <v>1264</v>
      </c>
      <c r="G1048" s="11" t="s">
        <v>11</v>
      </c>
      <c r="H1048" s="11" t="s">
        <v>1265</v>
      </c>
      <c r="I1048" s="11" t="s">
        <v>1263</v>
      </c>
      <c r="J1048" s="25">
        <v>30</v>
      </c>
      <c r="K1048" s="25">
        <f>2+8+2+1+16+1</f>
        <v>30</v>
      </c>
      <c r="L1048" s="11">
        <f t="shared" si="120"/>
        <v>0</v>
      </c>
      <c r="M1048" s="131"/>
      <c r="N1048" s="18">
        <v>46080</v>
      </c>
      <c r="O1048" s="93">
        <v>46078</v>
      </c>
      <c r="P1048" s="18">
        <v>46080</v>
      </c>
    </row>
    <row r="1049" spans="1:16" x14ac:dyDescent="0.25">
      <c r="A1049" s="11">
        <f t="shared" ca="1" si="121"/>
        <v>-66</v>
      </c>
      <c r="B1049" s="37">
        <f t="shared" si="122"/>
        <v>36</v>
      </c>
      <c r="C1049" s="11" t="s">
        <v>260</v>
      </c>
      <c r="D1049" s="11" t="str">
        <f>VLOOKUP(VALUE(MID($C1049,13,2)), codigos!$A$2:$B$60, 2, 1) &amp; " " &amp; VLOOKUP(VALUE(MID($C1049,15,4)), codigos!$E$2:$F$102, 2, FALSE)</f>
        <v>OLLA RECTA 20</v>
      </c>
      <c r="E1049" s="11" t="str">
        <f>VLOOKUP(VALUE(MID($C1049,19,2)),codigos!$H$2:$I$62,2,1) &amp; " " &amp; VLOOKUP(VALUE(MID($C1049,21,2)),codigos!$K$2:$L$12,2,FALSE)</f>
        <v>A/T S/I</v>
      </c>
      <c r="F1049" s="11" t="s">
        <v>1264</v>
      </c>
      <c r="G1049" s="11" t="s">
        <v>11</v>
      </c>
      <c r="H1049" s="11" t="s">
        <v>1265</v>
      </c>
      <c r="I1049" s="11" t="s">
        <v>1263</v>
      </c>
      <c r="J1049" s="25">
        <v>60</v>
      </c>
      <c r="K1049" s="25">
        <v>60</v>
      </c>
      <c r="L1049" s="11">
        <f t="shared" si="120"/>
        <v>0</v>
      </c>
      <c r="M1049" s="131"/>
      <c r="N1049" s="18">
        <v>46080</v>
      </c>
      <c r="O1049" s="93">
        <v>46078</v>
      </c>
      <c r="P1049" s="18">
        <v>46080</v>
      </c>
    </row>
    <row r="1050" spans="1:16" x14ac:dyDescent="0.25">
      <c r="A1050" s="11">
        <f t="shared" ca="1" si="121"/>
        <v>-66</v>
      </c>
      <c r="B1050" s="37">
        <f t="shared" si="122"/>
        <v>36</v>
      </c>
      <c r="C1050" s="11" t="s">
        <v>155</v>
      </c>
      <c r="D1050" s="11" t="str">
        <f>VLOOKUP(VALUE(MID($C1050,13,2)), codigos!$A$2:$B$60, 2, 1) &amp; " " &amp; VLOOKUP(VALUE(MID($C1050,15,4)), codigos!$E$2:$F$102, 2, FALSE)</f>
        <v>OLLA RECTA 30</v>
      </c>
      <c r="E1050" s="11" t="str">
        <f>VLOOKUP(VALUE(MID($C1050,19,2)),codigos!$H$2:$I$62,2,1) &amp; " " &amp; VLOOKUP(VALUE(MID($C1050,21,2)),codigos!$K$2:$L$12,2,FALSE)</f>
        <v>A/T S/I</v>
      </c>
      <c r="F1050" s="11" t="s">
        <v>1264</v>
      </c>
      <c r="G1050" s="11" t="s">
        <v>11</v>
      </c>
      <c r="H1050" s="11" t="s">
        <v>1265</v>
      </c>
      <c r="I1050" s="11" t="s">
        <v>1263</v>
      </c>
      <c r="J1050" s="25">
        <v>20</v>
      </c>
      <c r="K1050" s="25">
        <v>20</v>
      </c>
      <c r="L1050" s="11">
        <f t="shared" si="120"/>
        <v>0</v>
      </c>
      <c r="M1050" s="131"/>
      <c r="N1050" s="18">
        <v>46080</v>
      </c>
      <c r="O1050" s="93">
        <v>46078</v>
      </c>
      <c r="P1050" s="18">
        <v>46080</v>
      </c>
    </row>
    <row r="1051" spans="1:16" x14ac:dyDescent="0.25">
      <c r="A1051" s="11">
        <f t="shared" ca="1" si="121"/>
        <v>-66</v>
      </c>
      <c r="B1051" s="37">
        <f t="shared" si="122"/>
        <v>36</v>
      </c>
      <c r="C1051" s="11" t="s">
        <v>156</v>
      </c>
      <c r="D1051" s="11" t="str">
        <f>VLOOKUP(VALUE(MID($C1051,13,2)), codigos!$A$2:$B$60, 2, 1) &amp; " " &amp; VLOOKUP(VALUE(MID($C1051,15,4)), codigos!$E$2:$F$102, 2, FALSE)</f>
        <v>OLLA RECTA 34</v>
      </c>
      <c r="E1051" s="11" t="str">
        <f>VLOOKUP(VALUE(MID($C1051,19,2)),codigos!$H$2:$I$62,2,1) &amp; " " &amp; VLOOKUP(VALUE(MID($C1051,21,2)),codigos!$K$2:$L$12,2,FALSE)</f>
        <v>A/T S/I</v>
      </c>
      <c r="F1051" s="11" t="s">
        <v>1264</v>
      </c>
      <c r="G1051" s="11" t="s">
        <v>11</v>
      </c>
      <c r="H1051" s="11" t="s">
        <v>1265</v>
      </c>
      <c r="I1051" s="11" t="s">
        <v>1263</v>
      </c>
      <c r="J1051" s="25">
        <v>20</v>
      </c>
      <c r="K1051" s="25">
        <f>10+10</f>
        <v>20</v>
      </c>
      <c r="L1051" s="11">
        <f t="shared" si="120"/>
        <v>0</v>
      </c>
      <c r="M1051" s="131"/>
      <c r="N1051" s="18">
        <v>46080</v>
      </c>
      <c r="O1051" s="93">
        <v>46078</v>
      </c>
      <c r="P1051" s="18">
        <v>46080</v>
      </c>
    </row>
    <row r="1052" spans="1:16" x14ac:dyDescent="0.25">
      <c r="A1052" s="11">
        <f t="shared" ca="1" si="121"/>
        <v>-66</v>
      </c>
      <c r="B1052" s="37">
        <f t="shared" si="122"/>
        <v>36</v>
      </c>
      <c r="C1052" s="64" t="s">
        <v>157</v>
      </c>
      <c r="D1052" s="64" t="str">
        <f>VLOOKUP(VALUE(MID($C1052,13,2)), codigos!$A$2:$B$60, 2, 1) &amp; " " &amp; VLOOKUP(VALUE(MID($C1052,15,4)), codigos!$E$2:$F$102, 2, FALSE)</f>
        <v>OLLA RECTA 42</v>
      </c>
      <c r="E1052" s="64" t="str">
        <f>VLOOKUP(VALUE(MID($C1052,19,2)),codigos!$H$2:$I$62,2,1) &amp; " " &amp; VLOOKUP(VALUE(MID($C1052,21,2)),codigos!$K$2:$L$12,2,FALSE)</f>
        <v>A/T S/I</v>
      </c>
      <c r="F1052" s="64" t="s">
        <v>1264</v>
      </c>
      <c r="G1052" s="64" t="s">
        <v>11</v>
      </c>
      <c r="H1052" s="64" t="s">
        <v>1265</v>
      </c>
      <c r="I1052" s="64" t="s">
        <v>1263</v>
      </c>
      <c r="J1052" s="115">
        <v>20</v>
      </c>
      <c r="K1052" s="115">
        <v>0</v>
      </c>
      <c r="L1052" s="11">
        <f t="shared" si="120"/>
        <v>20</v>
      </c>
      <c r="M1052" s="131"/>
      <c r="N1052" s="18">
        <v>46080</v>
      </c>
      <c r="O1052" s="93">
        <v>46078</v>
      </c>
      <c r="P1052" s="18">
        <v>46080</v>
      </c>
    </row>
    <row r="1053" spans="1:16" x14ac:dyDescent="0.25">
      <c r="A1053" s="11">
        <f t="shared" ca="1" si="121"/>
        <v>-66</v>
      </c>
      <c r="B1053" s="37">
        <f t="shared" si="122"/>
        <v>36</v>
      </c>
      <c r="C1053" s="11" t="s">
        <v>180</v>
      </c>
      <c r="D1053" s="11" t="str">
        <f>VLOOKUP(VALUE(MID($C1053,13,2)), codigos!$A$2:$B$60, 2, 1) &amp; " " &amp; VLOOKUP(VALUE(MID($C1053,15,4)), codigos!$E$2:$F$102, 2, FALSE)</f>
        <v>POCILLO 12</v>
      </c>
      <c r="E1053" s="11" t="str">
        <f>VLOOKUP(VALUE(MID($C1053,19,2)),codigos!$H$2:$I$62,2,1) &amp; " " &amp; VLOOKUP(VALUE(MID($C1053,21,2)),codigos!$K$2:$L$12,2,FALSE)</f>
        <v>A/T S/I</v>
      </c>
      <c r="F1053" s="11" t="s">
        <v>1264</v>
      </c>
      <c r="G1053" s="11" t="s">
        <v>11</v>
      </c>
      <c r="H1053" s="11">
        <v>5082</v>
      </c>
      <c r="I1053" s="11" t="s">
        <v>1263</v>
      </c>
      <c r="J1053" s="25">
        <f>360+360</f>
        <v>720</v>
      </c>
      <c r="K1053" s="25">
        <f>24+156+144+36</f>
        <v>360</v>
      </c>
      <c r="L1053" s="11">
        <f t="shared" si="120"/>
        <v>360</v>
      </c>
      <c r="M1053" s="131"/>
      <c r="N1053" s="18">
        <v>46080</v>
      </c>
      <c r="O1053" s="93">
        <v>46078</v>
      </c>
      <c r="P1053" s="18">
        <v>46080</v>
      </c>
    </row>
    <row r="1054" spans="1:16" x14ac:dyDescent="0.25">
      <c r="A1054" s="11">
        <f t="shared" ca="1" si="121"/>
        <v>-66</v>
      </c>
      <c r="B1054" s="37">
        <f t="shared" si="122"/>
        <v>36</v>
      </c>
      <c r="C1054" s="11" t="s">
        <v>182</v>
      </c>
      <c r="D1054" s="11" t="str">
        <f>VLOOKUP(VALUE(MID($C1054,13,2)), codigos!$A$2:$B$60, 2, 1) &amp; " " &amp; VLOOKUP(VALUE(MID($C1054,15,4)), codigos!$E$2:$F$102, 2, FALSE)</f>
        <v>POCILLO 14</v>
      </c>
      <c r="E1054" s="11" t="str">
        <f>VLOOKUP(VALUE(MID($C1054,19,2)),codigos!$H$2:$I$62,2,1) &amp; " " &amp; VLOOKUP(VALUE(MID($C1054,21,2)),codigos!$K$2:$L$12,2,FALSE)</f>
        <v>A/T S/I</v>
      </c>
      <c r="F1054" s="11" t="s">
        <v>1264</v>
      </c>
      <c r="G1054" s="11" t="s">
        <v>11</v>
      </c>
      <c r="H1054" s="11" t="s">
        <v>1265</v>
      </c>
      <c r="I1054" s="11" t="s">
        <v>1263</v>
      </c>
      <c r="J1054" s="25">
        <f>180+300</f>
        <v>480</v>
      </c>
      <c r="K1054" s="25">
        <f>1+12+60+107</f>
        <v>180</v>
      </c>
      <c r="L1054" s="11">
        <f t="shared" si="120"/>
        <v>300</v>
      </c>
      <c r="M1054" s="131"/>
      <c r="N1054" s="18">
        <v>46080</v>
      </c>
      <c r="O1054" s="93">
        <v>46078</v>
      </c>
      <c r="P1054" s="18">
        <v>46080</v>
      </c>
    </row>
    <row r="1055" spans="1:16" x14ac:dyDescent="0.25">
      <c r="A1055" s="11">
        <f t="shared" ca="1" si="121"/>
        <v>-66</v>
      </c>
      <c r="B1055" s="37">
        <f t="shared" si="122"/>
        <v>36</v>
      </c>
      <c r="C1055" s="11" t="s">
        <v>262</v>
      </c>
      <c r="D1055" s="11" t="str">
        <f>VLOOKUP(VALUE(MID($C1055,13,2)), codigos!$A$2:$B$60, 2, 1) &amp; " " &amp; VLOOKUP(VALUE(MID($C1055,15,4)), codigos!$E$2:$F$102, 2, FALSE)</f>
        <v>SARTEN 20</v>
      </c>
      <c r="E1055" s="11" t="str">
        <f>VLOOKUP(VALUE(MID($C1055,19,2)),codigos!$H$2:$I$62,2,1) &amp; " " &amp; VLOOKUP(VALUE(MID($C1055,21,2)),codigos!$K$2:$L$12,2,FALSE)</f>
        <v>A/T S/I</v>
      </c>
      <c r="F1055" s="11" t="s">
        <v>1264</v>
      </c>
      <c r="G1055" s="11" t="s">
        <v>11</v>
      </c>
      <c r="H1055" s="11" t="s">
        <v>1265</v>
      </c>
      <c r="I1055" s="11" t="s">
        <v>1263</v>
      </c>
      <c r="J1055" s="25">
        <v>60</v>
      </c>
      <c r="K1055" s="25">
        <v>60</v>
      </c>
      <c r="L1055" s="11">
        <f t="shared" si="120"/>
        <v>0</v>
      </c>
      <c r="M1055" s="131"/>
      <c r="N1055" s="18">
        <v>46080</v>
      </c>
      <c r="O1055" s="93">
        <v>46078</v>
      </c>
      <c r="P1055" s="18">
        <v>46080</v>
      </c>
    </row>
    <row r="1056" spans="1:16" x14ac:dyDescent="0.25">
      <c r="A1056" s="11">
        <f t="shared" ca="1" si="121"/>
        <v>-66</v>
      </c>
      <c r="B1056" s="37">
        <f t="shared" si="122"/>
        <v>36</v>
      </c>
      <c r="C1056" s="11" t="s">
        <v>227</v>
      </c>
      <c r="D1056" s="11" t="str">
        <f>VLOOKUP(VALUE(MID($C1056,13,2)), codigos!$A$2:$B$60, 2, 1) &amp; " " &amp; VLOOKUP(VALUE(MID($C1056,15,4)), codigos!$E$2:$F$102, 2, FALSE)</f>
        <v>SARTEN 22</v>
      </c>
      <c r="E1056" s="11" t="str">
        <f>VLOOKUP(VALUE(MID($C1056,19,2)),codigos!$H$2:$I$62,2,1) &amp; " " &amp; VLOOKUP(VALUE(MID($C1056,21,2)),codigos!$K$2:$L$12,2,FALSE)</f>
        <v>A/T S/I</v>
      </c>
      <c r="F1056" s="11" t="s">
        <v>1264</v>
      </c>
      <c r="G1056" s="11" t="s">
        <v>11</v>
      </c>
      <c r="H1056" s="11" t="s">
        <v>1265</v>
      </c>
      <c r="I1056" s="11" t="s">
        <v>1263</v>
      </c>
      <c r="J1056" s="25">
        <v>120</v>
      </c>
      <c r="K1056" s="25">
        <f>12+36+12+24+36</f>
        <v>120</v>
      </c>
      <c r="L1056" s="11">
        <f t="shared" si="120"/>
        <v>0</v>
      </c>
      <c r="M1056" s="131"/>
      <c r="N1056" s="18">
        <v>46080</v>
      </c>
      <c r="O1056" s="93">
        <v>46078</v>
      </c>
      <c r="P1056" s="18">
        <v>46080</v>
      </c>
    </row>
    <row r="1057" spans="1:16" x14ac:dyDescent="0.25">
      <c r="A1057" s="11">
        <f t="shared" ca="1" si="121"/>
        <v>-66</v>
      </c>
      <c r="B1057" s="37">
        <f t="shared" si="122"/>
        <v>36</v>
      </c>
      <c r="C1057" s="11" t="s">
        <v>44</v>
      </c>
      <c r="D1057" s="11" t="str">
        <f>VLOOKUP(VALUE(MID($C1057,13,2)), codigos!$A$2:$B$60, 2, 1) &amp; " " &amp; VLOOKUP(VALUE(MID($C1057,15,4)), codigos!$E$2:$F$102, 2, FALSE)</f>
        <v>SARTEN 24</v>
      </c>
      <c r="E1057" s="11" t="str">
        <f>VLOOKUP(VALUE(MID($C1057,19,2)),codigos!$H$2:$I$62,2,1) &amp; " " &amp; VLOOKUP(VALUE(MID($C1057,21,2)),codigos!$K$2:$L$12,2,FALSE)</f>
        <v>A/T S/I</v>
      </c>
      <c r="F1057" s="11" t="s">
        <v>1264</v>
      </c>
      <c r="G1057" s="11" t="s">
        <v>11</v>
      </c>
      <c r="H1057" s="11" t="s">
        <v>1265</v>
      </c>
      <c r="I1057" s="11" t="s">
        <v>1263</v>
      </c>
      <c r="J1057" s="25">
        <v>120</v>
      </c>
      <c r="K1057" s="25">
        <v>120</v>
      </c>
      <c r="L1057" s="11">
        <f t="shared" si="120"/>
        <v>0</v>
      </c>
      <c r="M1057" s="131"/>
      <c r="N1057" s="18">
        <v>46080</v>
      </c>
      <c r="O1057" s="93">
        <v>46078</v>
      </c>
      <c r="P1057" s="18">
        <v>46080</v>
      </c>
    </row>
    <row r="1058" spans="1:16" x14ac:dyDescent="0.25">
      <c r="A1058" s="11">
        <f t="shared" ca="1" si="121"/>
        <v>-66</v>
      </c>
      <c r="B1058" s="37">
        <f t="shared" si="122"/>
        <v>36</v>
      </c>
      <c r="C1058" s="11" t="s">
        <v>239</v>
      </c>
      <c r="D1058" s="11" t="str">
        <f>VLOOKUP(VALUE(MID($C1058,13,2)), codigos!$A$2:$B$60, 2, 1) &amp; " " &amp; VLOOKUP(VALUE(MID($C1058,15,4)), codigos!$E$2:$F$102, 2, FALSE)</f>
        <v>SARTEN 26</v>
      </c>
      <c r="E1058" s="11" t="str">
        <f>VLOOKUP(VALUE(MID($C1058,19,2)),codigos!$H$2:$I$62,2,1) &amp; " " &amp; VLOOKUP(VALUE(MID($C1058,21,2)),codigos!$K$2:$L$12,2,FALSE)</f>
        <v>A/T S/I</v>
      </c>
      <c r="F1058" s="11" t="s">
        <v>1264</v>
      </c>
      <c r="G1058" s="11" t="s">
        <v>11</v>
      </c>
      <c r="H1058" s="11" t="s">
        <v>1265</v>
      </c>
      <c r="I1058" s="11" t="s">
        <v>1263</v>
      </c>
      <c r="J1058" s="25">
        <v>120</v>
      </c>
      <c r="K1058" s="25">
        <v>120</v>
      </c>
      <c r="L1058" s="11">
        <f t="shared" si="120"/>
        <v>0</v>
      </c>
      <c r="M1058" s="131"/>
      <c r="N1058" s="18">
        <v>46080</v>
      </c>
      <c r="O1058" s="93">
        <v>46078</v>
      </c>
      <c r="P1058" s="18">
        <v>46080</v>
      </c>
    </row>
    <row r="1059" spans="1:16" x14ac:dyDescent="0.25">
      <c r="A1059" s="11">
        <f t="shared" ca="1" si="121"/>
        <v>-66</v>
      </c>
      <c r="B1059" s="37">
        <f t="shared" si="122"/>
        <v>36</v>
      </c>
      <c r="C1059" s="11" t="s">
        <v>188</v>
      </c>
      <c r="D1059" s="11" t="str">
        <f>VLOOKUP(VALUE(MID($C1059,13,2)), codigos!$A$2:$B$60, 2, 1) &amp; " " &amp; VLOOKUP(VALUE(MID($C1059,15,4)), codigos!$E$2:$F$102, 2, FALSE)</f>
        <v>POCILLO 14</v>
      </c>
      <c r="E1059" s="11" t="str">
        <f>VLOOKUP(VALUE(MID($C1059,19,2)),codigos!$H$2:$I$62,2,1) &amp; " " &amp; VLOOKUP(VALUE(MID($C1059,21,2)),codigos!$K$2:$L$12,2,FALSE)</f>
        <v>S/I S/I</v>
      </c>
      <c r="F1059" s="11" t="s">
        <v>1264</v>
      </c>
      <c r="G1059" s="11" t="s">
        <v>11</v>
      </c>
      <c r="H1059" s="11" t="s">
        <v>1265</v>
      </c>
      <c r="I1059" s="11" t="s">
        <v>1263</v>
      </c>
      <c r="J1059" s="25">
        <v>180</v>
      </c>
      <c r="K1059" s="25">
        <v>180</v>
      </c>
      <c r="L1059" s="11">
        <f t="shared" si="120"/>
        <v>0</v>
      </c>
      <c r="M1059" s="131"/>
      <c r="N1059" s="18">
        <v>46080</v>
      </c>
      <c r="O1059" s="93">
        <v>46078</v>
      </c>
      <c r="P1059" s="18">
        <v>46080</v>
      </c>
    </row>
    <row r="1060" spans="1:16" x14ac:dyDescent="0.25">
      <c r="A1060" s="11">
        <f t="shared" ca="1" si="121"/>
        <v>-66</v>
      </c>
      <c r="B1060" s="37">
        <f t="shared" si="122"/>
        <v>36</v>
      </c>
      <c r="C1060" s="11" t="s">
        <v>228</v>
      </c>
      <c r="D1060" s="11" t="str">
        <f>VLOOKUP(VALUE(MID($C1060,13,2)), codigos!$A$2:$B$60, 2, 1) &amp; " " &amp; VLOOKUP(VALUE(MID($C1060,15,4)), codigos!$E$2:$F$102, 2, FALSE)</f>
        <v>PAVERA OVAL 18"</v>
      </c>
      <c r="E1060" s="11" t="str">
        <f>VLOOKUP(VALUE(MID($C1060,19,2)),codigos!$H$2:$I$62,2,1) &amp; " " &amp; VLOOKUP(VALUE(MID($C1060,21,2)),codigos!$K$2:$L$12,2,FALSE)</f>
        <v>NEGRO MOTAS S/I</v>
      </c>
      <c r="F1060" s="11" t="s">
        <v>1264</v>
      </c>
      <c r="G1060" s="11" t="s">
        <v>11</v>
      </c>
      <c r="H1060" s="11" t="s">
        <v>1265</v>
      </c>
      <c r="I1060" s="11" t="s">
        <v>1263</v>
      </c>
      <c r="J1060" s="25">
        <v>60</v>
      </c>
      <c r="K1060" s="25">
        <f>45+15</f>
        <v>60</v>
      </c>
      <c r="L1060" s="11">
        <f t="shared" si="120"/>
        <v>0</v>
      </c>
      <c r="M1060" s="131"/>
      <c r="N1060" s="18">
        <v>46080</v>
      </c>
      <c r="O1060" s="93">
        <v>46078</v>
      </c>
      <c r="P1060" s="18">
        <v>46080</v>
      </c>
    </row>
    <row r="1061" spans="1:16" x14ac:dyDescent="0.25">
      <c r="A1061" s="11">
        <f t="shared" ref="A1061:A1078" ca="1" si="123">DAYS360($B$1,I1061)</f>
        <v>-52</v>
      </c>
      <c r="B1061" s="37">
        <f t="shared" ref="B1061:B1078" si="124">+N1061-I1061</f>
        <v>21</v>
      </c>
      <c r="C1061" s="11" t="s">
        <v>214</v>
      </c>
      <c r="D1061" s="11" t="str">
        <f>VLOOKUP(VALUE(MID($C1061,13,2)), [2]codigos!$A$2:$B$60, 2, 1) &amp; " " &amp; VLOOKUP(VALUE(MID($C1061,15,4)), [2]codigos!$E$2:$F$102, 2, FALSE)</f>
        <v>BUDINERA   18</v>
      </c>
      <c r="E1061" s="11" t="str">
        <f>VLOOKUP(VALUE(MID($C1061,19,2)),[2]codigos!$H$2:$I$62,2,1) &amp; " " &amp; VLOOKUP(VALUE(MID($C1061,21,2)),[2]codigos!$K$2:$L$12,2,FALSE)</f>
        <v>A/T S/I</v>
      </c>
      <c r="F1061" s="11" t="s">
        <v>841</v>
      </c>
      <c r="G1061" s="11" t="s">
        <v>11</v>
      </c>
      <c r="H1061" s="52" t="s">
        <v>1326</v>
      </c>
      <c r="I1061" s="20" t="s">
        <v>1327</v>
      </c>
      <c r="J1061" s="11">
        <v>180</v>
      </c>
      <c r="K1061" s="11">
        <f>6+4+4+126+36+4</f>
        <v>180</v>
      </c>
      <c r="L1061" s="11">
        <f t="shared" si="120"/>
        <v>0</v>
      </c>
      <c r="M1061" s="131">
        <f>(SUM(K1061:K1078))/(SUM(J1061:J1078))</f>
        <v>0.95974086071263309</v>
      </c>
      <c r="N1061" s="18">
        <v>46080</v>
      </c>
      <c r="O1061" s="93">
        <v>46073</v>
      </c>
    </row>
    <row r="1062" spans="1:16" x14ac:dyDescent="0.25">
      <c r="A1062" s="11">
        <f t="shared" ca="1" si="123"/>
        <v>-52</v>
      </c>
      <c r="B1062" s="37">
        <f t="shared" si="124"/>
        <v>21</v>
      </c>
      <c r="C1062" s="11" t="s">
        <v>215</v>
      </c>
      <c r="D1062" s="11" t="str">
        <f>VLOOKUP(VALUE(MID($C1062,13,2)), [2]codigos!$A$2:$B$60, 2, 1) &amp; " " &amp; VLOOKUP(VALUE(MID($C1062,15,4)), [2]codigos!$E$2:$F$102, 2, FALSE)</f>
        <v>BUDINERA   20</v>
      </c>
      <c r="E1062" s="11" t="str">
        <f>VLOOKUP(VALUE(MID($C1062,19,2)),[2]codigos!$H$2:$I$62,2,1) &amp; " " &amp; VLOOKUP(VALUE(MID($C1062,21,2)),[2]codigos!$K$2:$L$12,2,FALSE)</f>
        <v>A/T S/I</v>
      </c>
      <c r="F1062" s="11" t="s">
        <v>841</v>
      </c>
      <c r="G1062" s="11" t="s">
        <v>11</v>
      </c>
      <c r="H1062" s="52" t="s">
        <v>1326</v>
      </c>
      <c r="I1062" s="20" t="s">
        <v>1327</v>
      </c>
      <c r="J1062" s="11">
        <v>180</v>
      </c>
      <c r="K1062" s="11">
        <v>180</v>
      </c>
      <c r="L1062" s="11">
        <f t="shared" si="120"/>
        <v>0</v>
      </c>
      <c r="M1062" s="131"/>
      <c r="N1062" s="18">
        <v>46080</v>
      </c>
      <c r="O1062" s="93">
        <v>46073</v>
      </c>
    </row>
    <row r="1063" spans="1:16" x14ac:dyDescent="0.25">
      <c r="A1063" s="11">
        <f t="shared" ca="1" si="123"/>
        <v>-52</v>
      </c>
      <c r="B1063" s="37">
        <f t="shared" si="124"/>
        <v>21</v>
      </c>
      <c r="C1063" s="11" t="s">
        <v>143</v>
      </c>
      <c r="D1063" s="11" t="str">
        <f>VLOOKUP(VALUE(MID($C1063,13,2)), [2]codigos!$A$2:$B$60, 2, 1) &amp; " " &amp; VLOOKUP(VALUE(MID($C1063,15,4)), [2]codigos!$E$2:$F$102, 2, FALSE)</f>
        <v>BUDINERA   24</v>
      </c>
      <c r="E1063" s="11" t="str">
        <f>VLOOKUP(VALUE(MID($C1063,19,2)),[2]codigos!$H$2:$I$62,2,1) &amp; " " &amp; VLOOKUP(VALUE(MID($C1063,21,2)),[2]codigos!$K$2:$L$12,2,FALSE)</f>
        <v>A/T S/I</v>
      </c>
      <c r="F1063" s="11" t="s">
        <v>841</v>
      </c>
      <c r="G1063" s="11" t="s">
        <v>11</v>
      </c>
      <c r="H1063" s="52" t="s">
        <v>1326</v>
      </c>
      <c r="I1063" s="20" t="s">
        <v>1327</v>
      </c>
      <c r="J1063" s="11">
        <v>180</v>
      </c>
      <c r="K1063" s="11">
        <v>180</v>
      </c>
      <c r="L1063" s="11">
        <f t="shared" si="120"/>
        <v>0</v>
      </c>
      <c r="M1063" s="131"/>
      <c r="N1063" s="18">
        <v>46080</v>
      </c>
      <c r="O1063" s="93">
        <v>46073</v>
      </c>
    </row>
    <row r="1064" spans="1:16" x14ac:dyDescent="0.25">
      <c r="A1064" s="11">
        <f t="shared" ca="1" si="123"/>
        <v>-52</v>
      </c>
      <c r="B1064" s="37">
        <f t="shared" si="124"/>
        <v>21</v>
      </c>
      <c r="C1064" s="11" t="s">
        <v>169</v>
      </c>
      <c r="D1064" s="11" t="str">
        <f>VLOOKUP(VALUE(MID($C1064,13,2)), [2]codigos!$A$2:$B$60, 2, 1) &amp; " " &amp; VLOOKUP(VALUE(MID($C1064,15,4)), [2]codigos!$E$2:$F$102, 2, FALSE)</f>
        <v>BUDINERA   30</v>
      </c>
      <c r="E1064" s="11" t="str">
        <f>VLOOKUP(VALUE(MID($C1064,19,2)),[2]codigos!$H$2:$I$62,2,1) &amp; " " &amp; VLOOKUP(VALUE(MID($C1064,21,2)),[2]codigos!$K$2:$L$12,2,FALSE)</f>
        <v>A/T S/I</v>
      </c>
      <c r="F1064" s="11" t="s">
        <v>841</v>
      </c>
      <c r="G1064" s="11" t="s">
        <v>11</v>
      </c>
      <c r="H1064" s="52" t="s">
        <v>1326</v>
      </c>
      <c r="I1064" s="20" t="s">
        <v>1327</v>
      </c>
      <c r="J1064" s="11">
        <v>192</v>
      </c>
      <c r="K1064" s="11">
        <f>58-15+4+4+1+4+1+4+52+12+18+40+8+1</f>
        <v>192</v>
      </c>
      <c r="L1064" s="11">
        <f t="shared" si="120"/>
        <v>0</v>
      </c>
      <c r="M1064" s="131"/>
      <c r="N1064" s="18">
        <v>46080</v>
      </c>
      <c r="O1064" s="93">
        <v>46073</v>
      </c>
    </row>
    <row r="1065" spans="1:16" x14ac:dyDescent="0.25">
      <c r="A1065" s="11">
        <f t="shared" ca="1" si="123"/>
        <v>-52</v>
      </c>
      <c r="B1065" s="37">
        <f t="shared" si="124"/>
        <v>21</v>
      </c>
      <c r="C1065" s="11" t="s">
        <v>151</v>
      </c>
      <c r="D1065" s="11" t="str">
        <f>VLOOKUP(VALUE(MID($C1065,13,2)), [2]codigos!$A$2:$B$60, 2, 1) &amp; " " &amp; VLOOKUP(VALUE(MID($C1065,15,4)), [2]codigos!$E$2:$F$102, 2, FALSE)</f>
        <v>OLLA CONVEXA 20</v>
      </c>
      <c r="E1065" s="11" t="str">
        <f>VLOOKUP(VALUE(MID($C1065,19,2)),[2]codigos!$H$2:$I$62,2,1) &amp; " " &amp; VLOOKUP(VALUE(MID($C1065,21,2)),[2]codigos!$K$2:$L$12,2,FALSE)</f>
        <v>A/T S/I</v>
      </c>
      <c r="F1065" s="11" t="s">
        <v>841</v>
      </c>
      <c r="G1065" s="11" t="s">
        <v>11</v>
      </c>
      <c r="H1065" s="52" t="s">
        <v>1326</v>
      </c>
      <c r="I1065" s="20" t="s">
        <v>1327</v>
      </c>
      <c r="J1065" s="11">
        <v>240</v>
      </c>
      <c r="K1065" s="11">
        <v>120</v>
      </c>
      <c r="L1065" s="11">
        <f t="shared" si="120"/>
        <v>120</v>
      </c>
      <c r="M1065" s="131"/>
      <c r="N1065" s="18">
        <v>46080</v>
      </c>
      <c r="O1065" s="93">
        <v>46073</v>
      </c>
    </row>
    <row r="1066" spans="1:16" x14ac:dyDescent="0.25">
      <c r="A1066" s="11">
        <f t="shared" ca="1" si="123"/>
        <v>-52</v>
      </c>
      <c r="B1066" s="37">
        <f t="shared" si="124"/>
        <v>21</v>
      </c>
      <c r="C1066" s="11" t="s">
        <v>152</v>
      </c>
      <c r="D1066" s="11" t="str">
        <f>VLOOKUP(VALUE(MID($C1066,13,2)), [2]codigos!$A$2:$B$60, 2, 1) &amp; " " &amp; VLOOKUP(VALUE(MID($C1066,15,4)), [2]codigos!$E$2:$F$102, 2, FALSE)</f>
        <v>OLLA CONVEXA 24</v>
      </c>
      <c r="E1066" s="11" t="str">
        <f>VLOOKUP(VALUE(MID($C1066,19,2)),[2]codigos!$H$2:$I$62,2,1) &amp; " " &amp; VLOOKUP(VALUE(MID($C1066,21,2)),[2]codigos!$K$2:$L$12,2,FALSE)</f>
        <v>A/T S/I</v>
      </c>
      <c r="F1066" s="11" t="s">
        <v>841</v>
      </c>
      <c r="G1066" s="11" t="s">
        <v>11</v>
      </c>
      <c r="H1066" s="52" t="s">
        <v>1326</v>
      </c>
      <c r="I1066" s="20" t="s">
        <v>1327</v>
      </c>
      <c r="J1066" s="11">
        <v>180</v>
      </c>
      <c r="K1066" s="11">
        <v>180</v>
      </c>
      <c r="L1066" s="11">
        <f t="shared" si="120"/>
        <v>0</v>
      </c>
      <c r="M1066" s="131"/>
      <c r="N1066" s="18">
        <v>46080</v>
      </c>
      <c r="O1066" s="93">
        <v>46073</v>
      </c>
    </row>
    <row r="1067" spans="1:16" x14ac:dyDescent="0.25">
      <c r="A1067" s="11">
        <f t="shared" ca="1" si="123"/>
        <v>-52</v>
      </c>
      <c r="B1067" s="37">
        <f t="shared" si="124"/>
        <v>21</v>
      </c>
      <c r="C1067" s="11" t="s">
        <v>154</v>
      </c>
      <c r="D1067" s="11" t="str">
        <f>VLOOKUP(VALUE(MID($C1067,13,2)), [2]codigos!$A$2:$B$60, 2, 1) &amp; " " &amp; VLOOKUP(VALUE(MID($C1067,15,4)), [2]codigos!$E$2:$F$102, 2, FALSE)</f>
        <v>OLLA CONVEXA 30</v>
      </c>
      <c r="E1067" s="11" t="str">
        <f>VLOOKUP(VALUE(MID($C1067,19,2)),[2]codigos!$H$2:$I$62,2,1) &amp; " " &amp; VLOOKUP(VALUE(MID($C1067,21,2)),[2]codigos!$K$2:$L$12,2,FALSE)</f>
        <v>A/T S/I</v>
      </c>
      <c r="F1067" s="11" t="s">
        <v>841</v>
      </c>
      <c r="G1067" s="11" t="s">
        <v>11</v>
      </c>
      <c r="H1067" s="52" t="s">
        <v>1326</v>
      </c>
      <c r="I1067" s="20" t="s">
        <v>1327</v>
      </c>
      <c r="J1067" s="11">
        <v>140</v>
      </c>
      <c r="K1067" s="11">
        <f>14+16+2+2+24+46+10+20+6</f>
        <v>140</v>
      </c>
      <c r="L1067" s="11">
        <f t="shared" si="120"/>
        <v>0</v>
      </c>
      <c r="M1067" s="131"/>
      <c r="N1067" s="18">
        <v>46080</v>
      </c>
      <c r="O1067" s="93">
        <v>46073</v>
      </c>
    </row>
    <row r="1068" spans="1:16" x14ac:dyDescent="0.25">
      <c r="A1068" s="11">
        <f t="shared" ca="1" si="123"/>
        <v>-52</v>
      </c>
      <c r="B1068" s="37">
        <f t="shared" si="124"/>
        <v>21</v>
      </c>
      <c r="C1068" s="11" t="s">
        <v>258</v>
      </c>
      <c r="D1068" s="11" t="str">
        <f>VLOOKUP(VALUE(MID($C1068,13,2)), [2]codigos!$A$2:$B$60, 2, 1) &amp; " " &amp; VLOOKUP(VALUE(MID($C1068,15,4)), [2]codigos!$E$2:$F$102, 2, FALSE)</f>
        <v>OLLA RECTA 16</v>
      </c>
      <c r="E1068" s="11" t="str">
        <f>VLOOKUP(VALUE(MID($C1068,19,2)),[2]codigos!$H$2:$I$62,2,1) &amp; " " &amp; VLOOKUP(VALUE(MID($C1068,21,2)),[2]codigos!$K$2:$L$12,2,FALSE)</f>
        <v>A/T S/I</v>
      </c>
      <c r="F1068" s="11" t="s">
        <v>841</v>
      </c>
      <c r="G1068" s="11" t="s">
        <v>11</v>
      </c>
      <c r="H1068" s="52" t="s">
        <v>1326</v>
      </c>
      <c r="I1068" s="20" t="s">
        <v>1327</v>
      </c>
      <c r="J1068" s="11">
        <v>90</v>
      </c>
      <c r="K1068" s="11">
        <v>36</v>
      </c>
      <c r="L1068" s="11">
        <f t="shared" si="120"/>
        <v>54</v>
      </c>
      <c r="M1068" s="131"/>
      <c r="N1068" s="18">
        <v>46080</v>
      </c>
      <c r="O1068" s="93">
        <v>46073</v>
      </c>
    </row>
    <row r="1069" spans="1:16" x14ac:dyDescent="0.25">
      <c r="A1069" s="11">
        <f t="shared" ca="1" si="123"/>
        <v>-52</v>
      </c>
      <c r="B1069" s="37">
        <f t="shared" si="124"/>
        <v>21</v>
      </c>
      <c r="C1069" s="11" t="s">
        <v>260</v>
      </c>
      <c r="D1069" s="11" t="str">
        <f>VLOOKUP(VALUE(MID($C1069,13,2)), [2]codigos!$A$2:$B$60, 2, 1) &amp; " " &amp; VLOOKUP(VALUE(MID($C1069,15,4)), [2]codigos!$E$2:$F$102, 2, FALSE)</f>
        <v>OLLA RECTA 20</v>
      </c>
      <c r="E1069" s="11" t="str">
        <f>VLOOKUP(VALUE(MID($C1069,19,2)),[2]codigos!$H$2:$I$62,2,1) &amp; " " &amp; VLOOKUP(VALUE(MID($C1069,21,2)),[2]codigos!$K$2:$L$12,2,FALSE)</f>
        <v>A/T S/I</v>
      </c>
      <c r="F1069" s="11" t="s">
        <v>841</v>
      </c>
      <c r="G1069" s="11" t="s">
        <v>11</v>
      </c>
      <c r="H1069" s="52" t="s">
        <v>1326</v>
      </c>
      <c r="I1069" s="20" t="s">
        <v>1327</v>
      </c>
      <c r="J1069" s="11">
        <v>180</v>
      </c>
      <c r="K1069" s="11">
        <f>120+11+5+8+36</f>
        <v>180</v>
      </c>
      <c r="L1069" s="11">
        <f t="shared" si="120"/>
        <v>0</v>
      </c>
      <c r="M1069" s="131"/>
      <c r="N1069" s="18">
        <v>46080</v>
      </c>
      <c r="O1069" s="93">
        <v>46073</v>
      </c>
    </row>
    <row r="1070" spans="1:16" x14ac:dyDescent="0.25">
      <c r="A1070" s="11">
        <f t="shared" ca="1" si="123"/>
        <v>-52</v>
      </c>
      <c r="B1070" s="37">
        <f t="shared" si="124"/>
        <v>21</v>
      </c>
      <c r="C1070" s="11" t="s">
        <v>237</v>
      </c>
      <c r="D1070" s="11" t="str">
        <f>VLOOKUP(VALUE(MID($C1070,13,2)), [2]codigos!$A$2:$B$60, 2, 1) &amp; " " &amp; VLOOKUP(VALUE(MID($C1070,15,4)), [2]codigos!$E$2:$F$102, 2, FALSE)</f>
        <v>OLLA RECTA 24</v>
      </c>
      <c r="E1070" s="11" t="str">
        <f>VLOOKUP(VALUE(MID($C1070,19,2)),[2]codigos!$H$2:$I$62,2,1) &amp; " " &amp; VLOOKUP(VALUE(MID($C1070,21,2)),[2]codigos!$K$2:$L$12,2,FALSE)</f>
        <v>A/T S/I</v>
      </c>
      <c r="F1070" s="11" t="s">
        <v>841</v>
      </c>
      <c r="G1070" s="11" t="s">
        <v>11</v>
      </c>
      <c r="H1070" s="52" t="s">
        <v>1326</v>
      </c>
      <c r="I1070" s="20" t="s">
        <v>1327</v>
      </c>
      <c r="J1070" s="11">
        <v>180</v>
      </c>
      <c r="K1070" s="11">
        <f>1+6+126+3+24+18+2</f>
        <v>180</v>
      </c>
      <c r="L1070" s="11">
        <f t="shared" si="120"/>
        <v>0</v>
      </c>
      <c r="M1070" s="131"/>
      <c r="N1070" s="18">
        <v>46080</v>
      </c>
      <c r="O1070" s="93">
        <v>46073</v>
      </c>
    </row>
    <row r="1071" spans="1:16" x14ac:dyDescent="0.25">
      <c r="A1071" s="11">
        <f t="shared" ca="1" si="123"/>
        <v>-52</v>
      </c>
      <c r="B1071" s="37">
        <f t="shared" si="124"/>
        <v>21</v>
      </c>
      <c r="C1071" s="11" t="s">
        <v>336</v>
      </c>
      <c r="D1071" s="11" t="str">
        <f>VLOOKUP(VALUE(MID($C1071,13,2)), [2]codigos!$A$2:$B$60, 2, 1) &amp; " " &amp; VLOOKUP(VALUE(MID($C1071,15,4)), [2]codigos!$E$2:$F$102, 2, FALSE)</f>
        <v>OLLA RECTA 28</v>
      </c>
      <c r="E1071" s="11" t="str">
        <f>VLOOKUP(VALUE(MID($C1071,19,2)),[2]codigos!$H$2:$I$62,2,1) &amp; " " &amp; VLOOKUP(VALUE(MID($C1071,21,2)),[2]codigos!$K$2:$L$12,2,FALSE)</f>
        <v>A/T S/I</v>
      </c>
      <c r="F1071" s="11" t="s">
        <v>841</v>
      </c>
      <c r="G1071" s="11" t="s">
        <v>11</v>
      </c>
      <c r="H1071" s="52" t="s">
        <v>1326</v>
      </c>
      <c r="I1071" s="20" t="s">
        <v>1327</v>
      </c>
      <c r="J1071" s="11">
        <v>180</v>
      </c>
      <c r="K1071" s="11">
        <f>60+2-16+4+2+10+1+16+2+98+1</f>
        <v>180</v>
      </c>
      <c r="L1071" s="11">
        <f t="shared" si="120"/>
        <v>0</v>
      </c>
      <c r="M1071" s="131"/>
      <c r="N1071" s="18">
        <v>46080</v>
      </c>
      <c r="O1071" s="93">
        <v>46073</v>
      </c>
    </row>
    <row r="1072" spans="1:16" x14ac:dyDescent="0.25">
      <c r="A1072" s="11">
        <f t="shared" ca="1" si="123"/>
        <v>-52</v>
      </c>
      <c r="B1072" s="37">
        <f t="shared" si="124"/>
        <v>21</v>
      </c>
      <c r="C1072" s="11" t="s">
        <v>225</v>
      </c>
      <c r="D1072" s="11" t="str">
        <f>VLOOKUP(VALUE(MID($C1072,13,2)), [2]codigos!$A$2:$B$60, 2, 1) &amp; " " &amp; VLOOKUP(VALUE(MID($C1072,15,4)), [2]codigos!$E$2:$F$102, 2, FALSE)</f>
        <v>POCILLO 8</v>
      </c>
      <c r="E1072" s="11" t="str">
        <f>VLOOKUP(VALUE(MID($C1072,19,2)),[2]codigos!$H$2:$I$62,2,1) &amp; " " &amp; VLOOKUP(VALUE(MID($C1072,21,2)),[2]codigos!$K$2:$L$12,2,FALSE)</f>
        <v>A/T S/I</v>
      </c>
      <c r="F1072" s="11" t="s">
        <v>841</v>
      </c>
      <c r="G1072" s="11" t="s">
        <v>11</v>
      </c>
      <c r="H1072" s="52" t="s">
        <v>1326</v>
      </c>
      <c r="I1072" s="20" t="s">
        <v>1327</v>
      </c>
      <c r="J1072" s="11">
        <v>240</v>
      </c>
      <c r="K1072" s="11">
        <v>240</v>
      </c>
      <c r="L1072" s="11">
        <f t="shared" si="120"/>
        <v>0</v>
      </c>
      <c r="M1072" s="131"/>
      <c r="N1072" s="18">
        <v>46080</v>
      </c>
      <c r="O1072" s="93">
        <v>46073</v>
      </c>
    </row>
    <row r="1073" spans="1:15" x14ac:dyDescent="0.25">
      <c r="A1073" s="11">
        <f t="shared" ca="1" si="123"/>
        <v>-52</v>
      </c>
      <c r="B1073" s="37">
        <f t="shared" si="124"/>
        <v>21</v>
      </c>
      <c r="C1073" s="11" t="s">
        <v>226</v>
      </c>
      <c r="D1073" s="11" t="str">
        <f>VLOOKUP(VALUE(MID($C1073,13,2)), [2]codigos!$A$2:$B$60, 2, 1) &amp; " " &amp; VLOOKUP(VALUE(MID($C1073,15,4)), [2]codigos!$E$2:$F$102, 2, FALSE)</f>
        <v>POCILLO 10</v>
      </c>
      <c r="E1073" s="11" t="str">
        <f>VLOOKUP(VALUE(MID($C1073,19,2)),[2]codigos!$H$2:$I$62,2,1) &amp; " " &amp; VLOOKUP(VALUE(MID($C1073,21,2)),[2]codigos!$K$2:$L$12,2,FALSE)</f>
        <v>A/T S/I</v>
      </c>
      <c r="F1073" s="11" t="s">
        <v>841</v>
      </c>
      <c r="G1073" s="11" t="s">
        <v>11</v>
      </c>
      <c r="H1073" s="52" t="s">
        <v>1326</v>
      </c>
      <c r="I1073" s="20" t="s">
        <v>1327</v>
      </c>
      <c r="J1073" s="11">
        <v>240</v>
      </c>
      <c r="K1073" s="11">
        <v>240</v>
      </c>
      <c r="L1073" s="11">
        <f t="shared" si="120"/>
        <v>0</v>
      </c>
      <c r="M1073" s="131"/>
      <c r="N1073" s="18">
        <v>46080</v>
      </c>
      <c r="O1073" s="93">
        <v>46073</v>
      </c>
    </row>
    <row r="1074" spans="1:15" x14ac:dyDescent="0.25">
      <c r="A1074" s="11">
        <f t="shared" ca="1" si="123"/>
        <v>-52</v>
      </c>
      <c r="B1074" s="37">
        <f t="shared" si="124"/>
        <v>21</v>
      </c>
      <c r="C1074" s="11" t="s">
        <v>180</v>
      </c>
      <c r="D1074" s="11" t="str">
        <f>VLOOKUP(VALUE(MID($C1074,13,2)), [2]codigos!$A$2:$B$60, 2, 1) &amp; " " &amp; VLOOKUP(VALUE(MID($C1074,15,4)), [2]codigos!$E$2:$F$102, 2, FALSE)</f>
        <v>POCILLO 12</v>
      </c>
      <c r="E1074" s="11" t="str">
        <f>VLOOKUP(VALUE(MID($C1074,19,2)),[2]codigos!$H$2:$I$62,2,1) &amp; " " &amp; VLOOKUP(VALUE(MID($C1074,21,2)),[2]codigos!$K$2:$L$12,2,FALSE)</f>
        <v>A/T S/I</v>
      </c>
      <c r="F1074" s="11" t="s">
        <v>841</v>
      </c>
      <c r="G1074" s="11" t="s">
        <v>11</v>
      </c>
      <c r="H1074" s="52" t="s">
        <v>1326</v>
      </c>
      <c r="I1074" s="20" t="s">
        <v>1327</v>
      </c>
      <c r="J1074" s="11">
        <v>240</v>
      </c>
      <c r="K1074" s="11">
        <v>240</v>
      </c>
      <c r="L1074" s="11">
        <f t="shared" si="120"/>
        <v>0</v>
      </c>
      <c r="M1074" s="131"/>
      <c r="N1074" s="18">
        <v>46080</v>
      </c>
      <c r="O1074" s="93">
        <v>46073</v>
      </c>
    </row>
    <row r="1075" spans="1:15" x14ac:dyDescent="0.25">
      <c r="A1075" s="11">
        <f t="shared" ca="1" si="123"/>
        <v>-52</v>
      </c>
      <c r="B1075" s="37">
        <f t="shared" si="124"/>
        <v>21</v>
      </c>
      <c r="C1075" s="11" t="s">
        <v>182</v>
      </c>
      <c r="D1075" s="11" t="str">
        <f>VLOOKUP(VALUE(MID($C1075,13,2)), [2]codigos!$A$2:$B$60, 2, 1) &amp; " " &amp; VLOOKUP(VALUE(MID($C1075,15,4)), [2]codigos!$E$2:$F$102, 2, FALSE)</f>
        <v>POCILLO 14</v>
      </c>
      <c r="E1075" s="11" t="str">
        <f>VLOOKUP(VALUE(MID($C1075,19,2)),[2]codigos!$H$2:$I$62,2,1) &amp; " " &amp; VLOOKUP(VALUE(MID($C1075,21,2)),[2]codigos!$K$2:$L$12,2,FALSE)</f>
        <v>A/T S/I</v>
      </c>
      <c r="F1075" s="11" t="s">
        <v>841</v>
      </c>
      <c r="G1075" s="11" t="s">
        <v>11</v>
      </c>
      <c r="H1075" s="52" t="s">
        <v>1326</v>
      </c>
      <c r="I1075" s="20" t="s">
        <v>1327</v>
      </c>
      <c r="J1075" s="11">
        <v>480</v>
      </c>
      <c r="K1075" s="11">
        <v>480</v>
      </c>
      <c r="L1075" s="11">
        <f t="shared" si="120"/>
        <v>0</v>
      </c>
      <c r="M1075" s="131"/>
      <c r="N1075" s="18">
        <v>46080</v>
      </c>
      <c r="O1075" s="93">
        <v>46073</v>
      </c>
    </row>
    <row r="1076" spans="1:15" x14ac:dyDescent="0.25">
      <c r="A1076" s="11">
        <f t="shared" ca="1" si="123"/>
        <v>-52</v>
      </c>
      <c r="B1076" s="37">
        <f t="shared" si="124"/>
        <v>21</v>
      </c>
      <c r="C1076" s="11" t="s">
        <v>85</v>
      </c>
      <c r="D1076" s="11" t="str">
        <f>VLOOKUP(VALUE(MID($C1076,13,2)), [2]codigos!$A$2:$B$60, 2, 1) &amp; " " &amp; VLOOKUP(VALUE(MID($C1076,15,4)), [2]codigos!$E$2:$F$102, 2, FALSE)</f>
        <v>TAZON  20</v>
      </c>
      <c r="E1076" s="11" t="str">
        <f>VLOOKUP(VALUE(MID($C1076,19,2)),[2]codigos!$H$2:$I$62,2,1) &amp; " " &amp; VLOOKUP(VALUE(MID($C1076,21,2)),[2]codigos!$K$2:$L$12,2,FALSE)</f>
        <v>A/T S/I</v>
      </c>
      <c r="F1076" s="11" t="s">
        <v>841</v>
      </c>
      <c r="G1076" s="11" t="s">
        <v>11</v>
      </c>
      <c r="H1076" s="52" t="s">
        <v>1326</v>
      </c>
      <c r="I1076" s="20" t="s">
        <v>1327</v>
      </c>
      <c r="J1076" s="11">
        <v>600</v>
      </c>
      <c r="K1076" s="11">
        <f>130+4+180+282+4</f>
        <v>600</v>
      </c>
      <c r="L1076" s="11">
        <f t="shared" si="120"/>
        <v>0</v>
      </c>
      <c r="M1076" s="131"/>
      <c r="N1076" s="18">
        <v>46080</v>
      </c>
      <c r="O1076" s="93">
        <v>46073</v>
      </c>
    </row>
    <row r="1077" spans="1:15" x14ac:dyDescent="0.25">
      <c r="A1077" s="11">
        <f t="shared" ca="1" si="123"/>
        <v>-52</v>
      </c>
      <c r="B1077" s="37">
        <f t="shared" si="124"/>
        <v>21</v>
      </c>
      <c r="C1077" s="11" t="s">
        <v>1313</v>
      </c>
      <c r="D1077" s="11" t="str">
        <f>VLOOKUP(VALUE(MID($C1077,13,2)), [2]codigos!$A$2:$B$60, 2, 1) &amp; " " &amp; VLOOKUP(VALUE(MID($C1077,15,4)), [2]codigos!$E$2:$F$102, 2, FALSE)</f>
        <v>VASO RECTO CON TAPA</v>
      </c>
      <c r="E1077" s="11" t="str">
        <f>VLOOKUP(VALUE(MID($C1077,19,2)),[2]codigos!$H$2:$I$62,2,1) &amp; " " &amp; VLOOKUP(VALUE(MID($C1077,21,2)),[2]codigos!$K$2:$L$12,2,FALSE)</f>
        <v>A/T S/I</v>
      </c>
      <c r="F1077" s="11" t="s">
        <v>841</v>
      </c>
      <c r="G1077" s="11" t="s">
        <v>11</v>
      </c>
      <c r="H1077" s="52" t="s">
        <v>1326</v>
      </c>
      <c r="I1077" s="20" t="s">
        <v>1327</v>
      </c>
      <c r="J1077" s="11">
        <v>120</v>
      </c>
      <c r="K1077" s="11">
        <f>108+12</f>
        <v>120</v>
      </c>
      <c r="L1077" s="11">
        <f t="shared" si="120"/>
        <v>0</v>
      </c>
      <c r="M1077" s="131"/>
      <c r="N1077" s="18">
        <v>46080</v>
      </c>
      <c r="O1077" s="93">
        <v>46073</v>
      </c>
    </row>
    <row r="1078" spans="1:15" x14ac:dyDescent="0.25">
      <c r="A1078" s="11">
        <f t="shared" ca="1" si="123"/>
        <v>-52</v>
      </c>
      <c r="B1078" s="37">
        <f t="shared" si="124"/>
        <v>21</v>
      </c>
      <c r="C1078" s="11" t="s">
        <v>188</v>
      </c>
      <c r="D1078" s="11" t="str">
        <f>VLOOKUP(VALUE(MID($C1078,13,2)), [2]codigos!$A$2:$B$60, 2, 1) &amp; " " &amp; VLOOKUP(VALUE(MID($C1078,15,4)), [2]codigos!$E$2:$F$102, 2, FALSE)</f>
        <v>POCILLO 14</v>
      </c>
      <c r="E1078" s="11" t="str">
        <f>VLOOKUP(VALUE(MID($C1078,19,2)),[2]codigos!$H$2:$I$62,2,1) &amp; " " &amp; VLOOKUP(VALUE(MID($C1078,21,2)),[2]codigos!$K$2:$L$12,2,FALSE)</f>
        <v>S/I S/I</v>
      </c>
      <c r="F1078" s="11" t="s">
        <v>841</v>
      </c>
      <c r="G1078" s="11" t="s">
        <v>11</v>
      </c>
      <c r="H1078" s="52" t="s">
        <v>1326</v>
      </c>
      <c r="I1078" s="20" t="s">
        <v>1327</v>
      </c>
      <c r="J1078" s="11">
        <v>480</v>
      </c>
      <c r="K1078" s="11">
        <f>72+1+407</f>
        <v>480</v>
      </c>
      <c r="L1078" s="11">
        <f t="shared" si="120"/>
        <v>0</v>
      </c>
      <c r="M1078" s="131"/>
      <c r="N1078" s="18">
        <v>46080</v>
      </c>
      <c r="O1078" s="93">
        <v>46073</v>
      </c>
    </row>
    <row r="1079" spans="1:15" x14ac:dyDescent="0.25">
      <c r="A1079" s="11">
        <f t="shared" ref="A1079:A1142" ca="1" si="125">DAYS360($B$1,I1079)</f>
        <v>-31</v>
      </c>
      <c r="B1079" s="37">
        <f t="shared" ref="B1079:B1142" si="126">+N1079-I1079</f>
        <v>4</v>
      </c>
      <c r="C1079" s="11" t="s">
        <v>1446</v>
      </c>
      <c r="D1079" s="11" t="str">
        <f>VLOOKUP(VALUE(MID($C1079,13,2)), [2]codigos!$A$2:$B$60, 2, 1) &amp; " " &amp; VLOOKUP(VALUE(MID($C1079,15,4)), [2]codigos!$E$2:$F$102, 2, FALSE)</f>
        <v>BACINICA 24</v>
      </c>
      <c r="E1079" s="11" t="str">
        <f>VLOOKUP(VALUE(MID($C1079,19,2)),[2]codigos!$H$2:$I$62,2,1) &amp; " " &amp; VLOOKUP(VALUE(MID($C1079,21,2)),[2]codigos!$K$2:$L$12,2,FALSE)</f>
        <v>S/I S/I</v>
      </c>
      <c r="F1079" s="11" t="s">
        <v>1247</v>
      </c>
      <c r="G1079" s="11" t="s">
        <v>145</v>
      </c>
      <c r="H1079" s="52" t="s">
        <v>444</v>
      </c>
      <c r="I1079" s="20" t="s">
        <v>1445</v>
      </c>
      <c r="J1079" s="11">
        <v>60</v>
      </c>
      <c r="K1079" s="11">
        <v>60</v>
      </c>
      <c r="L1079" s="11">
        <f t="shared" si="120"/>
        <v>0</v>
      </c>
      <c r="M1079" s="131">
        <f>(SUM(K1079:K1138))/(SUM(J1079:J1138))</f>
        <v>0.87215909090909094</v>
      </c>
      <c r="N1079" s="96">
        <v>46084</v>
      </c>
    </row>
    <row r="1080" spans="1:15" x14ac:dyDescent="0.25">
      <c r="A1080" s="11">
        <f t="shared" ca="1" si="125"/>
        <v>-31</v>
      </c>
      <c r="B1080" s="37">
        <f t="shared" si="126"/>
        <v>4</v>
      </c>
      <c r="C1080" s="11" t="s">
        <v>1447</v>
      </c>
      <c r="D1080" s="11" t="str">
        <f>VLOOKUP(VALUE(MID($C1080,13,2)), [2]codigos!$A$2:$B$60, 2, 1) &amp; " " &amp; VLOOKUP(VALUE(MID($C1080,15,4)), [2]codigos!$E$2:$F$102, 2, FALSE)</f>
        <v>BUDINERA   14</v>
      </c>
      <c r="E1080" s="11" t="str">
        <f>VLOOKUP(VALUE(MID($C1080,19,2)),[2]codigos!$H$2:$I$62,2,1) &amp; " " &amp; VLOOKUP(VALUE(MID($C1080,21,2)),[2]codigos!$K$2:$L$12,2,FALSE)</f>
        <v>S/I S/I</v>
      </c>
      <c r="F1080" s="11" t="s">
        <v>1247</v>
      </c>
      <c r="G1080" s="11" t="s">
        <v>145</v>
      </c>
      <c r="H1080" s="52" t="s">
        <v>444</v>
      </c>
      <c r="I1080" s="20" t="s">
        <v>1445</v>
      </c>
      <c r="J1080" s="11">
        <v>72</v>
      </c>
      <c r="K1080" s="11">
        <v>54</v>
      </c>
      <c r="L1080" s="11">
        <f t="shared" si="120"/>
        <v>18</v>
      </c>
      <c r="M1080" s="131"/>
      <c r="N1080" s="96">
        <v>46084</v>
      </c>
    </row>
    <row r="1081" spans="1:15" x14ac:dyDescent="0.25">
      <c r="A1081" s="11">
        <f t="shared" ca="1" si="125"/>
        <v>-31</v>
      </c>
      <c r="B1081" s="37">
        <f t="shared" si="126"/>
        <v>4</v>
      </c>
      <c r="C1081" s="11" t="s">
        <v>1448</v>
      </c>
      <c r="D1081" s="11" t="str">
        <f>VLOOKUP(VALUE(MID($C1081,13,2)), [2]codigos!$A$2:$B$60, 2, 1) &amp; " " &amp; VLOOKUP(VALUE(MID($C1081,15,4)), [2]codigos!$E$2:$F$102, 2, FALSE)</f>
        <v>BUDINERA   16</v>
      </c>
      <c r="E1081" s="11" t="str">
        <f>VLOOKUP(VALUE(MID($C1081,19,2)),[2]codigos!$H$2:$I$62,2,1) &amp; " " &amp; VLOOKUP(VALUE(MID($C1081,21,2)),[2]codigos!$K$2:$L$12,2,FALSE)</f>
        <v>S/I S/I</v>
      </c>
      <c r="F1081" s="11" t="s">
        <v>1247</v>
      </c>
      <c r="G1081" s="11" t="s">
        <v>145</v>
      </c>
      <c r="H1081" s="52" t="s">
        <v>444</v>
      </c>
      <c r="I1081" s="20" t="s">
        <v>1445</v>
      </c>
      <c r="J1081" s="11">
        <v>72</v>
      </c>
      <c r="K1081" s="11">
        <v>0</v>
      </c>
      <c r="L1081" s="11">
        <f t="shared" si="120"/>
        <v>72</v>
      </c>
      <c r="M1081" s="131"/>
      <c r="N1081" s="96">
        <v>46084</v>
      </c>
    </row>
    <row r="1082" spans="1:15" x14ac:dyDescent="0.25">
      <c r="A1082" s="11">
        <f t="shared" ca="1" si="125"/>
        <v>-31</v>
      </c>
      <c r="B1082" s="37">
        <f t="shared" si="126"/>
        <v>4</v>
      </c>
      <c r="C1082" s="11" t="s">
        <v>1449</v>
      </c>
      <c r="D1082" s="11" t="str">
        <f>VLOOKUP(VALUE(MID($C1082,13,2)), [2]codigos!$A$2:$B$60, 2, 1) &amp; " " &amp; VLOOKUP(VALUE(MID($C1082,15,4)), [2]codigos!$E$2:$F$102, 2, FALSE)</f>
        <v>BUDINERA   18</v>
      </c>
      <c r="E1082" s="11" t="str">
        <f>VLOOKUP(VALUE(MID($C1082,19,2)),[2]codigos!$H$2:$I$62,2,1) &amp; " " &amp; VLOOKUP(VALUE(MID($C1082,21,2)),[2]codigos!$K$2:$L$12,2,FALSE)</f>
        <v>S/I S/I</v>
      </c>
      <c r="F1082" s="11" t="s">
        <v>1247</v>
      </c>
      <c r="G1082" s="11" t="s">
        <v>145</v>
      </c>
      <c r="H1082" s="52" t="s">
        <v>444</v>
      </c>
      <c r="I1082" s="20" t="s">
        <v>1445</v>
      </c>
      <c r="J1082" s="11">
        <v>72</v>
      </c>
      <c r="K1082" s="11">
        <v>72</v>
      </c>
      <c r="L1082" s="11">
        <f t="shared" si="120"/>
        <v>0</v>
      </c>
      <c r="M1082" s="131"/>
      <c r="N1082" s="96">
        <v>46084</v>
      </c>
    </row>
    <row r="1083" spans="1:15" x14ac:dyDescent="0.25">
      <c r="A1083" s="11">
        <f t="shared" ca="1" si="125"/>
        <v>-31</v>
      </c>
      <c r="B1083" s="37">
        <f t="shared" si="126"/>
        <v>4</v>
      </c>
      <c r="C1083" s="11" t="s">
        <v>1450</v>
      </c>
      <c r="D1083" s="11" t="str">
        <f>VLOOKUP(VALUE(MID($C1083,13,2)), [2]codigos!$A$2:$B$60, 2, 1) &amp; " " &amp; VLOOKUP(VALUE(MID($C1083,15,4)), [2]codigos!$E$2:$F$102, 2, FALSE)</f>
        <v>BUDINERA   20</v>
      </c>
      <c r="E1083" s="11" t="str">
        <f>VLOOKUP(VALUE(MID($C1083,19,2)),[2]codigos!$H$2:$I$62,2,1) &amp; " " &amp; VLOOKUP(VALUE(MID($C1083,21,2)),[2]codigos!$K$2:$L$12,2,FALSE)</f>
        <v>S/I S/I</v>
      </c>
      <c r="F1083" s="11" t="s">
        <v>1247</v>
      </c>
      <c r="G1083" s="11" t="s">
        <v>145</v>
      </c>
      <c r="H1083" s="52" t="s">
        <v>444</v>
      </c>
      <c r="I1083" s="20" t="s">
        <v>1445</v>
      </c>
      <c r="J1083" s="11">
        <v>72</v>
      </c>
      <c r="K1083" s="11">
        <v>72</v>
      </c>
      <c r="L1083" s="11">
        <f t="shared" si="120"/>
        <v>0</v>
      </c>
      <c r="M1083" s="131"/>
      <c r="N1083" s="96">
        <v>46084</v>
      </c>
    </row>
    <row r="1084" spans="1:15" x14ac:dyDescent="0.25">
      <c r="A1084" s="11">
        <f t="shared" ca="1" si="125"/>
        <v>-31</v>
      </c>
      <c r="B1084" s="37">
        <f t="shared" si="126"/>
        <v>4</v>
      </c>
      <c r="C1084" s="11" t="s">
        <v>1338</v>
      </c>
      <c r="D1084" s="11" t="str">
        <f>VLOOKUP(VALUE(MID($C1084,13,2)), [2]codigos!$A$2:$B$60, 2, 1) &amp; " " &amp; VLOOKUP(VALUE(MID($C1084,15,4)), [2]codigos!$E$2:$F$102, 2, FALSE)</f>
        <v>BUDINERA   22</v>
      </c>
      <c r="E1084" s="11" t="str">
        <f>VLOOKUP(VALUE(MID($C1084,19,2)),[2]codigos!$H$2:$I$62,2,1) &amp; " " &amp; VLOOKUP(VALUE(MID($C1084,21,2)),[2]codigos!$K$2:$L$12,2,FALSE)</f>
        <v>S/I S/I</v>
      </c>
      <c r="F1084" s="11" t="s">
        <v>1247</v>
      </c>
      <c r="G1084" s="11" t="s">
        <v>145</v>
      </c>
      <c r="H1084" s="52" t="s">
        <v>444</v>
      </c>
      <c r="I1084" s="20" t="s">
        <v>1445</v>
      </c>
      <c r="J1084" s="11">
        <v>48</v>
      </c>
      <c r="K1084" s="11">
        <v>48</v>
      </c>
      <c r="L1084" s="11">
        <f t="shared" si="120"/>
        <v>0</v>
      </c>
      <c r="M1084" s="131"/>
      <c r="N1084" s="96">
        <v>46084</v>
      </c>
    </row>
    <row r="1085" spans="1:15" x14ac:dyDescent="0.25">
      <c r="A1085" s="11">
        <f t="shared" ca="1" si="125"/>
        <v>-31</v>
      </c>
      <c r="B1085" s="37">
        <f t="shared" si="126"/>
        <v>4</v>
      </c>
      <c r="C1085" s="11" t="s">
        <v>1340</v>
      </c>
      <c r="D1085" s="11" t="str">
        <f>VLOOKUP(VALUE(MID($C1085,13,2)), [2]codigos!$A$2:$B$60, 2, 1) &amp; " " &amp; VLOOKUP(VALUE(MID($C1085,15,4)), [2]codigos!$E$2:$F$102, 2, FALSE)</f>
        <v>BUDINERA   24</v>
      </c>
      <c r="E1085" s="11" t="str">
        <f>VLOOKUP(VALUE(MID($C1085,19,2)),[2]codigos!$H$2:$I$62,2,1) &amp; " " &amp; VLOOKUP(VALUE(MID($C1085,21,2)),[2]codigos!$K$2:$L$12,2,FALSE)</f>
        <v>S/I S/I</v>
      </c>
      <c r="F1085" s="11" t="s">
        <v>1247</v>
      </c>
      <c r="G1085" s="11" t="s">
        <v>145</v>
      </c>
      <c r="H1085" s="52" t="s">
        <v>444</v>
      </c>
      <c r="I1085" s="20" t="s">
        <v>1445</v>
      </c>
      <c r="J1085" s="11">
        <v>48</v>
      </c>
      <c r="K1085" s="11">
        <v>48</v>
      </c>
      <c r="L1085" s="11">
        <f t="shared" si="120"/>
        <v>0</v>
      </c>
      <c r="M1085" s="131"/>
      <c r="N1085" s="96">
        <v>46084</v>
      </c>
    </row>
    <row r="1086" spans="1:15" x14ac:dyDescent="0.25">
      <c r="A1086" s="11">
        <f t="shared" ca="1" si="125"/>
        <v>-31</v>
      </c>
      <c r="B1086" s="37">
        <f t="shared" si="126"/>
        <v>4</v>
      </c>
      <c r="C1086" s="11" t="s">
        <v>1341</v>
      </c>
      <c r="D1086" s="11" t="str">
        <f>VLOOKUP(VALUE(MID($C1086,13,2)), [2]codigos!$A$2:$B$60, 2, 1) &amp; " " &amp; VLOOKUP(VALUE(MID($C1086,15,4)), [2]codigos!$E$2:$F$102, 2, FALSE)</f>
        <v>BUDINERA   26</v>
      </c>
      <c r="E1086" s="11" t="str">
        <f>VLOOKUP(VALUE(MID($C1086,19,2)),[2]codigos!$H$2:$I$62,2,1) &amp; " " &amp; VLOOKUP(VALUE(MID($C1086,21,2)),[2]codigos!$K$2:$L$12,2,FALSE)</f>
        <v>S/I S/I</v>
      </c>
      <c r="F1086" s="11" t="s">
        <v>1247</v>
      </c>
      <c r="G1086" s="11" t="s">
        <v>145</v>
      </c>
      <c r="H1086" s="52" t="s">
        <v>444</v>
      </c>
      <c r="I1086" s="20" t="s">
        <v>1445</v>
      </c>
      <c r="J1086" s="11">
        <v>48</v>
      </c>
      <c r="K1086" s="11">
        <v>12</v>
      </c>
      <c r="L1086" s="11">
        <f t="shared" si="120"/>
        <v>36</v>
      </c>
      <c r="M1086" s="131"/>
      <c r="N1086" s="96">
        <v>46084</v>
      </c>
    </row>
    <row r="1087" spans="1:15" x14ac:dyDescent="0.25">
      <c r="A1087" s="11">
        <f t="shared" ca="1" si="125"/>
        <v>-31</v>
      </c>
      <c r="B1087" s="37">
        <f t="shared" si="126"/>
        <v>4</v>
      </c>
      <c r="C1087" s="11" t="s">
        <v>1342</v>
      </c>
      <c r="D1087" s="11" t="str">
        <f>VLOOKUP(VALUE(MID($C1087,13,2)), [2]codigos!$A$2:$B$60, 2, 1) &amp; " " &amp; VLOOKUP(VALUE(MID($C1087,15,4)), [2]codigos!$E$2:$F$102, 2, FALSE)</f>
        <v>BUDINERA   30</v>
      </c>
      <c r="E1087" s="11" t="str">
        <f>VLOOKUP(VALUE(MID($C1087,19,2)),[2]codigos!$H$2:$I$62,2,1) &amp; " " &amp; VLOOKUP(VALUE(MID($C1087,21,2)),[2]codigos!$K$2:$L$12,2,FALSE)</f>
        <v>S/I S/I</v>
      </c>
      <c r="F1087" s="11" t="s">
        <v>1247</v>
      </c>
      <c r="G1087" s="11" t="s">
        <v>145</v>
      </c>
      <c r="H1087" s="52" t="s">
        <v>444</v>
      </c>
      <c r="I1087" s="20" t="s">
        <v>1445</v>
      </c>
      <c r="J1087" s="11">
        <v>16</v>
      </c>
      <c r="K1087" s="11">
        <v>16</v>
      </c>
      <c r="L1087" s="11">
        <f t="shared" si="120"/>
        <v>0</v>
      </c>
      <c r="M1087" s="131"/>
      <c r="N1087" s="96">
        <v>46084</v>
      </c>
    </row>
    <row r="1088" spans="1:15" x14ac:dyDescent="0.25">
      <c r="A1088" s="11">
        <f t="shared" ca="1" si="125"/>
        <v>-31</v>
      </c>
      <c r="B1088" s="37">
        <f t="shared" si="126"/>
        <v>4</v>
      </c>
      <c r="C1088" s="11" t="s">
        <v>1343</v>
      </c>
      <c r="D1088" s="11" t="str">
        <f>VLOOKUP(VALUE(MID($C1088,13,2)), [2]codigos!$A$2:$B$60, 2, 1) &amp; " " &amp; VLOOKUP(VALUE(MID($C1088,15,4)), [2]codigos!$E$2:$F$102, 2, FALSE)</f>
        <v>BUDINERA   34</v>
      </c>
      <c r="E1088" s="11" t="str">
        <f>VLOOKUP(VALUE(MID($C1088,19,2)),[2]codigos!$H$2:$I$62,2,1) &amp; " " &amp; VLOOKUP(VALUE(MID($C1088,21,2)),[2]codigos!$K$2:$L$12,2,FALSE)</f>
        <v>S/I S/I</v>
      </c>
      <c r="F1088" s="11" t="s">
        <v>1247</v>
      </c>
      <c r="G1088" s="11" t="s">
        <v>145</v>
      </c>
      <c r="H1088" s="52" t="s">
        <v>444</v>
      </c>
      <c r="I1088" s="20" t="s">
        <v>1445</v>
      </c>
      <c r="J1088" s="11">
        <v>16</v>
      </c>
      <c r="K1088" s="11">
        <v>16</v>
      </c>
      <c r="L1088" s="11">
        <f t="shared" si="120"/>
        <v>0</v>
      </c>
      <c r="M1088" s="131"/>
      <c r="N1088" s="96">
        <v>46084</v>
      </c>
    </row>
    <row r="1089" spans="1:14" x14ac:dyDescent="0.25">
      <c r="A1089" s="11">
        <f t="shared" ca="1" si="125"/>
        <v>-31</v>
      </c>
      <c r="B1089" s="37">
        <f t="shared" si="126"/>
        <v>4</v>
      </c>
      <c r="C1089" s="64" t="s">
        <v>1344</v>
      </c>
      <c r="D1089" s="64" t="str">
        <f>VLOOKUP(VALUE(MID($C1089,13,2)), [2]codigos!$A$2:$B$60, 2, 1) &amp; " " &amp; VLOOKUP(VALUE(MID($C1089,15,4)), [2]codigos!$E$2:$F$102, 2, FALSE)</f>
        <v>BUDINERA   42</v>
      </c>
      <c r="E1089" s="64" t="str">
        <f>VLOOKUP(VALUE(MID($C1089,19,2)),[2]codigos!$H$2:$I$62,2,1) &amp; " " &amp; VLOOKUP(VALUE(MID($C1089,21,2)),[2]codigos!$K$2:$L$12,2,FALSE)</f>
        <v>S/I S/I</v>
      </c>
      <c r="F1089" s="64" t="s">
        <v>1247</v>
      </c>
      <c r="G1089" s="64" t="s">
        <v>145</v>
      </c>
      <c r="H1089" s="66" t="s">
        <v>444</v>
      </c>
      <c r="I1089" s="64" t="s">
        <v>1445</v>
      </c>
      <c r="J1089" s="64">
        <v>8</v>
      </c>
      <c r="K1089" s="64">
        <v>0</v>
      </c>
      <c r="L1089" s="64">
        <f t="shared" si="120"/>
        <v>8</v>
      </c>
      <c r="M1089" s="131"/>
      <c r="N1089" s="96">
        <v>46084</v>
      </c>
    </row>
    <row r="1090" spans="1:14" x14ac:dyDescent="0.25">
      <c r="A1090" s="11">
        <f t="shared" ca="1" si="125"/>
        <v>-31</v>
      </c>
      <c r="B1090" s="37">
        <f t="shared" si="126"/>
        <v>4</v>
      </c>
      <c r="C1090" s="11" t="s">
        <v>1451</v>
      </c>
      <c r="D1090" s="11" t="str">
        <f>VLOOKUP(VALUE(MID($C1090,13,2)), [2]codigos!$A$2:$B$60, 2, 1) &amp; " " &amp; VLOOKUP(VALUE(MID($C1090,15,4)), [2]codigos!$E$2:$F$102, 2, FALSE)</f>
        <v>CAZO 14</v>
      </c>
      <c r="E1090" s="11" t="str">
        <f>VLOOKUP(VALUE(MID($C1090,19,2)),[2]codigos!$H$2:$I$62,2,1) &amp; " " &amp; VLOOKUP(VALUE(MID($C1090,21,2)),[2]codigos!$K$2:$L$12,2,FALSE)</f>
        <v>S/I S/I</v>
      </c>
      <c r="F1090" s="11" t="s">
        <v>1247</v>
      </c>
      <c r="G1090" s="11" t="s">
        <v>145</v>
      </c>
      <c r="H1090" s="52" t="s">
        <v>444</v>
      </c>
      <c r="I1090" s="20" t="s">
        <v>1445</v>
      </c>
      <c r="J1090" s="11">
        <v>36</v>
      </c>
      <c r="K1090" s="11">
        <v>36</v>
      </c>
      <c r="L1090" s="11">
        <f t="shared" si="120"/>
        <v>0</v>
      </c>
      <c r="M1090" s="131"/>
      <c r="N1090" s="96">
        <v>46084</v>
      </c>
    </row>
    <row r="1091" spans="1:14" x14ac:dyDescent="0.25">
      <c r="A1091" s="11">
        <f t="shared" ca="1" si="125"/>
        <v>-31</v>
      </c>
      <c r="B1091" s="37">
        <f t="shared" si="126"/>
        <v>4</v>
      </c>
      <c r="C1091" s="11" t="s">
        <v>1452</v>
      </c>
      <c r="D1091" s="11" t="str">
        <f>VLOOKUP(VALUE(MID($C1091,13,2)), [2]codigos!$A$2:$B$60, 2, 1) &amp; " " &amp; VLOOKUP(VALUE(MID($C1091,15,4)), [2]codigos!$E$2:$F$102, 2, FALSE)</f>
        <v>CAZO 16</v>
      </c>
      <c r="E1091" s="11" t="str">
        <f>VLOOKUP(VALUE(MID($C1091,19,2)),[2]codigos!$H$2:$I$62,2,1) &amp; " " &amp; VLOOKUP(VALUE(MID($C1091,21,2)),[2]codigos!$K$2:$L$12,2,FALSE)</f>
        <v>S/I S/I</v>
      </c>
      <c r="F1091" s="11" t="s">
        <v>1247</v>
      </c>
      <c r="G1091" s="11" t="s">
        <v>145</v>
      </c>
      <c r="H1091" s="52" t="s">
        <v>444</v>
      </c>
      <c r="I1091" s="20" t="s">
        <v>1445</v>
      </c>
      <c r="J1091" s="11">
        <v>36</v>
      </c>
      <c r="K1091" s="11">
        <v>36</v>
      </c>
      <c r="L1091" s="11">
        <f t="shared" si="120"/>
        <v>0</v>
      </c>
      <c r="M1091" s="131"/>
      <c r="N1091" s="96">
        <v>46084</v>
      </c>
    </row>
    <row r="1092" spans="1:14" x14ac:dyDescent="0.25">
      <c r="A1092" s="11">
        <f t="shared" ca="1" si="125"/>
        <v>-31</v>
      </c>
      <c r="B1092" s="37">
        <f t="shared" si="126"/>
        <v>4</v>
      </c>
      <c r="C1092" s="64" t="s">
        <v>1454</v>
      </c>
      <c r="D1092" s="64" t="str">
        <f>VLOOKUP(VALUE(MID($C1092,13,2)), [2]codigos!$A$2:$B$60, 2, 1) &amp; " " &amp; VLOOKUP(VALUE(MID($C1092,15,4)), [2]codigos!$E$2:$F$102, 2, FALSE)</f>
        <v>OLLA CONVEXA 12</v>
      </c>
      <c r="E1092" s="64" t="str">
        <f>VLOOKUP(VALUE(MID($C1092,19,2)),[2]codigos!$H$2:$I$62,2,1) &amp; " " &amp; VLOOKUP(VALUE(MID($C1092,21,2)),[2]codigos!$K$2:$L$12,2,FALSE)</f>
        <v>S/I S/I</v>
      </c>
      <c r="F1092" s="64" t="s">
        <v>1247</v>
      </c>
      <c r="G1092" s="64" t="s">
        <v>145</v>
      </c>
      <c r="H1092" s="66" t="s">
        <v>444</v>
      </c>
      <c r="I1092" s="64" t="s">
        <v>1445</v>
      </c>
      <c r="J1092" s="64">
        <v>72</v>
      </c>
      <c r="K1092" s="64">
        <v>0</v>
      </c>
      <c r="L1092" s="64">
        <f t="shared" ref="L1092:L1143" si="127">J1092-K1092</f>
        <v>72</v>
      </c>
      <c r="M1092" s="131"/>
      <c r="N1092" s="96">
        <v>46084</v>
      </c>
    </row>
    <row r="1093" spans="1:14" x14ac:dyDescent="0.25">
      <c r="A1093" s="11">
        <f t="shared" ca="1" si="125"/>
        <v>-31</v>
      </c>
      <c r="B1093" s="37">
        <f t="shared" si="126"/>
        <v>4</v>
      </c>
      <c r="C1093" s="11" t="s">
        <v>1455</v>
      </c>
      <c r="D1093" s="11" t="str">
        <f>VLOOKUP(VALUE(MID($C1093,13,2)), [2]codigos!$A$2:$B$60, 2, 1) &amp; " " &amp; VLOOKUP(VALUE(MID($C1093,15,4)), [2]codigos!$E$2:$F$102, 2, FALSE)</f>
        <v>OLLA CONVEXA 14</v>
      </c>
      <c r="E1093" s="11" t="str">
        <f>VLOOKUP(VALUE(MID($C1093,19,2)),[2]codigos!$H$2:$I$62,2,1) &amp; " " &amp; VLOOKUP(VALUE(MID($C1093,21,2)),[2]codigos!$K$2:$L$12,2,FALSE)</f>
        <v>S/I S/I</v>
      </c>
      <c r="F1093" s="11" t="s">
        <v>1247</v>
      </c>
      <c r="G1093" s="11" t="s">
        <v>145</v>
      </c>
      <c r="H1093" s="52" t="s">
        <v>444</v>
      </c>
      <c r="I1093" s="20" t="s">
        <v>1445</v>
      </c>
      <c r="J1093" s="11">
        <v>72</v>
      </c>
      <c r="K1093" s="11">
        <v>72</v>
      </c>
      <c r="L1093" s="11">
        <f t="shared" si="127"/>
        <v>0</v>
      </c>
      <c r="M1093" s="131"/>
      <c r="N1093" s="96">
        <v>46084</v>
      </c>
    </row>
    <row r="1094" spans="1:14" x14ac:dyDescent="0.25">
      <c r="A1094" s="11">
        <f t="shared" ca="1" si="125"/>
        <v>-31</v>
      </c>
      <c r="B1094" s="37">
        <f t="shared" si="126"/>
        <v>4</v>
      </c>
      <c r="C1094" s="64" t="s">
        <v>1345</v>
      </c>
      <c r="D1094" s="64" t="str">
        <f>VLOOKUP(VALUE(MID($C1094,13,2)), [2]codigos!$A$2:$B$60, 2, 1) &amp; " " &amp; VLOOKUP(VALUE(MID($C1094,15,4)), [2]codigos!$E$2:$F$102, 2, FALSE)</f>
        <v>OLLA CONVEXA 16</v>
      </c>
      <c r="E1094" s="64" t="str">
        <f>VLOOKUP(VALUE(MID($C1094,19,2)),[2]codigos!$H$2:$I$62,2,1) &amp; " " &amp; VLOOKUP(VALUE(MID($C1094,21,2)),[2]codigos!$K$2:$L$12,2,FALSE)</f>
        <v>S/I S/I</v>
      </c>
      <c r="F1094" s="64" t="s">
        <v>1247</v>
      </c>
      <c r="G1094" s="64" t="s">
        <v>145</v>
      </c>
      <c r="H1094" s="66" t="s">
        <v>444</v>
      </c>
      <c r="I1094" s="64" t="s">
        <v>1445</v>
      </c>
      <c r="J1094" s="64">
        <v>48</v>
      </c>
      <c r="K1094" s="64">
        <v>0</v>
      </c>
      <c r="L1094" s="64">
        <f t="shared" si="127"/>
        <v>48</v>
      </c>
      <c r="M1094" s="131"/>
      <c r="N1094" s="96">
        <v>46084</v>
      </c>
    </row>
    <row r="1095" spans="1:14" x14ac:dyDescent="0.25">
      <c r="A1095" s="11">
        <f t="shared" ca="1" si="125"/>
        <v>-31</v>
      </c>
      <c r="B1095" s="37">
        <f t="shared" si="126"/>
        <v>4</v>
      </c>
      <c r="C1095" s="11" t="s">
        <v>1456</v>
      </c>
      <c r="D1095" s="11" t="str">
        <f>VLOOKUP(VALUE(MID($C1095,13,2)), [2]codigos!$A$2:$B$60, 2, 1) &amp; " " &amp; VLOOKUP(VALUE(MID($C1095,15,4)), [2]codigos!$E$2:$F$102, 2, FALSE)</f>
        <v>OLLA CONVEXA 18</v>
      </c>
      <c r="E1095" s="11" t="str">
        <f>VLOOKUP(VALUE(MID($C1095,19,2)),[2]codigos!$H$2:$I$62,2,1) &amp; " " &amp; VLOOKUP(VALUE(MID($C1095,21,2)),[2]codigos!$K$2:$L$12,2,FALSE)</f>
        <v>S/I S/I</v>
      </c>
      <c r="F1095" s="11" t="s">
        <v>1247</v>
      </c>
      <c r="G1095" s="11" t="s">
        <v>145</v>
      </c>
      <c r="H1095" s="52" t="s">
        <v>444</v>
      </c>
      <c r="I1095" s="20" t="s">
        <v>1445</v>
      </c>
      <c r="J1095" s="11">
        <v>48</v>
      </c>
      <c r="K1095" s="11">
        <v>48</v>
      </c>
      <c r="L1095" s="11">
        <f t="shared" si="127"/>
        <v>0</v>
      </c>
      <c r="M1095" s="131"/>
      <c r="N1095" s="96">
        <v>46084</v>
      </c>
    </row>
    <row r="1096" spans="1:14" x14ac:dyDescent="0.25">
      <c r="A1096" s="11">
        <f t="shared" ca="1" si="125"/>
        <v>-31</v>
      </c>
      <c r="B1096" s="37">
        <f t="shared" si="126"/>
        <v>4</v>
      </c>
      <c r="C1096" s="11" t="s">
        <v>1346</v>
      </c>
      <c r="D1096" s="11" t="str">
        <f>VLOOKUP(VALUE(MID($C1096,13,2)), [2]codigos!$A$2:$B$60, 2, 1) &amp; " " &amp; VLOOKUP(VALUE(MID($C1096,15,4)), [2]codigos!$E$2:$F$102, 2, FALSE)</f>
        <v>OLLA CONVEXA 20</v>
      </c>
      <c r="E1096" s="11" t="str">
        <f>VLOOKUP(VALUE(MID($C1096,19,2)),[2]codigos!$H$2:$I$62,2,1) &amp; " " &amp; VLOOKUP(VALUE(MID($C1096,21,2)),[2]codigos!$K$2:$L$12,2,FALSE)</f>
        <v>S/I S/I</v>
      </c>
      <c r="F1096" s="11" t="s">
        <v>1247</v>
      </c>
      <c r="G1096" s="11" t="s">
        <v>145</v>
      </c>
      <c r="H1096" s="52" t="s">
        <v>444</v>
      </c>
      <c r="I1096" s="20" t="s">
        <v>1445</v>
      </c>
      <c r="J1096" s="11">
        <v>48</v>
      </c>
      <c r="K1096" s="11">
        <v>48</v>
      </c>
      <c r="L1096" s="11">
        <f t="shared" si="127"/>
        <v>0</v>
      </c>
      <c r="M1096" s="131"/>
      <c r="N1096" s="96">
        <v>46084</v>
      </c>
    </row>
    <row r="1097" spans="1:14" x14ac:dyDescent="0.25">
      <c r="A1097" s="11">
        <f t="shared" ca="1" si="125"/>
        <v>-31</v>
      </c>
      <c r="B1097" s="37">
        <f t="shared" si="126"/>
        <v>4</v>
      </c>
      <c r="C1097" s="11" t="s">
        <v>1347</v>
      </c>
      <c r="D1097" s="11" t="str">
        <f>VLOOKUP(VALUE(MID($C1097,13,2)), [2]codigos!$A$2:$B$60, 2, 1) &amp; " " &amp; VLOOKUP(VALUE(MID($C1097,15,4)), [2]codigos!$E$2:$F$102, 2, FALSE)</f>
        <v>OLLA CONVEXA 22</v>
      </c>
      <c r="E1097" s="11" t="str">
        <f>VLOOKUP(VALUE(MID($C1097,19,2)),[2]codigos!$H$2:$I$62,2,1) &amp; " " &amp; VLOOKUP(VALUE(MID($C1097,21,2)),[2]codigos!$K$2:$L$12,2,FALSE)</f>
        <v>S/I S/I</v>
      </c>
      <c r="F1097" s="11" t="s">
        <v>1247</v>
      </c>
      <c r="G1097" s="11" t="s">
        <v>145</v>
      </c>
      <c r="H1097" s="52" t="s">
        <v>444</v>
      </c>
      <c r="I1097" s="20" t="s">
        <v>1445</v>
      </c>
      <c r="J1097" s="11">
        <v>24</v>
      </c>
      <c r="K1097" s="11">
        <v>24</v>
      </c>
      <c r="L1097" s="11">
        <f t="shared" si="127"/>
        <v>0</v>
      </c>
      <c r="M1097" s="131"/>
      <c r="N1097" s="96">
        <v>46084</v>
      </c>
    </row>
    <row r="1098" spans="1:14" x14ac:dyDescent="0.25">
      <c r="A1098" s="11">
        <f t="shared" ca="1" si="125"/>
        <v>-31</v>
      </c>
      <c r="B1098" s="37">
        <f t="shared" si="126"/>
        <v>4</v>
      </c>
      <c r="C1098" s="11" t="s">
        <v>1348</v>
      </c>
      <c r="D1098" s="11" t="str">
        <f>VLOOKUP(VALUE(MID($C1098,13,2)), [2]codigos!$A$2:$B$60, 2, 1) &amp; " " &amp; VLOOKUP(VALUE(MID($C1098,15,4)), [2]codigos!$E$2:$F$102, 2, FALSE)</f>
        <v>OLLA CONVEXA 24</v>
      </c>
      <c r="E1098" s="11" t="str">
        <f>VLOOKUP(VALUE(MID($C1098,19,2)),[2]codigos!$H$2:$I$62,2,1) &amp; " " &amp; VLOOKUP(VALUE(MID($C1098,21,2)),[2]codigos!$K$2:$L$12,2,FALSE)</f>
        <v>S/I S/I</v>
      </c>
      <c r="F1098" s="11" t="s">
        <v>1247</v>
      </c>
      <c r="G1098" s="11" t="s">
        <v>145</v>
      </c>
      <c r="H1098" s="52" t="s">
        <v>444</v>
      </c>
      <c r="I1098" s="20" t="s">
        <v>1445</v>
      </c>
      <c r="J1098" s="11">
        <v>24</v>
      </c>
      <c r="K1098" s="11">
        <v>24</v>
      </c>
      <c r="L1098" s="11">
        <f t="shared" si="127"/>
        <v>0</v>
      </c>
      <c r="M1098" s="131"/>
      <c r="N1098" s="96">
        <v>46084</v>
      </c>
    </row>
    <row r="1099" spans="1:14" x14ac:dyDescent="0.25">
      <c r="A1099" s="11">
        <f t="shared" ca="1" si="125"/>
        <v>-31</v>
      </c>
      <c r="B1099" s="37">
        <f t="shared" si="126"/>
        <v>4</v>
      </c>
      <c r="C1099" s="11" t="s">
        <v>1349</v>
      </c>
      <c r="D1099" s="11" t="str">
        <f>VLOOKUP(VALUE(MID($C1099,13,2)), [2]codigos!$A$2:$B$60, 2, 1) &amp; " " &amp; VLOOKUP(VALUE(MID($C1099,15,4)), [2]codigos!$E$2:$F$102, 2, FALSE)</f>
        <v>OLLA CONVEXA 26</v>
      </c>
      <c r="E1099" s="11" t="str">
        <f>VLOOKUP(VALUE(MID($C1099,19,2)),[2]codigos!$H$2:$I$62,2,1) &amp; " " &amp; VLOOKUP(VALUE(MID($C1099,21,2)),[2]codigos!$K$2:$L$12,2,FALSE)</f>
        <v>S/I S/I</v>
      </c>
      <c r="F1099" s="11" t="s">
        <v>1247</v>
      </c>
      <c r="G1099" s="11" t="s">
        <v>145</v>
      </c>
      <c r="H1099" s="52" t="s">
        <v>444</v>
      </c>
      <c r="I1099" s="20" t="s">
        <v>1445</v>
      </c>
      <c r="J1099" s="11">
        <v>24</v>
      </c>
      <c r="K1099" s="11">
        <v>24</v>
      </c>
      <c r="L1099" s="11">
        <f t="shared" si="127"/>
        <v>0</v>
      </c>
      <c r="M1099" s="131"/>
      <c r="N1099" s="96">
        <v>46084</v>
      </c>
    </row>
    <row r="1100" spans="1:14" x14ac:dyDescent="0.25">
      <c r="A1100" s="11">
        <f t="shared" ca="1" si="125"/>
        <v>-31</v>
      </c>
      <c r="B1100" s="37">
        <f t="shared" si="126"/>
        <v>4</v>
      </c>
      <c r="C1100" s="11" t="s">
        <v>1350</v>
      </c>
      <c r="D1100" s="11" t="str">
        <f>VLOOKUP(VALUE(MID($C1100,13,2)), [2]codigos!$A$2:$B$60, 2, 1) &amp; " " &amp; VLOOKUP(VALUE(MID($C1100,15,4)), [2]codigos!$E$2:$F$102, 2, FALSE)</f>
        <v>OLLA CONVEXA 30</v>
      </c>
      <c r="E1100" s="11" t="str">
        <f>VLOOKUP(VALUE(MID($C1100,19,2)),[2]codigos!$H$2:$I$62,2,1) &amp; " " &amp; VLOOKUP(VALUE(MID($C1100,21,2)),[2]codigos!$K$2:$L$12,2,FALSE)</f>
        <v>S/I S/I</v>
      </c>
      <c r="F1100" s="11" t="s">
        <v>1247</v>
      </c>
      <c r="G1100" s="11" t="s">
        <v>145</v>
      </c>
      <c r="H1100" s="52" t="s">
        <v>444</v>
      </c>
      <c r="I1100" s="20" t="s">
        <v>1445</v>
      </c>
      <c r="J1100" s="11">
        <v>8</v>
      </c>
      <c r="K1100" s="11">
        <v>8</v>
      </c>
      <c r="L1100" s="11">
        <f t="shared" si="127"/>
        <v>0</v>
      </c>
      <c r="M1100" s="131"/>
      <c r="N1100" s="96">
        <v>46084</v>
      </c>
    </row>
    <row r="1101" spans="1:14" x14ac:dyDescent="0.25">
      <c r="A1101" s="11">
        <f t="shared" ca="1" si="125"/>
        <v>-31</v>
      </c>
      <c r="B1101" s="37">
        <f t="shared" si="126"/>
        <v>4</v>
      </c>
      <c r="C1101" s="11" t="s">
        <v>1351</v>
      </c>
      <c r="D1101" s="11" t="str">
        <f>VLOOKUP(VALUE(MID($C1101,13,2)), [2]codigos!$A$2:$B$60, 2, 1) &amp; " " &amp; VLOOKUP(VALUE(MID($C1101,15,4)), [2]codigos!$E$2:$F$102, 2, FALSE)</f>
        <v>OLLA CONVEXA 34</v>
      </c>
      <c r="E1101" s="11" t="str">
        <f>VLOOKUP(VALUE(MID($C1101,19,2)),[2]codigos!$H$2:$I$62,2,1) &amp; " " &amp; VLOOKUP(VALUE(MID($C1101,21,2)),[2]codigos!$K$2:$L$12,2,FALSE)</f>
        <v>S/I S/I</v>
      </c>
      <c r="F1101" s="11" t="s">
        <v>1247</v>
      </c>
      <c r="G1101" s="11" t="s">
        <v>145</v>
      </c>
      <c r="H1101" s="52" t="s">
        <v>444</v>
      </c>
      <c r="I1101" s="20" t="s">
        <v>1445</v>
      </c>
      <c r="J1101" s="11">
        <v>8</v>
      </c>
      <c r="K1101" s="11">
        <v>6</v>
      </c>
      <c r="L1101" s="11">
        <f t="shared" si="127"/>
        <v>2</v>
      </c>
      <c r="M1101" s="131"/>
      <c r="N1101" s="96">
        <v>46084</v>
      </c>
    </row>
    <row r="1102" spans="1:14" x14ac:dyDescent="0.25">
      <c r="A1102" s="11">
        <f t="shared" ca="1" si="125"/>
        <v>-31</v>
      </c>
      <c r="B1102" s="37">
        <f t="shared" si="126"/>
        <v>4</v>
      </c>
      <c r="C1102" s="11" t="s">
        <v>1457</v>
      </c>
      <c r="D1102" s="11" t="str">
        <f>VLOOKUP(VALUE(MID($C1102,13,2)), [2]codigos!$A$2:$B$60, 2, 1) &amp; " " &amp; VLOOKUP(VALUE(MID($C1102,15,4)), [2]codigos!$E$2:$F$102, 2, FALSE)</f>
        <v>OLLA RECTA 12</v>
      </c>
      <c r="E1102" s="11" t="str">
        <f>VLOOKUP(VALUE(MID($C1102,19,2)),[2]codigos!$H$2:$I$62,2,1) &amp; " " &amp; VLOOKUP(VALUE(MID($C1102,21,2)),[2]codigos!$K$2:$L$12,2,FALSE)</f>
        <v>S/I S/I</v>
      </c>
      <c r="F1102" s="11" t="s">
        <v>1247</v>
      </c>
      <c r="G1102" s="11" t="s">
        <v>145</v>
      </c>
      <c r="H1102" s="52" t="s">
        <v>444</v>
      </c>
      <c r="I1102" s="20" t="s">
        <v>1445</v>
      </c>
      <c r="J1102" s="11">
        <v>72</v>
      </c>
      <c r="K1102" s="11">
        <v>72</v>
      </c>
      <c r="L1102" s="11">
        <f t="shared" si="127"/>
        <v>0</v>
      </c>
      <c r="M1102" s="131"/>
      <c r="N1102" s="96">
        <v>46084</v>
      </c>
    </row>
    <row r="1103" spans="1:14" x14ac:dyDescent="0.25">
      <c r="A1103" s="11">
        <f t="shared" ca="1" si="125"/>
        <v>-31</v>
      </c>
      <c r="B1103" s="37">
        <f t="shared" si="126"/>
        <v>4</v>
      </c>
      <c r="C1103" s="11" t="s">
        <v>1458</v>
      </c>
      <c r="D1103" s="11" t="str">
        <f>VLOOKUP(VALUE(MID($C1103,13,2)), [2]codigos!$A$2:$B$60, 2, 1) &amp; " " &amp; VLOOKUP(VALUE(MID($C1103,15,4)), [2]codigos!$E$2:$F$102, 2, FALSE)</f>
        <v>OLLA RECTA 14</v>
      </c>
      <c r="E1103" s="11" t="str">
        <f>VLOOKUP(VALUE(MID($C1103,19,2)),[2]codigos!$H$2:$I$62,2,1) &amp; " " &amp; VLOOKUP(VALUE(MID($C1103,21,2)),[2]codigos!$K$2:$L$12,2,FALSE)</f>
        <v>S/I S/I</v>
      </c>
      <c r="F1103" s="11" t="s">
        <v>1247</v>
      </c>
      <c r="G1103" s="11" t="s">
        <v>145</v>
      </c>
      <c r="H1103" s="52" t="s">
        <v>444</v>
      </c>
      <c r="I1103" s="20" t="s">
        <v>1445</v>
      </c>
      <c r="J1103" s="11">
        <v>72</v>
      </c>
      <c r="K1103" s="11">
        <v>72</v>
      </c>
      <c r="L1103" s="11">
        <f t="shared" si="127"/>
        <v>0</v>
      </c>
      <c r="M1103" s="131"/>
      <c r="N1103" s="96">
        <v>46084</v>
      </c>
    </row>
    <row r="1104" spans="1:14" x14ac:dyDescent="0.25">
      <c r="A1104" s="11">
        <f t="shared" ca="1" si="125"/>
        <v>-31</v>
      </c>
      <c r="B1104" s="37">
        <f t="shared" si="126"/>
        <v>4</v>
      </c>
      <c r="C1104" s="11" t="s">
        <v>1459</v>
      </c>
      <c r="D1104" s="11" t="str">
        <f>VLOOKUP(VALUE(MID($C1104,13,2)), [2]codigos!$A$2:$B$60, 2, 1) &amp; " " &amp; VLOOKUP(VALUE(MID($C1104,15,4)), [2]codigos!$E$2:$F$102, 2, FALSE)</f>
        <v>OLLA RECTA 16</v>
      </c>
      <c r="E1104" s="11" t="str">
        <f>VLOOKUP(VALUE(MID($C1104,19,2)),[2]codigos!$H$2:$I$62,2,1) &amp; " " &amp; VLOOKUP(VALUE(MID($C1104,21,2)),[2]codigos!$K$2:$L$12,2,FALSE)</f>
        <v>S/I S/I</v>
      </c>
      <c r="F1104" s="11" t="s">
        <v>1247</v>
      </c>
      <c r="G1104" s="11" t="s">
        <v>145</v>
      </c>
      <c r="H1104" s="52" t="s">
        <v>444</v>
      </c>
      <c r="I1104" s="20" t="s">
        <v>1445</v>
      </c>
      <c r="J1104" s="11">
        <v>48</v>
      </c>
      <c r="K1104" s="11">
        <v>48</v>
      </c>
      <c r="L1104" s="11">
        <f t="shared" si="127"/>
        <v>0</v>
      </c>
      <c r="M1104" s="131"/>
      <c r="N1104" s="96">
        <v>46084</v>
      </c>
    </row>
    <row r="1105" spans="1:14" x14ac:dyDescent="0.25">
      <c r="A1105" s="11">
        <f t="shared" ca="1" si="125"/>
        <v>-31</v>
      </c>
      <c r="B1105" s="37">
        <f t="shared" si="126"/>
        <v>4</v>
      </c>
      <c r="C1105" s="11" t="s">
        <v>1460</v>
      </c>
      <c r="D1105" s="11" t="str">
        <f>VLOOKUP(VALUE(MID($C1105,13,2)), [2]codigos!$A$2:$B$60, 2, 1) &amp; " " &amp; VLOOKUP(VALUE(MID($C1105,15,4)), [2]codigos!$E$2:$F$102, 2, FALSE)</f>
        <v>OLLA RECTA 18</v>
      </c>
      <c r="E1105" s="11" t="str">
        <f>VLOOKUP(VALUE(MID($C1105,19,2)),[2]codigos!$H$2:$I$62,2,1) &amp; " " &amp; VLOOKUP(VALUE(MID($C1105,21,2)),[2]codigos!$K$2:$L$12,2,FALSE)</f>
        <v>S/I S/I</v>
      </c>
      <c r="F1105" s="11" t="s">
        <v>1247</v>
      </c>
      <c r="G1105" s="11" t="s">
        <v>145</v>
      </c>
      <c r="H1105" s="52" t="s">
        <v>444</v>
      </c>
      <c r="I1105" s="20" t="s">
        <v>1445</v>
      </c>
      <c r="J1105" s="11">
        <v>48</v>
      </c>
      <c r="K1105" s="11">
        <v>48</v>
      </c>
      <c r="L1105" s="11">
        <f t="shared" si="127"/>
        <v>0</v>
      </c>
      <c r="M1105" s="131"/>
      <c r="N1105" s="96">
        <v>46084</v>
      </c>
    </row>
    <row r="1106" spans="1:14" x14ac:dyDescent="0.25">
      <c r="A1106" s="11">
        <f t="shared" ca="1" si="125"/>
        <v>-31</v>
      </c>
      <c r="B1106" s="37">
        <f t="shared" si="126"/>
        <v>4</v>
      </c>
      <c r="C1106" s="11" t="s">
        <v>1461</v>
      </c>
      <c r="D1106" s="11" t="str">
        <f>VLOOKUP(VALUE(MID($C1106,13,2)), [2]codigos!$A$2:$B$60, 2, 1) &amp; " " &amp; VLOOKUP(VALUE(MID($C1106,15,4)), [2]codigos!$E$2:$F$102, 2, FALSE)</f>
        <v>OLLA RECTA 20</v>
      </c>
      <c r="E1106" s="11" t="str">
        <f>VLOOKUP(VALUE(MID($C1106,19,2)),[2]codigos!$H$2:$I$62,2,1) &amp; " " &amp; VLOOKUP(VALUE(MID($C1106,21,2)),[2]codigos!$K$2:$L$12,2,FALSE)</f>
        <v>S/I S/I</v>
      </c>
      <c r="F1106" s="11" t="s">
        <v>1247</v>
      </c>
      <c r="G1106" s="11" t="s">
        <v>145</v>
      </c>
      <c r="H1106" s="52" t="s">
        <v>444</v>
      </c>
      <c r="I1106" s="20" t="s">
        <v>1445</v>
      </c>
      <c r="J1106" s="11">
        <v>48</v>
      </c>
      <c r="K1106" s="11">
        <v>48</v>
      </c>
      <c r="L1106" s="11">
        <f t="shared" si="127"/>
        <v>0</v>
      </c>
      <c r="M1106" s="131"/>
      <c r="N1106" s="96">
        <v>46084</v>
      </c>
    </row>
    <row r="1107" spans="1:14" x14ac:dyDescent="0.25">
      <c r="A1107" s="11">
        <f t="shared" ca="1" si="125"/>
        <v>-31</v>
      </c>
      <c r="B1107" s="37">
        <f t="shared" si="126"/>
        <v>4</v>
      </c>
      <c r="C1107" s="11" t="s">
        <v>1462</v>
      </c>
      <c r="D1107" s="11" t="str">
        <f>VLOOKUP(VALUE(MID($C1107,13,2)), [2]codigos!$A$2:$B$60, 2, 1) &amp; " " &amp; VLOOKUP(VALUE(MID($C1107,15,4)), [2]codigos!$E$2:$F$102, 2, FALSE)</f>
        <v>OLLA RECTA 22</v>
      </c>
      <c r="E1107" s="11" t="str">
        <f>VLOOKUP(VALUE(MID($C1107,19,2)),[2]codigos!$H$2:$I$62,2,1) &amp; " " &amp; VLOOKUP(VALUE(MID($C1107,21,2)),[2]codigos!$K$2:$L$12,2,FALSE)</f>
        <v>S/I S/I</v>
      </c>
      <c r="F1107" s="11" t="s">
        <v>1247</v>
      </c>
      <c r="G1107" s="11" t="s">
        <v>145</v>
      </c>
      <c r="H1107" s="52" t="s">
        <v>444</v>
      </c>
      <c r="I1107" s="20" t="s">
        <v>1445</v>
      </c>
      <c r="J1107" s="11">
        <v>24</v>
      </c>
      <c r="K1107" s="11">
        <v>24</v>
      </c>
      <c r="L1107" s="11">
        <f t="shared" si="127"/>
        <v>0</v>
      </c>
      <c r="M1107" s="131"/>
      <c r="N1107" s="96">
        <v>46084</v>
      </c>
    </row>
    <row r="1108" spans="1:14" x14ac:dyDescent="0.25">
      <c r="A1108" s="11">
        <f t="shared" ca="1" si="125"/>
        <v>-31</v>
      </c>
      <c r="B1108" s="37">
        <f t="shared" si="126"/>
        <v>4</v>
      </c>
      <c r="C1108" s="11" t="s">
        <v>1463</v>
      </c>
      <c r="D1108" s="11" t="str">
        <f>VLOOKUP(VALUE(MID($C1108,13,2)), [2]codigos!$A$2:$B$60, 2, 1) &amp; " " &amp; VLOOKUP(VALUE(MID($C1108,15,4)), [2]codigos!$E$2:$F$102, 2, FALSE)</f>
        <v>OLLA RECTA 24</v>
      </c>
      <c r="E1108" s="11" t="str">
        <f>VLOOKUP(VALUE(MID($C1108,19,2)),[2]codigos!$H$2:$I$62,2,1) &amp; " " &amp; VLOOKUP(VALUE(MID($C1108,21,2)),[2]codigos!$K$2:$L$12,2,FALSE)</f>
        <v>S/I S/I</v>
      </c>
      <c r="F1108" s="11" t="s">
        <v>1247</v>
      </c>
      <c r="G1108" s="11" t="s">
        <v>145</v>
      </c>
      <c r="H1108" s="52" t="s">
        <v>444</v>
      </c>
      <c r="I1108" s="20" t="s">
        <v>1445</v>
      </c>
      <c r="J1108" s="11">
        <v>24</v>
      </c>
      <c r="K1108" s="11">
        <v>24</v>
      </c>
      <c r="L1108" s="11">
        <f t="shared" si="127"/>
        <v>0</v>
      </c>
      <c r="M1108" s="131"/>
      <c r="N1108" s="96">
        <v>46084</v>
      </c>
    </row>
    <row r="1109" spans="1:14" x14ac:dyDescent="0.25">
      <c r="A1109" s="11">
        <f t="shared" ca="1" si="125"/>
        <v>-31</v>
      </c>
      <c r="B1109" s="37">
        <f t="shared" si="126"/>
        <v>4</v>
      </c>
      <c r="C1109" s="64" t="s">
        <v>1352</v>
      </c>
      <c r="D1109" s="64" t="str">
        <f>VLOOKUP(VALUE(MID($C1109,13,2)), [2]codigos!$A$2:$B$60, 2, 1) &amp; " " &amp; VLOOKUP(VALUE(MID($C1109,15,4)), [2]codigos!$E$2:$F$102, 2, FALSE)</f>
        <v>OLLA RECTA 26</v>
      </c>
      <c r="E1109" s="64" t="str">
        <f>VLOOKUP(VALUE(MID($C1109,19,2)),[2]codigos!$H$2:$I$62,2,1) &amp; " " &amp; VLOOKUP(VALUE(MID($C1109,21,2)),[2]codigos!$K$2:$L$12,2,FALSE)</f>
        <v>S/I S/I</v>
      </c>
      <c r="F1109" s="64" t="s">
        <v>1247</v>
      </c>
      <c r="G1109" s="64" t="s">
        <v>145</v>
      </c>
      <c r="H1109" s="66" t="s">
        <v>444</v>
      </c>
      <c r="I1109" s="64" t="s">
        <v>1445</v>
      </c>
      <c r="J1109" s="64">
        <v>24</v>
      </c>
      <c r="K1109" s="64">
        <v>0</v>
      </c>
      <c r="L1109" s="64">
        <f t="shared" si="127"/>
        <v>24</v>
      </c>
      <c r="M1109" s="131"/>
      <c r="N1109" s="96">
        <v>46084</v>
      </c>
    </row>
    <row r="1110" spans="1:14" x14ac:dyDescent="0.25">
      <c r="A1110" s="11">
        <f t="shared" ca="1" si="125"/>
        <v>-31</v>
      </c>
      <c r="B1110" s="37">
        <f t="shared" si="126"/>
        <v>4</v>
      </c>
      <c r="C1110" s="11" t="s">
        <v>1464</v>
      </c>
      <c r="D1110" s="11" t="str">
        <f>VLOOKUP(VALUE(MID($C1110,13,2)), [2]codigos!$A$2:$B$60, 2, 1) &amp; " " &amp; VLOOKUP(VALUE(MID($C1110,15,4)), [2]codigos!$E$2:$F$102, 2, FALSE)</f>
        <v>OLLA RECTA 28</v>
      </c>
      <c r="E1110" s="11" t="str">
        <f>VLOOKUP(VALUE(MID($C1110,19,2)),[2]codigos!$H$2:$I$62,2,1) &amp; " " &amp; VLOOKUP(VALUE(MID($C1110,21,2)),[2]codigos!$K$2:$L$12,2,FALSE)</f>
        <v>S/I S/I</v>
      </c>
      <c r="F1110" s="11" t="s">
        <v>1247</v>
      </c>
      <c r="G1110" s="11" t="s">
        <v>145</v>
      </c>
      <c r="H1110" s="52" t="s">
        <v>444</v>
      </c>
      <c r="I1110" s="20" t="s">
        <v>1445</v>
      </c>
      <c r="J1110" s="11">
        <v>8</v>
      </c>
      <c r="K1110" s="11">
        <v>8</v>
      </c>
      <c r="L1110" s="11">
        <f t="shared" si="127"/>
        <v>0</v>
      </c>
      <c r="M1110" s="131"/>
      <c r="N1110" s="96">
        <v>46084</v>
      </c>
    </row>
    <row r="1111" spans="1:14" x14ac:dyDescent="0.25">
      <c r="A1111" s="11">
        <f t="shared" ca="1" si="125"/>
        <v>-31</v>
      </c>
      <c r="B1111" s="37">
        <f t="shared" si="126"/>
        <v>4</v>
      </c>
      <c r="C1111" s="11" t="s">
        <v>1465</v>
      </c>
      <c r="D1111" s="11" t="str">
        <f>VLOOKUP(VALUE(MID($C1111,13,2)), [2]codigos!$A$2:$B$60, 2, 1) &amp; " " &amp; VLOOKUP(VALUE(MID($C1111,15,4)), [2]codigos!$E$2:$F$102, 2, FALSE)</f>
        <v>OLLA RECTA 30</v>
      </c>
      <c r="E1111" s="11" t="str">
        <f>VLOOKUP(VALUE(MID($C1111,19,2)),[2]codigos!$H$2:$I$62,2,1) &amp; " " &amp; VLOOKUP(VALUE(MID($C1111,21,2)),[2]codigos!$K$2:$L$12,2,FALSE)</f>
        <v>S/I S/I</v>
      </c>
      <c r="F1111" s="11" t="s">
        <v>1247</v>
      </c>
      <c r="G1111" s="11" t="s">
        <v>145</v>
      </c>
      <c r="H1111" s="52" t="s">
        <v>444</v>
      </c>
      <c r="I1111" s="20" t="s">
        <v>1445</v>
      </c>
      <c r="J1111" s="11">
        <v>8</v>
      </c>
      <c r="K1111" s="11">
        <v>8</v>
      </c>
      <c r="L1111" s="11">
        <f t="shared" si="127"/>
        <v>0</v>
      </c>
      <c r="M1111" s="131"/>
      <c r="N1111" s="96">
        <v>46084</v>
      </c>
    </row>
    <row r="1112" spans="1:14" x14ac:dyDescent="0.25">
      <c r="A1112" s="11">
        <f t="shared" ca="1" si="125"/>
        <v>-31</v>
      </c>
      <c r="B1112" s="37">
        <f t="shared" si="126"/>
        <v>4</v>
      </c>
      <c r="C1112" s="11" t="s">
        <v>1466</v>
      </c>
      <c r="D1112" s="11" t="str">
        <f>VLOOKUP(VALUE(MID($C1112,13,2)), [2]codigos!$A$2:$B$60, 2, 1) &amp; " " &amp; VLOOKUP(VALUE(MID($C1112,15,4)), [2]codigos!$E$2:$F$102, 2, FALSE)</f>
        <v>OLLA RECTA 34</v>
      </c>
      <c r="E1112" s="11" t="str">
        <f>VLOOKUP(VALUE(MID($C1112,19,2)),[2]codigos!$H$2:$I$62,2,1) &amp; " " &amp; VLOOKUP(VALUE(MID($C1112,21,2)),[2]codigos!$K$2:$L$12,2,FALSE)</f>
        <v>S/I S/I</v>
      </c>
      <c r="F1112" s="11" t="s">
        <v>1247</v>
      </c>
      <c r="G1112" s="11" t="s">
        <v>145</v>
      </c>
      <c r="H1112" s="52" t="s">
        <v>444</v>
      </c>
      <c r="I1112" s="20" t="s">
        <v>1445</v>
      </c>
      <c r="J1112" s="11">
        <v>8</v>
      </c>
      <c r="K1112" s="11">
        <v>8</v>
      </c>
      <c r="L1112" s="11">
        <f t="shared" si="127"/>
        <v>0</v>
      </c>
      <c r="M1112" s="131"/>
      <c r="N1112" s="96">
        <v>46084</v>
      </c>
    </row>
    <row r="1113" spans="1:14" x14ac:dyDescent="0.25">
      <c r="A1113" s="11">
        <f t="shared" ca="1" si="125"/>
        <v>-31</v>
      </c>
      <c r="B1113" s="37">
        <f t="shared" si="126"/>
        <v>4</v>
      </c>
      <c r="C1113" s="11" t="s">
        <v>1467</v>
      </c>
      <c r="D1113" s="11" t="str">
        <f>VLOOKUP(VALUE(MID($C1113,13,2)), [2]codigos!$A$2:$B$60, 2, 1) &amp; " " &amp; VLOOKUP(VALUE(MID($C1113,15,4)), [2]codigos!$E$2:$F$102, 2, FALSE)</f>
        <v>OLLA RECTA 42</v>
      </c>
      <c r="E1113" s="11" t="str">
        <f>VLOOKUP(VALUE(MID($C1113,19,2)),[2]codigos!$H$2:$I$62,2,1) &amp; " " &amp; VLOOKUP(VALUE(MID($C1113,21,2)),[2]codigos!$K$2:$L$12,2,FALSE)</f>
        <v>A/T S/I</v>
      </c>
      <c r="F1113" s="11" t="s">
        <v>1247</v>
      </c>
      <c r="G1113" s="11" t="s">
        <v>145</v>
      </c>
      <c r="H1113" s="52" t="s">
        <v>444</v>
      </c>
      <c r="I1113" s="20" t="s">
        <v>1445</v>
      </c>
      <c r="J1113" s="11">
        <v>4</v>
      </c>
      <c r="K1113" s="11">
        <v>4</v>
      </c>
      <c r="L1113" s="11">
        <f t="shared" si="127"/>
        <v>0</v>
      </c>
      <c r="M1113" s="131"/>
      <c r="N1113" s="96">
        <v>46084</v>
      </c>
    </row>
    <row r="1114" spans="1:14" x14ac:dyDescent="0.25">
      <c r="A1114" s="11">
        <f t="shared" ca="1" si="125"/>
        <v>-31</v>
      </c>
      <c r="B1114" s="37">
        <f t="shared" si="126"/>
        <v>4</v>
      </c>
      <c r="C1114" s="11" t="s">
        <v>1353</v>
      </c>
      <c r="D1114" s="11" t="str">
        <f>VLOOKUP(VALUE(MID($C1114,13,2)), [2]codigos!$A$2:$B$60, 2, 1) &amp; " " &amp; VLOOKUP(VALUE(MID($C1114,15,4)), [2]codigos!$E$2:$F$102, 2, FALSE)</f>
        <v>POCILLO 14</v>
      </c>
      <c r="E1114" s="11" t="str">
        <f>VLOOKUP(VALUE(MID($C1114,19,2)),[2]codigos!$H$2:$I$62,2,1) &amp; " " &amp; VLOOKUP(VALUE(MID($C1114,21,2)),[2]codigos!$K$2:$L$12,2,FALSE)</f>
        <v>A/T S/I</v>
      </c>
      <c r="F1114" s="11" t="s">
        <v>1247</v>
      </c>
      <c r="G1114" s="11" t="s">
        <v>145</v>
      </c>
      <c r="H1114" s="52" t="s">
        <v>444</v>
      </c>
      <c r="I1114" s="20" t="s">
        <v>1445</v>
      </c>
      <c r="J1114" s="11">
        <v>60</v>
      </c>
      <c r="K1114" s="11">
        <v>49</v>
      </c>
      <c r="L1114" s="11">
        <f t="shared" si="127"/>
        <v>11</v>
      </c>
      <c r="M1114" s="131"/>
      <c r="N1114" s="96">
        <v>46084</v>
      </c>
    </row>
    <row r="1115" spans="1:14" x14ac:dyDescent="0.25">
      <c r="A1115" s="11">
        <f t="shared" ca="1" si="125"/>
        <v>-31</v>
      </c>
      <c r="B1115" s="37">
        <f t="shared" si="126"/>
        <v>4</v>
      </c>
      <c r="C1115" s="11" t="s">
        <v>1468</v>
      </c>
      <c r="D1115" s="11" t="str">
        <f>VLOOKUP(VALUE(MID($C1115,13,2)), [2]codigos!$A$2:$B$60, 2, 1) &amp; " " &amp; VLOOKUP(VALUE(MID($C1115,15,4)), [2]codigos!$E$2:$F$102, 2, FALSE)</f>
        <v>POCILLO 14</v>
      </c>
      <c r="E1115" s="11" t="str">
        <f>VLOOKUP(VALUE(MID($C1115,19,2)),[2]codigos!$H$2:$I$62,2,1) &amp; " " &amp; VLOOKUP(VALUE(MID($C1115,21,2)),[2]codigos!$K$2:$L$12,2,FALSE)</f>
        <v>BICOLOR S/I</v>
      </c>
      <c r="F1115" s="11" t="s">
        <v>1247</v>
      </c>
      <c r="G1115" s="11" t="s">
        <v>145</v>
      </c>
      <c r="H1115" s="52" t="s">
        <v>444</v>
      </c>
      <c r="I1115" s="20" t="s">
        <v>1445</v>
      </c>
      <c r="J1115" s="11">
        <v>30</v>
      </c>
      <c r="K1115" s="11">
        <v>30</v>
      </c>
      <c r="L1115" s="11">
        <f t="shared" si="127"/>
        <v>0</v>
      </c>
      <c r="M1115" s="131"/>
      <c r="N1115" s="96">
        <v>46084</v>
      </c>
    </row>
    <row r="1116" spans="1:14" x14ac:dyDescent="0.25">
      <c r="A1116" s="11">
        <f t="shared" ca="1" si="125"/>
        <v>-31</v>
      </c>
      <c r="B1116" s="37">
        <f t="shared" si="126"/>
        <v>4</v>
      </c>
      <c r="C1116" s="11" t="s">
        <v>1469</v>
      </c>
      <c r="D1116" s="11" t="str">
        <f>VLOOKUP(VALUE(MID($C1116,13,2)), [2]codigos!$A$2:$B$60, 2, 1) &amp; " " &amp; VLOOKUP(VALUE(MID($C1116,15,4)), [2]codigos!$E$2:$F$102, 2, FALSE)</f>
        <v>SARTEN 20</v>
      </c>
      <c r="E1116" s="11" t="str">
        <f>VLOOKUP(VALUE(MID($C1116,19,2)),[2]codigos!$H$2:$I$62,2,1) &amp; " " &amp; VLOOKUP(VALUE(MID($C1116,21,2)),[2]codigos!$K$2:$L$12,2,FALSE)</f>
        <v>S/I S/I</v>
      </c>
      <c r="F1116" s="11" t="s">
        <v>1247</v>
      </c>
      <c r="G1116" s="11" t="s">
        <v>145</v>
      </c>
      <c r="H1116" s="52" t="s">
        <v>444</v>
      </c>
      <c r="I1116" s="20" t="s">
        <v>1445</v>
      </c>
      <c r="J1116" s="11">
        <v>36</v>
      </c>
      <c r="K1116" s="11">
        <v>24</v>
      </c>
      <c r="L1116" s="11">
        <f t="shared" si="127"/>
        <v>12</v>
      </c>
      <c r="M1116" s="131"/>
      <c r="N1116" s="96">
        <v>46084</v>
      </c>
    </row>
    <row r="1117" spans="1:14" x14ac:dyDescent="0.25">
      <c r="A1117" s="11">
        <f t="shared" ca="1" si="125"/>
        <v>-31</v>
      </c>
      <c r="B1117" s="37">
        <f t="shared" si="126"/>
        <v>4</v>
      </c>
      <c r="C1117" s="11" t="s">
        <v>1354</v>
      </c>
      <c r="D1117" s="11" t="str">
        <f>VLOOKUP(VALUE(MID($C1117,13,2)), [2]codigos!$A$2:$B$60, 2, 1) &amp; " " &amp; VLOOKUP(VALUE(MID($C1117,15,4)), [2]codigos!$E$2:$F$102, 2, FALSE)</f>
        <v>SARTEN 24</v>
      </c>
      <c r="E1117" s="11" t="str">
        <f>VLOOKUP(VALUE(MID($C1117,19,2)),[2]codigos!$H$2:$I$62,2,1) &amp; " " &amp; VLOOKUP(VALUE(MID($C1117,21,2)),[2]codigos!$K$2:$L$12,2,FALSE)</f>
        <v>S/I S/I</v>
      </c>
      <c r="F1117" s="11" t="s">
        <v>1247</v>
      </c>
      <c r="G1117" s="11" t="s">
        <v>145</v>
      </c>
      <c r="H1117" s="52" t="s">
        <v>444</v>
      </c>
      <c r="I1117" s="20" t="s">
        <v>1445</v>
      </c>
      <c r="J1117" s="11">
        <v>36</v>
      </c>
      <c r="K1117" s="11">
        <v>36</v>
      </c>
      <c r="L1117" s="11">
        <f t="shared" si="127"/>
        <v>0</v>
      </c>
      <c r="M1117" s="131"/>
      <c r="N1117" s="96">
        <v>46084</v>
      </c>
    </row>
    <row r="1118" spans="1:14" x14ac:dyDescent="0.25">
      <c r="A1118" s="11">
        <f t="shared" ca="1" si="125"/>
        <v>-31</v>
      </c>
      <c r="B1118" s="37">
        <f t="shared" si="126"/>
        <v>4</v>
      </c>
      <c r="C1118" s="11" t="s">
        <v>1470</v>
      </c>
      <c r="D1118" s="11" t="str">
        <f>VLOOKUP(VALUE(MID($C1118,13,2)), [2]codigos!$A$2:$B$60, 2, 1) &amp; " " &amp; VLOOKUP(VALUE(MID($C1118,15,4)), [2]codigos!$E$2:$F$102, 2, FALSE)</f>
        <v>VASO RECTO 14</v>
      </c>
      <c r="E1118" s="11" t="str">
        <f>VLOOKUP(VALUE(MID($C1118,19,2)),[2]codigos!$H$2:$I$62,2,1) &amp; " " &amp; VLOOKUP(VALUE(MID($C1118,21,2)),[2]codigos!$K$2:$L$12,2,FALSE)</f>
        <v>S/I S/I</v>
      </c>
      <c r="F1118" s="11" t="s">
        <v>1247</v>
      </c>
      <c r="G1118" s="11" t="s">
        <v>145</v>
      </c>
      <c r="H1118" s="52" t="s">
        <v>444</v>
      </c>
      <c r="I1118" s="20" t="s">
        <v>1445</v>
      </c>
      <c r="J1118" s="11">
        <v>48</v>
      </c>
      <c r="K1118" s="11">
        <v>48</v>
      </c>
      <c r="L1118" s="11">
        <f t="shared" si="127"/>
        <v>0</v>
      </c>
      <c r="M1118" s="131"/>
      <c r="N1118" s="96">
        <v>46084</v>
      </c>
    </row>
    <row r="1119" spans="1:14" x14ac:dyDescent="0.25">
      <c r="A1119" s="11">
        <f t="shared" ca="1" si="125"/>
        <v>-31</v>
      </c>
      <c r="B1119" s="37">
        <f t="shared" si="126"/>
        <v>4</v>
      </c>
      <c r="C1119" s="11" t="s">
        <v>1471</v>
      </c>
      <c r="D1119" s="11" t="str">
        <f>VLOOKUP(VALUE(MID($C1119,13,2)), [2]codigos!$A$2:$B$60, 2, 1) &amp; " " &amp; VLOOKUP(VALUE(MID($C1119,15,4)), [2]codigos!$E$2:$F$102, 2, FALSE)</f>
        <v>MULTIUSOS S/I</v>
      </c>
      <c r="E1119" s="11" t="str">
        <f>VLOOKUP(VALUE(MID($C1119,19,2)),[2]codigos!$H$2:$I$62,2,1) &amp; " " &amp; VLOOKUP(VALUE(MID($C1119,21,2)),[2]codigos!$K$2:$L$12,2,FALSE)</f>
        <v>BLANCO  NEGRO</v>
      </c>
      <c r="F1119" s="11" t="s">
        <v>1247</v>
      </c>
      <c r="G1119" s="11" t="s">
        <v>145</v>
      </c>
      <c r="H1119" s="52" t="s">
        <v>444</v>
      </c>
      <c r="I1119" s="20" t="s">
        <v>1445</v>
      </c>
      <c r="J1119" s="11">
        <v>180</v>
      </c>
      <c r="K1119" s="11">
        <v>108</v>
      </c>
      <c r="L1119" s="11">
        <f t="shared" si="127"/>
        <v>72</v>
      </c>
      <c r="M1119" s="131"/>
      <c r="N1119" s="96">
        <v>46084</v>
      </c>
    </row>
    <row r="1120" spans="1:14" x14ac:dyDescent="0.25">
      <c r="A1120" s="11">
        <f t="shared" ca="1" si="125"/>
        <v>-31</v>
      </c>
      <c r="B1120" s="37">
        <f t="shared" si="126"/>
        <v>4</v>
      </c>
      <c r="C1120" s="11" t="s">
        <v>1472</v>
      </c>
      <c r="D1120" s="11" t="str">
        <f>VLOOKUP(VALUE(MID($C1120,13,2)), [2]codigos!$A$2:$B$60, 2, 1) &amp; " " &amp; VLOOKUP(VALUE(MID($C1120,15,4)), [2]codigos!$E$2:$F$102, 2, FALSE)</f>
        <v>PLATO AVENERO 20</v>
      </c>
      <c r="E1120" s="11" t="str">
        <f>VLOOKUP(VALUE(MID($C1120,19,2)),[2]codigos!$H$2:$I$62,2,1) &amp; " " &amp; VLOOKUP(VALUE(MID($C1120,21,2)),[2]codigos!$K$2:$L$12,2,FALSE)</f>
        <v>A/T S/I</v>
      </c>
      <c r="F1120" s="11" t="s">
        <v>1247</v>
      </c>
      <c r="G1120" s="11" t="s">
        <v>145</v>
      </c>
      <c r="H1120" s="52" t="s">
        <v>444</v>
      </c>
      <c r="I1120" s="20" t="s">
        <v>1445</v>
      </c>
      <c r="J1120" s="11">
        <v>72</v>
      </c>
      <c r="K1120" s="11">
        <v>72</v>
      </c>
      <c r="L1120" s="11">
        <f t="shared" si="127"/>
        <v>0</v>
      </c>
      <c r="M1120" s="131"/>
      <c r="N1120" s="96">
        <v>46084</v>
      </c>
    </row>
    <row r="1121" spans="1:14" x14ac:dyDescent="0.25">
      <c r="A1121" s="11">
        <f t="shared" ca="1" si="125"/>
        <v>-31</v>
      </c>
      <c r="B1121" s="37">
        <f t="shared" si="126"/>
        <v>4</v>
      </c>
      <c r="C1121" s="11" t="s">
        <v>1473</v>
      </c>
      <c r="D1121" s="11" t="str">
        <f>VLOOKUP(VALUE(MID($C1121,13,2)), [2]codigos!$A$2:$B$60, 2, 1) &amp; " " &amp; VLOOKUP(VALUE(MID($C1121,15,4)), [2]codigos!$E$2:$F$102, 2, FALSE)</f>
        <v>PLATO AVENERO 20</v>
      </c>
      <c r="E1121" s="11" t="str">
        <f>VLOOKUP(VALUE(MID($C1121,19,2)),[2]codigos!$H$2:$I$62,2,1) &amp; " " &amp; VLOOKUP(VALUE(MID($C1121,21,2)),[2]codigos!$K$2:$L$12,2,FALSE)</f>
        <v>BLANCO  NEGRO</v>
      </c>
      <c r="F1121" s="11" t="s">
        <v>1247</v>
      </c>
      <c r="G1121" s="11" t="s">
        <v>145</v>
      </c>
      <c r="H1121" s="52" t="s">
        <v>444</v>
      </c>
      <c r="I1121" s="20" t="s">
        <v>1445</v>
      </c>
      <c r="J1121" s="11">
        <v>120</v>
      </c>
      <c r="K1121" s="11">
        <v>120</v>
      </c>
      <c r="L1121" s="11">
        <f t="shared" si="127"/>
        <v>0</v>
      </c>
      <c r="M1121" s="131"/>
      <c r="N1121" s="96">
        <v>46084</v>
      </c>
    </row>
    <row r="1122" spans="1:14" x14ac:dyDescent="0.25">
      <c r="A1122" s="11">
        <f t="shared" ca="1" si="125"/>
        <v>-31</v>
      </c>
      <c r="B1122" s="37">
        <f t="shared" si="126"/>
        <v>4</v>
      </c>
      <c r="C1122" s="11" t="s">
        <v>1474</v>
      </c>
      <c r="D1122" s="11" t="str">
        <f>VLOOKUP(VALUE(MID($C1122,13,2)), [2]codigos!$A$2:$B$60, 2, 1) &amp; " " &amp; VLOOKUP(VALUE(MID($C1122,15,4)), [2]codigos!$E$2:$F$102, 2, FALSE)</f>
        <v>PLATO LISO 16</v>
      </c>
      <c r="E1122" s="11" t="str">
        <f>VLOOKUP(VALUE(MID($C1122,19,2)),[2]codigos!$H$2:$I$62,2,1) &amp; " " &amp; VLOOKUP(VALUE(MID($C1122,21,2)),[2]codigos!$K$2:$L$12,2,FALSE)</f>
        <v>BLANCO  NEGRO</v>
      </c>
      <c r="F1122" s="11" t="s">
        <v>1247</v>
      </c>
      <c r="G1122" s="11" t="s">
        <v>145</v>
      </c>
      <c r="H1122" s="52" t="s">
        <v>444</v>
      </c>
      <c r="I1122" s="20" t="s">
        <v>1445</v>
      </c>
      <c r="J1122" s="11">
        <v>30</v>
      </c>
      <c r="K1122" s="11">
        <v>30</v>
      </c>
      <c r="L1122" s="11">
        <f t="shared" si="127"/>
        <v>0</v>
      </c>
      <c r="M1122" s="131"/>
      <c r="N1122" s="96">
        <v>46084</v>
      </c>
    </row>
    <row r="1123" spans="1:14" x14ac:dyDescent="0.25">
      <c r="A1123" s="11">
        <f t="shared" ca="1" si="125"/>
        <v>-31</v>
      </c>
      <c r="B1123" s="37">
        <f t="shared" si="126"/>
        <v>4</v>
      </c>
      <c r="C1123" s="11" t="s">
        <v>1475</v>
      </c>
      <c r="D1123" s="11" t="str">
        <f>VLOOKUP(VALUE(MID($C1123,13,2)), [2]codigos!$A$2:$B$60, 2, 1) &amp; " " &amp; VLOOKUP(VALUE(MID($C1123,15,4)), [2]codigos!$E$2:$F$102, 2, FALSE)</f>
        <v>PLATO LISO 20</v>
      </c>
      <c r="E1123" s="11" t="str">
        <f>VLOOKUP(VALUE(MID($C1123,19,2)),[2]codigos!$H$2:$I$62,2,1) &amp; " " &amp; VLOOKUP(VALUE(MID($C1123,21,2)),[2]codigos!$K$2:$L$12,2,FALSE)</f>
        <v>BLANCO  NEGRO</v>
      </c>
      <c r="F1123" s="11" t="s">
        <v>1247</v>
      </c>
      <c r="G1123" s="11" t="s">
        <v>145</v>
      </c>
      <c r="H1123" s="52" t="s">
        <v>444</v>
      </c>
      <c r="I1123" s="20" t="s">
        <v>1445</v>
      </c>
      <c r="J1123" s="11">
        <v>30</v>
      </c>
      <c r="K1123" s="11">
        <v>30</v>
      </c>
      <c r="L1123" s="11">
        <f t="shared" si="127"/>
        <v>0</v>
      </c>
      <c r="M1123" s="131"/>
      <c r="N1123" s="96">
        <v>46084</v>
      </c>
    </row>
    <row r="1124" spans="1:14" x14ac:dyDescent="0.25">
      <c r="A1124" s="11">
        <f t="shared" ca="1" si="125"/>
        <v>-31</v>
      </c>
      <c r="B1124" s="37">
        <f t="shared" si="126"/>
        <v>4</v>
      </c>
      <c r="C1124" s="11" t="s">
        <v>1476</v>
      </c>
      <c r="D1124" s="11" t="str">
        <f>VLOOKUP(VALUE(MID($C1124,13,2)), [2]codigos!$A$2:$B$60, 2, 1) &amp; " " &amp; VLOOKUP(VALUE(MID($C1124,15,4)), [2]codigos!$E$2:$F$102, 2, FALSE)</f>
        <v>PLATO LISO 24</v>
      </c>
      <c r="E1124" s="11" t="str">
        <f>VLOOKUP(VALUE(MID($C1124,19,2)),[2]codigos!$H$2:$I$62,2,1) &amp; " " &amp; VLOOKUP(VALUE(MID($C1124,21,2)),[2]codigos!$K$2:$L$12,2,FALSE)</f>
        <v>BLANCO  NEGRO</v>
      </c>
      <c r="F1124" s="11" t="s">
        <v>1247</v>
      </c>
      <c r="G1124" s="11" t="s">
        <v>145</v>
      </c>
      <c r="H1124" s="52" t="s">
        <v>444</v>
      </c>
      <c r="I1124" s="20" t="s">
        <v>1445</v>
      </c>
      <c r="J1124" s="11">
        <v>30</v>
      </c>
      <c r="K1124" s="11">
        <v>30</v>
      </c>
      <c r="L1124" s="11">
        <f t="shared" si="127"/>
        <v>0</v>
      </c>
      <c r="M1124" s="131"/>
      <c r="N1124" s="96">
        <v>46084</v>
      </c>
    </row>
    <row r="1125" spans="1:14" x14ac:dyDescent="0.25">
      <c r="A1125" s="11">
        <f t="shared" ca="1" si="125"/>
        <v>-31</v>
      </c>
      <c r="B1125" s="37">
        <f t="shared" si="126"/>
        <v>4</v>
      </c>
      <c r="C1125" s="11" t="s">
        <v>1477</v>
      </c>
      <c r="D1125" s="11" t="str">
        <f>VLOOKUP(VALUE(MID($C1125,13,2)), [2]codigos!$A$2:$B$60, 2, 1) &amp; " " &amp; VLOOKUP(VALUE(MID($C1125,15,4)), [2]codigos!$E$2:$F$102, 2, FALSE)</f>
        <v>PLATO LISO 27</v>
      </c>
      <c r="E1125" s="11" t="str">
        <f>VLOOKUP(VALUE(MID($C1125,19,2)),[2]codigos!$H$2:$I$62,2,1) &amp; " " &amp; VLOOKUP(VALUE(MID($C1125,21,2)),[2]codigos!$K$2:$L$12,2,FALSE)</f>
        <v>BLANCO  NEGRO</v>
      </c>
      <c r="F1125" s="11" t="s">
        <v>1247</v>
      </c>
      <c r="G1125" s="11" t="s">
        <v>145</v>
      </c>
      <c r="H1125" s="52" t="s">
        <v>444</v>
      </c>
      <c r="I1125" s="20" t="s">
        <v>1445</v>
      </c>
      <c r="J1125" s="11">
        <v>30</v>
      </c>
      <c r="K1125" s="11">
        <v>30</v>
      </c>
      <c r="L1125" s="11">
        <f t="shared" si="127"/>
        <v>0</v>
      </c>
      <c r="M1125" s="131"/>
      <c r="N1125" s="96">
        <v>46084</v>
      </c>
    </row>
    <row r="1126" spans="1:14" x14ac:dyDescent="0.25">
      <c r="A1126" s="11">
        <f t="shared" ca="1" si="125"/>
        <v>-31</v>
      </c>
      <c r="B1126" s="37">
        <f t="shared" si="126"/>
        <v>4</v>
      </c>
      <c r="C1126" s="11" t="s">
        <v>1478</v>
      </c>
      <c r="D1126" s="11" t="str">
        <f>VLOOKUP(VALUE(MID($C1126,13,2)), [2]codigos!$A$2:$B$60, 2, 1) &amp; " " &amp; VLOOKUP(VALUE(MID($C1126,15,4)), [2]codigos!$E$2:$F$102, 2, FALSE)</f>
        <v>PLATO LISO 32</v>
      </c>
      <c r="E1126" s="11" t="str">
        <f>VLOOKUP(VALUE(MID($C1126,19,2)),[2]codigos!$H$2:$I$62,2,1) &amp; " " &amp; VLOOKUP(VALUE(MID($C1126,21,2)),[2]codigos!$K$2:$L$12,2,FALSE)</f>
        <v>BLANCO  NEGRO</v>
      </c>
      <c r="F1126" s="11" t="s">
        <v>1247</v>
      </c>
      <c r="G1126" s="11" t="s">
        <v>145</v>
      </c>
      <c r="H1126" s="52" t="s">
        <v>444</v>
      </c>
      <c r="I1126" s="20" t="s">
        <v>1445</v>
      </c>
      <c r="J1126" s="11">
        <v>30</v>
      </c>
      <c r="K1126" s="11">
        <v>30</v>
      </c>
      <c r="L1126" s="11">
        <f t="shared" si="127"/>
        <v>0</v>
      </c>
      <c r="M1126" s="131"/>
      <c r="N1126" s="96">
        <v>46084</v>
      </c>
    </row>
    <row r="1127" spans="1:14" x14ac:dyDescent="0.25">
      <c r="A1127" s="11">
        <f t="shared" ca="1" si="125"/>
        <v>-31</v>
      </c>
      <c r="B1127" s="37">
        <f t="shared" si="126"/>
        <v>4</v>
      </c>
      <c r="C1127" s="11" t="s">
        <v>1479</v>
      </c>
      <c r="D1127" s="11" t="str">
        <f>VLOOKUP(VALUE(MID($C1127,13,2)), [2]codigos!$A$2:$B$60, 2, 1) &amp; " " &amp; VLOOKUP(VALUE(MID($C1127,15,4)), [2]codigos!$E$2:$F$102, 2, FALSE)</f>
        <v>POCILLO 5</v>
      </c>
      <c r="E1127" s="11" t="str">
        <f>VLOOKUP(VALUE(MID($C1127,19,2)),[2]codigos!$H$2:$I$62,2,1) &amp; " " &amp; VLOOKUP(VALUE(MID($C1127,21,2)),[2]codigos!$K$2:$L$12,2,FALSE)</f>
        <v>A/T S/I</v>
      </c>
      <c r="F1127" s="11" t="s">
        <v>1247</v>
      </c>
      <c r="G1127" s="11" t="s">
        <v>145</v>
      </c>
      <c r="H1127" s="52" t="s">
        <v>444</v>
      </c>
      <c r="I1127" s="20" t="s">
        <v>1445</v>
      </c>
      <c r="J1127" s="11">
        <v>120</v>
      </c>
      <c r="K1127" s="11">
        <v>120</v>
      </c>
      <c r="L1127" s="11">
        <f t="shared" si="127"/>
        <v>0</v>
      </c>
      <c r="M1127" s="131"/>
      <c r="N1127" s="96">
        <v>46084</v>
      </c>
    </row>
    <row r="1128" spans="1:14" x14ac:dyDescent="0.25">
      <c r="A1128" s="11">
        <f t="shared" ca="1" si="125"/>
        <v>-31</v>
      </c>
      <c r="B1128" s="37">
        <f t="shared" si="126"/>
        <v>4</v>
      </c>
      <c r="C1128" s="11" t="s">
        <v>124</v>
      </c>
      <c r="D1128" s="11" t="str">
        <f>VLOOKUP(VALUE(MID($C1128,13,2)), [2]codigos!$A$2:$B$60, 2, 1) &amp; " " &amp; VLOOKUP(VALUE(MID($C1128,15,4)), [2]codigos!$E$2:$F$102, 2, FALSE)</f>
        <v>POCILLO 5</v>
      </c>
      <c r="E1128" s="11" t="str">
        <f>VLOOKUP(VALUE(MID($C1128,19,2)),[2]codigos!$H$2:$I$62,2,1) &amp; " " &amp; VLOOKUP(VALUE(MID($C1128,21,2)),[2]codigos!$K$2:$L$12,2,FALSE)</f>
        <v>BLANCO  NEGRO</v>
      </c>
      <c r="F1128" s="11" t="s">
        <v>1247</v>
      </c>
      <c r="G1128" s="11" t="s">
        <v>145</v>
      </c>
      <c r="H1128" s="52" t="s">
        <v>444</v>
      </c>
      <c r="I1128" s="20" t="s">
        <v>1445</v>
      </c>
      <c r="J1128" s="11">
        <v>120</v>
      </c>
      <c r="K1128" s="11">
        <v>120</v>
      </c>
      <c r="L1128" s="11">
        <f t="shared" si="127"/>
        <v>0</v>
      </c>
      <c r="M1128" s="131"/>
      <c r="N1128" s="96">
        <v>46084</v>
      </c>
    </row>
    <row r="1129" spans="1:14" x14ac:dyDescent="0.25">
      <c r="A1129" s="11">
        <f t="shared" ca="1" si="125"/>
        <v>-31</v>
      </c>
      <c r="B1129" s="37">
        <f t="shared" si="126"/>
        <v>4</v>
      </c>
      <c r="C1129" s="11" t="s">
        <v>1480</v>
      </c>
      <c r="D1129" s="11" t="str">
        <f>VLOOKUP(VALUE(MID($C1129,13,2)), [2]codigos!$A$2:$B$60, 2, 1) &amp; " " &amp; VLOOKUP(VALUE(MID($C1129,15,4)), [2]codigos!$E$2:$F$102, 2, FALSE)</f>
        <v>POCILLO 6</v>
      </c>
      <c r="E1129" s="11" t="str">
        <f>VLOOKUP(VALUE(MID($C1129,19,2)),[2]codigos!$H$2:$I$62,2,1) &amp; " " &amp; VLOOKUP(VALUE(MID($C1129,21,2)),[2]codigos!$K$2:$L$12,2,FALSE)</f>
        <v>BLANCO  NEGRO</v>
      </c>
      <c r="F1129" s="11" t="s">
        <v>1247</v>
      </c>
      <c r="G1129" s="11" t="s">
        <v>145</v>
      </c>
      <c r="H1129" s="52" t="s">
        <v>444</v>
      </c>
      <c r="I1129" s="20" t="s">
        <v>1445</v>
      </c>
      <c r="J1129" s="11">
        <v>120</v>
      </c>
      <c r="K1129" s="11">
        <v>120</v>
      </c>
      <c r="L1129" s="11">
        <f t="shared" si="127"/>
        <v>0</v>
      </c>
      <c r="M1129" s="131"/>
      <c r="N1129" s="96">
        <v>46084</v>
      </c>
    </row>
    <row r="1130" spans="1:14" x14ac:dyDescent="0.25">
      <c r="A1130" s="11">
        <f t="shared" ca="1" si="125"/>
        <v>-31</v>
      </c>
      <c r="B1130" s="37">
        <f t="shared" si="126"/>
        <v>4</v>
      </c>
      <c r="C1130" s="11" t="s">
        <v>1481</v>
      </c>
      <c r="D1130" s="11" t="str">
        <f>VLOOKUP(VALUE(MID($C1130,13,2)), [2]codigos!$A$2:$B$60, 2, 1) &amp; " " &amp; VLOOKUP(VALUE(MID($C1130,15,4)), [2]codigos!$E$2:$F$102, 2, FALSE)</f>
        <v>POCILLO 8</v>
      </c>
      <c r="E1130" s="11" t="str">
        <f>VLOOKUP(VALUE(MID($C1130,19,2)),[2]codigos!$H$2:$I$62,2,1) &amp; " " &amp; VLOOKUP(VALUE(MID($C1130,21,2)),[2]codigos!$K$2:$L$12,2,FALSE)</f>
        <v>BLANCO  NEGRO</v>
      </c>
      <c r="F1130" s="11" t="s">
        <v>1247</v>
      </c>
      <c r="G1130" s="11" t="s">
        <v>145</v>
      </c>
      <c r="H1130" s="52" t="s">
        <v>444</v>
      </c>
      <c r="I1130" s="20" t="s">
        <v>1445</v>
      </c>
      <c r="J1130" s="11">
        <v>120</v>
      </c>
      <c r="K1130" s="11">
        <v>120</v>
      </c>
      <c r="L1130" s="11">
        <f t="shared" si="127"/>
        <v>0</v>
      </c>
      <c r="M1130" s="131"/>
      <c r="N1130" s="96">
        <v>46084</v>
      </c>
    </row>
    <row r="1131" spans="1:14" x14ac:dyDescent="0.25">
      <c r="A1131" s="11">
        <f t="shared" ca="1" si="125"/>
        <v>-31</v>
      </c>
      <c r="B1131" s="37">
        <f t="shared" si="126"/>
        <v>4</v>
      </c>
      <c r="C1131" s="11" t="s">
        <v>1356</v>
      </c>
      <c r="D1131" s="11" t="str">
        <f>VLOOKUP(VALUE(MID($C1131,13,2)), [2]codigos!$A$2:$B$60, 2, 1) &amp; " " &amp; VLOOKUP(VALUE(MID($C1131,15,4)), [2]codigos!$E$2:$F$102, 2, FALSE)</f>
        <v>POCILLO 12</v>
      </c>
      <c r="E1131" s="11" t="str">
        <f>VLOOKUP(VALUE(MID($C1131,19,2)),[2]codigos!$H$2:$I$62,2,1) &amp; " " &amp; VLOOKUP(VALUE(MID($C1131,21,2)),[2]codigos!$K$2:$L$12,2,FALSE)</f>
        <v>A/T S/I</v>
      </c>
      <c r="F1131" s="11" t="s">
        <v>1247</v>
      </c>
      <c r="G1131" s="11" t="s">
        <v>145</v>
      </c>
      <c r="H1131" s="52" t="s">
        <v>444</v>
      </c>
      <c r="I1131" s="20" t="s">
        <v>1445</v>
      </c>
      <c r="J1131" s="11">
        <v>60</v>
      </c>
      <c r="K1131" s="11">
        <v>60</v>
      </c>
      <c r="L1131" s="11">
        <f t="shared" si="127"/>
        <v>0</v>
      </c>
      <c r="M1131" s="131"/>
      <c r="N1131" s="96">
        <v>46084</v>
      </c>
    </row>
    <row r="1132" spans="1:14" x14ac:dyDescent="0.25">
      <c r="A1132" s="11">
        <f t="shared" ca="1" si="125"/>
        <v>-31</v>
      </c>
      <c r="B1132" s="37">
        <f t="shared" si="126"/>
        <v>4</v>
      </c>
      <c r="C1132" s="11" t="s">
        <v>1482</v>
      </c>
      <c r="D1132" s="11" t="str">
        <f>VLOOKUP(VALUE(MID($C1132,13,2)), [2]codigos!$A$2:$B$60, 2, 1) &amp; " " &amp; VLOOKUP(VALUE(MID($C1132,15,4)), [2]codigos!$E$2:$F$102, 2, FALSE)</f>
        <v>TAZON  8</v>
      </c>
      <c r="E1132" s="11" t="str">
        <f>VLOOKUP(VALUE(MID($C1132,19,2)),[2]codigos!$H$2:$I$62,2,1) &amp; " " &amp; VLOOKUP(VALUE(MID($C1132,21,2)),[2]codigos!$K$2:$L$12,2,FALSE)</f>
        <v>BLANCO  NEGRO</v>
      </c>
      <c r="F1132" s="11" t="s">
        <v>1247</v>
      </c>
      <c r="G1132" s="11" t="s">
        <v>145</v>
      </c>
      <c r="H1132" s="52" t="s">
        <v>444</v>
      </c>
      <c r="I1132" s="20" t="s">
        <v>1445</v>
      </c>
      <c r="J1132" s="11">
        <v>180</v>
      </c>
      <c r="K1132" s="11">
        <v>180</v>
      </c>
      <c r="L1132" s="11">
        <f t="shared" si="127"/>
        <v>0</v>
      </c>
      <c r="M1132" s="131"/>
      <c r="N1132" s="96">
        <v>46084</v>
      </c>
    </row>
    <row r="1133" spans="1:14" x14ac:dyDescent="0.25">
      <c r="A1133" s="11">
        <f t="shared" ca="1" si="125"/>
        <v>-31</v>
      </c>
      <c r="B1133" s="37">
        <f t="shared" si="126"/>
        <v>4</v>
      </c>
      <c r="C1133" s="11" t="s">
        <v>1483</v>
      </c>
      <c r="D1133" s="11" t="str">
        <f>VLOOKUP(VALUE(MID($C1133,13,2)), [2]codigos!$A$2:$B$60, 2, 1) &amp; " " &amp; VLOOKUP(VALUE(MID($C1133,15,4)), [2]codigos!$E$2:$F$102, 2, FALSE)</f>
        <v>TAZON  15.5</v>
      </c>
      <c r="E1133" s="11" t="str">
        <f>VLOOKUP(VALUE(MID($C1133,19,2)),[2]codigos!$H$2:$I$62,2,1) &amp; " " &amp; VLOOKUP(VALUE(MID($C1133,21,2)),[2]codigos!$K$2:$L$12,2,FALSE)</f>
        <v>BLANCO  NEGRO</v>
      </c>
      <c r="F1133" s="11" t="s">
        <v>1247</v>
      </c>
      <c r="G1133" s="11" t="s">
        <v>145</v>
      </c>
      <c r="H1133" s="52" t="s">
        <v>444</v>
      </c>
      <c r="I1133" s="20" t="s">
        <v>1445</v>
      </c>
      <c r="J1133" s="11">
        <v>48</v>
      </c>
      <c r="K1133" s="11">
        <v>48</v>
      </c>
      <c r="L1133" s="11">
        <f t="shared" si="127"/>
        <v>0</v>
      </c>
      <c r="M1133" s="131"/>
      <c r="N1133" s="96">
        <v>46084</v>
      </c>
    </row>
    <row r="1134" spans="1:14" x14ac:dyDescent="0.25">
      <c r="A1134" s="11">
        <f t="shared" ca="1" si="125"/>
        <v>-31</v>
      </c>
      <c r="B1134" s="37">
        <f t="shared" si="126"/>
        <v>4</v>
      </c>
      <c r="C1134" s="11" t="s">
        <v>1484</v>
      </c>
      <c r="D1134" s="11" t="str">
        <f>VLOOKUP(VALUE(MID($C1134,13,2)), [2]codigos!$A$2:$B$60, 2, 1) &amp; " " &amp; VLOOKUP(VALUE(MID($C1134,15,4)), [2]codigos!$E$2:$F$102, 2, FALSE)</f>
        <v>TAZON  20</v>
      </c>
      <c r="E1134" s="11" t="str">
        <f>VLOOKUP(VALUE(MID($C1134,19,2)),[2]codigos!$H$2:$I$62,2,1) &amp; " " &amp; VLOOKUP(VALUE(MID($C1134,21,2)),[2]codigos!$K$2:$L$12,2,FALSE)</f>
        <v>BLANCO  NEGRO</v>
      </c>
      <c r="F1134" s="11" t="s">
        <v>1247</v>
      </c>
      <c r="G1134" s="11" t="s">
        <v>145</v>
      </c>
      <c r="H1134" s="52" t="s">
        <v>444</v>
      </c>
      <c r="I1134" s="20" t="s">
        <v>1445</v>
      </c>
      <c r="J1134" s="11">
        <v>30</v>
      </c>
      <c r="K1134" s="11">
        <v>30</v>
      </c>
      <c r="L1134" s="11">
        <f t="shared" si="127"/>
        <v>0</v>
      </c>
      <c r="M1134" s="131"/>
      <c r="N1134" s="96">
        <v>46084</v>
      </c>
    </row>
    <row r="1135" spans="1:14" x14ac:dyDescent="0.25">
      <c r="A1135" s="11">
        <f t="shared" ca="1" si="125"/>
        <v>-31</v>
      </c>
      <c r="B1135" s="37">
        <f t="shared" si="126"/>
        <v>4</v>
      </c>
      <c r="C1135" s="11" t="s">
        <v>1485</v>
      </c>
      <c r="D1135" s="11" t="str">
        <f>VLOOKUP(VALUE(MID($C1135,13,2)), [2]codigos!$A$2:$B$60, 2, 1) &amp; " " &amp; VLOOKUP(VALUE(MID($C1135,15,4)), [2]codigos!$E$2:$F$102, 2, FALSE)</f>
        <v>BUDINERA   12</v>
      </c>
      <c r="E1135" s="11" t="str">
        <f>VLOOKUP(VALUE(MID($C1135,19,2)),[2]codigos!$H$2:$I$62,2,1) &amp; " " &amp; VLOOKUP(VALUE(MID($C1135,21,2)),[2]codigos!$K$2:$L$12,2,FALSE)</f>
        <v>A/T S/I</v>
      </c>
      <c r="F1135" s="11" t="s">
        <v>1247</v>
      </c>
      <c r="G1135" s="11" t="s">
        <v>145</v>
      </c>
      <c r="H1135" s="52" t="s">
        <v>444</v>
      </c>
      <c r="I1135" s="20" t="s">
        <v>1445</v>
      </c>
      <c r="J1135" s="11">
        <v>90</v>
      </c>
      <c r="K1135" s="11">
        <v>90</v>
      </c>
      <c r="L1135" s="11">
        <f t="shared" si="127"/>
        <v>0</v>
      </c>
      <c r="M1135" s="131"/>
      <c r="N1135" s="96">
        <v>46084</v>
      </c>
    </row>
    <row r="1136" spans="1:14" x14ac:dyDescent="0.25">
      <c r="A1136" s="11">
        <f t="shared" ca="1" si="125"/>
        <v>-31</v>
      </c>
      <c r="B1136" s="37">
        <f t="shared" si="126"/>
        <v>4</v>
      </c>
      <c r="C1136" s="11" t="s">
        <v>1357</v>
      </c>
      <c r="D1136" s="11" t="str">
        <f>VLOOKUP(VALUE(MID($C1136,13,2)), [2]codigos!$A$2:$B$60, 2, 1) &amp; " " &amp; VLOOKUP(VALUE(MID($C1136,15,4)), [2]codigos!$E$2:$F$102, 2, FALSE)</f>
        <v>POCILLO 10</v>
      </c>
      <c r="E1136" s="11" t="str">
        <f>VLOOKUP(VALUE(MID($C1136,19,2)),[2]codigos!$H$2:$I$62,2,1) &amp; " " &amp; VLOOKUP(VALUE(MID($C1136,21,2)),[2]codigos!$K$2:$L$12,2,FALSE)</f>
        <v>A/T S/I</v>
      </c>
      <c r="F1136" s="11" t="s">
        <v>1247</v>
      </c>
      <c r="G1136" s="11" t="s">
        <v>145</v>
      </c>
      <c r="H1136" s="52" t="s">
        <v>444</v>
      </c>
      <c r="I1136" s="20" t="s">
        <v>1445</v>
      </c>
      <c r="J1136" s="11">
        <v>120</v>
      </c>
      <c r="K1136" s="11">
        <v>120</v>
      </c>
      <c r="L1136" s="11">
        <f t="shared" si="127"/>
        <v>0</v>
      </c>
      <c r="M1136" s="131"/>
      <c r="N1136" s="96">
        <v>46084</v>
      </c>
    </row>
    <row r="1137" spans="1:15" x14ac:dyDescent="0.25">
      <c r="A1137" s="11">
        <f t="shared" ca="1" si="125"/>
        <v>-31</v>
      </c>
      <c r="B1137" s="37">
        <f t="shared" si="126"/>
        <v>4</v>
      </c>
      <c r="C1137" s="11" t="s">
        <v>1486</v>
      </c>
      <c r="D1137" s="11" t="str">
        <f>VLOOKUP(VALUE(MID($C1137,13,2)), [2]codigos!$A$2:$B$60, 2, 1) &amp; " " &amp; VLOOKUP(VALUE(MID($C1137,15,4)), [2]codigos!$E$2:$F$102, 2, FALSE)</f>
        <v>PLATO OVAL 36</v>
      </c>
      <c r="E1137" s="11" t="str">
        <f>VLOOKUP(VALUE(MID($C1137,19,2)),[2]codigos!$H$2:$I$62,2,1) &amp; " " &amp; VLOOKUP(VALUE(MID($C1137,21,2)),[2]codigos!$K$2:$L$12,2,FALSE)</f>
        <v>BLANCO  NEGRO</v>
      </c>
      <c r="F1137" s="11" t="s">
        <v>1247</v>
      </c>
      <c r="G1137" s="11" t="s">
        <v>145</v>
      </c>
      <c r="H1137" s="52" t="s">
        <v>444</v>
      </c>
      <c r="I1137" s="20" t="s">
        <v>1445</v>
      </c>
      <c r="J1137" s="11">
        <v>30</v>
      </c>
      <c r="K1137" s="11">
        <v>30</v>
      </c>
      <c r="L1137" s="11">
        <f t="shared" si="127"/>
        <v>0</v>
      </c>
      <c r="M1137" s="131"/>
      <c r="N1137" s="96">
        <v>46084</v>
      </c>
    </row>
    <row r="1138" spans="1:15" x14ac:dyDescent="0.25">
      <c r="A1138" s="11">
        <f t="shared" ca="1" si="125"/>
        <v>-31</v>
      </c>
      <c r="B1138" s="37">
        <f t="shared" si="126"/>
        <v>4</v>
      </c>
      <c r="C1138" s="64" t="s">
        <v>1487</v>
      </c>
      <c r="D1138" s="64" t="str">
        <f>VLOOKUP(VALUE(MID($C1138,13,2)), [2]codigos!$A$2:$B$60, 2, 1) &amp; " " &amp; VLOOKUP(VALUE(MID($C1138,15,4)), [2]codigos!$E$2:$F$102, 2, FALSE)</f>
        <v>PLATO OVAL 32</v>
      </c>
      <c r="E1138" s="64" t="str">
        <f>VLOOKUP(VALUE(MID($C1138,19,2)),[2]codigos!$H$2:$I$62,2,1) &amp; " " &amp; VLOOKUP(VALUE(MID($C1138,21,2)),[2]codigos!$K$2:$L$12,2,FALSE)</f>
        <v>BLANCO  NEGRO</v>
      </c>
      <c r="F1138" s="64" t="s">
        <v>1247</v>
      </c>
      <c r="G1138" s="64" t="s">
        <v>145</v>
      </c>
      <c r="H1138" s="66" t="s">
        <v>444</v>
      </c>
      <c r="I1138" s="64" t="s">
        <v>1445</v>
      </c>
      <c r="J1138" s="64">
        <v>30</v>
      </c>
      <c r="K1138" s="64">
        <v>0</v>
      </c>
      <c r="L1138" s="64">
        <f t="shared" si="127"/>
        <v>30</v>
      </c>
      <c r="M1138" s="131"/>
      <c r="N1138" s="96">
        <v>46084</v>
      </c>
    </row>
    <row r="1139" spans="1:15" x14ac:dyDescent="0.25">
      <c r="A1139" s="11">
        <f t="shared" ca="1" si="125"/>
        <v>-58</v>
      </c>
      <c r="B1139" s="37">
        <f t="shared" si="126"/>
        <v>31</v>
      </c>
      <c r="C1139" s="11" t="s">
        <v>211</v>
      </c>
      <c r="D1139" s="11" t="s">
        <v>1293</v>
      </c>
      <c r="E1139" s="11" t="s">
        <v>1294</v>
      </c>
      <c r="F1139" s="11" t="s">
        <v>1300</v>
      </c>
      <c r="G1139" s="11" t="s">
        <v>145</v>
      </c>
      <c r="H1139" s="52" t="s">
        <v>103</v>
      </c>
      <c r="I1139" s="20" t="s">
        <v>1299</v>
      </c>
      <c r="J1139" s="11">
        <v>150</v>
      </c>
      <c r="K1139" s="11">
        <v>150</v>
      </c>
      <c r="L1139" s="11">
        <f t="shared" si="127"/>
        <v>0</v>
      </c>
      <c r="M1139" s="131">
        <v>1</v>
      </c>
      <c r="N1139" s="18">
        <v>46083</v>
      </c>
      <c r="O1139" s="93">
        <v>46079</v>
      </c>
    </row>
    <row r="1140" spans="1:15" x14ac:dyDescent="0.25">
      <c r="A1140" s="11">
        <f t="shared" ca="1" si="125"/>
        <v>-58</v>
      </c>
      <c r="B1140" s="37">
        <f t="shared" si="126"/>
        <v>31</v>
      </c>
      <c r="C1140" s="11" t="s">
        <v>212</v>
      </c>
      <c r="D1140" s="11" t="s">
        <v>1295</v>
      </c>
      <c r="E1140" s="11" t="s">
        <v>1294</v>
      </c>
      <c r="F1140" s="11" t="s">
        <v>1300</v>
      </c>
      <c r="G1140" s="11" t="s">
        <v>145</v>
      </c>
      <c r="H1140" s="52" t="s">
        <v>103</v>
      </c>
      <c r="I1140" s="20" t="s">
        <v>1299</v>
      </c>
      <c r="J1140" s="11">
        <v>200</v>
      </c>
      <c r="K1140" s="11">
        <v>200</v>
      </c>
      <c r="L1140" s="11">
        <f t="shared" si="127"/>
        <v>0</v>
      </c>
      <c r="M1140" s="131"/>
      <c r="N1140" s="18">
        <v>46083</v>
      </c>
      <c r="O1140" s="93">
        <v>46079</v>
      </c>
    </row>
    <row r="1141" spans="1:15" x14ac:dyDescent="0.25">
      <c r="A1141" s="11">
        <f t="shared" ca="1" si="125"/>
        <v>-40</v>
      </c>
      <c r="B1141" s="37">
        <f t="shared" si="126"/>
        <v>12</v>
      </c>
      <c r="C1141" s="11" t="s">
        <v>51</v>
      </c>
      <c r="D1141" s="11" t="s">
        <v>1425</v>
      </c>
      <c r="E1141" s="11" t="s">
        <v>937</v>
      </c>
      <c r="F1141" s="11" t="s">
        <v>947</v>
      </c>
      <c r="G1141" s="11" t="s">
        <v>145</v>
      </c>
      <c r="H1141" s="52" t="s">
        <v>1406</v>
      </c>
      <c r="I1141" s="20" t="s">
        <v>1407</v>
      </c>
      <c r="J1141" s="11">
        <v>19</v>
      </c>
      <c r="K1141" s="11">
        <v>19</v>
      </c>
      <c r="L1141" s="11">
        <f t="shared" si="127"/>
        <v>0</v>
      </c>
      <c r="M1141" s="131">
        <v>1</v>
      </c>
      <c r="N1141" s="18">
        <v>46083</v>
      </c>
      <c r="O1141" s="117"/>
    </row>
    <row r="1142" spans="1:15" x14ac:dyDescent="0.25">
      <c r="A1142" s="11">
        <f t="shared" ca="1" si="125"/>
        <v>-40</v>
      </c>
      <c r="B1142" s="37">
        <f t="shared" si="126"/>
        <v>12</v>
      </c>
      <c r="C1142" s="11" t="s">
        <v>111</v>
      </c>
      <c r="D1142" s="11" t="s">
        <v>1426</v>
      </c>
      <c r="E1142" s="11" t="s">
        <v>937</v>
      </c>
      <c r="F1142" s="11" t="s">
        <v>947</v>
      </c>
      <c r="G1142" s="11" t="s">
        <v>145</v>
      </c>
      <c r="H1142" s="52" t="s">
        <v>1406</v>
      </c>
      <c r="I1142" s="20" t="s">
        <v>1407</v>
      </c>
      <c r="J1142" s="11">
        <v>6</v>
      </c>
      <c r="K1142" s="11">
        <v>6</v>
      </c>
      <c r="L1142" s="11">
        <f t="shared" si="127"/>
        <v>0</v>
      </c>
      <c r="M1142" s="131"/>
      <c r="N1142" s="18">
        <v>46083</v>
      </c>
      <c r="O1142" s="117"/>
    </row>
    <row r="1143" spans="1:15" x14ac:dyDescent="0.25">
      <c r="A1143" s="11">
        <f ca="1">DAYS360($B$1,I1143)</f>
        <v>-40</v>
      </c>
      <c r="B1143" s="37">
        <f>+N1143-I1143</f>
        <v>12</v>
      </c>
      <c r="C1143" s="11" t="s">
        <v>1585</v>
      </c>
      <c r="D1143" s="11" t="s">
        <v>1504</v>
      </c>
      <c r="E1143" s="11" t="s">
        <v>937</v>
      </c>
      <c r="F1143" s="11" t="s">
        <v>947</v>
      </c>
      <c r="G1143" s="11" t="s">
        <v>145</v>
      </c>
      <c r="H1143" s="52" t="s">
        <v>1406</v>
      </c>
      <c r="I1143" s="20" t="s">
        <v>1407</v>
      </c>
      <c r="J1143" s="11">
        <v>46</v>
      </c>
      <c r="K1143" s="11">
        <v>46</v>
      </c>
      <c r="L1143" s="11">
        <f t="shared" si="127"/>
        <v>0</v>
      </c>
      <c r="M1143" s="131"/>
      <c r="N1143" s="18">
        <v>46083</v>
      </c>
      <c r="O1143" s="117"/>
    </row>
    <row r="1144" spans="1:15" x14ac:dyDescent="0.25">
      <c r="A1144" s="11">
        <f t="shared" ref="A1144:A1207" ca="1" si="128">DAYS360($B$1,I1144)</f>
        <v>-52</v>
      </c>
      <c r="B1144" s="37">
        <f t="shared" ref="B1144:B1164" si="129">+N1144-I1144</f>
        <v>26</v>
      </c>
      <c r="C1144" s="11" t="s">
        <v>1338</v>
      </c>
      <c r="D1144" s="11" t="str">
        <f>VLOOKUP(VALUE(MID($C1144,13,2)), codigos!$A$2:$B$60, 2, 1) &amp; " " &amp; VLOOKUP(VALUE(MID($C1144,15,4)), codigos!$E$2:$F$102, 2, FALSE)</f>
        <v>BUDINERA 22</v>
      </c>
      <c r="E1144" s="11" t="str">
        <f>VLOOKUP(VALUE(MID($C1144,19,2)),codigos!$H$2:$I$62,2,1) &amp; " " &amp; VLOOKUP(VALUE(MID($C1144,21,2)),codigos!$K$2:$L$12,2,FALSE)</f>
        <v>S/I S/I</v>
      </c>
      <c r="F1144" s="11" t="s">
        <v>1337</v>
      </c>
      <c r="G1144" s="11" t="s">
        <v>145</v>
      </c>
      <c r="H1144" s="52" t="s">
        <v>1339</v>
      </c>
      <c r="I1144" s="11" t="s">
        <v>1327</v>
      </c>
      <c r="J1144" s="25">
        <v>24</v>
      </c>
      <c r="K1144" s="25">
        <v>24</v>
      </c>
      <c r="L1144" s="15">
        <f t="shared" ref="L1144:L1162" si="130">+J1144-K1144</f>
        <v>0</v>
      </c>
      <c r="M1144" s="131">
        <f>(SUM(K1144:K1162))/(SUM(J1144:J1162))</f>
        <v>0.62815884476534301</v>
      </c>
      <c r="N1144" s="18">
        <v>46085</v>
      </c>
      <c r="O1144" s="93">
        <v>46106</v>
      </c>
    </row>
    <row r="1145" spans="1:15" x14ac:dyDescent="0.25">
      <c r="A1145" s="11">
        <f t="shared" ca="1" si="128"/>
        <v>-52</v>
      </c>
      <c r="B1145" s="37">
        <f t="shared" si="129"/>
        <v>27</v>
      </c>
      <c r="C1145" s="11" t="s">
        <v>1340</v>
      </c>
      <c r="D1145" s="11" t="str">
        <f>VLOOKUP(VALUE(MID($C1145,13,2)), codigos!$A$2:$B$60, 2, 1) &amp; " " &amp; VLOOKUP(VALUE(MID($C1145,15,4)), codigos!$E$2:$F$102, 2, FALSE)</f>
        <v>BUDINERA 24</v>
      </c>
      <c r="E1145" s="11" t="str">
        <f>VLOOKUP(VALUE(MID($C1145,19,2)),codigos!$H$2:$I$62,2,1) &amp; " " &amp; VLOOKUP(VALUE(MID($C1145,21,2)),codigos!$K$2:$L$12,2,FALSE)</f>
        <v>S/I S/I</v>
      </c>
      <c r="F1145" s="11" t="s">
        <v>1337</v>
      </c>
      <c r="G1145" s="11" t="s">
        <v>145</v>
      </c>
      <c r="H1145" s="52" t="s">
        <v>1339</v>
      </c>
      <c r="I1145" s="11" t="s">
        <v>1327</v>
      </c>
      <c r="J1145" s="25">
        <v>24</v>
      </c>
      <c r="K1145" s="25">
        <v>24</v>
      </c>
      <c r="L1145" s="15">
        <f t="shared" si="130"/>
        <v>0</v>
      </c>
      <c r="M1145" s="131"/>
      <c r="N1145" s="18">
        <v>46086</v>
      </c>
      <c r="O1145" s="93">
        <v>46106</v>
      </c>
    </row>
    <row r="1146" spans="1:15" x14ac:dyDescent="0.25">
      <c r="A1146" s="11">
        <f t="shared" ca="1" si="128"/>
        <v>-52</v>
      </c>
      <c r="B1146" s="37">
        <f t="shared" si="129"/>
        <v>28</v>
      </c>
      <c r="C1146" s="11" t="s">
        <v>1341</v>
      </c>
      <c r="D1146" s="11" t="str">
        <f>VLOOKUP(VALUE(MID($C1146,13,2)), codigos!$A$2:$B$60, 2, 1) &amp; " " &amp; VLOOKUP(VALUE(MID($C1146,15,4)), codigos!$E$2:$F$102, 2, FALSE)</f>
        <v>BUDINERA 26</v>
      </c>
      <c r="E1146" s="11" t="str">
        <f>VLOOKUP(VALUE(MID($C1146,19,2)),codigos!$H$2:$I$62,2,1) &amp; " " &amp; VLOOKUP(VALUE(MID($C1146,21,2)),codigos!$K$2:$L$12,2,FALSE)</f>
        <v>S/I S/I</v>
      </c>
      <c r="F1146" s="11" t="s">
        <v>1337</v>
      </c>
      <c r="G1146" s="11" t="s">
        <v>145</v>
      </c>
      <c r="H1146" s="52" t="s">
        <v>1339</v>
      </c>
      <c r="I1146" s="11" t="s">
        <v>1327</v>
      </c>
      <c r="J1146" s="25">
        <v>24</v>
      </c>
      <c r="K1146" s="25">
        <v>24</v>
      </c>
      <c r="L1146" s="15">
        <f t="shared" si="130"/>
        <v>0</v>
      </c>
      <c r="M1146" s="131"/>
      <c r="N1146" s="18">
        <v>46087</v>
      </c>
      <c r="O1146" s="93">
        <v>46106</v>
      </c>
    </row>
    <row r="1147" spans="1:15" x14ac:dyDescent="0.25">
      <c r="A1147" s="11">
        <f t="shared" ca="1" si="128"/>
        <v>-52</v>
      </c>
      <c r="B1147" s="37">
        <f t="shared" si="129"/>
        <v>29</v>
      </c>
      <c r="C1147" s="11" t="s">
        <v>1342</v>
      </c>
      <c r="D1147" s="11" t="str">
        <f>VLOOKUP(VALUE(MID($C1147,13,2)), codigos!$A$2:$B$60, 2, 1) &amp; " " &amp; VLOOKUP(VALUE(MID($C1147,15,4)), codigos!$E$2:$F$102, 2, FALSE)</f>
        <v>BUDINERA 30</v>
      </c>
      <c r="E1147" s="11" t="str">
        <f>VLOOKUP(VALUE(MID($C1147,19,2)),codigos!$H$2:$I$62,2,1) &amp; " " &amp; VLOOKUP(VALUE(MID($C1147,21,2)),codigos!$K$2:$L$12,2,FALSE)</f>
        <v>S/I S/I</v>
      </c>
      <c r="F1147" s="11" t="s">
        <v>1337</v>
      </c>
      <c r="G1147" s="11" t="s">
        <v>145</v>
      </c>
      <c r="H1147" s="52" t="s">
        <v>1339</v>
      </c>
      <c r="I1147" s="11" t="s">
        <v>1327</v>
      </c>
      <c r="J1147" s="25">
        <v>8</v>
      </c>
      <c r="K1147" s="25">
        <v>8</v>
      </c>
      <c r="L1147" s="15">
        <f t="shared" si="130"/>
        <v>0</v>
      </c>
      <c r="M1147" s="131"/>
      <c r="N1147" s="18">
        <v>46088</v>
      </c>
      <c r="O1147" s="93">
        <v>46106</v>
      </c>
    </row>
    <row r="1148" spans="1:15" x14ac:dyDescent="0.25">
      <c r="A1148" s="11">
        <f t="shared" ca="1" si="128"/>
        <v>-52</v>
      </c>
      <c r="B1148" s="37">
        <f t="shared" si="129"/>
        <v>30</v>
      </c>
      <c r="C1148" s="11" t="s">
        <v>1343</v>
      </c>
      <c r="D1148" s="11" t="str">
        <f>VLOOKUP(VALUE(MID($C1148,13,2)), codigos!$A$2:$B$60, 2, 1) &amp; " " &amp; VLOOKUP(VALUE(MID($C1148,15,4)), codigos!$E$2:$F$102, 2, FALSE)</f>
        <v>BUDINERA 34</v>
      </c>
      <c r="E1148" s="11" t="str">
        <f>VLOOKUP(VALUE(MID($C1148,19,2)),codigos!$H$2:$I$62,2,1) &amp; " " &amp; VLOOKUP(VALUE(MID($C1148,21,2)),codigos!$K$2:$L$12,2,FALSE)</f>
        <v>S/I S/I</v>
      </c>
      <c r="F1148" s="11" t="s">
        <v>1337</v>
      </c>
      <c r="G1148" s="11" t="s">
        <v>145</v>
      </c>
      <c r="H1148" s="52" t="s">
        <v>1339</v>
      </c>
      <c r="I1148" s="11" t="s">
        <v>1327</v>
      </c>
      <c r="J1148" s="25">
        <v>8</v>
      </c>
      <c r="K1148" s="25">
        <v>8</v>
      </c>
      <c r="L1148" s="15">
        <f t="shared" si="130"/>
        <v>0</v>
      </c>
      <c r="M1148" s="131"/>
      <c r="N1148" s="18">
        <v>46089</v>
      </c>
      <c r="O1148" s="93">
        <v>46106</v>
      </c>
    </row>
    <row r="1149" spans="1:15" x14ac:dyDescent="0.25">
      <c r="A1149" s="11">
        <f t="shared" ca="1" si="128"/>
        <v>-52</v>
      </c>
      <c r="B1149" s="37">
        <f t="shared" si="129"/>
        <v>31</v>
      </c>
      <c r="C1149" s="11" t="s">
        <v>1344</v>
      </c>
      <c r="D1149" s="11" t="str">
        <f>VLOOKUP(VALUE(MID($C1149,13,2)), codigos!$A$2:$B$60, 2, 1) &amp; " " &amp; VLOOKUP(VALUE(MID($C1149,15,4)), codigos!$E$2:$F$102, 2, FALSE)</f>
        <v>BUDINERA 42</v>
      </c>
      <c r="E1149" s="11" t="str">
        <f>VLOOKUP(VALUE(MID($C1149,19,2)),codigos!$H$2:$I$62,2,1) &amp; " " &amp; VLOOKUP(VALUE(MID($C1149,21,2)),codigos!$K$2:$L$12,2,FALSE)</f>
        <v>S/I S/I</v>
      </c>
      <c r="F1149" s="11" t="s">
        <v>1337</v>
      </c>
      <c r="G1149" s="11" t="s">
        <v>145</v>
      </c>
      <c r="H1149" s="52" t="s">
        <v>1339</v>
      </c>
      <c r="I1149" s="11" t="s">
        <v>1327</v>
      </c>
      <c r="J1149" s="25">
        <v>6</v>
      </c>
      <c r="K1149" s="25">
        <v>4</v>
      </c>
      <c r="L1149" s="15">
        <f t="shared" si="130"/>
        <v>2</v>
      </c>
      <c r="M1149" s="131"/>
      <c r="N1149" s="18">
        <v>46090</v>
      </c>
      <c r="O1149" s="93">
        <v>46106</v>
      </c>
    </row>
    <row r="1150" spans="1:15" x14ac:dyDescent="0.25">
      <c r="A1150" s="11">
        <f t="shared" ca="1" si="128"/>
        <v>-52</v>
      </c>
      <c r="B1150" s="37">
        <f t="shared" si="129"/>
        <v>32</v>
      </c>
      <c r="C1150" s="11" t="s">
        <v>1345</v>
      </c>
      <c r="D1150" s="11" t="str">
        <f>VLOOKUP(VALUE(MID($C1150,13,2)), codigos!$A$2:$B$60, 2, 1) &amp; " " &amp; VLOOKUP(VALUE(MID($C1150,15,4)), codigos!$E$2:$F$102, 2, FALSE)</f>
        <v>OLLA CONVEXA 16</v>
      </c>
      <c r="E1150" s="11" t="str">
        <f>VLOOKUP(VALUE(MID($C1150,19,2)),codigos!$H$2:$I$62,2,1) &amp; " " &amp; VLOOKUP(VALUE(MID($C1150,21,2)),codigos!$K$2:$L$12,2,FALSE)</f>
        <v>S/I S/I</v>
      </c>
      <c r="F1150" s="11" t="s">
        <v>1337</v>
      </c>
      <c r="G1150" s="11" t="s">
        <v>145</v>
      </c>
      <c r="H1150" s="52" t="s">
        <v>1339</v>
      </c>
      <c r="I1150" s="11" t="s">
        <v>1327</v>
      </c>
      <c r="J1150" s="25">
        <v>108</v>
      </c>
      <c r="K1150" s="25">
        <v>12</v>
      </c>
      <c r="L1150" s="15">
        <f t="shared" si="130"/>
        <v>96</v>
      </c>
      <c r="M1150" s="131"/>
      <c r="N1150" s="18">
        <v>46091</v>
      </c>
      <c r="O1150" s="93">
        <v>46106</v>
      </c>
    </row>
    <row r="1151" spans="1:15" x14ac:dyDescent="0.25">
      <c r="A1151" s="11">
        <f t="shared" ca="1" si="128"/>
        <v>-52</v>
      </c>
      <c r="B1151" s="37">
        <f t="shared" si="129"/>
        <v>33</v>
      </c>
      <c r="C1151" s="11" t="s">
        <v>1346</v>
      </c>
      <c r="D1151" s="11" t="str">
        <f>VLOOKUP(VALUE(MID($C1151,13,2)), codigos!$A$2:$B$60, 2, 1) &amp; " " &amp; VLOOKUP(VALUE(MID($C1151,15,4)), codigos!$E$2:$F$102, 2, FALSE)</f>
        <v>OLLA CONVEXA 20</v>
      </c>
      <c r="E1151" s="11" t="str">
        <f>VLOOKUP(VALUE(MID($C1151,19,2)),codigos!$H$2:$I$62,2,1) &amp; " " &amp; VLOOKUP(VALUE(MID($C1151,21,2)),codigos!$K$2:$L$12,2,FALSE)</f>
        <v>S/I S/I</v>
      </c>
      <c r="F1151" s="11" t="s">
        <v>1337</v>
      </c>
      <c r="G1151" s="11" t="s">
        <v>145</v>
      </c>
      <c r="H1151" s="52" t="s">
        <v>1339</v>
      </c>
      <c r="I1151" s="11" t="s">
        <v>1327</v>
      </c>
      <c r="J1151" s="25">
        <v>60</v>
      </c>
      <c r="K1151" s="25">
        <v>24</v>
      </c>
      <c r="L1151" s="15">
        <f t="shared" si="130"/>
        <v>36</v>
      </c>
      <c r="M1151" s="131"/>
      <c r="N1151" s="18">
        <v>46092</v>
      </c>
      <c r="O1151" s="93">
        <v>46106</v>
      </c>
    </row>
    <row r="1152" spans="1:15" x14ac:dyDescent="0.25">
      <c r="A1152" s="11">
        <f t="shared" ca="1" si="128"/>
        <v>-52</v>
      </c>
      <c r="B1152" s="37">
        <f t="shared" si="129"/>
        <v>34</v>
      </c>
      <c r="C1152" s="11" t="s">
        <v>1347</v>
      </c>
      <c r="D1152" s="11" t="str">
        <f>VLOOKUP(VALUE(MID($C1152,13,2)), codigos!$A$2:$B$60, 2, 1) &amp; " " &amp; VLOOKUP(VALUE(MID($C1152,15,4)), codigos!$E$2:$F$102, 2, FALSE)</f>
        <v>OLLA CONVEXA 22</v>
      </c>
      <c r="E1152" s="11" t="str">
        <f>VLOOKUP(VALUE(MID($C1152,19,2)),codigos!$H$2:$I$62,2,1) &amp; " " &amp; VLOOKUP(VALUE(MID($C1152,21,2)),codigos!$K$2:$L$12,2,FALSE)</f>
        <v>S/I S/I</v>
      </c>
      <c r="F1152" s="11" t="s">
        <v>1337</v>
      </c>
      <c r="G1152" s="11" t="s">
        <v>145</v>
      </c>
      <c r="H1152" s="52" t="s">
        <v>1339</v>
      </c>
      <c r="I1152" s="11" t="s">
        <v>1327</v>
      </c>
      <c r="J1152" s="25">
        <v>36</v>
      </c>
      <c r="K1152" s="25">
        <v>18</v>
      </c>
      <c r="L1152" s="15">
        <f t="shared" si="130"/>
        <v>18</v>
      </c>
      <c r="M1152" s="131"/>
      <c r="N1152" s="18">
        <v>46093</v>
      </c>
      <c r="O1152" s="93">
        <v>46106</v>
      </c>
    </row>
    <row r="1153" spans="1:16" x14ac:dyDescent="0.25">
      <c r="A1153" s="11">
        <f t="shared" ca="1" si="128"/>
        <v>-52</v>
      </c>
      <c r="B1153" s="37">
        <f t="shared" si="129"/>
        <v>35</v>
      </c>
      <c r="C1153" s="11" t="s">
        <v>1348</v>
      </c>
      <c r="D1153" s="11" t="str">
        <f>VLOOKUP(VALUE(MID($C1153,13,2)), codigos!$A$2:$B$60, 2, 1) &amp; " " &amp; VLOOKUP(VALUE(MID($C1153,15,4)), codigos!$E$2:$F$102, 2, FALSE)</f>
        <v>OLLA CONVEXA 24</v>
      </c>
      <c r="E1153" s="11" t="str">
        <f>VLOOKUP(VALUE(MID($C1153,19,2)),codigos!$H$2:$I$62,2,1) &amp; " " &amp; VLOOKUP(VALUE(MID($C1153,21,2)),codigos!$K$2:$L$12,2,FALSE)</f>
        <v>S/I S/I</v>
      </c>
      <c r="F1153" s="11" t="s">
        <v>1337</v>
      </c>
      <c r="G1153" s="11" t="s">
        <v>145</v>
      </c>
      <c r="H1153" s="52" t="s">
        <v>1339</v>
      </c>
      <c r="I1153" s="11" t="s">
        <v>1327</v>
      </c>
      <c r="J1153" s="25">
        <v>30</v>
      </c>
      <c r="K1153" s="25">
        <v>6</v>
      </c>
      <c r="L1153" s="15">
        <f t="shared" si="130"/>
        <v>24</v>
      </c>
      <c r="M1153" s="131"/>
      <c r="N1153" s="18">
        <v>46094</v>
      </c>
      <c r="O1153" s="93">
        <v>46106</v>
      </c>
    </row>
    <row r="1154" spans="1:16" x14ac:dyDescent="0.25">
      <c r="A1154" s="11">
        <f t="shared" ca="1" si="128"/>
        <v>-52</v>
      </c>
      <c r="B1154" s="37">
        <f t="shared" si="129"/>
        <v>36</v>
      </c>
      <c r="C1154" s="11" t="s">
        <v>1349</v>
      </c>
      <c r="D1154" s="11" t="str">
        <f>VLOOKUP(VALUE(MID($C1154,13,2)), codigos!$A$2:$B$60, 2, 1) &amp; " " &amp; VLOOKUP(VALUE(MID($C1154,15,4)), codigos!$E$2:$F$102, 2, FALSE)</f>
        <v>OLLA CONVEXA 26</v>
      </c>
      <c r="E1154" s="11" t="str">
        <f>VLOOKUP(VALUE(MID($C1154,19,2)),codigos!$H$2:$I$62,2,1) &amp; " " &amp; VLOOKUP(VALUE(MID($C1154,21,2)),codigos!$K$2:$L$12,2,FALSE)</f>
        <v>S/I S/I</v>
      </c>
      <c r="F1154" s="11" t="s">
        <v>1337</v>
      </c>
      <c r="G1154" s="11" t="s">
        <v>145</v>
      </c>
      <c r="H1154" s="52" t="s">
        <v>1339</v>
      </c>
      <c r="I1154" s="11" t="s">
        <v>1327</v>
      </c>
      <c r="J1154" s="25">
        <v>48</v>
      </c>
      <c r="K1154" s="25">
        <v>48</v>
      </c>
      <c r="L1154" s="15">
        <f t="shared" si="130"/>
        <v>0</v>
      </c>
      <c r="M1154" s="131"/>
      <c r="N1154" s="18">
        <v>46095</v>
      </c>
      <c r="O1154" s="93">
        <v>46106</v>
      </c>
    </row>
    <row r="1155" spans="1:16" x14ac:dyDescent="0.25">
      <c r="A1155" s="11">
        <f t="shared" ca="1" si="128"/>
        <v>-52</v>
      </c>
      <c r="B1155" s="37">
        <f t="shared" si="129"/>
        <v>37</v>
      </c>
      <c r="C1155" s="11" t="s">
        <v>1350</v>
      </c>
      <c r="D1155" s="11" t="str">
        <f>VLOOKUP(VALUE(MID($C1155,13,2)), codigos!$A$2:$B$60, 2, 1) &amp; " " &amp; VLOOKUP(VALUE(MID($C1155,15,4)), codigos!$E$2:$F$102, 2, FALSE)</f>
        <v>OLLA CONVEXA 30</v>
      </c>
      <c r="E1155" s="11" t="str">
        <f>VLOOKUP(VALUE(MID($C1155,19,2)),codigos!$H$2:$I$62,2,1) &amp; " " &amp; VLOOKUP(VALUE(MID($C1155,21,2)),codigos!$K$2:$L$12,2,FALSE)</f>
        <v>S/I S/I</v>
      </c>
      <c r="F1155" s="11" t="s">
        <v>1337</v>
      </c>
      <c r="G1155" s="11" t="s">
        <v>145</v>
      </c>
      <c r="H1155" s="52" t="s">
        <v>1339</v>
      </c>
      <c r="I1155" s="11" t="s">
        <v>1327</v>
      </c>
      <c r="J1155" s="25">
        <v>8</v>
      </c>
      <c r="K1155" s="25">
        <v>8</v>
      </c>
      <c r="L1155" s="15">
        <f t="shared" si="130"/>
        <v>0</v>
      </c>
      <c r="M1155" s="131"/>
      <c r="N1155" s="18">
        <v>46096</v>
      </c>
      <c r="O1155" s="93">
        <v>46106</v>
      </c>
    </row>
    <row r="1156" spans="1:16" x14ac:dyDescent="0.25">
      <c r="A1156" s="11">
        <f t="shared" ca="1" si="128"/>
        <v>-52</v>
      </c>
      <c r="B1156" s="37">
        <f t="shared" si="129"/>
        <v>38</v>
      </c>
      <c r="C1156" s="11" t="s">
        <v>1351</v>
      </c>
      <c r="D1156" s="11" t="str">
        <f>VLOOKUP(VALUE(MID($C1156,13,2)), codigos!$A$2:$B$60, 2, 1) &amp; " " &amp; VLOOKUP(VALUE(MID($C1156,15,4)), codigos!$E$2:$F$102, 2, FALSE)</f>
        <v>OLLA CONVEXA 34</v>
      </c>
      <c r="E1156" s="11" t="str">
        <f>VLOOKUP(VALUE(MID($C1156,19,2)),codigos!$H$2:$I$62,2,1) &amp; " " &amp; VLOOKUP(VALUE(MID($C1156,21,2)),codigos!$K$2:$L$12,2,FALSE)</f>
        <v>S/I S/I</v>
      </c>
      <c r="F1156" s="11" t="s">
        <v>1337</v>
      </c>
      <c r="G1156" s="11" t="s">
        <v>145</v>
      </c>
      <c r="H1156" s="52" t="s">
        <v>1339</v>
      </c>
      <c r="I1156" s="11" t="s">
        <v>1327</v>
      </c>
      <c r="J1156" s="25">
        <v>8</v>
      </c>
      <c r="K1156" s="25">
        <v>8</v>
      </c>
      <c r="L1156" s="15">
        <f t="shared" si="130"/>
        <v>0</v>
      </c>
      <c r="M1156" s="131"/>
      <c r="N1156" s="18">
        <v>46097</v>
      </c>
      <c r="O1156" s="93">
        <v>46106</v>
      </c>
    </row>
    <row r="1157" spans="1:16" x14ac:dyDescent="0.25">
      <c r="A1157" s="11">
        <f t="shared" ca="1" si="128"/>
        <v>-52</v>
      </c>
      <c r="B1157" s="37">
        <f t="shared" si="129"/>
        <v>39</v>
      </c>
      <c r="C1157" s="11" t="s">
        <v>1352</v>
      </c>
      <c r="D1157" s="11" t="str">
        <f>VLOOKUP(VALUE(MID($C1157,13,2)), codigos!$A$2:$B$60, 2, 1) &amp; " " &amp; VLOOKUP(VALUE(MID($C1157,15,4)), codigos!$E$2:$F$102, 2, FALSE)</f>
        <v>OLLA RECTA 26</v>
      </c>
      <c r="E1157" s="11" t="str">
        <f>VLOOKUP(VALUE(MID($C1157,19,2)),codigos!$H$2:$I$62,2,1) &amp; " " &amp; VLOOKUP(VALUE(MID($C1157,21,2)),codigos!$K$2:$L$12,2,FALSE)</f>
        <v>S/I S/I</v>
      </c>
      <c r="F1157" s="11" t="s">
        <v>1337</v>
      </c>
      <c r="G1157" s="11" t="s">
        <v>145</v>
      </c>
      <c r="H1157" s="52" t="s">
        <v>1339</v>
      </c>
      <c r="I1157" s="11" t="s">
        <v>1327</v>
      </c>
      <c r="J1157" s="25">
        <v>12</v>
      </c>
      <c r="K1157" s="25">
        <v>6</v>
      </c>
      <c r="L1157" s="15">
        <f t="shared" si="130"/>
        <v>6</v>
      </c>
      <c r="M1157" s="131"/>
      <c r="N1157" s="18">
        <v>46098</v>
      </c>
      <c r="O1157" s="93">
        <v>46106</v>
      </c>
    </row>
    <row r="1158" spans="1:16" x14ac:dyDescent="0.25">
      <c r="A1158" s="11">
        <f t="shared" ca="1" si="128"/>
        <v>-52</v>
      </c>
      <c r="B1158" s="37">
        <f t="shared" si="129"/>
        <v>40</v>
      </c>
      <c r="C1158" s="11" t="s">
        <v>1353</v>
      </c>
      <c r="D1158" s="11" t="str">
        <f>VLOOKUP(VALUE(MID($C1158,13,2)), codigos!$A$2:$B$60, 2, 1) &amp; " " &amp; VLOOKUP(VALUE(MID($C1158,15,4)), codigos!$E$2:$F$102, 2, FALSE)</f>
        <v>POCILLO 14</v>
      </c>
      <c r="E1158" s="11" t="str">
        <f>VLOOKUP(VALUE(MID($C1158,19,2)),codigos!$H$2:$I$62,2,1) &amp; " " &amp; VLOOKUP(VALUE(MID($C1158,21,2)),codigos!$K$2:$L$12,2,FALSE)</f>
        <v>A/T S/I</v>
      </c>
      <c r="F1158" s="11" t="s">
        <v>1337</v>
      </c>
      <c r="G1158" s="11" t="s">
        <v>145</v>
      </c>
      <c r="H1158" s="52" t="s">
        <v>1339</v>
      </c>
      <c r="I1158" s="11" t="s">
        <v>1327</v>
      </c>
      <c r="J1158" s="25">
        <v>30</v>
      </c>
      <c r="K1158" s="25">
        <v>30</v>
      </c>
      <c r="L1158" s="15">
        <f t="shared" si="130"/>
        <v>0</v>
      </c>
      <c r="M1158" s="131"/>
      <c r="N1158" s="18">
        <v>46099</v>
      </c>
      <c r="O1158" s="93">
        <v>46106</v>
      </c>
    </row>
    <row r="1159" spans="1:16" x14ac:dyDescent="0.25">
      <c r="A1159" s="11">
        <f t="shared" ca="1" si="128"/>
        <v>-52</v>
      </c>
      <c r="B1159" s="37">
        <f t="shared" si="129"/>
        <v>41</v>
      </c>
      <c r="C1159" s="11" t="s">
        <v>1354</v>
      </c>
      <c r="D1159" s="11" t="str">
        <f>VLOOKUP(VALUE(MID($C1159,13,2)), codigos!$A$2:$B$60, 2, 1) &amp; " " &amp; VLOOKUP(VALUE(MID($C1159,15,4)), codigos!$E$2:$F$102, 2, FALSE)</f>
        <v>SARTEN 24</v>
      </c>
      <c r="E1159" s="11" t="str">
        <f>VLOOKUP(VALUE(MID($C1159,19,2)),codigos!$H$2:$I$62,2,1) &amp; " " &amp; VLOOKUP(VALUE(MID($C1159,21,2)),codigos!$K$2:$L$12,2,FALSE)</f>
        <v>S/I S/I</v>
      </c>
      <c r="F1159" s="11" t="s">
        <v>1337</v>
      </c>
      <c r="G1159" s="11" t="s">
        <v>145</v>
      </c>
      <c r="H1159" s="52" t="s">
        <v>1339</v>
      </c>
      <c r="I1159" s="11" t="s">
        <v>1327</v>
      </c>
      <c r="J1159" s="25">
        <v>12</v>
      </c>
      <c r="K1159" s="25">
        <v>12</v>
      </c>
      <c r="L1159" s="15">
        <f t="shared" si="130"/>
        <v>0</v>
      </c>
      <c r="M1159" s="131"/>
      <c r="N1159" s="18">
        <v>46100</v>
      </c>
      <c r="O1159" s="93">
        <v>46106</v>
      </c>
    </row>
    <row r="1160" spans="1:16" x14ac:dyDescent="0.25">
      <c r="A1160" s="11">
        <f t="shared" ca="1" si="128"/>
        <v>-52</v>
      </c>
      <c r="B1160" s="37">
        <f t="shared" si="129"/>
        <v>42</v>
      </c>
      <c r="C1160" s="64" t="s">
        <v>1355</v>
      </c>
      <c r="D1160" s="64" t="str">
        <f>VLOOKUP(VALUE(MID($C1160,13,2)), codigos!$A$2:$B$60, 2, 1) &amp; " " &amp; VLOOKUP(VALUE(MID($C1160,15,4)), codigos!$E$2:$F$102, 2, FALSE)</f>
        <v>SARTEN 26</v>
      </c>
      <c r="E1160" s="64" t="str">
        <f>VLOOKUP(VALUE(MID($C1160,19,2)),codigos!$H$2:$I$62,2,1) &amp; " " &amp; VLOOKUP(VALUE(MID($C1160,21,2)),codigos!$K$2:$L$12,2,FALSE)</f>
        <v>S/I S/I</v>
      </c>
      <c r="F1160" s="64" t="s">
        <v>1337</v>
      </c>
      <c r="G1160" s="64" t="s">
        <v>145</v>
      </c>
      <c r="H1160" s="66" t="s">
        <v>1339</v>
      </c>
      <c r="I1160" s="64" t="s">
        <v>1327</v>
      </c>
      <c r="J1160" s="115">
        <v>24</v>
      </c>
      <c r="K1160" s="115">
        <v>0</v>
      </c>
      <c r="L1160" s="29">
        <f t="shared" si="130"/>
        <v>24</v>
      </c>
      <c r="M1160" s="131"/>
      <c r="N1160" s="18">
        <v>46101</v>
      </c>
      <c r="O1160" s="93">
        <v>46106</v>
      </c>
    </row>
    <row r="1161" spans="1:16" x14ac:dyDescent="0.25">
      <c r="A1161" s="11">
        <f t="shared" ca="1" si="128"/>
        <v>-52</v>
      </c>
      <c r="B1161" s="37">
        <f t="shared" si="129"/>
        <v>43</v>
      </c>
      <c r="C1161" s="11" t="s">
        <v>1356</v>
      </c>
      <c r="D1161" s="11" t="str">
        <f>VLOOKUP(VALUE(MID($C1161,13,2)), codigos!$A$2:$B$60, 2, 1) &amp; " " &amp; VLOOKUP(VALUE(MID($C1161,15,4)), codigos!$E$2:$F$102, 2, FALSE)</f>
        <v>POCILLO 12</v>
      </c>
      <c r="E1161" s="11" t="str">
        <f>VLOOKUP(VALUE(MID($C1161,19,2)),codigos!$H$2:$I$62,2,1) &amp; " " &amp; VLOOKUP(VALUE(MID($C1161,21,2)),codigos!$K$2:$L$12,2,FALSE)</f>
        <v>A/T S/I</v>
      </c>
      <c r="F1161" s="11" t="s">
        <v>1337</v>
      </c>
      <c r="G1161" s="11" t="s">
        <v>145</v>
      </c>
      <c r="H1161" s="52" t="s">
        <v>1339</v>
      </c>
      <c r="I1161" s="11" t="s">
        <v>1327</v>
      </c>
      <c r="J1161" s="25">
        <v>36</v>
      </c>
      <c r="K1161" s="25">
        <f>24+12</f>
        <v>36</v>
      </c>
      <c r="L1161" s="15">
        <f t="shared" si="130"/>
        <v>0</v>
      </c>
      <c r="M1161" s="131"/>
      <c r="N1161" s="18">
        <v>46102</v>
      </c>
      <c r="O1161" s="93">
        <v>46106</v>
      </c>
    </row>
    <row r="1162" spans="1:16" x14ac:dyDescent="0.25">
      <c r="A1162" s="11">
        <f t="shared" ca="1" si="128"/>
        <v>-52</v>
      </c>
      <c r="B1162" s="37">
        <f t="shared" si="129"/>
        <v>44</v>
      </c>
      <c r="C1162" s="11" t="s">
        <v>1357</v>
      </c>
      <c r="D1162" s="11" t="str">
        <f>VLOOKUP(VALUE(MID($C1162,13,2)), codigos!$A$2:$B$60, 2, 1) &amp; " " &amp; VLOOKUP(VALUE(MID($C1162,15,4)), codigos!$E$2:$F$102, 2, FALSE)</f>
        <v>POCILLO 10</v>
      </c>
      <c r="E1162" s="11" t="str">
        <f>VLOOKUP(VALUE(MID($C1162,19,2)),codigos!$H$2:$I$62,2,1) &amp; " " &amp; VLOOKUP(VALUE(MID($C1162,21,2)),codigos!$K$2:$L$12,2,FALSE)</f>
        <v>A/T S/I</v>
      </c>
      <c r="F1162" s="11" t="s">
        <v>1337</v>
      </c>
      <c r="G1162" s="11" t="s">
        <v>145</v>
      </c>
      <c r="H1162" s="52" t="s">
        <v>1339</v>
      </c>
      <c r="I1162" s="11" t="s">
        <v>1327</v>
      </c>
      <c r="J1162" s="25">
        <v>48</v>
      </c>
      <c r="K1162" s="25">
        <v>48</v>
      </c>
      <c r="L1162" s="15">
        <f t="shared" si="130"/>
        <v>0</v>
      </c>
      <c r="M1162" s="131"/>
      <c r="N1162" s="18">
        <v>46103</v>
      </c>
      <c r="O1162" s="93">
        <v>46106</v>
      </c>
    </row>
    <row r="1163" spans="1:16" x14ac:dyDescent="0.25">
      <c r="A1163" s="11">
        <f t="shared" ca="1" si="128"/>
        <v>-99</v>
      </c>
      <c r="B1163" s="37">
        <f t="shared" si="129"/>
        <v>75</v>
      </c>
      <c r="C1163" s="11" t="s">
        <v>45</v>
      </c>
      <c r="D1163" s="11" t="str">
        <f>VLOOKUP(VALUE(MID($C1163,13,2)), [2]codigos!$A$2:$B$60, 2, 1) &amp; " " &amp; VLOOKUP(VALUE(MID($C1163,15,4)), [2]codigos!$E$2:$F$102, 2, FALSE)</f>
        <v>BAÑO 4</v>
      </c>
      <c r="E1163" s="11" t="str">
        <f>VLOOKUP(VALUE(MID($C1163,19,2)),[2]codigos!$H$2:$I$62,2,1) &amp; " " &amp; VLOOKUP(VALUE(MID($C1163,21,2)),[2]codigos!$K$2:$L$12,2,FALSE)</f>
        <v>GALVANIZADO S/I</v>
      </c>
      <c r="F1163" s="11" t="s">
        <v>509</v>
      </c>
      <c r="G1163" s="11" t="s">
        <v>340</v>
      </c>
      <c r="H1163" s="52" t="s">
        <v>1121</v>
      </c>
      <c r="I1163" s="20" t="s">
        <v>949</v>
      </c>
      <c r="J1163" s="11">
        <v>20</v>
      </c>
      <c r="K1163" s="11">
        <v>20</v>
      </c>
      <c r="L1163" s="11">
        <f>J1163-K1163</f>
        <v>0</v>
      </c>
      <c r="M1163" s="131">
        <f>(SUM(K1163:K1164))/(SUM(J1163:J1164))</f>
        <v>1</v>
      </c>
      <c r="N1163" s="18">
        <v>46085</v>
      </c>
      <c r="O1163" s="93">
        <v>46085</v>
      </c>
    </row>
    <row r="1164" spans="1:16" x14ac:dyDescent="0.25">
      <c r="A1164" s="11">
        <f t="shared" ca="1" si="128"/>
        <v>-99</v>
      </c>
      <c r="B1164" s="37">
        <f t="shared" si="129"/>
        <v>75</v>
      </c>
      <c r="C1164" s="11" t="s">
        <v>211</v>
      </c>
      <c r="D1164" s="11" t="str">
        <f>VLOOKUP(VALUE(MID($C1164,13,2)), [2]codigos!$A$2:$B$60, 2, 1) &amp; " " &amp; VLOOKUP(VALUE(MID($C1164,15,4)), [2]codigos!$E$2:$F$102, 2, FALSE)</f>
        <v>BAÑO 10</v>
      </c>
      <c r="E1164" s="11" t="str">
        <f>VLOOKUP(VALUE(MID($C1164,19,2)),[2]codigos!$H$2:$I$62,2,1) &amp; " " &amp; VLOOKUP(VALUE(MID($C1164,21,2)),[2]codigos!$K$2:$L$12,2,FALSE)</f>
        <v>GALVANIZADO S/I</v>
      </c>
      <c r="F1164" s="11" t="s">
        <v>509</v>
      </c>
      <c r="G1164" s="11" t="s">
        <v>340</v>
      </c>
      <c r="H1164" s="52" t="s">
        <v>1121</v>
      </c>
      <c r="I1164" s="20" t="s">
        <v>949</v>
      </c>
      <c r="J1164" s="11">
        <v>100</v>
      </c>
      <c r="K1164" s="11">
        <f>1+9+79-50+61</f>
        <v>100</v>
      </c>
      <c r="L1164" s="11">
        <f>J1164-K1164</f>
        <v>0</v>
      </c>
      <c r="M1164" s="131"/>
      <c r="N1164" s="18">
        <v>46085</v>
      </c>
      <c r="O1164" s="93">
        <v>46085</v>
      </c>
    </row>
    <row r="1165" spans="1:16" x14ac:dyDescent="0.25">
      <c r="A1165" s="11">
        <f t="shared" ca="1" si="128"/>
        <v>-48</v>
      </c>
      <c r="C1165" s="11" t="s">
        <v>1126</v>
      </c>
      <c r="D1165" s="11" t="str">
        <f>VLOOKUP(VALUE(MID($C1165,13,2)), codigos!$A$2:$B$60, 2, 1) &amp; " " &amp; VLOOKUP(VALUE(MID($C1165,15,4)), codigos!$E$2:$F$102, 2, FALSE)</f>
        <v>BUDINERA 20</v>
      </c>
      <c r="E1165" s="11" t="str">
        <f>VLOOKUP(VALUE(MID($C1165,19,2)),codigos!$H$2:$I$62,2,1) &amp; " " &amp; VLOOKUP(VALUE(MID($C1165,21,2)),codigos!$K$2:$L$12,2,FALSE)</f>
        <v>A/T S/I</v>
      </c>
      <c r="F1165" s="11" t="s">
        <v>1363</v>
      </c>
      <c r="G1165" s="11" t="s">
        <v>11</v>
      </c>
      <c r="H1165" s="52" t="s">
        <v>1358</v>
      </c>
      <c r="I1165" s="11" t="s">
        <v>1359</v>
      </c>
      <c r="J1165" s="25">
        <v>1</v>
      </c>
      <c r="K1165" s="25">
        <v>1</v>
      </c>
      <c r="L1165" s="15">
        <f t="shared" ref="L1165:L1178" si="131">+J1165-K1165</f>
        <v>0</v>
      </c>
      <c r="M1165" s="131">
        <f>(SUM(K1165:K1178))/(SUM(J1165:J1178))</f>
        <v>0.94285714285714284</v>
      </c>
      <c r="N1165" s="18">
        <v>46087</v>
      </c>
      <c r="O1165" s="93">
        <v>46086</v>
      </c>
      <c r="P1165" s="18">
        <v>46087</v>
      </c>
    </row>
    <row r="1166" spans="1:16" x14ac:dyDescent="0.25">
      <c r="A1166" s="11">
        <f t="shared" ca="1" si="128"/>
        <v>-48</v>
      </c>
      <c r="C1166" s="11" t="s">
        <v>1360</v>
      </c>
      <c r="D1166" s="11" t="str">
        <f>VLOOKUP(VALUE(MID($C1166,13,2)), codigos!$A$2:$B$60, 2, 1) &amp; " " &amp; VLOOKUP(VALUE(MID($C1166,15,4)), codigos!$E$2:$F$102, 2, FALSE)</f>
        <v>CAZO 16</v>
      </c>
      <c r="E1166" s="11" t="str">
        <f>VLOOKUP(VALUE(MID($C1166,19,2)),codigos!$H$2:$I$62,2,1) &amp; " " &amp; VLOOKUP(VALUE(MID($C1166,21,2)),codigos!$K$2:$L$12,2,FALSE)</f>
        <v>A/T S/I</v>
      </c>
      <c r="F1166" s="11" t="s">
        <v>1363</v>
      </c>
      <c r="G1166" s="11" t="s">
        <v>11</v>
      </c>
      <c r="H1166" s="52" t="s">
        <v>1358</v>
      </c>
      <c r="I1166" s="11" t="s">
        <v>1359</v>
      </c>
      <c r="J1166" s="25">
        <v>1</v>
      </c>
      <c r="K1166" s="25">
        <v>1</v>
      </c>
      <c r="L1166" s="15">
        <f t="shared" si="131"/>
        <v>0</v>
      </c>
      <c r="M1166" s="131"/>
      <c r="N1166" s="18">
        <v>46087</v>
      </c>
      <c r="O1166" s="93">
        <v>46086</v>
      </c>
      <c r="P1166" s="18">
        <v>46087</v>
      </c>
    </row>
    <row r="1167" spans="1:16" x14ac:dyDescent="0.25">
      <c r="A1167" s="11">
        <f t="shared" ca="1" si="128"/>
        <v>-48</v>
      </c>
      <c r="C1167" s="11" t="s">
        <v>1128</v>
      </c>
      <c r="D1167" s="11" t="str">
        <f>VLOOKUP(VALUE(MID($C1167,13,2)), codigos!$A$2:$B$60, 2, 1) &amp; " " &amp; VLOOKUP(VALUE(MID($C1167,15,4)), codigos!$E$2:$F$102, 2, FALSE)</f>
        <v>OLLA CONVEXA 20</v>
      </c>
      <c r="E1167" s="11" t="str">
        <f>VLOOKUP(VALUE(MID($C1167,19,2)),codigos!$H$2:$I$62,2,1) &amp; " " &amp; VLOOKUP(VALUE(MID($C1167,21,2)),codigos!$K$2:$L$12,2,FALSE)</f>
        <v>A/T S/I</v>
      </c>
      <c r="F1167" s="11" t="s">
        <v>1363</v>
      </c>
      <c r="G1167" s="11" t="s">
        <v>11</v>
      </c>
      <c r="H1167" s="52" t="s">
        <v>1358</v>
      </c>
      <c r="I1167" s="11" t="s">
        <v>1359</v>
      </c>
      <c r="J1167" s="25">
        <v>2</v>
      </c>
      <c r="K1167" s="25">
        <v>0</v>
      </c>
      <c r="L1167" s="15">
        <f t="shared" si="131"/>
        <v>2</v>
      </c>
      <c r="M1167" s="131"/>
      <c r="N1167" s="18">
        <v>46087</v>
      </c>
      <c r="O1167" s="93">
        <v>46086</v>
      </c>
      <c r="P1167" s="18">
        <v>46087</v>
      </c>
    </row>
    <row r="1168" spans="1:16" x14ac:dyDescent="0.25">
      <c r="A1168" s="11">
        <f t="shared" ca="1" si="128"/>
        <v>-48</v>
      </c>
      <c r="C1168" s="11" t="s">
        <v>1043</v>
      </c>
      <c r="D1168" s="11" t="str">
        <f>VLOOKUP(VALUE(MID($C1168,13,2)), codigos!$A$2:$B$60, 2, 1) &amp; " " &amp; VLOOKUP(VALUE(MID($C1168,15,4)), codigos!$E$2:$F$102, 2, FALSE)</f>
        <v>OLLA CONVEXA 22</v>
      </c>
      <c r="E1168" s="11" t="str">
        <f>VLOOKUP(VALUE(MID($C1168,19,2)),codigos!$H$2:$I$62,2,1) &amp; " " &amp; VLOOKUP(VALUE(MID($C1168,21,2)),codigos!$K$2:$L$12,2,FALSE)</f>
        <v>A/T S/I</v>
      </c>
      <c r="F1168" s="11" t="s">
        <v>1363</v>
      </c>
      <c r="G1168" s="11" t="s">
        <v>11</v>
      </c>
      <c r="H1168" s="52" t="s">
        <v>1358</v>
      </c>
      <c r="I1168" s="11" t="s">
        <v>1359</v>
      </c>
      <c r="J1168" s="25">
        <v>1</v>
      </c>
      <c r="K1168" s="25">
        <v>1</v>
      </c>
      <c r="L1168" s="15">
        <f t="shared" si="131"/>
        <v>0</v>
      </c>
      <c r="M1168" s="131"/>
      <c r="N1168" s="18">
        <v>46087</v>
      </c>
      <c r="O1168" s="93">
        <v>46086</v>
      </c>
      <c r="P1168" s="18">
        <v>46087</v>
      </c>
    </row>
    <row r="1169" spans="1:16" x14ac:dyDescent="0.25">
      <c r="A1169" s="11">
        <f t="shared" ca="1" si="128"/>
        <v>-48</v>
      </c>
      <c r="C1169" s="11" t="s">
        <v>1044</v>
      </c>
      <c r="D1169" s="11" t="str">
        <f>VLOOKUP(VALUE(MID($C1169,13,2)), codigos!$A$2:$B$60, 2, 1) &amp; " " &amp; VLOOKUP(VALUE(MID($C1169,15,4)), codigos!$E$2:$F$102, 2, FALSE)</f>
        <v>OLLA CONVEXA 24</v>
      </c>
      <c r="E1169" s="11" t="str">
        <f>VLOOKUP(VALUE(MID($C1169,19,2)),codigos!$H$2:$I$62,2,1) &amp; " " &amp; VLOOKUP(VALUE(MID($C1169,21,2)),codigos!$K$2:$L$12,2,FALSE)</f>
        <v>A/T S/I</v>
      </c>
      <c r="F1169" s="11" t="s">
        <v>1363</v>
      </c>
      <c r="G1169" s="11" t="s">
        <v>11</v>
      </c>
      <c r="H1169" s="52" t="s">
        <v>1358</v>
      </c>
      <c r="I1169" s="11" t="s">
        <v>1359</v>
      </c>
      <c r="J1169" s="25">
        <v>5</v>
      </c>
      <c r="K1169" s="25">
        <f>3+2</f>
        <v>5</v>
      </c>
      <c r="L1169" s="15">
        <f t="shared" si="131"/>
        <v>0</v>
      </c>
      <c r="M1169" s="131"/>
      <c r="N1169" s="18">
        <v>46087</v>
      </c>
      <c r="O1169" s="93">
        <v>46086</v>
      </c>
      <c r="P1169" s="18">
        <v>46087</v>
      </c>
    </row>
    <row r="1170" spans="1:16" x14ac:dyDescent="0.25">
      <c r="A1170" s="11">
        <f t="shared" ca="1" si="128"/>
        <v>-48</v>
      </c>
      <c r="C1170" s="11" t="s">
        <v>1361</v>
      </c>
      <c r="D1170" s="11" t="str">
        <f>VLOOKUP(VALUE(MID($C1170,13,2)), codigos!$A$2:$B$60, 2, 1) &amp; " " &amp; VLOOKUP(VALUE(MID($C1170,15,4)), codigos!$E$2:$F$102, 2, FALSE)</f>
        <v>OLLA RECTA 18</v>
      </c>
      <c r="E1170" s="11" t="str">
        <f>VLOOKUP(VALUE(MID($C1170,19,2)),codigos!$H$2:$I$62,2,1) &amp; " " &amp; VLOOKUP(VALUE(MID($C1170,21,2)),codigos!$K$2:$L$12,2,FALSE)</f>
        <v>A/T S/I</v>
      </c>
      <c r="F1170" s="11" t="s">
        <v>1363</v>
      </c>
      <c r="G1170" s="11" t="s">
        <v>11</v>
      </c>
      <c r="H1170" s="52" t="s">
        <v>1358</v>
      </c>
      <c r="I1170" s="11" t="s">
        <v>1359</v>
      </c>
      <c r="J1170" s="25">
        <v>1</v>
      </c>
      <c r="K1170" s="25">
        <v>1</v>
      </c>
      <c r="L1170" s="15">
        <f t="shared" si="131"/>
        <v>0</v>
      </c>
      <c r="M1170" s="131"/>
      <c r="N1170" s="18">
        <v>46087</v>
      </c>
      <c r="O1170" s="93">
        <v>46086</v>
      </c>
      <c r="P1170" s="18">
        <v>46087</v>
      </c>
    </row>
    <row r="1171" spans="1:16" x14ac:dyDescent="0.25">
      <c r="A1171" s="11">
        <f t="shared" ca="1" si="128"/>
        <v>-48</v>
      </c>
      <c r="C1171" s="11" t="s">
        <v>1045</v>
      </c>
      <c r="D1171" s="11" t="str">
        <f>VLOOKUP(VALUE(MID($C1171,13,2)), codigos!$A$2:$B$60, 2, 1) &amp; " " &amp; VLOOKUP(VALUE(MID($C1171,15,4)), codigos!$E$2:$F$102, 2, FALSE)</f>
        <v>OLLA RECTA 20</v>
      </c>
      <c r="E1171" s="11" t="str">
        <f>VLOOKUP(VALUE(MID($C1171,19,2)),codigos!$H$2:$I$62,2,1) &amp; " " &amp; VLOOKUP(VALUE(MID($C1171,21,2)),codigos!$K$2:$L$12,2,FALSE)</f>
        <v>A/T S/I</v>
      </c>
      <c r="F1171" s="11" t="s">
        <v>1363</v>
      </c>
      <c r="G1171" s="11" t="s">
        <v>11</v>
      </c>
      <c r="H1171" s="52" t="s">
        <v>1358</v>
      </c>
      <c r="I1171" s="11" t="s">
        <v>1359</v>
      </c>
      <c r="J1171" s="25">
        <v>1</v>
      </c>
      <c r="K1171" s="25">
        <v>1</v>
      </c>
      <c r="L1171" s="15">
        <f t="shared" si="131"/>
        <v>0</v>
      </c>
      <c r="M1171" s="131"/>
      <c r="N1171" s="18">
        <v>46087</v>
      </c>
      <c r="O1171" s="93">
        <v>46086</v>
      </c>
      <c r="P1171" s="18">
        <v>46087</v>
      </c>
    </row>
    <row r="1172" spans="1:16" x14ac:dyDescent="0.25">
      <c r="A1172" s="11">
        <f t="shared" ca="1" si="128"/>
        <v>-48</v>
      </c>
      <c r="C1172" s="11" t="s">
        <v>1046</v>
      </c>
      <c r="D1172" s="11" t="str">
        <f>VLOOKUP(VALUE(MID($C1172,13,2)), codigos!$A$2:$B$60, 2, 1) &amp; " " &amp; VLOOKUP(VALUE(MID($C1172,15,4)), codigos!$E$2:$F$102, 2, FALSE)</f>
        <v>POCILLO 8</v>
      </c>
      <c r="E1172" s="11" t="str">
        <f>VLOOKUP(VALUE(MID($C1172,19,2)),codigos!$H$2:$I$62,2,1) &amp; " " &amp; VLOOKUP(VALUE(MID($C1172,21,2)),codigos!$K$2:$L$12,2,FALSE)</f>
        <v>A/T S/I</v>
      </c>
      <c r="F1172" s="11" t="s">
        <v>1363</v>
      </c>
      <c r="G1172" s="11" t="s">
        <v>11</v>
      </c>
      <c r="H1172" s="52" t="s">
        <v>1358</v>
      </c>
      <c r="I1172" s="11" t="s">
        <v>1359</v>
      </c>
      <c r="J1172" s="25">
        <v>1</v>
      </c>
      <c r="K1172" s="25">
        <v>1</v>
      </c>
      <c r="L1172" s="15">
        <f t="shared" si="131"/>
        <v>0</v>
      </c>
      <c r="M1172" s="131"/>
      <c r="N1172" s="18">
        <v>46087</v>
      </c>
      <c r="O1172" s="93">
        <v>46086</v>
      </c>
      <c r="P1172" s="18">
        <v>46087</v>
      </c>
    </row>
    <row r="1173" spans="1:16" x14ac:dyDescent="0.25">
      <c r="A1173" s="11">
        <f t="shared" ca="1" si="128"/>
        <v>-48</v>
      </c>
      <c r="C1173" s="11" t="s">
        <v>1047</v>
      </c>
      <c r="D1173" s="11" t="str">
        <f>VLOOKUP(VALUE(MID($C1173,13,2)), codigos!$A$2:$B$60, 2, 1) &amp; " " &amp; VLOOKUP(VALUE(MID($C1173,15,4)), codigos!$E$2:$F$102, 2, FALSE)</f>
        <v>POCILLO 10</v>
      </c>
      <c r="E1173" s="11" t="str">
        <f>VLOOKUP(VALUE(MID($C1173,19,2)),codigos!$H$2:$I$62,2,1) &amp; " " &amp; VLOOKUP(VALUE(MID($C1173,21,2)),codigos!$K$2:$L$12,2,FALSE)</f>
        <v>A/T S/I</v>
      </c>
      <c r="F1173" s="11" t="s">
        <v>1363</v>
      </c>
      <c r="G1173" s="11" t="s">
        <v>11</v>
      </c>
      <c r="H1173" s="52" t="s">
        <v>1358</v>
      </c>
      <c r="I1173" s="11" t="s">
        <v>1359</v>
      </c>
      <c r="J1173" s="25">
        <v>2</v>
      </c>
      <c r="K1173" s="25">
        <f>1+1</f>
        <v>2</v>
      </c>
      <c r="L1173" s="15">
        <f t="shared" si="131"/>
        <v>0</v>
      </c>
      <c r="M1173" s="131"/>
      <c r="N1173" s="18">
        <v>46087</v>
      </c>
      <c r="O1173" s="93">
        <v>46086</v>
      </c>
      <c r="P1173" s="18">
        <v>46087</v>
      </c>
    </row>
    <row r="1174" spans="1:16" x14ac:dyDescent="0.25">
      <c r="A1174" s="11">
        <f t="shared" ca="1" si="128"/>
        <v>-48</v>
      </c>
      <c r="C1174" s="11" t="s">
        <v>1048</v>
      </c>
      <c r="D1174" s="11" t="str">
        <f>VLOOKUP(VALUE(MID($C1174,13,2)), codigos!$A$2:$B$60, 2, 1) &amp; " " &amp; VLOOKUP(VALUE(MID($C1174,15,4)), codigos!$E$2:$F$102, 2, FALSE)</f>
        <v>POCILLO 12</v>
      </c>
      <c r="E1174" s="11" t="str">
        <f>VLOOKUP(VALUE(MID($C1174,19,2)),codigos!$H$2:$I$62,2,1) &amp; " " &amp; VLOOKUP(VALUE(MID($C1174,21,2)),codigos!$K$2:$L$12,2,FALSE)</f>
        <v>A/T S/I</v>
      </c>
      <c r="F1174" s="11" t="s">
        <v>1363</v>
      </c>
      <c r="G1174" s="11" t="s">
        <v>11</v>
      </c>
      <c r="H1174" s="52" t="s">
        <v>1358</v>
      </c>
      <c r="I1174" s="11" t="s">
        <v>1359</v>
      </c>
      <c r="J1174" s="25">
        <v>9</v>
      </c>
      <c r="K1174" s="25">
        <v>9</v>
      </c>
      <c r="L1174" s="15">
        <f t="shared" si="131"/>
        <v>0</v>
      </c>
      <c r="M1174" s="131"/>
      <c r="N1174" s="18">
        <v>46087</v>
      </c>
      <c r="O1174" s="93">
        <v>46086</v>
      </c>
      <c r="P1174" s="18">
        <v>46087</v>
      </c>
    </row>
    <row r="1175" spans="1:16" x14ac:dyDescent="0.25">
      <c r="A1175" s="11">
        <f t="shared" ca="1" si="128"/>
        <v>-48</v>
      </c>
      <c r="C1175" s="11" t="s">
        <v>1362</v>
      </c>
      <c r="D1175" s="11" t="str">
        <f>VLOOKUP(VALUE(MID($C1175,13,2)), codigos!$A$2:$B$60, 2, 1) &amp; " " &amp; VLOOKUP(VALUE(MID($C1175,15,4)), codigos!$E$2:$F$102, 2, FALSE)</f>
        <v>VASO RECTO CON ASA</v>
      </c>
      <c r="E1175" s="11" t="str">
        <f>VLOOKUP(VALUE(MID($C1175,19,2)),codigos!$H$2:$I$62,2,1) &amp; " " &amp; VLOOKUP(VALUE(MID($C1175,21,2)),codigos!$K$2:$L$12,2,FALSE)</f>
        <v>A/T S/I</v>
      </c>
      <c r="F1175" s="11" t="s">
        <v>1363</v>
      </c>
      <c r="G1175" s="11" t="s">
        <v>11</v>
      </c>
      <c r="H1175" s="52" t="s">
        <v>1358</v>
      </c>
      <c r="I1175" s="11" t="s">
        <v>1359</v>
      </c>
      <c r="J1175" s="25">
        <v>4</v>
      </c>
      <c r="K1175" s="25">
        <v>4</v>
      </c>
      <c r="L1175" s="15">
        <f t="shared" si="131"/>
        <v>0</v>
      </c>
      <c r="M1175" s="131"/>
      <c r="N1175" s="18">
        <v>46087</v>
      </c>
      <c r="O1175" s="93">
        <v>46086</v>
      </c>
      <c r="P1175" s="18">
        <v>46087</v>
      </c>
    </row>
    <row r="1176" spans="1:16" x14ac:dyDescent="0.25">
      <c r="A1176" s="11">
        <f t="shared" ca="1" si="128"/>
        <v>-48</v>
      </c>
      <c r="C1176" s="11" t="s">
        <v>1051</v>
      </c>
      <c r="D1176" s="11" t="str">
        <f>VLOOKUP(VALUE(MID($C1176,13,2)), codigos!$A$2:$B$60, 2, 1) &amp; " " &amp; VLOOKUP(VALUE(MID($C1176,15,4)), codigos!$E$2:$F$102, 2, FALSE)</f>
        <v>COMAL 28</v>
      </c>
      <c r="E1176" s="11" t="str">
        <f>VLOOKUP(VALUE(MID($C1176,19,2)),codigos!$H$2:$I$62,2,1) &amp; " " &amp; VLOOKUP(VALUE(MID($C1176,21,2)),codigos!$K$2:$L$12,2,FALSE)</f>
        <v>NEGRO MOTAS S/I</v>
      </c>
      <c r="F1176" s="11" t="s">
        <v>1363</v>
      </c>
      <c r="G1176" s="11" t="s">
        <v>11</v>
      </c>
      <c r="H1176" s="52" t="s">
        <v>1358</v>
      </c>
      <c r="I1176" s="11" t="s">
        <v>1359</v>
      </c>
      <c r="J1176" s="25">
        <v>3</v>
      </c>
      <c r="K1176" s="25">
        <f>2+1</f>
        <v>3</v>
      </c>
      <c r="L1176" s="15">
        <f t="shared" si="131"/>
        <v>0</v>
      </c>
      <c r="M1176" s="131"/>
      <c r="N1176" s="18">
        <v>46087</v>
      </c>
      <c r="O1176" s="93">
        <v>46086</v>
      </c>
      <c r="P1176" s="18">
        <v>46087</v>
      </c>
    </row>
    <row r="1177" spans="1:16" x14ac:dyDescent="0.25">
      <c r="A1177" s="11">
        <f t="shared" ca="1" si="128"/>
        <v>-48</v>
      </c>
      <c r="C1177" s="11" t="s">
        <v>1129</v>
      </c>
      <c r="D1177" s="11" t="str">
        <f>VLOOKUP(VALUE(MID($C1177,13,2)), codigos!$A$2:$B$60, 2, 1) &amp; " " &amp; VLOOKUP(VALUE(MID($C1177,15,4)), codigos!$E$2:$F$102, 2, FALSE)</f>
        <v>BUDINERA 18</v>
      </c>
      <c r="E1177" s="11" t="str">
        <f>VLOOKUP(VALUE(MID($C1177,19,2)),codigos!$H$2:$I$62,2,1) &amp; " " &amp; VLOOKUP(VALUE(MID($C1177,21,2)),codigos!$K$2:$L$12,2,FALSE)</f>
        <v>A/T S/I</v>
      </c>
      <c r="F1177" s="11" t="s">
        <v>1363</v>
      </c>
      <c r="G1177" s="11" t="s">
        <v>11</v>
      </c>
      <c r="H1177" s="52" t="s">
        <v>1358</v>
      </c>
      <c r="I1177" s="11" t="s">
        <v>1359</v>
      </c>
      <c r="J1177" s="25">
        <v>2</v>
      </c>
      <c r="K1177" s="25">
        <f>1+1</f>
        <v>2</v>
      </c>
      <c r="L1177" s="15">
        <f t="shared" si="131"/>
        <v>0</v>
      </c>
      <c r="M1177" s="131"/>
      <c r="N1177" s="18">
        <v>46087</v>
      </c>
      <c r="O1177" s="93">
        <v>46086</v>
      </c>
      <c r="P1177" s="18">
        <v>46087</v>
      </c>
    </row>
    <row r="1178" spans="1:16" x14ac:dyDescent="0.25">
      <c r="A1178" s="11">
        <f t="shared" ca="1" si="128"/>
        <v>-48</v>
      </c>
      <c r="C1178" s="11" t="s">
        <v>1052</v>
      </c>
      <c r="D1178" s="11" t="str">
        <f>VLOOKUP(VALUE(MID($C1178,13,2)), codigos!$A$2:$B$60, 2, 1) &amp; " " &amp; VLOOKUP(VALUE(MID($C1178,15,4)), codigos!$E$2:$F$102, 2, FALSE)</f>
        <v>BUDINERA 16</v>
      </c>
      <c r="E1178" s="11" t="str">
        <f>VLOOKUP(VALUE(MID($C1178,19,2)),codigos!$H$2:$I$62,2,1) &amp; " " &amp; VLOOKUP(VALUE(MID($C1178,21,2)),codigos!$K$2:$L$12,2,FALSE)</f>
        <v>A/T S/I</v>
      </c>
      <c r="F1178" s="11" t="s">
        <v>1363</v>
      </c>
      <c r="G1178" s="11" t="s">
        <v>11</v>
      </c>
      <c r="H1178" s="52" t="s">
        <v>1358</v>
      </c>
      <c r="I1178" s="11" t="s">
        <v>1359</v>
      </c>
      <c r="J1178" s="25">
        <v>2</v>
      </c>
      <c r="K1178" s="25">
        <f>1+1</f>
        <v>2</v>
      </c>
      <c r="L1178" s="15">
        <f t="shared" si="131"/>
        <v>0</v>
      </c>
      <c r="M1178" s="131"/>
      <c r="N1178" s="18">
        <v>46087</v>
      </c>
      <c r="O1178" s="93">
        <v>46086</v>
      </c>
      <c r="P1178" s="18">
        <v>46087</v>
      </c>
    </row>
    <row r="1179" spans="1:16" x14ac:dyDescent="0.25">
      <c r="A1179" s="11">
        <f t="shared" ca="1" si="128"/>
        <v>-99</v>
      </c>
      <c r="C1179" s="11" t="s">
        <v>954</v>
      </c>
      <c r="D1179" s="11" t="str">
        <f>VLOOKUP(VALUE(MID($C1179,13,2)), [2]codigos!$A$2:$B$60, 2, 1) &amp; " " &amp; VLOOKUP(VALUE(MID($C1179,15,4)), [2]codigos!$E$2:$F$102, 2, FALSE)</f>
        <v>BUDINERA   24</v>
      </c>
      <c r="E1179" s="11" t="str">
        <f>VLOOKUP(VALUE(MID($C1179,19,2)),[2]codigos!$H$2:$I$62,2,1) &amp; " " &amp; VLOOKUP(VALUE(MID($C1179,21,2)),[2]codigos!$K$2:$L$12,2,FALSE)</f>
        <v>NAVY S/I</v>
      </c>
      <c r="F1179" s="11" t="s">
        <v>113</v>
      </c>
      <c r="G1179" s="11" t="s">
        <v>114</v>
      </c>
      <c r="H1179" s="52" t="s">
        <v>955</v>
      </c>
      <c r="I1179" s="20" t="s">
        <v>949</v>
      </c>
      <c r="J1179" s="11">
        <v>1185</v>
      </c>
      <c r="K1179" s="11">
        <f>3+300+6+63+180+336+270+27</f>
        <v>1185</v>
      </c>
      <c r="L1179" s="11">
        <f t="shared" ref="L1179:L1201" si="132">J1179-K1179</f>
        <v>0</v>
      </c>
      <c r="M1179" s="134">
        <f>(SUM(K1179:K1189))/(SUM(J1179:J1189))</f>
        <v>1</v>
      </c>
      <c r="N1179" s="18">
        <v>46086</v>
      </c>
      <c r="O1179" s="93">
        <v>46085</v>
      </c>
      <c r="P1179" s="18">
        <v>46086</v>
      </c>
    </row>
    <row r="1180" spans="1:16" x14ac:dyDescent="0.25">
      <c r="A1180" s="11">
        <f t="shared" ca="1" si="128"/>
        <v>-99</v>
      </c>
      <c r="C1180" s="11" t="s">
        <v>956</v>
      </c>
      <c r="D1180" s="11" t="str">
        <f>VLOOKUP(VALUE(MID($C1180,13,2)), [2]codigos!$A$2:$B$60, 2, 1) &amp; " " &amp; VLOOKUP(VALUE(MID($C1180,15,4)), [2]codigos!$E$2:$F$102, 2, FALSE)</f>
        <v>CAZO 14</v>
      </c>
      <c r="E1180" s="11" t="str">
        <f>VLOOKUP(VALUE(MID($C1180,19,2)),[2]codigos!$H$2:$I$62,2,1) &amp; " " &amp; VLOOKUP(VALUE(MID($C1180,21,2)),[2]codigos!$K$2:$L$12,2,FALSE)</f>
        <v>NAVY S/I</v>
      </c>
      <c r="F1180" s="11" t="s">
        <v>113</v>
      </c>
      <c r="G1180" s="11" t="s">
        <v>114</v>
      </c>
      <c r="H1180" s="52" t="s">
        <v>955</v>
      </c>
      <c r="I1180" s="20" t="s">
        <v>949</v>
      </c>
      <c r="J1180" s="11">
        <v>654</v>
      </c>
      <c r="K1180" s="11">
        <v>654</v>
      </c>
      <c r="L1180" s="11">
        <f t="shared" si="132"/>
        <v>0</v>
      </c>
      <c r="M1180" s="134"/>
      <c r="N1180" s="18">
        <v>46086</v>
      </c>
      <c r="O1180" s="93">
        <v>46085</v>
      </c>
      <c r="P1180" s="18">
        <v>46086</v>
      </c>
    </row>
    <row r="1181" spans="1:16" x14ac:dyDescent="0.25">
      <c r="A1181" s="11">
        <f t="shared" ca="1" si="128"/>
        <v>-99</v>
      </c>
      <c r="C1181" s="11" t="s">
        <v>112</v>
      </c>
      <c r="D1181" s="11" t="str">
        <f>VLOOKUP(VALUE(MID($C1181,13,2)), [2]codigos!$A$2:$B$60, 2, 1) &amp; " " &amp; VLOOKUP(VALUE(MID($C1181,15,4)), [2]codigos!$E$2:$F$102, 2, FALSE)</f>
        <v>OLLA RECTA 22</v>
      </c>
      <c r="E1181" s="11" t="str">
        <f>VLOOKUP(VALUE(MID($C1181,19,2)),[2]codigos!$H$2:$I$62,2,1) &amp; " " &amp; VLOOKUP(VALUE(MID($C1181,21,2)),[2]codigos!$K$2:$L$12,2,FALSE)</f>
        <v>NAVY S/I</v>
      </c>
      <c r="F1181" s="11" t="s">
        <v>113</v>
      </c>
      <c r="G1181" s="11" t="s">
        <v>114</v>
      </c>
      <c r="H1181" s="52" t="s">
        <v>955</v>
      </c>
      <c r="I1181" s="20" t="s">
        <v>949</v>
      </c>
      <c r="J1181" s="11">
        <v>1208</v>
      </c>
      <c r="K1181" s="11">
        <f>52+1+480+480+195</f>
        <v>1208</v>
      </c>
      <c r="L1181" s="11">
        <f t="shared" si="132"/>
        <v>0</v>
      </c>
      <c r="M1181" s="134"/>
      <c r="N1181" s="18">
        <v>46086</v>
      </c>
      <c r="O1181" s="93">
        <v>46085</v>
      </c>
      <c r="P1181" s="18">
        <v>46086</v>
      </c>
    </row>
    <row r="1182" spans="1:16" x14ac:dyDescent="0.25">
      <c r="A1182" s="11">
        <f t="shared" ca="1" si="128"/>
        <v>-99</v>
      </c>
      <c r="C1182" s="11" t="s">
        <v>957</v>
      </c>
      <c r="D1182" s="11" t="str">
        <f>VLOOKUP(VALUE(MID($C1182,13,2)), [2]codigos!$A$2:$B$60, 2, 1) &amp; " " &amp; VLOOKUP(VALUE(MID($C1182,15,4)), [2]codigos!$E$2:$F$102, 2, FALSE)</f>
        <v>OLLA RECTA 24</v>
      </c>
      <c r="E1182" s="11" t="str">
        <f>VLOOKUP(VALUE(MID($C1182,19,2)),[2]codigos!$H$2:$I$62,2,1) &amp; " " &amp; VLOOKUP(VALUE(MID($C1182,21,2)),[2]codigos!$K$2:$L$12,2,FALSE)</f>
        <v>NAVY S/I</v>
      </c>
      <c r="F1182" s="11" t="s">
        <v>113</v>
      </c>
      <c r="G1182" s="11" t="s">
        <v>114</v>
      </c>
      <c r="H1182" s="52" t="s">
        <v>955</v>
      </c>
      <c r="I1182" s="20" t="s">
        <v>949</v>
      </c>
      <c r="J1182" s="11">
        <v>1740</v>
      </c>
      <c r="K1182" s="11">
        <f>100+126+126+406+166+200+110+2+4+400+100</f>
        <v>1740</v>
      </c>
      <c r="L1182" s="11">
        <f t="shared" si="132"/>
        <v>0</v>
      </c>
      <c r="M1182" s="134"/>
      <c r="N1182" s="18">
        <v>46086</v>
      </c>
      <c r="O1182" s="93">
        <v>46085</v>
      </c>
      <c r="P1182" s="18">
        <v>46086</v>
      </c>
    </row>
    <row r="1183" spans="1:16" x14ac:dyDescent="0.25">
      <c r="A1183" s="11">
        <f t="shared" ca="1" si="128"/>
        <v>-99</v>
      </c>
      <c r="C1183" s="11" t="s">
        <v>116</v>
      </c>
      <c r="D1183" s="11" t="str">
        <f>VLOOKUP(VALUE(MID($C1183,13,2)), [2]codigos!$A$2:$B$60, 2, 1) &amp; " " &amp; VLOOKUP(VALUE(MID($C1183,15,4)), [2]codigos!$E$2:$F$102, 2, FALSE)</f>
        <v>OLLA RECTA 28</v>
      </c>
      <c r="E1183" s="11" t="str">
        <f>VLOOKUP(VALUE(MID($C1183,19,2)),[2]codigos!$H$2:$I$62,2,1) &amp; " " &amp; VLOOKUP(VALUE(MID($C1183,21,2)),[2]codigos!$K$2:$L$12,2,FALSE)</f>
        <v>NAVY S/I</v>
      </c>
      <c r="F1183" s="11" t="s">
        <v>113</v>
      </c>
      <c r="G1183" s="11" t="s">
        <v>114</v>
      </c>
      <c r="H1183" s="52" t="s">
        <v>955</v>
      </c>
      <c r="I1183" s="20" t="s">
        <v>949</v>
      </c>
      <c r="J1183" s="11">
        <v>968</v>
      </c>
      <c r="K1183" s="11">
        <f>134+44+96+100+200+100+200+52+1+41</f>
        <v>968</v>
      </c>
      <c r="L1183" s="11">
        <f t="shared" si="132"/>
        <v>0</v>
      </c>
      <c r="M1183" s="134"/>
      <c r="N1183" s="18">
        <v>46086</v>
      </c>
      <c r="O1183" s="93">
        <v>46085</v>
      </c>
      <c r="P1183" s="18">
        <v>46086</v>
      </c>
    </row>
    <row r="1184" spans="1:16" x14ac:dyDescent="0.25">
      <c r="A1184" s="11">
        <f t="shared" ca="1" si="128"/>
        <v>-99</v>
      </c>
      <c r="C1184" s="11" t="s">
        <v>117</v>
      </c>
      <c r="D1184" s="11" t="str">
        <f>VLOOKUP(VALUE(MID($C1184,13,2)), [2]codigos!$A$2:$B$60, 2, 1) &amp; " " &amp; VLOOKUP(VALUE(MID($C1184,15,4)), [2]codigos!$E$2:$F$102, 2, FALSE)</f>
        <v>POCILLO 12</v>
      </c>
      <c r="E1184" s="11" t="str">
        <f>VLOOKUP(VALUE(MID($C1184,19,2)),[2]codigos!$H$2:$I$62,2,1) &amp; " " &amp; VLOOKUP(VALUE(MID($C1184,21,2)),[2]codigos!$K$2:$L$12,2,FALSE)</f>
        <v>NAVY (WM) S/I</v>
      </c>
      <c r="F1184" s="11" t="s">
        <v>113</v>
      </c>
      <c r="G1184" s="11" t="s">
        <v>114</v>
      </c>
      <c r="H1184" s="52" t="s">
        <v>955</v>
      </c>
      <c r="I1184" s="20" t="s">
        <v>949</v>
      </c>
      <c r="J1184" s="11">
        <v>450</v>
      </c>
      <c r="K1184" s="11">
        <v>450</v>
      </c>
      <c r="L1184" s="11">
        <f t="shared" si="132"/>
        <v>0</v>
      </c>
      <c r="M1184" s="134"/>
      <c r="N1184" s="18">
        <v>46086</v>
      </c>
      <c r="O1184" s="93">
        <v>46085</v>
      </c>
      <c r="P1184" s="18">
        <v>46086</v>
      </c>
    </row>
    <row r="1185" spans="1:16" x14ac:dyDescent="0.25">
      <c r="A1185" s="11">
        <f t="shared" ca="1" si="128"/>
        <v>-99</v>
      </c>
      <c r="C1185" s="11" t="s">
        <v>958</v>
      </c>
      <c r="D1185" s="11" t="str">
        <f>VLOOKUP(VALUE(MID($C1185,13,2)), [2]codigos!$A$2:$B$60, 2, 1) &amp; " " &amp; VLOOKUP(VALUE(MID($C1185,15,4)), [2]codigos!$E$2:$F$102, 2, FALSE)</f>
        <v>PAVERA OVAL 18"</v>
      </c>
      <c r="E1185" s="11" t="str">
        <f>VLOOKUP(VALUE(MID($C1185,19,2)),[2]codigos!$H$2:$I$62,2,1) &amp; " " &amp; VLOOKUP(VALUE(MID($C1185,21,2)),[2]codigos!$K$2:$L$12,2,FALSE)</f>
        <v>NAVY S/I</v>
      </c>
      <c r="F1185" s="11" t="s">
        <v>113</v>
      </c>
      <c r="G1185" s="11" t="s">
        <v>114</v>
      </c>
      <c r="H1185" s="52" t="s">
        <v>955</v>
      </c>
      <c r="I1185" s="20" t="s">
        <v>949</v>
      </c>
      <c r="J1185" s="11">
        <v>926</v>
      </c>
      <c r="K1185" s="11">
        <f>160+46+140+160+38+160+160+8+2+52</f>
        <v>926</v>
      </c>
      <c r="L1185" s="11">
        <f t="shared" si="132"/>
        <v>0</v>
      </c>
      <c r="M1185" s="134"/>
      <c r="N1185" s="18">
        <v>46086</v>
      </c>
      <c r="O1185" s="93">
        <v>46085</v>
      </c>
      <c r="P1185" s="18">
        <v>46086</v>
      </c>
    </row>
    <row r="1186" spans="1:16" x14ac:dyDescent="0.25">
      <c r="A1186" s="11">
        <f t="shared" ca="1" si="128"/>
        <v>-99</v>
      </c>
      <c r="C1186" s="11" t="s">
        <v>959</v>
      </c>
      <c r="D1186" s="11" t="str">
        <f>VLOOKUP(VALUE(MID($C1186,13,2)), [2]codigos!$A$2:$B$60, 2, 1) &amp; " " &amp; VLOOKUP(VALUE(MID($C1186,15,4)), [2]codigos!$E$2:$F$102, 2, FALSE)</f>
        <v>BUDINERA   24</v>
      </c>
      <c r="E1186" s="11" t="str">
        <f>VLOOKUP(VALUE(MID($C1186,19,2)),[2]codigos!$H$2:$I$62,2,1) &amp; " " &amp; VLOOKUP(VALUE(MID($C1186,21,2)),[2]codigos!$K$2:$L$12,2,FALSE)</f>
        <v>NEGRO MOTAS S/I</v>
      </c>
      <c r="F1186" s="11" t="s">
        <v>113</v>
      </c>
      <c r="G1186" s="11" t="s">
        <v>114</v>
      </c>
      <c r="H1186" s="52" t="s">
        <v>955</v>
      </c>
      <c r="I1186" s="20" t="s">
        <v>949</v>
      </c>
      <c r="J1186" s="11">
        <v>906</v>
      </c>
      <c r="K1186" s="11">
        <f>99+270+147+243+12+2+114+19</f>
        <v>906</v>
      </c>
      <c r="L1186" s="11">
        <f t="shared" si="132"/>
        <v>0</v>
      </c>
      <c r="M1186" s="134"/>
      <c r="N1186" s="18">
        <v>46086</v>
      </c>
      <c r="O1186" s="93">
        <v>46085</v>
      </c>
      <c r="P1186" s="18">
        <v>46086</v>
      </c>
    </row>
    <row r="1187" spans="1:16" x14ac:dyDescent="0.25">
      <c r="A1187" s="11">
        <f t="shared" ca="1" si="128"/>
        <v>-99</v>
      </c>
      <c r="C1187" s="11" t="s">
        <v>119</v>
      </c>
      <c r="D1187" s="11" t="str">
        <f>VLOOKUP(VALUE(MID($C1187,13,2)), [2]codigos!$A$2:$B$60, 2, 1) &amp; " " &amp; VLOOKUP(VALUE(MID($C1187,15,4)), [2]codigos!$E$2:$F$102, 2, FALSE)</f>
        <v>OLLA RECTA 20</v>
      </c>
      <c r="E1187" s="11" t="str">
        <f>VLOOKUP(VALUE(MID($C1187,19,2)),[2]codigos!$H$2:$I$62,2,1) &amp; " " &amp; VLOOKUP(VALUE(MID($C1187,21,2)),[2]codigos!$K$2:$L$12,2,FALSE)</f>
        <v>NAVY S/I</v>
      </c>
      <c r="F1187" s="11" t="s">
        <v>113</v>
      </c>
      <c r="G1187" s="11" t="s">
        <v>114</v>
      </c>
      <c r="H1187" s="52" t="s">
        <v>955</v>
      </c>
      <c r="I1187" s="20" t="s">
        <v>949</v>
      </c>
      <c r="J1187" s="11">
        <v>1014</v>
      </c>
      <c r="K1187" s="11">
        <f>480+218+6+1+164+144+1</f>
        <v>1014</v>
      </c>
      <c r="L1187" s="11">
        <f t="shared" si="132"/>
        <v>0</v>
      </c>
      <c r="M1187" s="134"/>
      <c r="N1187" s="18">
        <v>46086</v>
      </c>
      <c r="O1187" s="93">
        <v>46085</v>
      </c>
      <c r="P1187" s="18">
        <v>46086</v>
      </c>
    </row>
    <row r="1188" spans="1:16" x14ac:dyDescent="0.25">
      <c r="A1188" s="11">
        <f t="shared" ca="1" si="128"/>
        <v>-99</v>
      </c>
      <c r="C1188" s="11" t="s">
        <v>960</v>
      </c>
      <c r="D1188" s="11" t="str">
        <f>VLOOKUP(VALUE(MID($C1188,13,2)), [2]codigos!$A$2:$B$60, 2, 1) &amp; " " &amp; VLOOKUP(VALUE(MID($C1188,15,4)), [2]codigos!$E$2:$F$102, 2, FALSE)</f>
        <v>CAZO 14</v>
      </c>
      <c r="E1188" s="11" t="str">
        <f>VLOOKUP(VALUE(MID($C1188,19,2)),[2]codigos!$H$2:$I$62,2,1) &amp; " " &amp; VLOOKUP(VALUE(MID($C1188,21,2)),[2]codigos!$K$2:$L$12,2,FALSE)</f>
        <v>NEGRO MOTAS S/I</v>
      </c>
      <c r="F1188" s="11" t="s">
        <v>113</v>
      </c>
      <c r="G1188" s="11" t="s">
        <v>114</v>
      </c>
      <c r="H1188" s="52" t="s">
        <v>955</v>
      </c>
      <c r="I1188" s="20" t="s">
        <v>949</v>
      </c>
      <c r="J1188" s="11">
        <v>648</v>
      </c>
      <c r="K1188" s="11">
        <f>440+224-16</f>
        <v>648</v>
      </c>
      <c r="L1188" s="11">
        <f t="shared" si="132"/>
        <v>0</v>
      </c>
      <c r="M1188" s="134"/>
      <c r="N1188" s="18">
        <v>46086</v>
      </c>
      <c r="O1188" s="93">
        <v>46085</v>
      </c>
      <c r="P1188" s="18">
        <v>46086</v>
      </c>
    </row>
    <row r="1189" spans="1:16" x14ac:dyDescent="0.25">
      <c r="A1189" s="11">
        <f t="shared" ca="1" si="128"/>
        <v>-99</v>
      </c>
      <c r="C1189" s="11" t="s">
        <v>961</v>
      </c>
      <c r="D1189" s="11" t="str">
        <f>VLOOKUP(VALUE(MID($C1189,13,2)), [2]codigos!$A$2:$B$60, 2, 1) &amp; " " &amp; VLOOKUP(VALUE(MID($C1189,15,4)), [2]codigos!$E$2:$F$102, 2, FALSE)</f>
        <v>OLLA CONVEXA 18</v>
      </c>
      <c r="E1189" s="11" t="str">
        <f>VLOOKUP(VALUE(MID($C1189,19,2)),[2]codigos!$H$2:$I$62,2,1) &amp; " " &amp; VLOOKUP(VALUE(MID($C1189,21,2)),[2]codigos!$K$2:$L$12,2,FALSE)</f>
        <v>NEGRO MOTAS S/I</v>
      </c>
      <c r="F1189" s="11" t="s">
        <v>113</v>
      </c>
      <c r="G1189" s="11" t="s">
        <v>114</v>
      </c>
      <c r="H1189" s="52" t="s">
        <v>955</v>
      </c>
      <c r="I1189" s="20" t="s">
        <v>949</v>
      </c>
      <c r="J1189" s="11">
        <v>240</v>
      </c>
      <c r="K1189" s="11">
        <f>146+60+32+2</f>
        <v>240</v>
      </c>
      <c r="L1189" s="11">
        <f t="shared" si="132"/>
        <v>0</v>
      </c>
      <c r="M1189" s="134"/>
      <c r="N1189" s="18">
        <v>46086</v>
      </c>
      <c r="O1189" s="93">
        <v>46085</v>
      </c>
      <c r="P1189" s="18">
        <v>46086</v>
      </c>
    </row>
    <row r="1190" spans="1:16" x14ac:dyDescent="0.25">
      <c r="A1190" s="11">
        <f t="shared" ca="1" si="128"/>
        <v>-81</v>
      </c>
      <c r="C1190" s="11" t="s">
        <v>255</v>
      </c>
      <c r="D1190" s="11" t="str">
        <f>VLOOKUP(VALUE(MID($C1190,13,2)), [2]codigos!$A$2:$B$60, 2, 1) &amp; " " &amp; VLOOKUP(VALUE(MID($C1190,15,4)), [2]codigos!$E$2:$F$102, 2, FALSE)</f>
        <v>BUDINERA   12</v>
      </c>
      <c r="E1190" s="11" t="str">
        <f>VLOOKUP(VALUE(MID($C1190,19,2)),[2]codigos!$H$2:$I$62,2,1) &amp; " " &amp; VLOOKUP(VALUE(MID($C1190,21,2)),[2]codigos!$K$2:$L$12,2,FALSE)</f>
        <v>A/T S/I</v>
      </c>
      <c r="F1190" s="11" t="s">
        <v>539</v>
      </c>
      <c r="G1190" s="11" t="s">
        <v>34</v>
      </c>
      <c r="H1190" s="52" t="s">
        <v>1322</v>
      </c>
      <c r="I1190" s="20" t="s">
        <v>1025</v>
      </c>
      <c r="J1190" s="11">
        <v>90</v>
      </c>
      <c r="K1190" s="11">
        <f>36+16+36+2</f>
        <v>90</v>
      </c>
      <c r="L1190" s="11">
        <f t="shared" si="132"/>
        <v>0</v>
      </c>
      <c r="M1190" s="131">
        <f>(SUM(K1190:K1201))/(SUM(J1190:J1201))</f>
        <v>0.970873786407767</v>
      </c>
      <c r="N1190" s="18">
        <v>46090</v>
      </c>
      <c r="O1190" s="93">
        <v>46066</v>
      </c>
    </row>
    <row r="1191" spans="1:16" x14ac:dyDescent="0.25">
      <c r="A1191" s="11">
        <f t="shared" ca="1" si="128"/>
        <v>-81</v>
      </c>
      <c r="C1191" s="11" t="s">
        <v>189</v>
      </c>
      <c r="D1191" s="11" t="str">
        <f>VLOOKUP(VALUE(MID($C1191,13,2)), [2]codigos!$A$2:$B$60, 2, 1) &amp; " " &amp; VLOOKUP(VALUE(MID($C1191,15,4)), [2]codigos!$E$2:$F$102, 2, FALSE)</f>
        <v>BUDINERA   16</v>
      </c>
      <c r="E1191" s="11" t="str">
        <f>VLOOKUP(VALUE(MID($C1191,19,2)),[2]codigos!$H$2:$I$62,2,1) &amp; " " &amp; VLOOKUP(VALUE(MID($C1191,21,2)),[2]codigos!$K$2:$L$12,2,FALSE)</f>
        <v>A/T S/I</v>
      </c>
      <c r="F1191" s="11" t="s">
        <v>539</v>
      </c>
      <c r="G1191" s="11" t="s">
        <v>34</v>
      </c>
      <c r="H1191" s="52" t="s">
        <v>1322</v>
      </c>
      <c r="I1191" s="20" t="s">
        <v>1025</v>
      </c>
      <c r="J1191" s="11">
        <v>90</v>
      </c>
      <c r="K1191" s="11">
        <f>8+31+8+43</f>
        <v>90</v>
      </c>
      <c r="L1191" s="11">
        <f t="shared" si="132"/>
        <v>0</v>
      </c>
      <c r="M1191" s="131"/>
      <c r="N1191" s="18">
        <v>46090</v>
      </c>
      <c r="O1191" s="93">
        <v>46066</v>
      </c>
    </row>
    <row r="1192" spans="1:16" x14ac:dyDescent="0.25">
      <c r="A1192" s="11">
        <f t="shared" ca="1" si="128"/>
        <v>-81</v>
      </c>
      <c r="C1192" s="11" t="s">
        <v>241</v>
      </c>
      <c r="D1192" s="11" t="str">
        <f>VLOOKUP(VALUE(MID($C1192,13,2)), [2]codigos!$A$2:$B$60, 2, 1) &amp; " " &amp; VLOOKUP(VALUE(MID($C1192,15,4)), [2]codigos!$E$2:$F$102, 2, FALSE)</f>
        <v>BUDINERA   22</v>
      </c>
      <c r="E1192" s="11" t="str">
        <f>VLOOKUP(VALUE(MID($C1192,19,2)),[2]codigos!$H$2:$I$62,2,1) &amp; " " &amp; VLOOKUP(VALUE(MID($C1192,21,2)),[2]codigos!$K$2:$L$12,2,FALSE)</f>
        <v>A/T S/I</v>
      </c>
      <c r="F1192" s="11" t="s">
        <v>539</v>
      </c>
      <c r="G1192" s="11" t="s">
        <v>34</v>
      </c>
      <c r="H1192" s="52" t="s">
        <v>1322</v>
      </c>
      <c r="I1192" s="20" t="s">
        <v>1025</v>
      </c>
      <c r="J1192" s="11">
        <v>36</v>
      </c>
      <c r="K1192" s="11">
        <v>36</v>
      </c>
      <c r="L1192" s="11">
        <f t="shared" si="132"/>
        <v>0</v>
      </c>
      <c r="M1192" s="131"/>
      <c r="N1192" s="18">
        <v>46090</v>
      </c>
      <c r="O1192" s="93">
        <v>46066</v>
      </c>
    </row>
    <row r="1193" spans="1:16" x14ac:dyDescent="0.25">
      <c r="A1193" s="11">
        <f t="shared" ca="1" si="128"/>
        <v>-81</v>
      </c>
      <c r="C1193" s="64" t="s">
        <v>173</v>
      </c>
      <c r="D1193" s="64" t="str">
        <f>VLOOKUP(VALUE(MID($C1193,13,2)), [2]codigos!$A$2:$B$60, 2, 1) &amp; " " &amp; VLOOKUP(VALUE(MID($C1193,15,4)), [2]codigos!$E$2:$F$102, 2, FALSE)</f>
        <v>BUDINERA   34</v>
      </c>
      <c r="E1193" s="64" t="str">
        <f>VLOOKUP(VALUE(MID($C1193,19,2)),[2]codigos!$H$2:$I$62,2,1) &amp; " " &amp; VLOOKUP(VALUE(MID($C1193,21,2)),[2]codigos!$K$2:$L$12,2,FALSE)</f>
        <v>A/T S/I</v>
      </c>
      <c r="F1193" s="64" t="s">
        <v>539</v>
      </c>
      <c r="G1193" s="64" t="s">
        <v>34</v>
      </c>
      <c r="H1193" s="66" t="s">
        <v>1322</v>
      </c>
      <c r="I1193" s="64" t="s">
        <v>1025</v>
      </c>
      <c r="J1193" s="64">
        <v>12</v>
      </c>
      <c r="K1193" s="64">
        <v>0</v>
      </c>
      <c r="L1193" s="64">
        <f t="shared" si="132"/>
        <v>12</v>
      </c>
      <c r="M1193" s="131"/>
      <c r="N1193" s="18">
        <v>46090</v>
      </c>
      <c r="O1193" s="93">
        <v>46066</v>
      </c>
    </row>
    <row r="1194" spans="1:16" x14ac:dyDescent="0.25">
      <c r="A1194" s="11">
        <f t="shared" ca="1" si="128"/>
        <v>-81</v>
      </c>
      <c r="C1194" s="11" t="s">
        <v>344</v>
      </c>
      <c r="D1194" s="11" t="str">
        <f>VLOOKUP(VALUE(MID($C1194,13,2)), [2]codigos!$A$2:$B$60, 2, 1) &amp; " " &amp; VLOOKUP(VALUE(MID($C1194,15,4)), [2]codigos!$E$2:$F$102, 2, FALSE)</f>
        <v>COMAL 36</v>
      </c>
      <c r="E1194" s="11" t="str">
        <f>VLOOKUP(VALUE(MID($C1194,19,2)),[2]codigos!$H$2:$I$62,2,1) &amp; " " &amp; VLOOKUP(VALUE(MID($C1194,21,2)),[2]codigos!$K$2:$L$12,2,FALSE)</f>
        <v>NEGRO MOTAS S/I</v>
      </c>
      <c r="F1194" s="11" t="s">
        <v>539</v>
      </c>
      <c r="G1194" s="11" t="s">
        <v>34</v>
      </c>
      <c r="H1194" s="52" t="s">
        <v>1322</v>
      </c>
      <c r="I1194" s="20" t="s">
        <v>1025</v>
      </c>
      <c r="J1194" s="11">
        <v>60</v>
      </c>
      <c r="K1194" s="11">
        <f>14+36+10</f>
        <v>60</v>
      </c>
      <c r="L1194" s="11">
        <f t="shared" si="132"/>
        <v>0</v>
      </c>
      <c r="M1194" s="131"/>
      <c r="N1194" s="18">
        <v>46090</v>
      </c>
      <c r="O1194" s="93">
        <v>46066</v>
      </c>
    </row>
    <row r="1195" spans="1:16" x14ac:dyDescent="0.25">
      <c r="A1195" s="11">
        <f t="shared" ca="1" si="128"/>
        <v>-81</v>
      </c>
      <c r="C1195" s="11" t="s">
        <v>220</v>
      </c>
      <c r="D1195" s="11" t="str">
        <f>VLOOKUP(VALUE(MID($C1195,13,2)), [2]codigos!$A$2:$B$60, 2, 1) &amp; " " &amp; VLOOKUP(VALUE(MID($C1195,15,4)), [2]codigos!$E$2:$F$102, 2, FALSE)</f>
        <v>OLLA CONVEXA 16</v>
      </c>
      <c r="E1195" s="11" t="str">
        <f>VLOOKUP(VALUE(MID($C1195,19,2)),[2]codigos!$H$2:$I$62,2,1) &amp; " " &amp; VLOOKUP(VALUE(MID($C1195,21,2)),[2]codigos!$K$2:$L$12,2,FALSE)</f>
        <v>A/T S/I</v>
      </c>
      <c r="F1195" s="11" t="s">
        <v>539</v>
      </c>
      <c r="G1195" s="11" t="s">
        <v>34</v>
      </c>
      <c r="H1195" s="52" t="s">
        <v>1322</v>
      </c>
      <c r="I1195" s="20" t="s">
        <v>1025</v>
      </c>
      <c r="J1195" s="11">
        <v>48</v>
      </c>
      <c r="K1195" s="11">
        <v>48</v>
      </c>
      <c r="L1195" s="11">
        <f t="shared" si="132"/>
        <v>0</v>
      </c>
      <c r="M1195" s="131"/>
      <c r="N1195" s="18">
        <v>46090</v>
      </c>
      <c r="O1195" s="93">
        <v>46066</v>
      </c>
    </row>
    <row r="1196" spans="1:16" x14ac:dyDescent="0.25">
      <c r="A1196" s="11">
        <f t="shared" ca="1" si="128"/>
        <v>-81</v>
      </c>
      <c r="C1196" s="11" t="s">
        <v>152</v>
      </c>
      <c r="D1196" s="11" t="str">
        <f>VLOOKUP(VALUE(MID($C1196,13,2)), [2]codigos!$A$2:$B$60, 2, 1) &amp; " " &amp; VLOOKUP(VALUE(MID($C1196,15,4)), [2]codigos!$E$2:$F$102, 2, FALSE)</f>
        <v>OLLA CONVEXA 24</v>
      </c>
      <c r="E1196" s="11" t="str">
        <f>VLOOKUP(VALUE(MID($C1196,19,2)),[2]codigos!$H$2:$I$62,2,1) &amp; " " &amp; VLOOKUP(VALUE(MID($C1196,21,2)),[2]codigos!$K$2:$L$12,2,FALSE)</f>
        <v>A/T S/I</v>
      </c>
      <c r="F1196" s="11" t="s">
        <v>539</v>
      </c>
      <c r="G1196" s="11" t="s">
        <v>34</v>
      </c>
      <c r="H1196" s="52" t="s">
        <v>1322</v>
      </c>
      <c r="I1196" s="20" t="s">
        <v>1025</v>
      </c>
      <c r="J1196" s="11">
        <v>12</v>
      </c>
      <c r="K1196" s="11">
        <f>2+6+4</f>
        <v>12</v>
      </c>
      <c r="L1196" s="11">
        <f t="shared" si="132"/>
        <v>0</v>
      </c>
      <c r="M1196" s="131"/>
      <c r="N1196" s="18">
        <v>46090</v>
      </c>
      <c r="O1196" s="93">
        <v>46066</v>
      </c>
    </row>
    <row r="1197" spans="1:16" x14ac:dyDescent="0.25">
      <c r="A1197" s="11">
        <f t="shared" ca="1" si="128"/>
        <v>-81</v>
      </c>
      <c r="C1197" s="11" t="s">
        <v>154</v>
      </c>
      <c r="D1197" s="11" t="str">
        <f>VLOOKUP(VALUE(MID($C1197,13,2)), [2]codigos!$A$2:$B$60, 2, 1) &amp; " " &amp; VLOOKUP(VALUE(MID($C1197,15,4)), [2]codigos!$E$2:$F$102, 2, FALSE)</f>
        <v>OLLA CONVEXA 30</v>
      </c>
      <c r="E1197" s="11" t="str">
        <f>VLOOKUP(VALUE(MID($C1197,19,2)),[2]codigos!$H$2:$I$62,2,1) &amp; " " &amp; VLOOKUP(VALUE(MID($C1197,21,2)),[2]codigos!$K$2:$L$12,2,FALSE)</f>
        <v>A/T S/I</v>
      </c>
      <c r="F1197" s="11" t="s">
        <v>539</v>
      </c>
      <c r="G1197" s="11" t="s">
        <v>34</v>
      </c>
      <c r="H1197" s="52" t="s">
        <v>1322</v>
      </c>
      <c r="I1197" s="20" t="s">
        <v>1025</v>
      </c>
      <c r="J1197" s="11">
        <v>8</v>
      </c>
      <c r="K1197" s="11">
        <v>8</v>
      </c>
      <c r="L1197" s="11">
        <f t="shared" si="132"/>
        <v>0</v>
      </c>
      <c r="M1197" s="131"/>
      <c r="N1197" s="18">
        <v>46090</v>
      </c>
      <c r="O1197" s="93">
        <v>46066</v>
      </c>
    </row>
    <row r="1198" spans="1:16" x14ac:dyDescent="0.25">
      <c r="A1198" s="11">
        <f t="shared" ca="1" si="128"/>
        <v>-81</v>
      </c>
      <c r="C1198" s="11" t="s">
        <v>222</v>
      </c>
      <c r="D1198" s="11" t="str">
        <f>VLOOKUP(VALUE(MID($C1198,13,2)), [2]codigos!$A$2:$B$60, 2, 1) &amp; " " &amp; VLOOKUP(VALUE(MID($C1198,15,4)), [2]codigos!$E$2:$F$102, 2, FALSE)</f>
        <v>OLLA RECTA 12</v>
      </c>
      <c r="E1198" s="11" t="str">
        <f>VLOOKUP(VALUE(MID($C1198,19,2)),[2]codigos!$H$2:$I$62,2,1) &amp; " " &amp; VLOOKUP(VALUE(MID($C1198,21,2)),[2]codigos!$K$2:$L$12,2,FALSE)</f>
        <v>A/T S/I</v>
      </c>
      <c r="F1198" s="11" t="s">
        <v>539</v>
      </c>
      <c r="G1198" s="11" t="s">
        <v>34</v>
      </c>
      <c r="H1198" s="52" t="s">
        <v>1322</v>
      </c>
      <c r="I1198" s="20" t="s">
        <v>1025</v>
      </c>
      <c r="J1198" s="11">
        <v>36</v>
      </c>
      <c r="K1198" s="11">
        <f>36-36+36</f>
        <v>36</v>
      </c>
      <c r="L1198" s="11">
        <f t="shared" si="132"/>
        <v>0</v>
      </c>
      <c r="M1198" s="131"/>
      <c r="N1198" s="18">
        <v>46090</v>
      </c>
      <c r="O1198" s="93">
        <v>46066</v>
      </c>
    </row>
    <row r="1199" spans="1:16" x14ac:dyDescent="0.25">
      <c r="A1199" s="11">
        <f t="shared" ca="1" si="128"/>
        <v>-81</v>
      </c>
      <c r="C1199" s="11" t="s">
        <v>224</v>
      </c>
      <c r="D1199" s="11" t="str">
        <f>VLOOKUP(VALUE(MID($C1199,13,2)), [2]codigos!$A$2:$B$60, 2, 1) &amp; " " &amp; VLOOKUP(VALUE(MID($C1199,15,4)), [2]codigos!$E$2:$F$102, 2, FALSE)</f>
        <v>OLLA RECTA 26</v>
      </c>
      <c r="E1199" s="11" t="str">
        <f>VLOOKUP(VALUE(MID($C1199,19,2)),[2]codigos!$H$2:$I$62,2,1) &amp; " " &amp; VLOOKUP(VALUE(MID($C1199,21,2)),[2]codigos!$K$2:$L$12,2,FALSE)</f>
        <v>A/T S/I</v>
      </c>
      <c r="F1199" s="11" t="s">
        <v>539</v>
      </c>
      <c r="G1199" s="11" t="s">
        <v>34</v>
      </c>
      <c r="H1199" s="52" t="s">
        <v>1322</v>
      </c>
      <c r="I1199" s="20" t="s">
        <v>1025</v>
      </c>
      <c r="J1199" s="11">
        <v>12</v>
      </c>
      <c r="K1199" s="11">
        <v>12</v>
      </c>
      <c r="L1199" s="11">
        <f t="shared" si="132"/>
        <v>0</v>
      </c>
      <c r="M1199" s="131"/>
      <c r="N1199" s="18">
        <v>46090</v>
      </c>
      <c r="O1199" s="93">
        <v>46066</v>
      </c>
    </row>
    <row r="1200" spans="1:16" x14ac:dyDescent="0.25">
      <c r="A1200" s="11">
        <f t="shared" ca="1" si="128"/>
        <v>-81</v>
      </c>
      <c r="C1200" s="11" t="s">
        <v>156</v>
      </c>
      <c r="D1200" s="11" t="str">
        <f>VLOOKUP(VALUE(MID($C1200,13,2)), [2]codigos!$A$2:$B$60, 2, 1) &amp; " " &amp; VLOOKUP(VALUE(MID($C1200,15,4)), [2]codigos!$E$2:$F$102, 2, FALSE)</f>
        <v>OLLA RECTA 34</v>
      </c>
      <c r="E1200" s="11" t="str">
        <f>VLOOKUP(VALUE(MID($C1200,19,2)),[2]codigos!$H$2:$I$62,2,1) &amp; " " &amp; VLOOKUP(VALUE(MID($C1200,21,2)),[2]codigos!$K$2:$L$12,2,FALSE)</f>
        <v>A/T S/I</v>
      </c>
      <c r="F1200" s="11" t="s">
        <v>539</v>
      </c>
      <c r="G1200" s="11" t="s">
        <v>34</v>
      </c>
      <c r="H1200" s="52" t="s">
        <v>1322</v>
      </c>
      <c r="I1200" s="20" t="s">
        <v>1025</v>
      </c>
      <c r="J1200" s="11">
        <v>4</v>
      </c>
      <c r="K1200" s="11">
        <v>4</v>
      </c>
      <c r="L1200" s="11">
        <f t="shared" si="132"/>
        <v>0</v>
      </c>
      <c r="M1200" s="131"/>
      <c r="N1200" s="18">
        <v>46090</v>
      </c>
      <c r="O1200" s="93">
        <v>46066</v>
      </c>
    </row>
    <row r="1201" spans="1:16" x14ac:dyDescent="0.25">
      <c r="A1201" s="11">
        <f t="shared" ca="1" si="128"/>
        <v>-81</v>
      </c>
      <c r="C1201" s="11" t="s">
        <v>157</v>
      </c>
      <c r="D1201" s="11" t="str">
        <f>VLOOKUP(VALUE(MID($C1201,13,2)), [2]codigos!$A$2:$B$60, 2, 1) &amp; " " &amp; VLOOKUP(VALUE(MID($C1201,15,4)), [2]codigos!$E$2:$F$102, 2, FALSE)</f>
        <v>OLLA RECTA 42</v>
      </c>
      <c r="E1201" s="11" t="str">
        <f>VLOOKUP(VALUE(MID($C1201,19,2)),[2]codigos!$H$2:$I$62,2,1) &amp; " " &amp; VLOOKUP(VALUE(MID($C1201,21,2)),[2]codigos!$K$2:$L$12,2,FALSE)</f>
        <v>A/T S/I</v>
      </c>
      <c r="F1201" s="11" t="s">
        <v>539</v>
      </c>
      <c r="G1201" s="11" t="s">
        <v>34</v>
      </c>
      <c r="H1201" s="52" t="s">
        <v>1322</v>
      </c>
      <c r="I1201" s="20" t="s">
        <v>1025</v>
      </c>
      <c r="J1201" s="11">
        <v>4</v>
      </c>
      <c r="K1201" s="11">
        <v>4</v>
      </c>
      <c r="L1201" s="11">
        <f t="shared" si="132"/>
        <v>0</v>
      </c>
      <c r="M1201" s="131"/>
      <c r="N1201" s="18">
        <v>46090</v>
      </c>
      <c r="O1201" s="93">
        <v>46066</v>
      </c>
    </row>
    <row r="1202" spans="1:16" x14ac:dyDescent="0.25">
      <c r="A1202" s="11">
        <f t="shared" ca="1" si="128"/>
        <v>-295</v>
      </c>
      <c r="C1202" s="11" t="s">
        <v>56</v>
      </c>
      <c r="D1202" s="11" t="str">
        <f>VLOOKUP(VALUE(MID($C1202,13,2)), codigos!$A$2:$B$60, 2, 1) &amp; " " &amp; VLOOKUP(VALUE(MID($C1202,15,4)), codigos!$E$2:$F$102, 2, FALSE)</f>
        <v>CAZUELA 18</v>
      </c>
      <c r="E1202" s="11" t="str">
        <f>VLOOKUP(VALUE(MID($C1202,19,2)),codigos!$H$2:$I$62,2,1) &amp; " " &amp; VLOOKUP(VALUE(MID($C1202,21,2)),codigos!$K$2:$L$12,2,FALSE)</f>
        <v>COBALTO S/I</v>
      </c>
      <c r="F1202" s="11" t="s">
        <v>495</v>
      </c>
      <c r="G1202" s="11" t="s">
        <v>16</v>
      </c>
      <c r="H1202" s="52" t="s">
        <v>496</v>
      </c>
      <c r="I1202" s="20" t="s">
        <v>481</v>
      </c>
      <c r="J1202" s="11">
        <v>120</v>
      </c>
      <c r="K1202" s="11">
        <f>4+96+12+8</f>
        <v>120</v>
      </c>
      <c r="L1202" s="11">
        <f>+J1202-K1202</f>
        <v>0</v>
      </c>
      <c r="M1202" s="17">
        <f>(SUM(K1202))/(SUM(J1202))</f>
        <v>1</v>
      </c>
      <c r="N1202" s="18">
        <v>46065</v>
      </c>
      <c r="O1202" s="93">
        <v>45996</v>
      </c>
    </row>
    <row r="1203" spans="1:16" x14ac:dyDescent="0.25">
      <c r="A1203" s="11">
        <f t="shared" ca="1" si="128"/>
        <v>-32</v>
      </c>
      <c r="C1203" s="11" t="s">
        <v>969</v>
      </c>
      <c r="D1203" s="11" t="s">
        <v>1532</v>
      </c>
      <c r="E1203" s="11" t="s">
        <v>1533</v>
      </c>
      <c r="F1203" s="11" t="s">
        <v>553</v>
      </c>
      <c r="G1203" s="11" t="s">
        <v>16</v>
      </c>
      <c r="H1203" s="52" t="s">
        <v>1490</v>
      </c>
      <c r="I1203" s="20" t="s">
        <v>1491</v>
      </c>
      <c r="J1203" s="11">
        <v>2</v>
      </c>
      <c r="K1203" s="11">
        <v>2</v>
      </c>
      <c r="L1203" s="11">
        <v>0</v>
      </c>
      <c r="M1203" s="131">
        <v>0.97222222222222221</v>
      </c>
      <c r="N1203" s="18">
        <v>46091</v>
      </c>
      <c r="O1203" s="93">
        <v>46090</v>
      </c>
      <c r="P1203" s="18">
        <v>46091</v>
      </c>
    </row>
    <row r="1204" spans="1:16" x14ac:dyDescent="0.25">
      <c r="A1204" s="11">
        <f t="shared" ca="1" si="128"/>
        <v>-32</v>
      </c>
      <c r="C1204" s="11" t="s">
        <v>337</v>
      </c>
      <c r="D1204" s="11" t="s">
        <v>1534</v>
      </c>
      <c r="E1204" s="11" t="s">
        <v>899</v>
      </c>
      <c r="F1204" s="11" t="s">
        <v>553</v>
      </c>
      <c r="G1204" s="11" t="s">
        <v>16</v>
      </c>
      <c r="H1204" s="52" t="s">
        <v>1490</v>
      </c>
      <c r="I1204" s="20" t="s">
        <v>1491</v>
      </c>
      <c r="J1204" s="11">
        <v>2</v>
      </c>
      <c r="K1204" s="11">
        <v>2</v>
      </c>
      <c r="L1204" s="11">
        <v>0</v>
      </c>
      <c r="M1204" s="131"/>
      <c r="N1204" s="18">
        <v>46091</v>
      </c>
      <c r="O1204" s="93">
        <v>46090</v>
      </c>
      <c r="P1204" s="18">
        <v>46091</v>
      </c>
    </row>
    <row r="1205" spans="1:16" x14ac:dyDescent="0.25">
      <c r="A1205" s="11">
        <f t="shared" ca="1" si="128"/>
        <v>-32</v>
      </c>
      <c r="C1205" s="11" t="s">
        <v>967</v>
      </c>
      <c r="D1205" s="11" t="s">
        <v>1535</v>
      </c>
      <c r="E1205" s="11" t="s">
        <v>937</v>
      </c>
      <c r="F1205" s="11" t="s">
        <v>553</v>
      </c>
      <c r="G1205" s="11" t="s">
        <v>16</v>
      </c>
      <c r="H1205" s="52" t="s">
        <v>1490</v>
      </c>
      <c r="I1205" s="20" t="s">
        <v>1491</v>
      </c>
      <c r="J1205" s="11">
        <v>7</v>
      </c>
      <c r="K1205" s="11">
        <v>7</v>
      </c>
      <c r="L1205" s="11">
        <v>0</v>
      </c>
      <c r="M1205" s="131"/>
      <c r="N1205" s="18">
        <v>46091</v>
      </c>
      <c r="O1205" s="93">
        <v>46090</v>
      </c>
      <c r="P1205" s="18">
        <v>46091</v>
      </c>
    </row>
    <row r="1206" spans="1:16" x14ac:dyDescent="0.25">
      <c r="A1206" s="11">
        <f t="shared" ca="1" si="128"/>
        <v>-32</v>
      </c>
      <c r="C1206" s="11" t="s">
        <v>972</v>
      </c>
      <c r="D1206" s="11" t="s">
        <v>939</v>
      </c>
      <c r="E1206" s="11" t="s">
        <v>924</v>
      </c>
      <c r="F1206" s="11" t="s">
        <v>553</v>
      </c>
      <c r="G1206" s="11" t="s">
        <v>16</v>
      </c>
      <c r="H1206" s="52" t="s">
        <v>1490</v>
      </c>
      <c r="I1206" s="20" t="s">
        <v>1491</v>
      </c>
      <c r="J1206" s="11">
        <v>1</v>
      </c>
      <c r="K1206" s="11">
        <v>1</v>
      </c>
      <c r="L1206" s="11">
        <v>0</v>
      </c>
      <c r="M1206" s="131"/>
      <c r="N1206" s="18">
        <v>46091</v>
      </c>
      <c r="O1206" s="93">
        <v>46090</v>
      </c>
      <c r="P1206" s="18">
        <v>46091</v>
      </c>
    </row>
    <row r="1207" spans="1:16" x14ac:dyDescent="0.25">
      <c r="A1207" s="11">
        <f t="shared" ca="1" si="128"/>
        <v>-32</v>
      </c>
      <c r="C1207" s="11" t="s">
        <v>560</v>
      </c>
      <c r="D1207" s="11" t="s">
        <v>1536</v>
      </c>
      <c r="E1207" s="11" t="s">
        <v>1533</v>
      </c>
      <c r="F1207" s="11" t="s">
        <v>553</v>
      </c>
      <c r="G1207" s="11" t="s">
        <v>16</v>
      </c>
      <c r="H1207" s="52" t="s">
        <v>1490</v>
      </c>
      <c r="I1207" s="20" t="s">
        <v>1491</v>
      </c>
      <c r="J1207" s="11">
        <v>1</v>
      </c>
      <c r="K1207" s="11">
        <v>0</v>
      </c>
      <c r="L1207" s="11">
        <v>1</v>
      </c>
      <c r="M1207" s="131"/>
      <c r="N1207" s="18">
        <v>46091</v>
      </c>
      <c r="O1207" s="93">
        <v>46090</v>
      </c>
      <c r="P1207" s="18">
        <v>46091</v>
      </c>
    </row>
    <row r="1208" spans="1:16" x14ac:dyDescent="0.25">
      <c r="A1208" s="11">
        <f t="shared" ref="A1208:A1271" ca="1" si="133">DAYS360($B$1,I1208)</f>
        <v>-32</v>
      </c>
      <c r="C1208" s="11" t="s">
        <v>561</v>
      </c>
      <c r="D1208" s="11" t="s">
        <v>1536</v>
      </c>
      <c r="E1208" s="11" t="s">
        <v>937</v>
      </c>
      <c r="F1208" s="11" t="s">
        <v>553</v>
      </c>
      <c r="G1208" s="11" t="s">
        <v>16</v>
      </c>
      <c r="H1208" s="52" t="s">
        <v>1490</v>
      </c>
      <c r="I1208" s="20" t="s">
        <v>1491</v>
      </c>
      <c r="J1208" s="11">
        <v>2</v>
      </c>
      <c r="K1208" s="11">
        <v>2</v>
      </c>
      <c r="L1208" s="11">
        <v>0</v>
      </c>
      <c r="M1208" s="131"/>
      <c r="N1208" s="18">
        <v>46091</v>
      </c>
      <c r="O1208" s="93">
        <v>46090</v>
      </c>
      <c r="P1208" s="18">
        <v>46091</v>
      </c>
    </row>
    <row r="1209" spans="1:16" x14ac:dyDescent="0.25">
      <c r="A1209" s="11">
        <f t="shared" ca="1" si="133"/>
        <v>-32</v>
      </c>
      <c r="C1209" s="11" t="s">
        <v>562</v>
      </c>
      <c r="D1209" s="11" t="s">
        <v>1410</v>
      </c>
      <c r="E1209" s="11" t="s">
        <v>924</v>
      </c>
      <c r="F1209" s="11" t="s">
        <v>553</v>
      </c>
      <c r="G1209" s="11" t="s">
        <v>16</v>
      </c>
      <c r="H1209" s="52" t="s">
        <v>1490</v>
      </c>
      <c r="I1209" s="20" t="s">
        <v>1491</v>
      </c>
      <c r="J1209" s="11">
        <v>1</v>
      </c>
      <c r="K1209" s="11">
        <v>1</v>
      </c>
      <c r="L1209" s="11">
        <v>0</v>
      </c>
      <c r="M1209" s="131"/>
      <c r="N1209" s="18">
        <v>46091</v>
      </c>
      <c r="O1209" s="93">
        <v>46090</v>
      </c>
      <c r="P1209" s="18">
        <v>46091</v>
      </c>
    </row>
    <row r="1210" spans="1:16" x14ac:dyDescent="0.25">
      <c r="A1210" s="11">
        <f t="shared" ca="1" si="133"/>
        <v>-32</v>
      </c>
      <c r="C1210" s="11" t="s">
        <v>973</v>
      </c>
      <c r="D1210" s="11" t="s">
        <v>1410</v>
      </c>
      <c r="E1210" s="11" t="s">
        <v>931</v>
      </c>
      <c r="F1210" s="11" t="s">
        <v>553</v>
      </c>
      <c r="G1210" s="11" t="s">
        <v>16</v>
      </c>
      <c r="H1210" s="52" t="s">
        <v>1490</v>
      </c>
      <c r="I1210" s="20" t="s">
        <v>1491</v>
      </c>
      <c r="J1210" s="11">
        <v>1</v>
      </c>
      <c r="K1210" s="11">
        <v>1</v>
      </c>
      <c r="L1210" s="11">
        <v>0</v>
      </c>
      <c r="M1210" s="131"/>
      <c r="N1210" s="18">
        <v>46091</v>
      </c>
      <c r="O1210" s="93">
        <v>46090</v>
      </c>
      <c r="P1210" s="18">
        <v>46091</v>
      </c>
    </row>
    <row r="1211" spans="1:16" x14ac:dyDescent="0.25">
      <c r="A1211" s="11">
        <f t="shared" ca="1" si="133"/>
        <v>-32</v>
      </c>
      <c r="C1211" s="11" t="s">
        <v>974</v>
      </c>
      <c r="D1211" s="11" t="s">
        <v>1435</v>
      </c>
      <c r="E1211" s="11" t="s">
        <v>937</v>
      </c>
      <c r="F1211" s="11" t="s">
        <v>553</v>
      </c>
      <c r="G1211" s="11" t="s">
        <v>16</v>
      </c>
      <c r="H1211" s="52" t="s">
        <v>1490</v>
      </c>
      <c r="I1211" s="20" t="s">
        <v>1491</v>
      </c>
      <c r="J1211" s="11">
        <v>4</v>
      </c>
      <c r="K1211" s="11">
        <v>4</v>
      </c>
      <c r="L1211" s="11">
        <v>0</v>
      </c>
      <c r="M1211" s="131"/>
      <c r="N1211" s="18">
        <v>46091</v>
      </c>
      <c r="O1211" s="93">
        <v>46090</v>
      </c>
      <c r="P1211" s="18">
        <v>46091</v>
      </c>
    </row>
    <row r="1212" spans="1:16" x14ac:dyDescent="0.25">
      <c r="A1212" s="11">
        <f t="shared" ca="1" si="133"/>
        <v>-32</v>
      </c>
      <c r="C1212" s="11" t="s">
        <v>552</v>
      </c>
      <c r="D1212" s="11" t="s">
        <v>932</v>
      </c>
      <c r="E1212" s="11" t="s">
        <v>937</v>
      </c>
      <c r="F1212" s="11" t="s">
        <v>553</v>
      </c>
      <c r="G1212" s="11" t="s">
        <v>16</v>
      </c>
      <c r="H1212" s="52" t="s">
        <v>1490</v>
      </c>
      <c r="I1212" s="20" t="s">
        <v>1491</v>
      </c>
      <c r="J1212" s="11">
        <v>3</v>
      </c>
      <c r="K1212" s="11">
        <v>3</v>
      </c>
      <c r="L1212" s="11">
        <v>0</v>
      </c>
      <c r="M1212" s="131"/>
      <c r="N1212" s="18">
        <v>46091</v>
      </c>
      <c r="O1212" s="93">
        <v>46090</v>
      </c>
      <c r="P1212" s="18">
        <v>46091</v>
      </c>
    </row>
    <row r="1213" spans="1:16" x14ac:dyDescent="0.25">
      <c r="A1213" s="11">
        <f t="shared" ca="1" si="133"/>
        <v>-32</v>
      </c>
      <c r="C1213" s="11" t="s">
        <v>968</v>
      </c>
      <c r="D1213" s="11" t="s">
        <v>796</v>
      </c>
      <c r="E1213" s="11" t="s">
        <v>926</v>
      </c>
      <c r="F1213" s="11" t="s">
        <v>553</v>
      </c>
      <c r="G1213" s="11" t="s">
        <v>16</v>
      </c>
      <c r="H1213" s="52" t="s">
        <v>1490</v>
      </c>
      <c r="I1213" s="20" t="s">
        <v>1491</v>
      </c>
      <c r="J1213" s="11">
        <v>1</v>
      </c>
      <c r="K1213" s="11">
        <v>1</v>
      </c>
      <c r="L1213" s="11">
        <v>0</v>
      </c>
      <c r="M1213" s="131"/>
      <c r="N1213" s="18">
        <v>46091</v>
      </c>
      <c r="O1213" s="93">
        <v>46090</v>
      </c>
      <c r="P1213" s="18">
        <v>46091</v>
      </c>
    </row>
    <row r="1214" spans="1:16" x14ac:dyDescent="0.25">
      <c r="A1214" s="11">
        <f t="shared" ca="1" si="133"/>
        <v>-32</v>
      </c>
      <c r="C1214" s="11" t="s">
        <v>565</v>
      </c>
      <c r="D1214" s="11" t="s">
        <v>796</v>
      </c>
      <c r="E1214" s="11" t="s">
        <v>937</v>
      </c>
      <c r="F1214" s="11" t="s">
        <v>553</v>
      </c>
      <c r="G1214" s="11" t="s">
        <v>16</v>
      </c>
      <c r="H1214" s="52" t="s">
        <v>1490</v>
      </c>
      <c r="I1214" s="20" t="s">
        <v>1491</v>
      </c>
      <c r="J1214" s="11">
        <v>1</v>
      </c>
      <c r="K1214" s="11">
        <v>1</v>
      </c>
      <c r="L1214" s="11">
        <v>0</v>
      </c>
      <c r="M1214" s="131"/>
      <c r="N1214" s="18">
        <v>46091</v>
      </c>
      <c r="O1214" s="93">
        <v>46090</v>
      </c>
      <c r="P1214" s="18">
        <v>46091</v>
      </c>
    </row>
    <row r="1215" spans="1:16" x14ac:dyDescent="0.25">
      <c r="A1215" s="11">
        <f t="shared" ca="1" si="133"/>
        <v>-32</v>
      </c>
      <c r="C1215" s="11" t="s">
        <v>963</v>
      </c>
      <c r="D1215" s="11" t="s">
        <v>918</v>
      </c>
      <c r="E1215" s="11" t="s">
        <v>931</v>
      </c>
      <c r="F1215" s="11" t="s">
        <v>553</v>
      </c>
      <c r="G1215" s="11" t="s">
        <v>16</v>
      </c>
      <c r="H1215" s="52" t="s">
        <v>1490</v>
      </c>
      <c r="I1215" s="20" t="s">
        <v>1491</v>
      </c>
      <c r="J1215" s="11">
        <v>1</v>
      </c>
      <c r="K1215" s="11">
        <v>1</v>
      </c>
      <c r="L1215" s="11">
        <v>0</v>
      </c>
      <c r="M1215" s="131"/>
      <c r="N1215" s="18">
        <v>46091</v>
      </c>
      <c r="O1215" s="93">
        <v>46090</v>
      </c>
      <c r="P1215" s="18">
        <v>46091</v>
      </c>
    </row>
    <row r="1216" spans="1:16" x14ac:dyDescent="0.25">
      <c r="A1216" s="11">
        <f t="shared" ca="1" si="133"/>
        <v>-32</v>
      </c>
      <c r="C1216" s="11" t="s">
        <v>557</v>
      </c>
      <c r="D1216" s="11" t="s">
        <v>918</v>
      </c>
      <c r="E1216" s="11" t="s">
        <v>937</v>
      </c>
      <c r="F1216" s="11" t="s">
        <v>553</v>
      </c>
      <c r="G1216" s="11" t="s">
        <v>16</v>
      </c>
      <c r="H1216" s="52" t="s">
        <v>1490</v>
      </c>
      <c r="I1216" s="20" t="s">
        <v>1491</v>
      </c>
      <c r="J1216" s="11">
        <v>1</v>
      </c>
      <c r="K1216" s="11">
        <v>1</v>
      </c>
      <c r="L1216" s="11">
        <v>0</v>
      </c>
      <c r="M1216" s="131"/>
      <c r="N1216" s="18">
        <v>46091</v>
      </c>
      <c r="O1216" s="93">
        <v>46090</v>
      </c>
      <c r="P1216" s="18">
        <v>46091</v>
      </c>
    </row>
    <row r="1217" spans="1:16" x14ac:dyDescent="0.25">
      <c r="A1217" s="11">
        <f t="shared" ca="1" si="133"/>
        <v>-32</v>
      </c>
      <c r="C1217" s="11" t="s">
        <v>555</v>
      </c>
      <c r="D1217" s="11" t="s">
        <v>1117</v>
      </c>
      <c r="E1217" s="11" t="s">
        <v>937</v>
      </c>
      <c r="F1217" s="11" t="s">
        <v>553</v>
      </c>
      <c r="G1217" s="11" t="s">
        <v>16</v>
      </c>
      <c r="H1217" s="52" t="s">
        <v>1490</v>
      </c>
      <c r="I1217" s="20" t="s">
        <v>1491</v>
      </c>
      <c r="J1217" s="11">
        <v>6</v>
      </c>
      <c r="K1217" s="11">
        <v>6</v>
      </c>
      <c r="L1217" s="11">
        <v>0</v>
      </c>
      <c r="M1217" s="131"/>
      <c r="N1217" s="18">
        <v>46091</v>
      </c>
      <c r="O1217" s="93">
        <v>46090</v>
      </c>
      <c r="P1217" s="18">
        <v>46091</v>
      </c>
    </row>
    <row r="1218" spans="1:16" x14ac:dyDescent="0.25">
      <c r="A1218" s="11">
        <f t="shared" ca="1" si="133"/>
        <v>-32</v>
      </c>
      <c r="C1218" s="11" t="s">
        <v>975</v>
      </c>
      <c r="D1218" s="11" t="s">
        <v>1416</v>
      </c>
      <c r="E1218" s="11" t="s">
        <v>926</v>
      </c>
      <c r="F1218" s="11" t="s">
        <v>553</v>
      </c>
      <c r="G1218" s="11" t="s">
        <v>16</v>
      </c>
      <c r="H1218" s="52" t="s">
        <v>1490</v>
      </c>
      <c r="I1218" s="20" t="s">
        <v>1491</v>
      </c>
      <c r="J1218" s="11">
        <v>1</v>
      </c>
      <c r="K1218" s="11">
        <v>1</v>
      </c>
      <c r="L1218" s="11">
        <v>0</v>
      </c>
      <c r="M1218" s="131"/>
      <c r="N1218" s="18">
        <v>46091</v>
      </c>
      <c r="O1218" s="93">
        <v>46090</v>
      </c>
      <c r="P1218" s="18">
        <v>46091</v>
      </c>
    </row>
    <row r="1219" spans="1:16" x14ac:dyDescent="0.25">
      <c r="A1219" s="11">
        <f t="shared" ca="1" si="133"/>
        <v>-32</v>
      </c>
      <c r="C1219" s="11" t="s">
        <v>567</v>
      </c>
      <c r="D1219" s="11" t="s">
        <v>1537</v>
      </c>
      <c r="E1219" s="11" t="s">
        <v>937</v>
      </c>
      <c r="F1219" s="11" t="s">
        <v>553</v>
      </c>
      <c r="G1219" s="11" t="s">
        <v>16</v>
      </c>
      <c r="H1219" s="52" t="s">
        <v>1490</v>
      </c>
      <c r="I1219" s="20" t="s">
        <v>1491</v>
      </c>
      <c r="J1219" s="11">
        <v>1</v>
      </c>
      <c r="K1219" s="11">
        <v>1</v>
      </c>
      <c r="L1219" s="11">
        <v>0</v>
      </c>
      <c r="M1219" s="131"/>
      <c r="N1219" s="18">
        <v>46091</v>
      </c>
      <c r="O1219" s="93">
        <v>46090</v>
      </c>
      <c r="P1219" s="18">
        <v>46091</v>
      </c>
    </row>
    <row r="1220" spans="1:16" x14ac:dyDescent="0.25">
      <c r="A1220" s="11">
        <f t="shared" ca="1" si="133"/>
        <v>-32</v>
      </c>
      <c r="C1220" s="11" t="s">
        <v>337</v>
      </c>
      <c r="D1220" s="11" t="s">
        <v>1534</v>
      </c>
      <c r="E1220" s="11" t="s">
        <v>899</v>
      </c>
      <c r="F1220" s="11" t="s">
        <v>553</v>
      </c>
      <c r="G1220" s="11" t="s">
        <v>16</v>
      </c>
      <c r="H1220" s="52" t="s">
        <v>1492</v>
      </c>
      <c r="I1220" s="20" t="s">
        <v>1491</v>
      </c>
      <c r="J1220" s="11">
        <v>2</v>
      </c>
      <c r="K1220" s="11">
        <v>2</v>
      </c>
      <c r="L1220" s="11">
        <v>0</v>
      </c>
      <c r="M1220" s="131">
        <v>1</v>
      </c>
      <c r="N1220" s="18">
        <v>46091</v>
      </c>
      <c r="O1220" s="117"/>
      <c r="P1220" s="19"/>
    </row>
    <row r="1221" spans="1:16" x14ac:dyDescent="0.25">
      <c r="A1221" s="11">
        <f t="shared" ca="1" si="133"/>
        <v>-32</v>
      </c>
      <c r="C1221" s="11" t="s">
        <v>967</v>
      </c>
      <c r="D1221" s="11" t="s">
        <v>1535</v>
      </c>
      <c r="E1221" s="11" t="s">
        <v>937</v>
      </c>
      <c r="F1221" s="11" t="s">
        <v>553</v>
      </c>
      <c r="G1221" s="11" t="s">
        <v>16</v>
      </c>
      <c r="H1221" s="52" t="s">
        <v>1492</v>
      </c>
      <c r="I1221" s="20" t="s">
        <v>1491</v>
      </c>
      <c r="J1221" s="11">
        <v>1</v>
      </c>
      <c r="K1221" s="11">
        <v>1</v>
      </c>
      <c r="L1221" s="11">
        <v>0</v>
      </c>
      <c r="M1221" s="131"/>
      <c r="N1221" s="18">
        <v>46091</v>
      </c>
      <c r="O1221" s="117"/>
      <c r="P1221" s="19"/>
    </row>
    <row r="1222" spans="1:16" x14ac:dyDescent="0.25">
      <c r="A1222" s="11">
        <f t="shared" ca="1" si="133"/>
        <v>-32</v>
      </c>
      <c r="C1222" s="11" t="s">
        <v>552</v>
      </c>
      <c r="D1222" s="11" t="s">
        <v>932</v>
      </c>
      <c r="E1222" s="11" t="s">
        <v>937</v>
      </c>
      <c r="F1222" s="11" t="s">
        <v>553</v>
      </c>
      <c r="G1222" s="11" t="s">
        <v>16</v>
      </c>
      <c r="H1222" s="52" t="s">
        <v>1492</v>
      </c>
      <c r="I1222" s="20" t="s">
        <v>1491</v>
      </c>
      <c r="J1222" s="11">
        <v>1</v>
      </c>
      <c r="K1222" s="11">
        <v>1</v>
      </c>
      <c r="L1222" s="11">
        <v>0</v>
      </c>
      <c r="M1222" s="131"/>
      <c r="N1222" s="18">
        <v>46091</v>
      </c>
      <c r="O1222" s="117"/>
      <c r="P1222" s="19"/>
    </row>
    <row r="1223" spans="1:16" x14ac:dyDescent="0.25">
      <c r="A1223" s="11">
        <f t="shared" ca="1" si="133"/>
        <v>-32</v>
      </c>
      <c r="C1223" s="11" t="s">
        <v>968</v>
      </c>
      <c r="D1223" s="11" t="s">
        <v>796</v>
      </c>
      <c r="E1223" s="11" t="s">
        <v>926</v>
      </c>
      <c r="F1223" s="11" t="s">
        <v>553</v>
      </c>
      <c r="G1223" s="11" t="s">
        <v>16</v>
      </c>
      <c r="H1223" s="52" t="s">
        <v>1492</v>
      </c>
      <c r="I1223" s="20" t="s">
        <v>1491</v>
      </c>
      <c r="J1223" s="11">
        <v>1</v>
      </c>
      <c r="K1223" s="11">
        <v>1</v>
      </c>
      <c r="L1223" s="11">
        <v>0</v>
      </c>
      <c r="M1223" s="131"/>
      <c r="N1223" s="18">
        <v>46091</v>
      </c>
      <c r="O1223" s="117"/>
      <c r="P1223" s="19"/>
    </row>
    <row r="1224" spans="1:16" x14ac:dyDescent="0.25">
      <c r="A1224" s="11">
        <f t="shared" ca="1" si="133"/>
        <v>-32</v>
      </c>
      <c r="C1224" s="11" t="s">
        <v>963</v>
      </c>
      <c r="D1224" s="11" t="s">
        <v>918</v>
      </c>
      <c r="E1224" s="11" t="s">
        <v>931</v>
      </c>
      <c r="F1224" s="11" t="s">
        <v>553</v>
      </c>
      <c r="G1224" s="11" t="s">
        <v>16</v>
      </c>
      <c r="H1224" s="52" t="s">
        <v>1492</v>
      </c>
      <c r="I1224" s="20" t="s">
        <v>1491</v>
      </c>
      <c r="J1224" s="11">
        <v>1</v>
      </c>
      <c r="K1224" s="11">
        <v>1</v>
      </c>
      <c r="L1224" s="11">
        <v>0</v>
      </c>
      <c r="M1224" s="131"/>
      <c r="N1224" s="18">
        <v>46091</v>
      </c>
      <c r="O1224" s="117"/>
      <c r="P1224" s="19"/>
    </row>
    <row r="1225" spans="1:16" x14ac:dyDescent="0.25">
      <c r="A1225" s="11">
        <f t="shared" ca="1" si="133"/>
        <v>-32</v>
      </c>
      <c r="C1225" s="11" t="s">
        <v>557</v>
      </c>
      <c r="D1225" s="11" t="s">
        <v>918</v>
      </c>
      <c r="E1225" s="11" t="s">
        <v>937</v>
      </c>
      <c r="F1225" s="11" t="s">
        <v>553</v>
      </c>
      <c r="G1225" s="11" t="s">
        <v>16</v>
      </c>
      <c r="H1225" s="52" t="s">
        <v>1492</v>
      </c>
      <c r="I1225" s="20" t="s">
        <v>1491</v>
      </c>
      <c r="J1225" s="11">
        <v>2</v>
      </c>
      <c r="K1225" s="11">
        <v>2</v>
      </c>
      <c r="L1225" s="11">
        <v>0</v>
      </c>
      <c r="M1225" s="132"/>
      <c r="N1225" s="18">
        <v>46091</v>
      </c>
      <c r="O1225" s="117"/>
      <c r="P1225" s="19"/>
    </row>
    <row r="1226" spans="1:16" x14ac:dyDescent="0.25">
      <c r="A1226" s="11">
        <f t="shared" ca="1" si="133"/>
        <v>-22</v>
      </c>
      <c r="C1226" s="11" t="s">
        <v>963</v>
      </c>
      <c r="D1226" s="11" t="s">
        <v>918</v>
      </c>
      <c r="E1226" s="11" t="s">
        <v>931</v>
      </c>
      <c r="F1226" s="11" t="s">
        <v>553</v>
      </c>
      <c r="G1226" s="11" t="s">
        <v>16</v>
      </c>
      <c r="H1226" s="52" t="s">
        <v>1522</v>
      </c>
      <c r="I1226" s="20" t="s">
        <v>1523</v>
      </c>
      <c r="J1226" s="11">
        <v>1</v>
      </c>
      <c r="K1226" s="11">
        <v>1</v>
      </c>
      <c r="L1226" s="11">
        <v>0</v>
      </c>
      <c r="M1226" s="152">
        <v>1</v>
      </c>
      <c r="N1226" s="18">
        <v>46091</v>
      </c>
      <c r="O1226" s="117"/>
      <c r="P1226" s="19"/>
    </row>
    <row r="1227" spans="1:16" x14ac:dyDescent="0.25">
      <c r="A1227" s="11">
        <f t="shared" ca="1" si="133"/>
        <v>-22</v>
      </c>
      <c r="C1227" s="11" t="s">
        <v>557</v>
      </c>
      <c r="D1227" s="11" t="s">
        <v>918</v>
      </c>
      <c r="E1227" s="11" t="s">
        <v>937</v>
      </c>
      <c r="F1227" s="11" t="s">
        <v>553</v>
      </c>
      <c r="G1227" s="11" t="s">
        <v>16</v>
      </c>
      <c r="H1227" s="52" t="s">
        <v>1522</v>
      </c>
      <c r="I1227" s="20" t="s">
        <v>1523</v>
      </c>
      <c r="J1227" s="11">
        <v>1</v>
      </c>
      <c r="K1227" s="11">
        <v>1</v>
      </c>
      <c r="L1227" s="11">
        <v>0</v>
      </c>
      <c r="M1227" s="152"/>
      <c r="N1227" s="18">
        <v>46091</v>
      </c>
      <c r="O1227" s="117"/>
      <c r="P1227" s="19"/>
    </row>
    <row r="1228" spans="1:16" x14ac:dyDescent="0.25">
      <c r="A1228" s="11">
        <f t="shared" ca="1" si="133"/>
        <v>-22</v>
      </c>
      <c r="C1228" s="11" t="s">
        <v>555</v>
      </c>
      <c r="D1228" s="11" t="s">
        <v>1117</v>
      </c>
      <c r="E1228" s="11" t="s">
        <v>937</v>
      </c>
      <c r="F1228" s="11" t="s">
        <v>553</v>
      </c>
      <c r="G1228" s="11" t="s">
        <v>16</v>
      </c>
      <c r="H1228" s="52" t="s">
        <v>1522</v>
      </c>
      <c r="I1228" s="20" t="s">
        <v>1523</v>
      </c>
      <c r="J1228" s="11">
        <v>6</v>
      </c>
      <c r="K1228" s="11">
        <v>6</v>
      </c>
      <c r="L1228" s="11">
        <v>0</v>
      </c>
      <c r="M1228" s="152"/>
      <c r="N1228" s="18">
        <v>46091</v>
      </c>
      <c r="O1228" s="117"/>
      <c r="P1228" s="19"/>
    </row>
    <row r="1229" spans="1:16" x14ac:dyDescent="0.25">
      <c r="A1229" s="11">
        <f t="shared" ca="1" si="133"/>
        <v>-72</v>
      </c>
      <c r="C1229" s="11" t="s">
        <v>19</v>
      </c>
      <c r="D1229" s="11" t="str">
        <f>VLOOKUP(VALUE(MID($C1229,13,2)), codigos!$A$2:$B$60, 2, 1) &amp; " " &amp; VLOOKUP(VALUE(MID($C1229,15,4)), codigos!$E$2:$F$102, 2, FALSE)</f>
        <v>BACINICA 24</v>
      </c>
      <c r="E1229" s="11" t="str">
        <f>VLOOKUP(VALUE(MID($C1229,19,2)),codigos!$H$2:$I$62,2,1) &amp; " " &amp; VLOOKUP(VALUE(MID($C1229,21,2)),codigos!$K$2:$L$12,2,FALSE)</f>
        <v>BLANCO  NEGRO</v>
      </c>
      <c r="F1229" s="11" t="s">
        <v>1073</v>
      </c>
      <c r="G1229" s="11" t="s">
        <v>11</v>
      </c>
      <c r="H1229" s="11" t="s">
        <v>1074</v>
      </c>
      <c r="I1229" s="11" t="s">
        <v>1064</v>
      </c>
      <c r="J1229" s="25">
        <v>24</v>
      </c>
      <c r="K1229" s="25">
        <v>24</v>
      </c>
      <c r="L1229" s="15">
        <f t="shared" ref="L1229:L1248" si="134">+J1229-K1229</f>
        <v>0</v>
      </c>
      <c r="M1229" s="131">
        <f>(SUM(K1229:K1248))/(SUM(J1229:J1248))</f>
        <v>0.97560975609756095</v>
      </c>
      <c r="N1229" s="18">
        <v>46092</v>
      </c>
      <c r="O1229" s="93">
        <v>46071</v>
      </c>
      <c r="P1229" s="19" t="s">
        <v>1384</v>
      </c>
    </row>
    <row r="1230" spans="1:16" x14ac:dyDescent="0.25">
      <c r="A1230" s="11">
        <f t="shared" ca="1" si="133"/>
        <v>-72</v>
      </c>
      <c r="C1230" s="11" t="s">
        <v>255</v>
      </c>
      <c r="D1230" s="11" t="str">
        <f>VLOOKUP(VALUE(MID($C1230,13,2)), codigos!$A$2:$B$60, 2, 1) &amp; " " &amp; VLOOKUP(VALUE(MID($C1230,15,4)), codigos!$E$2:$F$102, 2, FALSE)</f>
        <v>BUDINERA 12</v>
      </c>
      <c r="E1230" s="11" t="str">
        <f>VLOOKUP(VALUE(MID($C1230,19,2)),codigos!$H$2:$I$62,2,1) &amp; " " &amp; VLOOKUP(VALUE(MID($C1230,21,2)),codigos!$K$2:$L$12,2,FALSE)</f>
        <v>A/T S/I</v>
      </c>
      <c r="F1230" s="11" t="s">
        <v>1073</v>
      </c>
      <c r="G1230" s="11" t="s">
        <v>11</v>
      </c>
      <c r="H1230" s="11" t="s">
        <v>1074</v>
      </c>
      <c r="I1230" s="11" t="s">
        <v>1064</v>
      </c>
      <c r="J1230" s="25">
        <v>18</v>
      </c>
      <c r="K1230" s="25">
        <v>18</v>
      </c>
      <c r="L1230" s="15">
        <f t="shared" si="134"/>
        <v>0</v>
      </c>
      <c r="M1230" s="131"/>
      <c r="N1230" s="18">
        <v>46092</v>
      </c>
      <c r="O1230" s="93">
        <v>46071</v>
      </c>
      <c r="P1230" s="19" t="s">
        <v>1384</v>
      </c>
    </row>
    <row r="1231" spans="1:16" x14ac:dyDescent="0.25">
      <c r="A1231" s="11">
        <f t="shared" ca="1" si="133"/>
        <v>-72</v>
      </c>
      <c r="C1231" s="11" t="s">
        <v>256</v>
      </c>
      <c r="D1231" s="11" t="str">
        <f>VLOOKUP(VALUE(MID($C1231,13,2)), codigos!$A$2:$B$60, 2, 1) &amp; " " &amp; VLOOKUP(VALUE(MID($C1231,15,4)), codigos!$E$2:$F$102, 2, FALSE)</f>
        <v>BUDINERA 14</v>
      </c>
      <c r="E1231" s="11" t="str">
        <f>VLOOKUP(VALUE(MID($C1231,19,2)),codigos!$H$2:$I$62,2,1) &amp; " " &amp; VLOOKUP(VALUE(MID($C1231,21,2)),codigos!$K$2:$L$12,2,FALSE)</f>
        <v>A/T S/I</v>
      </c>
      <c r="F1231" s="11" t="s">
        <v>1073</v>
      </c>
      <c r="G1231" s="11" t="s">
        <v>11</v>
      </c>
      <c r="H1231" s="11" t="s">
        <v>1074</v>
      </c>
      <c r="I1231" s="11" t="s">
        <v>1064</v>
      </c>
      <c r="J1231" s="25">
        <v>18</v>
      </c>
      <c r="K1231" s="25">
        <v>18</v>
      </c>
      <c r="L1231" s="15">
        <f t="shared" si="134"/>
        <v>0</v>
      </c>
      <c r="M1231" s="131"/>
      <c r="N1231" s="18">
        <v>46092</v>
      </c>
      <c r="O1231" s="93">
        <v>46071</v>
      </c>
      <c r="P1231" s="19" t="s">
        <v>1384</v>
      </c>
    </row>
    <row r="1232" spans="1:16" x14ac:dyDescent="0.25">
      <c r="A1232" s="11">
        <f t="shared" ca="1" si="133"/>
        <v>-72</v>
      </c>
      <c r="C1232" s="11" t="s">
        <v>189</v>
      </c>
      <c r="D1232" s="11" t="str">
        <f>VLOOKUP(VALUE(MID($C1232,13,2)), codigos!$A$2:$B$60, 2, 1) &amp; " " &amp; VLOOKUP(VALUE(MID($C1232,15,4)), codigos!$E$2:$F$102, 2, FALSE)</f>
        <v>BUDINERA 16</v>
      </c>
      <c r="E1232" s="11" t="str">
        <f>VLOOKUP(VALUE(MID($C1232,19,2)),codigos!$H$2:$I$62,2,1) &amp; " " &amp; VLOOKUP(VALUE(MID($C1232,21,2)),codigos!$K$2:$L$12,2,FALSE)</f>
        <v>A/T S/I</v>
      </c>
      <c r="F1232" s="11" t="s">
        <v>1073</v>
      </c>
      <c r="G1232" s="11" t="s">
        <v>11</v>
      </c>
      <c r="H1232" s="11" t="s">
        <v>1074</v>
      </c>
      <c r="I1232" s="11" t="s">
        <v>1064</v>
      </c>
      <c r="J1232" s="25">
        <v>18</v>
      </c>
      <c r="K1232" s="25">
        <v>18</v>
      </c>
      <c r="L1232" s="15">
        <f t="shared" si="134"/>
        <v>0</v>
      </c>
      <c r="M1232" s="131"/>
      <c r="N1232" s="18">
        <v>46092</v>
      </c>
      <c r="O1232" s="93">
        <v>46071</v>
      </c>
      <c r="P1232" s="19" t="s">
        <v>1384</v>
      </c>
    </row>
    <row r="1233" spans="1:16" x14ac:dyDescent="0.25">
      <c r="A1233" s="11">
        <f t="shared" ca="1" si="133"/>
        <v>-72</v>
      </c>
      <c r="C1233" s="11" t="s">
        <v>214</v>
      </c>
      <c r="D1233" s="11" t="str">
        <f>VLOOKUP(VALUE(MID($C1233,13,2)), codigos!$A$2:$B$60, 2, 1) &amp; " " &amp; VLOOKUP(VALUE(MID($C1233,15,4)), codigos!$E$2:$F$102, 2, FALSE)</f>
        <v>BUDINERA 18</v>
      </c>
      <c r="E1233" s="11" t="str">
        <f>VLOOKUP(VALUE(MID($C1233,19,2)),codigos!$H$2:$I$62,2,1) &amp; " " &amp; VLOOKUP(VALUE(MID($C1233,21,2)),codigos!$K$2:$L$12,2,FALSE)</f>
        <v>A/T S/I</v>
      </c>
      <c r="F1233" s="11" t="s">
        <v>1073</v>
      </c>
      <c r="G1233" s="11" t="s">
        <v>11</v>
      </c>
      <c r="H1233" s="11" t="s">
        <v>1074</v>
      </c>
      <c r="I1233" s="11" t="s">
        <v>1064</v>
      </c>
      <c r="J1233" s="25">
        <v>18</v>
      </c>
      <c r="K1233" s="25">
        <v>18</v>
      </c>
      <c r="L1233" s="15">
        <f t="shared" si="134"/>
        <v>0</v>
      </c>
      <c r="M1233" s="131"/>
      <c r="N1233" s="18">
        <v>46092</v>
      </c>
      <c r="O1233" s="93">
        <v>46071</v>
      </c>
      <c r="P1233" s="19" t="s">
        <v>1384</v>
      </c>
    </row>
    <row r="1234" spans="1:16" x14ac:dyDescent="0.25">
      <c r="A1234" s="11">
        <f t="shared" ca="1" si="133"/>
        <v>-72</v>
      </c>
      <c r="C1234" s="11" t="s">
        <v>215</v>
      </c>
      <c r="D1234" s="11" t="str">
        <f>VLOOKUP(VALUE(MID($C1234,13,2)), codigos!$A$2:$B$60, 2, 1) &amp; " " &amp; VLOOKUP(VALUE(MID($C1234,15,4)), codigos!$E$2:$F$102, 2, FALSE)</f>
        <v>BUDINERA 20</v>
      </c>
      <c r="E1234" s="11" t="str">
        <f>VLOOKUP(VALUE(MID($C1234,19,2)),codigos!$H$2:$I$62,2,1) &amp; " " &amp; VLOOKUP(VALUE(MID($C1234,21,2)),codigos!$K$2:$L$12,2,FALSE)</f>
        <v>A/T S/I</v>
      </c>
      <c r="F1234" s="11" t="s">
        <v>1073</v>
      </c>
      <c r="G1234" s="11" t="s">
        <v>11</v>
      </c>
      <c r="H1234" s="11" t="s">
        <v>1074</v>
      </c>
      <c r="I1234" s="11" t="s">
        <v>1064</v>
      </c>
      <c r="J1234" s="25">
        <v>18</v>
      </c>
      <c r="K1234" s="25">
        <v>18</v>
      </c>
      <c r="L1234" s="15">
        <f t="shared" si="134"/>
        <v>0</v>
      </c>
      <c r="M1234" s="131"/>
      <c r="N1234" s="18">
        <v>46092</v>
      </c>
      <c r="O1234" s="93">
        <v>46071</v>
      </c>
      <c r="P1234" s="19" t="s">
        <v>1384</v>
      </c>
    </row>
    <row r="1235" spans="1:16" x14ac:dyDescent="0.25">
      <c r="A1235" s="11">
        <f t="shared" ca="1" si="133"/>
        <v>-72</v>
      </c>
      <c r="C1235" s="11" t="s">
        <v>241</v>
      </c>
      <c r="D1235" s="11" t="str">
        <f>VLOOKUP(VALUE(MID($C1235,13,2)), codigos!$A$2:$B$60, 2, 1) &amp; " " &amp; VLOOKUP(VALUE(MID($C1235,15,4)), codigos!$E$2:$F$102, 2, FALSE)</f>
        <v>BUDINERA 22</v>
      </c>
      <c r="E1235" s="11" t="str">
        <f>VLOOKUP(VALUE(MID($C1235,19,2)),codigos!$H$2:$I$62,2,1) &amp; " " &amp; VLOOKUP(VALUE(MID($C1235,21,2)),codigos!$K$2:$L$12,2,FALSE)</f>
        <v>A/T S/I</v>
      </c>
      <c r="F1235" s="11" t="s">
        <v>1073</v>
      </c>
      <c r="G1235" s="11" t="s">
        <v>11</v>
      </c>
      <c r="H1235" s="11" t="s">
        <v>1074</v>
      </c>
      <c r="I1235" s="11" t="s">
        <v>1064</v>
      </c>
      <c r="J1235" s="25">
        <v>12</v>
      </c>
      <c r="K1235" s="25">
        <v>12</v>
      </c>
      <c r="L1235" s="15">
        <f t="shared" si="134"/>
        <v>0</v>
      </c>
      <c r="M1235" s="131"/>
      <c r="N1235" s="18">
        <v>46092</v>
      </c>
      <c r="O1235" s="93">
        <v>46071</v>
      </c>
      <c r="P1235" s="19" t="s">
        <v>1384</v>
      </c>
    </row>
    <row r="1236" spans="1:16" x14ac:dyDescent="0.25">
      <c r="A1236" s="11">
        <f t="shared" ca="1" si="133"/>
        <v>-72</v>
      </c>
      <c r="C1236" s="11" t="s">
        <v>143</v>
      </c>
      <c r="D1236" s="11" t="str">
        <f>VLOOKUP(VALUE(MID($C1236,13,2)), codigos!$A$2:$B$60, 2, 1) &amp; " " &amp; VLOOKUP(VALUE(MID($C1236,15,4)), codigos!$E$2:$F$102, 2, FALSE)</f>
        <v>BUDINERA 24</v>
      </c>
      <c r="E1236" s="11" t="str">
        <f>VLOOKUP(VALUE(MID($C1236,19,2)),codigos!$H$2:$I$62,2,1) &amp; " " &amp; VLOOKUP(VALUE(MID($C1236,21,2)),codigos!$K$2:$L$12,2,FALSE)</f>
        <v>A/T S/I</v>
      </c>
      <c r="F1236" s="11" t="s">
        <v>1073</v>
      </c>
      <c r="G1236" s="11" t="s">
        <v>11</v>
      </c>
      <c r="H1236" s="11" t="s">
        <v>1074</v>
      </c>
      <c r="I1236" s="11" t="s">
        <v>1064</v>
      </c>
      <c r="J1236" s="25">
        <v>12</v>
      </c>
      <c r="K1236" s="25">
        <f>4+8</f>
        <v>12</v>
      </c>
      <c r="L1236" s="15">
        <f t="shared" si="134"/>
        <v>0</v>
      </c>
      <c r="M1236" s="131"/>
      <c r="N1236" s="18">
        <v>46092</v>
      </c>
      <c r="O1236" s="93">
        <v>46071</v>
      </c>
      <c r="P1236" s="19" t="s">
        <v>1384</v>
      </c>
    </row>
    <row r="1237" spans="1:16" x14ac:dyDescent="0.25">
      <c r="A1237" s="11">
        <f t="shared" ca="1" si="133"/>
        <v>-72</v>
      </c>
      <c r="C1237" s="11" t="s">
        <v>148</v>
      </c>
      <c r="D1237" s="11" t="str">
        <f>VLOOKUP(VALUE(MID($C1237,13,2)), codigos!$A$2:$B$60, 2, 1) &amp; " " &amp; VLOOKUP(VALUE(MID($C1237,15,4)), codigos!$E$2:$F$102, 2, FALSE)</f>
        <v>BUDINERA 26</v>
      </c>
      <c r="E1237" s="11" t="str">
        <f>VLOOKUP(VALUE(MID($C1237,19,2)),codigos!$H$2:$I$62,2,1) &amp; " " &amp; VLOOKUP(VALUE(MID($C1237,21,2)),codigos!$K$2:$L$12,2,FALSE)</f>
        <v>A/T S/I</v>
      </c>
      <c r="F1237" s="11" t="s">
        <v>1073</v>
      </c>
      <c r="G1237" s="11" t="s">
        <v>11</v>
      </c>
      <c r="H1237" s="11" t="s">
        <v>1074</v>
      </c>
      <c r="I1237" s="11" t="s">
        <v>1064</v>
      </c>
      <c r="J1237" s="25">
        <v>12</v>
      </c>
      <c r="K1237" s="25">
        <v>12</v>
      </c>
      <c r="L1237" s="15">
        <f t="shared" si="134"/>
        <v>0</v>
      </c>
      <c r="M1237" s="131"/>
      <c r="N1237" s="18">
        <v>46092</v>
      </c>
      <c r="O1237" s="93">
        <v>46071</v>
      </c>
      <c r="P1237" s="19" t="s">
        <v>1384</v>
      </c>
    </row>
    <row r="1238" spans="1:16" x14ac:dyDescent="0.25">
      <c r="A1238" s="11">
        <f t="shared" ca="1" si="133"/>
        <v>-72</v>
      </c>
      <c r="C1238" s="11" t="s">
        <v>169</v>
      </c>
      <c r="D1238" s="11" t="str">
        <f>VLOOKUP(VALUE(MID($C1238,13,2)), codigos!$A$2:$B$60, 2, 1) &amp; " " &amp; VLOOKUP(VALUE(MID($C1238,15,4)), codigos!$E$2:$F$102, 2, FALSE)</f>
        <v>BUDINERA 30</v>
      </c>
      <c r="E1238" s="11" t="str">
        <f>VLOOKUP(VALUE(MID($C1238,19,2)),codigos!$H$2:$I$62,2,1) &amp; " " &amp; VLOOKUP(VALUE(MID($C1238,21,2)),codigos!$K$2:$L$12,2,FALSE)</f>
        <v>A/T S/I</v>
      </c>
      <c r="F1238" s="11" t="s">
        <v>1073</v>
      </c>
      <c r="G1238" s="11" t="s">
        <v>11</v>
      </c>
      <c r="H1238" s="11" t="s">
        <v>1074</v>
      </c>
      <c r="I1238" s="11" t="s">
        <v>1064</v>
      </c>
      <c r="J1238" s="25">
        <v>8</v>
      </c>
      <c r="K1238" s="25">
        <v>8</v>
      </c>
      <c r="L1238" s="15">
        <f t="shared" si="134"/>
        <v>0</v>
      </c>
      <c r="M1238" s="131"/>
      <c r="N1238" s="18">
        <v>46092</v>
      </c>
      <c r="O1238" s="93">
        <v>46071</v>
      </c>
      <c r="P1238" s="19" t="s">
        <v>1384</v>
      </c>
    </row>
    <row r="1239" spans="1:16" x14ac:dyDescent="0.25">
      <c r="A1239" s="11">
        <f t="shared" ca="1" si="133"/>
        <v>-72</v>
      </c>
      <c r="C1239" s="64" t="s">
        <v>173</v>
      </c>
      <c r="D1239" s="64" t="str">
        <f>VLOOKUP(VALUE(MID($C1239,13,2)), codigos!$A$2:$B$60, 2, 1) &amp; " " &amp; VLOOKUP(VALUE(MID($C1239,15,4)), codigos!$E$2:$F$102, 2, FALSE)</f>
        <v>BUDINERA 34</v>
      </c>
      <c r="E1239" s="64" t="str">
        <f>VLOOKUP(VALUE(MID($C1239,19,2)),codigos!$H$2:$I$62,2,1) &amp; " " &amp; VLOOKUP(VALUE(MID($C1239,21,2)),codigos!$K$2:$L$12,2,FALSE)</f>
        <v>A/T S/I</v>
      </c>
      <c r="F1239" s="64" t="s">
        <v>1073</v>
      </c>
      <c r="G1239" s="64" t="s">
        <v>11</v>
      </c>
      <c r="H1239" s="64" t="s">
        <v>1074</v>
      </c>
      <c r="I1239" s="64" t="s">
        <v>1064</v>
      </c>
      <c r="J1239" s="115">
        <v>4</v>
      </c>
      <c r="K1239" s="115">
        <v>0</v>
      </c>
      <c r="L1239" s="29">
        <f t="shared" si="134"/>
        <v>4</v>
      </c>
      <c r="M1239" s="131"/>
      <c r="N1239" s="18">
        <v>46092</v>
      </c>
      <c r="O1239" s="93">
        <v>46071</v>
      </c>
      <c r="P1239" s="19" t="s">
        <v>1384</v>
      </c>
    </row>
    <row r="1240" spans="1:16" x14ac:dyDescent="0.25">
      <c r="A1240" s="11">
        <f t="shared" ca="1" si="133"/>
        <v>-72</v>
      </c>
      <c r="C1240" s="11" t="s">
        <v>38</v>
      </c>
      <c r="D1240" s="11" t="str">
        <f>VLOOKUP(VALUE(MID($C1240,13,2)), codigos!$A$2:$B$60, 2, 1) &amp; " " &amp; VLOOKUP(VALUE(MID($C1240,15,4)), codigos!$E$2:$F$102, 2, FALSE)</f>
        <v>BUDINERA 42</v>
      </c>
      <c r="E1240" s="11" t="str">
        <f>VLOOKUP(VALUE(MID($C1240,19,2)),codigos!$H$2:$I$62,2,1) &amp; " " &amp; VLOOKUP(VALUE(MID($C1240,21,2)),codigos!$K$2:$L$12,2,FALSE)</f>
        <v>A/T S/I</v>
      </c>
      <c r="F1240" s="11" t="s">
        <v>1073</v>
      </c>
      <c r="G1240" s="11" t="s">
        <v>11</v>
      </c>
      <c r="H1240" s="11" t="s">
        <v>1074</v>
      </c>
      <c r="I1240" s="11" t="s">
        <v>1064</v>
      </c>
      <c r="J1240" s="25">
        <v>2</v>
      </c>
      <c r="K1240" s="25">
        <v>2</v>
      </c>
      <c r="L1240" s="15">
        <f t="shared" si="134"/>
        <v>0</v>
      </c>
      <c r="M1240" s="131"/>
      <c r="N1240" s="18">
        <v>46092</v>
      </c>
      <c r="O1240" s="93">
        <v>46071</v>
      </c>
      <c r="P1240" s="19" t="s">
        <v>1384</v>
      </c>
    </row>
    <row r="1241" spans="1:16" x14ac:dyDescent="0.25">
      <c r="A1241" s="11">
        <f t="shared" ca="1" si="133"/>
        <v>-72</v>
      </c>
      <c r="C1241" s="11" t="s">
        <v>149</v>
      </c>
      <c r="D1241" s="11" t="str">
        <f>VLOOKUP(VALUE(MID($C1241,13,2)), codigos!$A$2:$B$60, 2, 1) &amp; " " &amp; VLOOKUP(VALUE(MID($C1241,15,4)), codigos!$E$2:$F$102, 2, FALSE)</f>
        <v>COMAL 28</v>
      </c>
      <c r="E1241" s="11" t="str">
        <f>VLOOKUP(VALUE(MID($C1241,19,2)),codigos!$H$2:$I$62,2,1) &amp; " " &amp; VLOOKUP(VALUE(MID($C1241,21,2)),codigos!$K$2:$L$12,2,FALSE)</f>
        <v>NEGRO MOTAS S/I</v>
      </c>
      <c r="F1241" s="11" t="s">
        <v>1073</v>
      </c>
      <c r="G1241" s="11" t="s">
        <v>11</v>
      </c>
      <c r="H1241" s="11" t="s">
        <v>1074</v>
      </c>
      <c r="I1241" s="11" t="s">
        <v>1064</v>
      </c>
      <c r="J1241" s="25">
        <v>36</v>
      </c>
      <c r="K1241" s="25">
        <v>36</v>
      </c>
      <c r="L1241" s="15">
        <f t="shared" si="134"/>
        <v>0</v>
      </c>
      <c r="M1241" s="131"/>
      <c r="N1241" s="18">
        <v>46092</v>
      </c>
      <c r="O1241" s="93">
        <v>46071</v>
      </c>
      <c r="P1241" s="19" t="s">
        <v>1384</v>
      </c>
    </row>
    <row r="1242" spans="1:16" x14ac:dyDescent="0.25">
      <c r="A1242" s="11">
        <f t="shared" ca="1" si="133"/>
        <v>-72</v>
      </c>
      <c r="C1242" s="64" t="s">
        <v>157</v>
      </c>
      <c r="D1242" s="64" t="str">
        <f>VLOOKUP(VALUE(MID($C1242,13,2)), codigos!$A$2:$B$60, 2, 1) &amp; " " &amp; VLOOKUP(VALUE(MID($C1242,15,4)), codigos!$E$2:$F$102, 2, FALSE)</f>
        <v>OLLA RECTA 42</v>
      </c>
      <c r="E1242" s="64" t="str">
        <f>VLOOKUP(VALUE(MID($C1242,19,2)),codigos!$H$2:$I$62,2,1) &amp; " " &amp; VLOOKUP(VALUE(MID($C1242,21,2)),codigos!$K$2:$L$12,2,FALSE)</f>
        <v>A/T S/I</v>
      </c>
      <c r="F1242" s="64" t="s">
        <v>1073</v>
      </c>
      <c r="G1242" s="64" t="s">
        <v>11</v>
      </c>
      <c r="H1242" s="64" t="s">
        <v>1074</v>
      </c>
      <c r="I1242" s="64" t="s">
        <v>1064</v>
      </c>
      <c r="J1242" s="115">
        <v>4</v>
      </c>
      <c r="K1242" s="115">
        <v>0</v>
      </c>
      <c r="L1242" s="29">
        <f t="shared" si="134"/>
        <v>4</v>
      </c>
      <c r="M1242" s="131"/>
      <c r="N1242" s="18">
        <v>46092</v>
      </c>
      <c r="O1242" s="93">
        <v>46071</v>
      </c>
      <c r="P1242" s="19" t="s">
        <v>1384</v>
      </c>
    </row>
    <row r="1243" spans="1:16" x14ac:dyDescent="0.25">
      <c r="A1243" s="11">
        <f t="shared" ca="1" si="133"/>
        <v>-72</v>
      </c>
      <c r="C1243" s="11" t="s">
        <v>226</v>
      </c>
      <c r="D1243" s="11" t="str">
        <f>VLOOKUP(VALUE(MID($C1243,13,2)), codigos!$A$2:$B$60, 2, 1) &amp; " " &amp; VLOOKUP(VALUE(MID($C1243,15,4)), codigos!$E$2:$F$102, 2, FALSE)</f>
        <v>POCILLO 10</v>
      </c>
      <c r="E1243" s="11" t="str">
        <f>VLOOKUP(VALUE(MID($C1243,19,2)),codigos!$H$2:$I$62,2,1) &amp; " " &amp; VLOOKUP(VALUE(MID($C1243,21,2)),codigos!$K$2:$L$12,2,FALSE)</f>
        <v>A/T S/I</v>
      </c>
      <c r="F1243" s="11" t="s">
        <v>1073</v>
      </c>
      <c r="G1243" s="11" t="s">
        <v>11</v>
      </c>
      <c r="H1243" s="11" t="s">
        <v>1074</v>
      </c>
      <c r="I1243" s="11" t="s">
        <v>1064</v>
      </c>
      <c r="J1243" s="25">
        <v>24</v>
      </c>
      <c r="K1243" s="25">
        <v>24</v>
      </c>
      <c r="L1243" s="15">
        <f t="shared" si="134"/>
        <v>0</v>
      </c>
      <c r="M1243" s="131"/>
      <c r="N1243" s="18">
        <v>46092</v>
      </c>
      <c r="O1243" s="93">
        <v>46071</v>
      </c>
      <c r="P1243" s="19" t="s">
        <v>1384</v>
      </c>
    </row>
    <row r="1244" spans="1:16" x14ac:dyDescent="0.25">
      <c r="A1244" s="11">
        <f t="shared" ca="1" si="133"/>
        <v>-72</v>
      </c>
      <c r="C1244" s="11" t="s">
        <v>180</v>
      </c>
      <c r="D1244" s="11" t="str">
        <f>VLOOKUP(VALUE(MID($C1244,13,2)), codigos!$A$2:$B$60, 2, 1) &amp; " " &amp; VLOOKUP(VALUE(MID($C1244,15,4)), codigos!$E$2:$F$102, 2, FALSE)</f>
        <v>POCILLO 12</v>
      </c>
      <c r="E1244" s="11" t="str">
        <f>VLOOKUP(VALUE(MID($C1244,19,2)),codigos!$H$2:$I$62,2,1) &amp; " " &amp; VLOOKUP(VALUE(MID($C1244,21,2)),codigos!$K$2:$L$12,2,FALSE)</f>
        <v>A/T S/I</v>
      </c>
      <c r="F1244" s="11" t="s">
        <v>1073</v>
      </c>
      <c r="G1244" s="11" t="s">
        <v>11</v>
      </c>
      <c r="H1244" s="11" t="s">
        <v>1074</v>
      </c>
      <c r="I1244" s="11" t="s">
        <v>1064</v>
      </c>
      <c r="J1244" s="25">
        <v>24</v>
      </c>
      <c r="K1244" s="25">
        <v>24</v>
      </c>
      <c r="L1244" s="15">
        <f t="shared" si="134"/>
        <v>0</v>
      </c>
      <c r="M1244" s="131"/>
      <c r="N1244" s="18">
        <v>46092</v>
      </c>
      <c r="O1244" s="93">
        <v>46071</v>
      </c>
      <c r="P1244" s="19" t="s">
        <v>1384</v>
      </c>
    </row>
    <row r="1245" spans="1:16" x14ac:dyDescent="0.25">
      <c r="A1245" s="11">
        <f t="shared" ca="1" si="133"/>
        <v>-72</v>
      </c>
      <c r="C1245" s="11" t="s">
        <v>182</v>
      </c>
      <c r="D1245" s="11" t="str">
        <f>VLOOKUP(VALUE(MID($C1245,13,2)), codigos!$A$2:$B$60, 2, 1) &amp; " " &amp; VLOOKUP(VALUE(MID($C1245,15,4)), codigos!$E$2:$F$102, 2, FALSE)</f>
        <v>POCILLO 14</v>
      </c>
      <c r="E1245" s="11" t="str">
        <f>VLOOKUP(VALUE(MID($C1245,19,2)),codigos!$H$2:$I$62,2,1) &amp; " " &amp; VLOOKUP(VALUE(MID($C1245,21,2)),codigos!$K$2:$L$12,2,FALSE)</f>
        <v>A/T S/I</v>
      </c>
      <c r="F1245" s="11" t="s">
        <v>1073</v>
      </c>
      <c r="G1245" s="11" t="s">
        <v>11</v>
      </c>
      <c r="H1245" s="11" t="s">
        <v>1074</v>
      </c>
      <c r="I1245" s="11" t="s">
        <v>1064</v>
      </c>
      <c r="J1245" s="25">
        <v>24</v>
      </c>
      <c r="K1245" s="25">
        <f>23+1</f>
        <v>24</v>
      </c>
      <c r="L1245" s="15">
        <f t="shared" si="134"/>
        <v>0</v>
      </c>
      <c r="M1245" s="131"/>
      <c r="N1245" s="18">
        <v>46092</v>
      </c>
      <c r="O1245" s="93">
        <v>46071</v>
      </c>
      <c r="P1245" s="19" t="s">
        <v>1384</v>
      </c>
    </row>
    <row r="1246" spans="1:16" x14ac:dyDescent="0.25">
      <c r="A1246" s="11">
        <f t="shared" ca="1" si="133"/>
        <v>-72</v>
      </c>
      <c r="C1246" s="11" t="s">
        <v>129</v>
      </c>
      <c r="D1246" s="11" t="str">
        <f>VLOOKUP(VALUE(MID($C1246,13,2)), codigos!$A$2:$B$60, 2, 1) &amp; " " &amp; VLOOKUP(VALUE(MID($C1246,15,4)), codigos!$E$2:$F$102, 2, FALSE)</f>
        <v>POCILLO 14</v>
      </c>
      <c r="E1246" s="11" t="str">
        <f>VLOOKUP(VALUE(MID($C1246,19,2)),codigos!$H$2:$I$62,2,1) &amp; " " &amp; VLOOKUP(VALUE(MID($C1246,21,2)),codigos!$K$2:$L$12,2,FALSE)</f>
        <v>BICOLOR NARANJA S/I</v>
      </c>
      <c r="F1246" s="11" t="s">
        <v>1073</v>
      </c>
      <c r="G1246" s="11" t="s">
        <v>11</v>
      </c>
      <c r="H1246" s="11" t="s">
        <v>1074</v>
      </c>
      <c r="I1246" s="11" t="s">
        <v>1064</v>
      </c>
      <c r="J1246" s="25">
        <v>24</v>
      </c>
      <c r="K1246" s="25">
        <f>6+5+5+6+2</f>
        <v>24</v>
      </c>
      <c r="L1246" s="15">
        <f t="shared" si="134"/>
        <v>0</v>
      </c>
      <c r="M1246" s="131"/>
      <c r="N1246" s="18">
        <v>46092</v>
      </c>
      <c r="O1246" s="93">
        <v>46071</v>
      </c>
      <c r="P1246" s="19" t="s">
        <v>1384</v>
      </c>
    </row>
    <row r="1247" spans="1:16" x14ac:dyDescent="0.25">
      <c r="A1247" s="11">
        <f t="shared" ca="1" si="133"/>
        <v>-72</v>
      </c>
      <c r="C1247" s="11" t="s">
        <v>130</v>
      </c>
      <c r="D1247" s="11" t="str">
        <f>VLOOKUP(VALUE(MID($C1247,13,2)), codigos!$A$2:$B$60, 2, 1) &amp; " " &amp; VLOOKUP(VALUE(MID($C1247,15,4)), codigos!$E$2:$F$102, 2, FALSE)</f>
        <v>POCILLO 14</v>
      </c>
      <c r="E1247" s="11" t="str">
        <f>VLOOKUP(VALUE(MID($C1247,19,2)),codigos!$H$2:$I$62,2,1) &amp; " " &amp; VLOOKUP(VALUE(MID($C1247,21,2)),codigos!$K$2:$L$12,2,FALSE)</f>
        <v>BICOLOR ROJO S/I</v>
      </c>
      <c r="F1247" s="11" t="s">
        <v>1073</v>
      </c>
      <c r="G1247" s="11" t="s">
        <v>11</v>
      </c>
      <c r="H1247" s="11" t="s">
        <v>1074</v>
      </c>
      <c r="I1247" s="11" t="s">
        <v>1064</v>
      </c>
      <c r="J1247" s="25">
        <v>24</v>
      </c>
      <c r="K1247" s="25">
        <v>24</v>
      </c>
      <c r="L1247" s="15">
        <f t="shared" si="134"/>
        <v>0</v>
      </c>
      <c r="M1247" s="131"/>
      <c r="N1247" s="18">
        <v>46092</v>
      </c>
      <c r="O1247" s="93">
        <v>46071</v>
      </c>
      <c r="P1247" s="19" t="s">
        <v>1384</v>
      </c>
    </row>
    <row r="1248" spans="1:16" x14ac:dyDescent="0.25">
      <c r="A1248" s="11">
        <f t="shared" ca="1" si="133"/>
        <v>-72</v>
      </c>
      <c r="C1248" s="11" t="s">
        <v>228</v>
      </c>
      <c r="D1248" s="11" t="str">
        <f>VLOOKUP(VALUE(MID($C1248,13,2)), codigos!$A$2:$B$60, 2, 1) &amp; " " &amp; VLOOKUP(VALUE(MID($C1248,15,4)), codigos!$E$2:$F$102, 2, FALSE)</f>
        <v>PAVERA OVAL 18"</v>
      </c>
      <c r="E1248" s="11" t="str">
        <f>VLOOKUP(VALUE(MID($C1248,19,2)),codigos!$H$2:$I$62,2,1) &amp; " " &amp; VLOOKUP(VALUE(MID($C1248,21,2)),codigos!$K$2:$L$12,2,FALSE)</f>
        <v>NEGRO MOTAS S/I</v>
      </c>
      <c r="F1248" s="11" t="s">
        <v>1073</v>
      </c>
      <c r="G1248" s="11" t="s">
        <v>11</v>
      </c>
      <c r="H1248" s="11" t="s">
        <v>1074</v>
      </c>
      <c r="I1248" s="11" t="s">
        <v>1064</v>
      </c>
      <c r="J1248" s="25">
        <v>4</v>
      </c>
      <c r="K1248" s="25">
        <v>4</v>
      </c>
      <c r="L1248" s="15">
        <f t="shared" si="134"/>
        <v>0</v>
      </c>
      <c r="M1248" s="131"/>
      <c r="N1248" s="18">
        <v>46092</v>
      </c>
      <c r="O1248" s="93">
        <v>46071</v>
      </c>
      <c r="P1248" s="19" t="s">
        <v>1384</v>
      </c>
    </row>
    <row r="1249" spans="1:15" x14ac:dyDescent="0.25">
      <c r="A1249" s="11">
        <f t="shared" ca="1" si="133"/>
        <v>-141</v>
      </c>
      <c r="C1249" s="11" t="s">
        <v>189</v>
      </c>
      <c r="D1249" s="11" t="s">
        <v>1538</v>
      </c>
      <c r="E1249" s="11" t="s">
        <v>896</v>
      </c>
      <c r="F1249" s="11" t="s">
        <v>253</v>
      </c>
      <c r="G1249" s="11" t="s">
        <v>34</v>
      </c>
      <c r="H1249" s="52" t="s">
        <v>917</v>
      </c>
      <c r="I1249" s="20" t="s">
        <v>852</v>
      </c>
      <c r="J1249" s="11">
        <v>36</v>
      </c>
      <c r="K1249" s="11">
        <v>36</v>
      </c>
      <c r="L1249" s="11">
        <v>0</v>
      </c>
      <c r="M1249" s="131">
        <v>1</v>
      </c>
      <c r="N1249" s="18">
        <v>46092</v>
      </c>
      <c r="O1249" s="93">
        <v>46071</v>
      </c>
    </row>
    <row r="1250" spans="1:15" x14ac:dyDescent="0.25">
      <c r="A1250" s="11">
        <f t="shared" ca="1" si="133"/>
        <v>-141</v>
      </c>
      <c r="C1250" s="11" t="s">
        <v>214</v>
      </c>
      <c r="D1250" s="11" t="s">
        <v>1539</v>
      </c>
      <c r="E1250" s="11" t="s">
        <v>896</v>
      </c>
      <c r="F1250" s="11" t="s">
        <v>253</v>
      </c>
      <c r="G1250" s="11" t="s">
        <v>34</v>
      </c>
      <c r="H1250" s="52" t="s">
        <v>917</v>
      </c>
      <c r="I1250" s="20" t="s">
        <v>852</v>
      </c>
      <c r="J1250" s="11">
        <v>36</v>
      </c>
      <c r="K1250" s="11">
        <v>36</v>
      </c>
      <c r="L1250" s="11">
        <v>0</v>
      </c>
      <c r="M1250" s="131"/>
      <c r="N1250" s="18">
        <v>46092</v>
      </c>
      <c r="O1250" s="93">
        <v>46071</v>
      </c>
    </row>
    <row r="1251" spans="1:15" x14ac:dyDescent="0.25">
      <c r="A1251" s="11">
        <f t="shared" ca="1" si="133"/>
        <v>-141</v>
      </c>
      <c r="C1251" s="11" t="s">
        <v>227</v>
      </c>
      <c r="D1251" s="11" t="s">
        <v>981</v>
      </c>
      <c r="E1251" s="11" t="s">
        <v>896</v>
      </c>
      <c r="F1251" s="11" t="s">
        <v>253</v>
      </c>
      <c r="G1251" s="11" t="s">
        <v>34</v>
      </c>
      <c r="H1251" s="52" t="s">
        <v>917</v>
      </c>
      <c r="I1251" s="20" t="s">
        <v>852</v>
      </c>
      <c r="J1251" s="11">
        <v>24</v>
      </c>
      <c r="K1251" s="11">
        <v>24</v>
      </c>
      <c r="L1251" s="11">
        <v>0</v>
      </c>
      <c r="M1251" s="131"/>
      <c r="N1251" s="18">
        <v>46092</v>
      </c>
      <c r="O1251" s="93">
        <v>46071</v>
      </c>
    </row>
    <row r="1252" spans="1:15" x14ac:dyDescent="0.25">
      <c r="A1252" s="11">
        <f t="shared" ca="1" si="133"/>
        <v>-141</v>
      </c>
      <c r="C1252" s="11" t="s">
        <v>220</v>
      </c>
      <c r="D1252" s="11" t="s">
        <v>1401</v>
      </c>
      <c r="E1252" s="11" t="s">
        <v>896</v>
      </c>
      <c r="F1252" s="11" t="s">
        <v>253</v>
      </c>
      <c r="G1252" s="11" t="s">
        <v>34</v>
      </c>
      <c r="H1252" s="52" t="s">
        <v>917</v>
      </c>
      <c r="I1252" s="20" t="s">
        <v>852</v>
      </c>
      <c r="J1252" s="11">
        <v>24</v>
      </c>
      <c r="K1252" s="11">
        <v>24</v>
      </c>
      <c r="L1252" s="11">
        <v>0</v>
      </c>
      <c r="M1252" s="131"/>
      <c r="N1252" s="18">
        <v>46092</v>
      </c>
      <c r="O1252" s="93">
        <v>46071</v>
      </c>
    </row>
    <row r="1253" spans="1:15" x14ac:dyDescent="0.25">
      <c r="A1253" s="11">
        <f t="shared" ca="1" si="133"/>
        <v>-141</v>
      </c>
      <c r="C1253" s="11" t="s">
        <v>154</v>
      </c>
      <c r="D1253" s="11" t="s">
        <v>903</v>
      </c>
      <c r="E1253" s="11" t="s">
        <v>896</v>
      </c>
      <c r="F1253" s="11" t="s">
        <v>253</v>
      </c>
      <c r="G1253" s="11" t="s">
        <v>34</v>
      </c>
      <c r="H1253" s="52" t="s">
        <v>917</v>
      </c>
      <c r="I1253" s="20" t="s">
        <v>852</v>
      </c>
      <c r="J1253" s="11">
        <v>4</v>
      </c>
      <c r="K1253" s="11">
        <v>4</v>
      </c>
      <c r="L1253" s="11">
        <v>0</v>
      </c>
      <c r="M1253" s="131"/>
      <c r="N1253" s="18">
        <v>46092</v>
      </c>
      <c r="O1253" s="93">
        <v>46071</v>
      </c>
    </row>
    <row r="1254" spans="1:15" x14ac:dyDescent="0.25">
      <c r="A1254" s="11">
        <f t="shared" ca="1" si="133"/>
        <v>-141</v>
      </c>
      <c r="C1254" s="11" t="s">
        <v>222</v>
      </c>
      <c r="D1254" s="11" t="s">
        <v>1431</v>
      </c>
      <c r="E1254" s="11" t="s">
        <v>896</v>
      </c>
      <c r="F1254" s="11" t="s">
        <v>253</v>
      </c>
      <c r="G1254" s="11" t="s">
        <v>34</v>
      </c>
      <c r="H1254" s="52" t="s">
        <v>917</v>
      </c>
      <c r="I1254" s="20" t="s">
        <v>852</v>
      </c>
      <c r="J1254" s="11">
        <v>18</v>
      </c>
      <c r="K1254" s="11">
        <v>18</v>
      </c>
      <c r="L1254" s="11">
        <v>0</v>
      </c>
      <c r="M1254" s="131"/>
      <c r="N1254" s="18">
        <v>46092</v>
      </c>
      <c r="O1254" s="93">
        <v>46071</v>
      </c>
    </row>
    <row r="1255" spans="1:15" x14ac:dyDescent="0.25">
      <c r="A1255" s="11">
        <f t="shared" ca="1" si="133"/>
        <v>-55</v>
      </c>
      <c r="C1255" s="11" t="s">
        <v>252</v>
      </c>
      <c r="D1255" s="11" t="s">
        <v>1540</v>
      </c>
      <c r="E1255" s="11" t="s">
        <v>926</v>
      </c>
      <c r="F1255" s="11" t="s">
        <v>253</v>
      </c>
      <c r="G1255" s="11" t="s">
        <v>11</v>
      </c>
      <c r="H1255" s="52" t="s">
        <v>1314</v>
      </c>
      <c r="I1255" s="20" t="s">
        <v>1311</v>
      </c>
      <c r="J1255" s="11">
        <v>12</v>
      </c>
      <c r="K1255" s="11">
        <v>12</v>
      </c>
      <c r="L1255" s="11">
        <v>0</v>
      </c>
      <c r="M1255" s="131">
        <v>1</v>
      </c>
      <c r="N1255" s="18">
        <v>46092</v>
      </c>
      <c r="O1255" s="93">
        <v>46108</v>
      </c>
    </row>
    <row r="1256" spans="1:15" x14ac:dyDescent="0.25">
      <c r="A1256" s="11">
        <f t="shared" ca="1" si="133"/>
        <v>-55</v>
      </c>
      <c r="C1256" s="11" t="s">
        <v>19</v>
      </c>
      <c r="D1256" s="11" t="s">
        <v>1296</v>
      </c>
      <c r="E1256" s="11" t="s">
        <v>926</v>
      </c>
      <c r="F1256" s="11" t="s">
        <v>253</v>
      </c>
      <c r="G1256" s="11" t="s">
        <v>11</v>
      </c>
      <c r="H1256" s="52" t="s">
        <v>1314</v>
      </c>
      <c r="I1256" s="20" t="s">
        <v>1311</v>
      </c>
      <c r="J1256" s="11">
        <v>12</v>
      </c>
      <c r="K1256" s="11">
        <v>12</v>
      </c>
      <c r="L1256" s="11">
        <v>0</v>
      </c>
      <c r="M1256" s="131"/>
      <c r="N1256" s="18">
        <v>46092</v>
      </c>
      <c r="O1256" s="93">
        <v>46108</v>
      </c>
    </row>
    <row r="1257" spans="1:15" x14ac:dyDescent="0.25">
      <c r="A1257" s="11">
        <f t="shared" ca="1" si="133"/>
        <v>-55</v>
      </c>
      <c r="C1257" s="11" t="s">
        <v>255</v>
      </c>
      <c r="D1257" s="11" t="s">
        <v>939</v>
      </c>
      <c r="E1257" s="11" t="s">
        <v>896</v>
      </c>
      <c r="F1257" s="11" t="s">
        <v>253</v>
      </c>
      <c r="G1257" s="11" t="s">
        <v>11</v>
      </c>
      <c r="H1257" s="52" t="s">
        <v>1314</v>
      </c>
      <c r="I1257" s="20" t="s">
        <v>1311</v>
      </c>
      <c r="J1257" s="11">
        <v>36</v>
      </c>
      <c r="K1257" s="11">
        <v>36</v>
      </c>
      <c r="L1257" s="11">
        <v>0</v>
      </c>
      <c r="M1257" s="131"/>
      <c r="N1257" s="18">
        <v>46092</v>
      </c>
      <c r="O1257" s="93">
        <v>46108</v>
      </c>
    </row>
    <row r="1258" spans="1:15" x14ac:dyDescent="0.25">
      <c r="A1258" s="11">
        <f t="shared" ca="1" si="133"/>
        <v>-55</v>
      </c>
      <c r="C1258" s="11" t="s">
        <v>256</v>
      </c>
      <c r="D1258" s="11" t="s">
        <v>1397</v>
      </c>
      <c r="E1258" s="11" t="s">
        <v>896</v>
      </c>
      <c r="F1258" s="11" t="s">
        <v>253</v>
      </c>
      <c r="G1258" s="11" t="s">
        <v>11</v>
      </c>
      <c r="H1258" s="52" t="s">
        <v>1314</v>
      </c>
      <c r="I1258" s="20" t="s">
        <v>1311</v>
      </c>
      <c r="J1258" s="11">
        <v>36</v>
      </c>
      <c r="K1258" s="11">
        <v>36</v>
      </c>
      <c r="L1258" s="11">
        <v>0</v>
      </c>
      <c r="M1258" s="131"/>
      <c r="N1258" s="18">
        <v>46092</v>
      </c>
      <c r="O1258" s="93">
        <v>46108</v>
      </c>
    </row>
    <row r="1259" spans="1:15" x14ac:dyDescent="0.25">
      <c r="A1259" s="11">
        <f t="shared" ca="1" si="133"/>
        <v>-55</v>
      </c>
      <c r="C1259" s="11" t="s">
        <v>189</v>
      </c>
      <c r="D1259" s="11" t="s">
        <v>1398</v>
      </c>
      <c r="E1259" s="11" t="s">
        <v>896</v>
      </c>
      <c r="F1259" s="11" t="s">
        <v>253</v>
      </c>
      <c r="G1259" s="11" t="s">
        <v>11</v>
      </c>
      <c r="H1259" s="52" t="s">
        <v>1314</v>
      </c>
      <c r="I1259" s="20" t="s">
        <v>1311</v>
      </c>
      <c r="J1259" s="11">
        <v>36</v>
      </c>
      <c r="K1259" s="11">
        <v>36</v>
      </c>
      <c r="L1259" s="11">
        <v>0</v>
      </c>
      <c r="M1259" s="131"/>
      <c r="N1259" s="18">
        <v>46092</v>
      </c>
      <c r="O1259" s="93">
        <v>46108</v>
      </c>
    </row>
    <row r="1260" spans="1:15" x14ac:dyDescent="0.25">
      <c r="A1260" s="11">
        <f t="shared" ca="1" si="133"/>
        <v>-55</v>
      </c>
      <c r="C1260" s="11" t="s">
        <v>214</v>
      </c>
      <c r="D1260" s="11" t="s">
        <v>1115</v>
      </c>
      <c r="E1260" s="11" t="s">
        <v>896</v>
      </c>
      <c r="F1260" s="11" t="s">
        <v>253</v>
      </c>
      <c r="G1260" s="11" t="s">
        <v>11</v>
      </c>
      <c r="H1260" s="52" t="s">
        <v>1314</v>
      </c>
      <c r="I1260" s="20" t="s">
        <v>1311</v>
      </c>
      <c r="J1260" s="11">
        <v>36</v>
      </c>
      <c r="K1260" s="11">
        <v>36</v>
      </c>
      <c r="L1260" s="11">
        <v>0</v>
      </c>
      <c r="M1260" s="131"/>
      <c r="N1260" s="18">
        <v>46092</v>
      </c>
      <c r="O1260" s="93">
        <v>46108</v>
      </c>
    </row>
    <row r="1261" spans="1:15" x14ac:dyDescent="0.25">
      <c r="A1261" s="11">
        <f t="shared" ca="1" si="133"/>
        <v>-55</v>
      </c>
      <c r="C1261" s="11" t="s">
        <v>215</v>
      </c>
      <c r="D1261" s="11" t="s">
        <v>901</v>
      </c>
      <c r="E1261" s="11" t="s">
        <v>896</v>
      </c>
      <c r="F1261" s="11" t="s">
        <v>253</v>
      </c>
      <c r="G1261" s="11" t="s">
        <v>11</v>
      </c>
      <c r="H1261" s="52" t="s">
        <v>1314</v>
      </c>
      <c r="I1261" s="20" t="s">
        <v>1311</v>
      </c>
      <c r="J1261" s="11">
        <v>36</v>
      </c>
      <c r="K1261" s="11">
        <v>36</v>
      </c>
      <c r="L1261" s="11">
        <v>0</v>
      </c>
      <c r="M1261" s="131"/>
      <c r="N1261" s="18">
        <v>46092</v>
      </c>
      <c r="O1261" s="93">
        <v>46108</v>
      </c>
    </row>
    <row r="1262" spans="1:15" x14ac:dyDescent="0.25">
      <c r="A1262" s="11">
        <f t="shared" ca="1" si="133"/>
        <v>-55</v>
      </c>
      <c r="C1262" s="11" t="s">
        <v>242</v>
      </c>
      <c r="D1262" s="11" t="s">
        <v>1329</v>
      </c>
      <c r="E1262" s="11" t="s">
        <v>937</v>
      </c>
      <c r="F1262" s="11" t="s">
        <v>253</v>
      </c>
      <c r="G1262" s="11" t="s">
        <v>11</v>
      </c>
      <c r="H1262" s="52" t="s">
        <v>1314</v>
      </c>
      <c r="I1262" s="20" t="s">
        <v>1311</v>
      </c>
      <c r="J1262" s="11">
        <v>24</v>
      </c>
      <c r="K1262" s="11">
        <v>24</v>
      </c>
      <c r="L1262" s="11">
        <v>0</v>
      </c>
      <c r="M1262" s="131"/>
      <c r="N1262" s="18">
        <v>46092</v>
      </c>
      <c r="O1262" s="93">
        <v>46108</v>
      </c>
    </row>
    <row r="1263" spans="1:15" x14ac:dyDescent="0.25">
      <c r="A1263" s="11">
        <f t="shared" ca="1" si="133"/>
        <v>-55</v>
      </c>
      <c r="C1263" s="11" t="s">
        <v>149</v>
      </c>
      <c r="D1263" s="11" t="s">
        <v>1117</v>
      </c>
      <c r="E1263" s="11" t="s">
        <v>937</v>
      </c>
      <c r="F1263" s="11" t="s">
        <v>253</v>
      </c>
      <c r="G1263" s="11" t="s">
        <v>11</v>
      </c>
      <c r="H1263" s="52" t="s">
        <v>1314</v>
      </c>
      <c r="I1263" s="20" t="s">
        <v>1311</v>
      </c>
      <c r="J1263" s="11">
        <v>12</v>
      </c>
      <c r="K1263" s="11">
        <v>12</v>
      </c>
      <c r="L1263" s="11">
        <v>0</v>
      </c>
      <c r="M1263" s="131"/>
      <c r="N1263" s="18">
        <v>46092</v>
      </c>
      <c r="O1263" s="93">
        <v>46108</v>
      </c>
    </row>
    <row r="1264" spans="1:15" x14ac:dyDescent="0.25">
      <c r="A1264" s="11">
        <f t="shared" ca="1" si="133"/>
        <v>-55</v>
      </c>
      <c r="C1264" s="11" t="s">
        <v>220</v>
      </c>
      <c r="D1264" s="11" t="s">
        <v>1401</v>
      </c>
      <c r="E1264" s="11" t="s">
        <v>896</v>
      </c>
      <c r="F1264" s="11" t="s">
        <v>253</v>
      </c>
      <c r="G1264" s="11" t="s">
        <v>11</v>
      </c>
      <c r="H1264" s="52" t="s">
        <v>1314</v>
      </c>
      <c r="I1264" s="20" t="s">
        <v>1311</v>
      </c>
      <c r="J1264" s="11">
        <v>24</v>
      </c>
      <c r="K1264" s="11">
        <v>24</v>
      </c>
      <c r="L1264" s="11">
        <v>0</v>
      </c>
      <c r="M1264" s="131"/>
      <c r="N1264" s="18">
        <v>46092</v>
      </c>
      <c r="O1264" s="93">
        <v>46108</v>
      </c>
    </row>
    <row r="1265" spans="1:15" x14ac:dyDescent="0.25">
      <c r="A1265" s="11">
        <f t="shared" ca="1" si="133"/>
        <v>-55</v>
      </c>
      <c r="C1265" s="11" t="s">
        <v>150</v>
      </c>
      <c r="D1265" s="11" t="s">
        <v>1118</v>
      </c>
      <c r="E1265" s="11" t="s">
        <v>896</v>
      </c>
      <c r="F1265" s="11" t="s">
        <v>253</v>
      </c>
      <c r="G1265" s="11" t="s">
        <v>11</v>
      </c>
      <c r="H1265" s="52" t="s">
        <v>1314</v>
      </c>
      <c r="I1265" s="20" t="s">
        <v>1311</v>
      </c>
      <c r="J1265" s="11">
        <v>12</v>
      </c>
      <c r="K1265" s="11">
        <v>12</v>
      </c>
      <c r="L1265" s="11">
        <v>0</v>
      </c>
      <c r="M1265" s="131"/>
      <c r="N1265" s="18">
        <v>46092</v>
      </c>
      <c r="O1265" s="93">
        <v>46108</v>
      </c>
    </row>
    <row r="1266" spans="1:15" x14ac:dyDescent="0.25">
      <c r="A1266" s="11">
        <f t="shared" ca="1" si="133"/>
        <v>-55</v>
      </c>
      <c r="C1266" s="11" t="s">
        <v>151</v>
      </c>
      <c r="D1266" s="11" t="s">
        <v>1332</v>
      </c>
      <c r="E1266" s="11" t="s">
        <v>896</v>
      </c>
      <c r="F1266" s="11" t="s">
        <v>253</v>
      </c>
      <c r="G1266" s="11" t="s">
        <v>11</v>
      </c>
      <c r="H1266" s="52" t="s">
        <v>1314</v>
      </c>
      <c r="I1266" s="20" t="s">
        <v>1311</v>
      </c>
      <c r="J1266" s="11">
        <v>36</v>
      </c>
      <c r="K1266" s="11">
        <v>36</v>
      </c>
      <c r="L1266" s="11">
        <v>0</v>
      </c>
      <c r="M1266" s="131"/>
      <c r="N1266" s="18">
        <v>46092</v>
      </c>
      <c r="O1266" s="93">
        <v>46108</v>
      </c>
    </row>
    <row r="1267" spans="1:15" x14ac:dyDescent="0.25">
      <c r="A1267" s="11">
        <f t="shared" ca="1" si="133"/>
        <v>-55</v>
      </c>
      <c r="C1267" s="11" t="s">
        <v>43</v>
      </c>
      <c r="D1267" s="11" t="s">
        <v>1119</v>
      </c>
      <c r="E1267" s="11" t="s">
        <v>896</v>
      </c>
      <c r="F1267" s="11" t="s">
        <v>253</v>
      </c>
      <c r="G1267" s="11" t="s">
        <v>11</v>
      </c>
      <c r="H1267" s="52" t="s">
        <v>1314</v>
      </c>
      <c r="I1267" s="20" t="s">
        <v>1311</v>
      </c>
      <c r="J1267" s="11">
        <v>18</v>
      </c>
      <c r="K1267" s="11">
        <v>18</v>
      </c>
      <c r="L1267" s="11">
        <v>0</v>
      </c>
      <c r="M1267" s="131"/>
      <c r="N1267" s="18">
        <v>46092</v>
      </c>
      <c r="O1267" s="93">
        <v>46108</v>
      </c>
    </row>
    <row r="1268" spans="1:15" x14ac:dyDescent="0.25">
      <c r="A1268" s="11">
        <f t="shared" ca="1" si="133"/>
        <v>-55</v>
      </c>
      <c r="C1268" s="11" t="s">
        <v>152</v>
      </c>
      <c r="D1268" s="11" t="s">
        <v>1402</v>
      </c>
      <c r="E1268" s="11" t="s">
        <v>896</v>
      </c>
      <c r="F1268" s="11" t="s">
        <v>253</v>
      </c>
      <c r="G1268" s="11" t="s">
        <v>11</v>
      </c>
      <c r="H1268" s="52" t="s">
        <v>1314</v>
      </c>
      <c r="I1268" s="20" t="s">
        <v>1311</v>
      </c>
      <c r="J1268" s="11">
        <v>12</v>
      </c>
      <c r="K1268" s="11">
        <v>12</v>
      </c>
      <c r="L1268" s="11">
        <v>0</v>
      </c>
      <c r="M1268" s="131"/>
      <c r="N1268" s="18">
        <v>46092</v>
      </c>
      <c r="O1268" s="93">
        <v>46108</v>
      </c>
    </row>
    <row r="1269" spans="1:15" x14ac:dyDescent="0.25">
      <c r="A1269" s="11">
        <f t="shared" ca="1" si="133"/>
        <v>-55</v>
      </c>
      <c r="C1269" s="11" t="s">
        <v>154</v>
      </c>
      <c r="D1269" s="11" t="s">
        <v>903</v>
      </c>
      <c r="E1269" s="11" t="s">
        <v>896</v>
      </c>
      <c r="F1269" s="11" t="s">
        <v>253</v>
      </c>
      <c r="G1269" s="11" t="s">
        <v>11</v>
      </c>
      <c r="H1269" s="52" t="s">
        <v>1314</v>
      </c>
      <c r="I1269" s="20" t="s">
        <v>1311</v>
      </c>
      <c r="J1269" s="11">
        <v>4</v>
      </c>
      <c r="K1269" s="11">
        <v>4</v>
      </c>
      <c r="L1269" s="11">
        <v>0</v>
      </c>
      <c r="M1269" s="131"/>
      <c r="N1269" s="18">
        <v>46092</v>
      </c>
      <c r="O1269" s="93">
        <v>46108</v>
      </c>
    </row>
    <row r="1270" spans="1:15" x14ac:dyDescent="0.25">
      <c r="A1270" s="11">
        <f t="shared" ca="1" si="133"/>
        <v>-55</v>
      </c>
      <c r="C1270" s="11" t="s">
        <v>221</v>
      </c>
      <c r="D1270" s="11" t="s">
        <v>1430</v>
      </c>
      <c r="E1270" s="11" t="s">
        <v>896</v>
      </c>
      <c r="F1270" s="11" t="s">
        <v>253</v>
      </c>
      <c r="G1270" s="11" t="s">
        <v>11</v>
      </c>
      <c r="H1270" s="52" t="s">
        <v>1314</v>
      </c>
      <c r="I1270" s="20" t="s">
        <v>1311</v>
      </c>
      <c r="J1270" s="11">
        <v>4</v>
      </c>
      <c r="K1270" s="11">
        <v>4</v>
      </c>
      <c r="L1270" s="11">
        <v>0</v>
      </c>
      <c r="M1270" s="131"/>
      <c r="N1270" s="18">
        <v>46092</v>
      </c>
      <c r="O1270" s="93">
        <v>46108</v>
      </c>
    </row>
    <row r="1271" spans="1:15" x14ac:dyDescent="0.25">
      <c r="A1271" s="11">
        <f t="shared" ca="1" si="133"/>
        <v>-55</v>
      </c>
      <c r="C1271" s="20" t="s">
        <v>222</v>
      </c>
      <c r="D1271" s="20" t="s">
        <v>1431</v>
      </c>
      <c r="E1271" s="20" t="s">
        <v>896</v>
      </c>
      <c r="F1271" s="20" t="s">
        <v>253</v>
      </c>
      <c r="G1271" s="20" t="s">
        <v>11</v>
      </c>
      <c r="H1271" s="52" t="s">
        <v>1314</v>
      </c>
      <c r="I1271" s="20" t="s">
        <v>1311</v>
      </c>
      <c r="J1271" s="20">
        <v>36</v>
      </c>
      <c r="K1271" s="20">
        <v>36</v>
      </c>
      <c r="L1271" s="20">
        <v>0</v>
      </c>
      <c r="M1271" s="131"/>
      <c r="N1271" s="18">
        <v>46092</v>
      </c>
      <c r="O1271" s="93">
        <v>46108</v>
      </c>
    </row>
    <row r="1272" spans="1:15" x14ac:dyDescent="0.25">
      <c r="A1272" s="11">
        <f t="shared" ref="A1272:A1335" ca="1" si="135">DAYS360($B$1,I1272)</f>
        <v>-55</v>
      </c>
      <c r="C1272" s="11" t="s">
        <v>257</v>
      </c>
      <c r="D1272" s="11" t="s">
        <v>1432</v>
      </c>
      <c r="E1272" s="11" t="s">
        <v>896</v>
      </c>
      <c r="F1272" s="11" t="s">
        <v>253</v>
      </c>
      <c r="G1272" s="11" t="s">
        <v>11</v>
      </c>
      <c r="H1272" s="52" t="s">
        <v>1314</v>
      </c>
      <c r="I1272" s="20" t="s">
        <v>1311</v>
      </c>
      <c r="J1272" s="11">
        <v>36</v>
      </c>
      <c r="K1272" s="11">
        <v>36</v>
      </c>
      <c r="L1272" s="11">
        <v>0</v>
      </c>
      <c r="M1272" s="131"/>
      <c r="N1272" s="18">
        <v>46092</v>
      </c>
      <c r="O1272" s="93">
        <v>46108</v>
      </c>
    </row>
    <row r="1273" spans="1:15" x14ac:dyDescent="0.25">
      <c r="A1273" s="11">
        <f t="shared" ca="1" si="135"/>
        <v>-55</v>
      </c>
      <c r="C1273" s="11" t="s">
        <v>258</v>
      </c>
      <c r="D1273" s="11" t="s">
        <v>1403</v>
      </c>
      <c r="E1273" s="11" t="s">
        <v>896</v>
      </c>
      <c r="F1273" s="11" t="s">
        <v>253</v>
      </c>
      <c r="G1273" s="11" t="s">
        <v>11</v>
      </c>
      <c r="H1273" s="52" t="s">
        <v>1314</v>
      </c>
      <c r="I1273" s="20" t="s">
        <v>1311</v>
      </c>
      <c r="J1273" s="11">
        <v>24</v>
      </c>
      <c r="K1273" s="11">
        <v>24</v>
      </c>
      <c r="L1273" s="11">
        <v>0</v>
      </c>
      <c r="M1273" s="131"/>
      <c r="N1273" s="18">
        <v>46092</v>
      </c>
      <c r="O1273" s="93">
        <v>46108</v>
      </c>
    </row>
    <row r="1274" spans="1:15" x14ac:dyDescent="0.25">
      <c r="A1274" s="11">
        <f t="shared" ca="1" si="135"/>
        <v>-55</v>
      </c>
      <c r="C1274" s="11" t="s">
        <v>259</v>
      </c>
      <c r="D1274" s="11" t="s">
        <v>1404</v>
      </c>
      <c r="E1274" s="11" t="s">
        <v>896</v>
      </c>
      <c r="F1274" s="11" t="s">
        <v>253</v>
      </c>
      <c r="G1274" s="11" t="s">
        <v>11</v>
      </c>
      <c r="H1274" s="52" t="s">
        <v>1314</v>
      </c>
      <c r="I1274" s="20" t="s">
        <v>1311</v>
      </c>
      <c r="J1274" s="11">
        <v>24</v>
      </c>
      <c r="K1274" s="11">
        <v>24</v>
      </c>
      <c r="L1274" s="11">
        <v>0</v>
      </c>
      <c r="M1274" s="131"/>
      <c r="N1274" s="18">
        <v>46092</v>
      </c>
      <c r="O1274" s="93">
        <v>46108</v>
      </c>
    </row>
    <row r="1275" spans="1:15" x14ac:dyDescent="0.25">
      <c r="A1275" s="11">
        <f t="shared" ca="1" si="135"/>
        <v>-55</v>
      </c>
      <c r="C1275" s="11" t="s">
        <v>260</v>
      </c>
      <c r="D1275" s="11" t="s">
        <v>904</v>
      </c>
      <c r="E1275" s="11" t="s">
        <v>896</v>
      </c>
      <c r="F1275" s="11" t="s">
        <v>253</v>
      </c>
      <c r="G1275" s="11" t="s">
        <v>11</v>
      </c>
      <c r="H1275" s="52" t="s">
        <v>1314</v>
      </c>
      <c r="I1275" s="20" t="s">
        <v>1311</v>
      </c>
      <c r="J1275" s="11">
        <v>24</v>
      </c>
      <c r="K1275" s="11">
        <v>24</v>
      </c>
      <c r="L1275" s="11">
        <v>0</v>
      </c>
      <c r="M1275" s="131"/>
      <c r="N1275" s="18">
        <v>46092</v>
      </c>
      <c r="O1275" s="93">
        <v>46108</v>
      </c>
    </row>
    <row r="1276" spans="1:15" x14ac:dyDescent="0.25">
      <c r="A1276" s="11">
        <f t="shared" ca="1" si="135"/>
        <v>-55</v>
      </c>
      <c r="C1276" s="11" t="s">
        <v>226</v>
      </c>
      <c r="D1276" s="11" t="s">
        <v>1405</v>
      </c>
      <c r="E1276" s="11" t="s">
        <v>896</v>
      </c>
      <c r="F1276" s="11" t="s">
        <v>253</v>
      </c>
      <c r="G1276" s="11" t="s">
        <v>11</v>
      </c>
      <c r="H1276" s="52" t="s">
        <v>1314</v>
      </c>
      <c r="I1276" s="20" t="s">
        <v>1311</v>
      </c>
      <c r="J1276" s="11">
        <v>144</v>
      </c>
      <c r="K1276" s="11">
        <v>144</v>
      </c>
      <c r="L1276" s="11">
        <v>0</v>
      </c>
      <c r="M1276" s="131"/>
      <c r="N1276" s="18">
        <v>46092</v>
      </c>
      <c r="O1276" s="93">
        <v>46108</v>
      </c>
    </row>
    <row r="1277" spans="1:15" x14ac:dyDescent="0.25">
      <c r="A1277" s="11">
        <f t="shared" ca="1" si="135"/>
        <v>-55</v>
      </c>
      <c r="C1277" s="11" t="s">
        <v>180</v>
      </c>
      <c r="D1277" s="11" t="s">
        <v>1136</v>
      </c>
      <c r="E1277" s="11" t="s">
        <v>896</v>
      </c>
      <c r="F1277" s="11" t="s">
        <v>253</v>
      </c>
      <c r="G1277" s="11" t="s">
        <v>11</v>
      </c>
      <c r="H1277" s="52" t="s">
        <v>1314</v>
      </c>
      <c r="I1277" s="20" t="s">
        <v>1311</v>
      </c>
      <c r="J1277" s="11">
        <v>120</v>
      </c>
      <c r="K1277" s="11">
        <v>120</v>
      </c>
      <c r="L1277" s="11">
        <v>0</v>
      </c>
      <c r="M1277" s="131"/>
      <c r="N1277" s="18">
        <v>46092</v>
      </c>
      <c r="O1277" s="93">
        <v>46108</v>
      </c>
    </row>
    <row r="1278" spans="1:15" x14ac:dyDescent="0.25">
      <c r="A1278" s="11">
        <f t="shared" ca="1" si="135"/>
        <v>-55</v>
      </c>
      <c r="C1278" s="11" t="s">
        <v>182</v>
      </c>
      <c r="D1278" s="11" t="s">
        <v>905</v>
      </c>
      <c r="E1278" s="11" t="s">
        <v>896</v>
      </c>
      <c r="F1278" s="11" t="s">
        <v>253</v>
      </c>
      <c r="G1278" s="11" t="s">
        <v>11</v>
      </c>
      <c r="H1278" s="52" t="s">
        <v>1314</v>
      </c>
      <c r="I1278" s="20" t="s">
        <v>1311</v>
      </c>
      <c r="J1278" s="11">
        <v>72</v>
      </c>
      <c r="K1278" s="11">
        <v>72</v>
      </c>
      <c r="L1278" s="11">
        <v>0</v>
      </c>
      <c r="M1278" s="131"/>
      <c r="N1278" s="18">
        <v>46092</v>
      </c>
      <c r="O1278" s="93">
        <v>46108</v>
      </c>
    </row>
    <row r="1279" spans="1:15" x14ac:dyDescent="0.25">
      <c r="A1279" s="11">
        <f t="shared" ca="1" si="135"/>
        <v>-55</v>
      </c>
      <c r="C1279" s="11" t="s">
        <v>262</v>
      </c>
      <c r="D1279" s="11" t="s">
        <v>1541</v>
      </c>
      <c r="E1279" s="11" t="s">
        <v>896</v>
      </c>
      <c r="F1279" s="11" t="s">
        <v>253</v>
      </c>
      <c r="G1279" s="11" t="s">
        <v>11</v>
      </c>
      <c r="H1279" s="52" t="s">
        <v>1314</v>
      </c>
      <c r="I1279" s="20" t="s">
        <v>1311</v>
      </c>
      <c r="J1279" s="11">
        <v>48</v>
      </c>
      <c r="K1279" s="11">
        <v>48</v>
      </c>
      <c r="L1279" s="11">
        <v>0</v>
      </c>
      <c r="M1279" s="131"/>
      <c r="N1279" s="18">
        <v>46092</v>
      </c>
      <c r="O1279" s="93">
        <v>46108</v>
      </c>
    </row>
    <row r="1280" spans="1:15" x14ac:dyDescent="0.25">
      <c r="A1280" s="11">
        <f t="shared" ca="1" si="135"/>
        <v>-55</v>
      </c>
      <c r="C1280" s="11" t="s">
        <v>227</v>
      </c>
      <c r="D1280" s="11" t="s">
        <v>981</v>
      </c>
      <c r="E1280" s="11" t="s">
        <v>896</v>
      </c>
      <c r="F1280" s="11" t="s">
        <v>253</v>
      </c>
      <c r="G1280" s="11" t="s">
        <v>11</v>
      </c>
      <c r="H1280" s="52" t="s">
        <v>1314</v>
      </c>
      <c r="I1280" s="20" t="s">
        <v>1311</v>
      </c>
      <c r="J1280" s="11">
        <v>48</v>
      </c>
      <c r="K1280" s="11">
        <v>48</v>
      </c>
      <c r="L1280" s="11">
        <v>0</v>
      </c>
      <c r="M1280" s="131"/>
      <c r="N1280" s="18">
        <v>46092</v>
      </c>
      <c r="O1280" s="93">
        <v>46108</v>
      </c>
    </row>
    <row r="1281" spans="1:16" x14ac:dyDescent="0.25">
      <c r="A1281" s="11">
        <f t="shared" ca="1" si="135"/>
        <v>-55</v>
      </c>
      <c r="C1281" s="11" t="s">
        <v>44</v>
      </c>
      <c r="D1281" s="11" t="s">
        <v>910</v>
      </c>
      <c r="E1281" s="11" t="s">
        <v>896</v>
      </c>
      <c r="F1281" s="11" t="s">
        <v>253</v>
      </c>
      <c r="G1281" s="11" t="s">
        <v>11</v>
      </c>
      <c r="H1281" s="52" t="s">
        <v>1314</v>
      </c>
      <c r="I1281" s="20" t="s">
        <v>1311</v>
      </c>
      <c r="J1281" s="11">
        <v>36</v>
      </c>
      <c r="K1281" s="11">
        <v>36</v>
      </c>
      <c r="L1281" s="11">
        <v>0</v>
      </c>
      <c r="M1281" s="131"/>
      <c r="N1281" s="18">
        <v>46092</v>
      </c>
      <c r="O1281" s="93">
        <v>46108</v>
      </c>
    </row>
    <row r="1282" spans="1:16" x14ac:dyDescent="0.25">
      <c r="A1282" s="11">
        <f t="shared" ca="1" si="135"/>
        <v>-55</v>
      </c>
      <c r="C1282" s="11" t="s">
        <v>188</v>
      </c>
      <c r="D1282" s="11" t="s">
        <v>905</v>
      </c>
      <c r="E1282" s="11" t="s">
        <v>899</v>
      </c>
      <c r="F1282" s="11" t="s">
        <v>253</v>
      </c>
      <c r="G1282" s="11" t="s">
        <v>11</v>
      </c>
      <c r="H1282" s="52" t="s">
        <v>1314</v>
      </c>
      <c r="I1282" s="20" t="s">
        <v>1311</v>
      </c>
      <c r="J1282" s="11">
        <v>36</v>
      </c>
      <c r="K1282" s="11">
        <v>36</v>
      </c>
      <c r="L1282" s="11">
        <v>0</v>
      </c>
      <c r="M1282" s="131"/>
      <c r="N1282" s="18">
        <v>46092</v>
      </c>
      <c r="O1282" s="93">
        <v>46108</v>
      </c>
    </row>
    <row r="1283" spans="1:16" x14ac:dyDescent="0.25">
      <c r="A1283" s="11">
        <f t="shared" ca="1" si="135"/>
        <v>-45</v>
      </c>
      <c r="C1283" s="11" t="s">
        <v>255</v>
      </c>
      <c r="D1283" s="11" t="str">
        <f>VLOOKUP(VALUE(MID($C1283,13,2)), [2]codigos!$A$2:$B$60, 2, 1) &amp; " " &amp; VLOOKUP(VALUE(MID($C1283,15,4)), [2]codigos!$E$2:$F$102, 2, FALSE)</f>
        <v>BUDINERA   12</v>
      </c>
      <c r="E1283" s="11" t="str">
        <f>VLOOKUP(VALUE(MID($C1283,19,2)),[2]codigos!$H$2:$I$62,2,1) &amp; " " &amp; VLOOKUP(VALUE(MID($C1283,21,2)),[2]codigos!$K$2:$L$12,2,FALSE)</f>
        <v>A/T S/I</v>
      </c>
      <c r="F1283" s="11" t="s">
        <v>991</v>
      </c>
      <c r="G1283" s="11" t="s">
        <v>11</v>
      </c>
      <c r="H1283" s="52" t="s">
        <v>1382</v>
      </c>
      <c r="I1283" s="20" t="s">
        <v>1381</v>
      </c>
      <c r="J1283" s="122">
        <v>144</v>
      </c>
      <c r="K1283" s="11">
        <f>16+36+10+3+2+2+75</f>
        <v>144</v>
      </c>
      <c r="L1283" s="11">
        <f t="shared" ref="L1283:L1300" si="136">J1283-K1283</f>
        <v>0</v>
      </c>
      <c r="M1283" s="131">
        <f>(SUM(K1283:K1300))/(SUM(J1283:J1300))</f>
        <v>0.87445887445887449</v>
      </c>
      <c r="N1283" s="18">
        <v>46092</v>
      </c>
      <c r="O1283" s="93">
        <v>46092</v>
      </c>
      <c r="P1283" s="18">
        <v>46093</v>
      </c>
    </row>
    <row r="1284" spans="1:16" x14ac:dyDescent="0.25">
      <c r="A1284" s="11">
        <f t="shared" ca="1" si="135"/>
        <v>-45</v>
      </c>
      <c r="C1284" s="11" t="s">
        <v>256</v>
      </c>
      <c r="D1284" s="11" t="str">
        <f>VLOOKUP(VALUE(MID($C1284,13,2)), [2]codigos!$A$2:$B$60, 2, 1) &amp; " " &amp; VLOOKUP(VALUE(MID($C1284,15,4)), [2]codigos!$E$2:$F$102, 2, FALSE)</f>
        <v>BUDINERA   14</v>
      </c>
      <c r="E1284" s="11" t="str">
        <f>VLOOKUP(VALUE(MID($C1284,19,2)),[2]codigos!$H$2:$I$62,2,1) &amp; " " &amp; VLOOKUP(VALUE(MID($C1284,21,2)),[2]codigos!$K$2:$L$12,2,FALSE)</f>
        <v>A/T S/I</v>
      </c>
      <c r="F1284" s="11" t="s">
        <v>991</v>
      </c>
      <c r="G1284" s="11" t="s">
        <v>11</v>
      </c>
      <c r="H1284" s="52" t="s">
        <v>1382</v>
      </c>
      <c r="I1284" s="20" t="s">
        <v>1381</v>
      </c>
      <c r="J1284" s="122">
        <v>72</v>
      </c>
      <c r="K1284" s="11">
        <v>72</v>
      </c>
      <c r="L1284" s="11">
        <f t="shared" si="136"/>
        <v>0</v>
      </c>
      <c r="M1284" s="131"/>
      <c r="N1284" s="18">
        <v>46092</v>
      </c>
      <c r="O1284" s="93">
        <v>46092</v>
      </c>
      <c r="P1284" s="18">
        <v>46093</v>
      </c>
    </row>
    <row r="1285" spans="1:16" x14ac:dyDescent="0.25">
      <c r="A1285" s="11">
        <f t="shared" ca="1" si="135"/>
        <v>-45</v>
      </c>
      <c r="C1285" s="11" t="s">
        <v>214</v>
      </c>
      <c r="D1285" s="11" t="str">
        <f>VLOOKUP(VALUE(MID($C1285,13,2)), [2]codigos!$A$2:$B$60, 2, 1) &amp; " " &amp; VLOOKUP(VALUE(MID($C1285,15,4)), [2]codigos!$E$2:$F$102, 2, FALSE)</f>
        <v>BUDINERA   18</v>
      </c>
      <c r="E1285" s="11" t="str">
        <f>VLOOKUP(VALUE(MID($C1285,19,2)),[2]codigos!$H$2:$I$62,2,1) &amp; " " &amp; VLOOKUP(VALUE(MID($C1285,21,2)),[2]codigos!$K$2:$L$12,2,FALSE)</f>
        <v>A/T S/I</v>
      </c>
      <c r="F1285" s="11" t="s">
        <v>991</v>
      </c>
      <c r="G1285" s="11" t="s">
        <v>11</v>
      </c>
      <c r="H1285" s="52" t="s">
        <v>1382</v>
      </c>
      <c r="I1285" s="20" t="s">
        <v>1381</v>
      </c>
      <c r="J1285" s="122">
        <v>72</v>
      </c>
      <c r="K1285" s="11">
        <f>18+12+18+14+10</f>
        <v>72</v>
      </c>
      <c r="L1285" s="11">
        <f t="shared" si="136"/>
        <v>0</v>
      </c>
      <c r="M1285" s="131"/>
      <c r="N1285" s="18">
        <v>46092</v>
      </c>
      <c r="O1285" s="93">
        <v>46092</v>
      </c>
      <c r="P1285" s="18">
        <v>46093</v>
      </c>
    </row>
    <row r="1286" spans="1:16" x14ac:dyDescent="0.25">
      <c r="A1286" s="11">
        <f t="shared" ca="1" si="135"/>
        <v>-45</v>
      </c>
      <c r="C1286" s="11" t="s">
        <v>241</v>
      </c>
      <c r="D1286" s="11" t="str">
        <f>VLOOKUP(VALUE(MID($C1286,13,2)), [2]codigos!$A$2:$B$60, 2, 1) &amp; " " &amp; VLOOKUP(VALUE(MID($C1286,15,4)), [2]codigos!$E$2:$F$102, 2, FALSE)</f>
        <v>BUDINERA   22</v>
      </c>
      <c r="E1286" s="11" t="str">
        <f>VLOOKUP(VALUE(MID($C1286,19,2)),[2]codigos!$H$2:$I$62,2,1) &amp; " " &amp; VLOOKUP(VALUE(MID($C1286,21,2)),[2]codigos!$K$2:$L$12,2,FALSE)</f>
        <v>A/T S/I</v>
      </c>
      <c r="F1286" s="11" t="s">
        <v>991</v>
      </c>
      <c r="G1286" s="11" t="s">
        <v>11</v>
      </c>
      <c r="H1286" s="52" t="s">
        <v>1382</v>
      </c>
      <c r="I1286" s="20" t="s">
        <v>1381</v>
      </c>
      <c r="J1286" s="122">
        <v>120</v>
      </c>
      <c r="K1286" s="11">
        <f>6+36+60+12+6</f>
        <v>120</v>
      </c>
      <c r="L1286" s="11">
        <f t="shared" si="136"/>
        <v>0</v>
      </c>
      <c r="M1286" s="131"/>
      <c r="N1286" s="18">
        <v>46092</v>
      </c>
      <c r="O1286" s="93">
        <v>46092</v>
      </c>
      <c r="P1286" s="18">
        <v>46093</v>
      </c>
    </row>
    <row r="1287" spans="1:16" x14ac:dyDescent="0.25">
      <c r="A1287" s="11">
        <f t="shared" ca="1" si="135"/>
        <v>-45</v>
      </c>
      <c r="C1287" s="64" t="s">
        <v>148</v>
      </c>
      <c r="D1287" s="64" t="str">
        <f>VLOOKUP(VALUE(MID($C1287,13,2)), [2]codigos!$A$2:$B$60, 2, 1) &amp; " " &amp; VLOOKUP(VALUE(MID($C1287,15,4)), [2]codigos!$E$2:$F$102, 2, FALSE)</f>
        <v>BUDINERA   26</v>
      </c>
      <c r="E1287" s="64" t="str">
        <f>VLOOKUP(VALUE(MID($C1287,19,2)),[2]codigos!$H$2:$I$62,2,1) &amp; " " &amp; VLOOKUP(VALUE(MID($C1287,21,2)),[2]codigos!$K$2:$L$12,2,FALSE)</f>
        <v>A/T S/I</v>
      </c>
      <c r="F1287" s="64" t="s">
        <v>991</v>
      </c>
      <c r="G1287" s="64" t="s">
        <v>11</v>
      </c>
      <c r="H1287" s="66" t="s">
        <v>1382</v>
      </c>
      <c r="I1287" s="64" t="s">
        <v>1381</v>
      </c>
      <c r="J1287" s="123">
        <v>204</v>
      </c>
      <c r="K1287" s="64">
        <v>48</v>
      </c>
      <c r="L1287" s="64">
        <f t="shared" si="136"/>
        <v>156</v>
      </c>
      <c r="M1287" s="131"/>
      <c r="N1287" s="18">
        <v>46092</v>
      </c>
      <c r="O1287" s="93">
        <v>46092</v>
      </c>
      <c r="P1287" s="18">
        <v>46093</v>
      </c>
    </row>
    <row r="1288" spans="1:16" x14ac:dyDescent="0.25">
      <c r="A1288" s="11">
        <f t="shared" ca="1" si="135"/>
        <v>-45</v>
      </c>
      <c r="C1288" s="64" t="s">
        <v>173</v>
      </c>
      <c r="D1288" s="64" t="str">
        <f>VLOOKUP(VALUE(MID($C1288,13,2)), [2]codigos!$A$2:$B$60, 2, 1) &amp; " " &amp; VLOOKUP(VALUE(MID($C1288,15,4)), [2]codigos!$E$2:$F$102, 2, FALSE)</f>
        <v>BUDINERA   34</v>
      </c>
      <c r="E1288" s="64" t="str">
        <f>VLOOKUP(VALUE(MID($C1288,19,2)),[2]codigos!$H$2:$I$62,2,1) &amp; " " &amp; VLOOKUP(VALUE(MID($C1288,21,2)),[2]codigos!$K$2:$L$12,2,FALSE)</f>
        <v>A/T S/I</v>
      </c>
      <c r="F1288" s="64" t="s">
        <v>991</v>
      </c>
      <c r="G1288" s="64" t="s">
        <v>11</v>
      </c>
      <c r="H1288" s="66" t="s">
        <v>1382</v>
      </c>
      <c r="I1288" s="64" t="s">
        <v>1381</v>
      </c>
      <c r="J1288" s="123">
        <v>76</v>
      </c>
      <c r="K1288" s="64">
        <v>0</v>
      </c>
      <c r="L1288" s="64">
        <f t="shared" si="136"/>
        <v>76</v>
      </c>
      <c r="M1288" s="131"/>
      <c r="N1288" s="18">
        <v>46092</v>
      </c>
      <c r="O1288" s="93">
        <v>46092</v>
      </c>
      <c r="P1288" s="18">
        <v>46093</v>
      </c>
    </row>
    <row r="1289" spans="1:16" x14ac:dyDescent="0.25">
      <c r="A1289" s="11">
        <f t="shared" ca="1" si="135"/>
        <v>-45</v>
      </c>
      <c r="C1289" s="11" t="s">
        <v>242</v>
      </c>
      <c r="D1289" s="11" t="str">
        <f>VLOOKUP(VALUE(MID($C1289,13,2)), [2]codigos!$A$2:$B$60, 2, 1) &amp; " " &amp; VLOOKUP(VALUE(MID($C1289,15,4)), [2]codigos!$E$2:$F$102, 2, FALSE)</f>
        <v>COMAL 22</v>
      </c>
      <c r="E1289" s="11" t="str">
        <f>VLOOKUP(VALUE(MID($C1289,19,2)),[2]codigos!$H$2:$I$62,2,1) &amp; " " &amp; VLOOKUP(VALUE(MID($C1289,21,2)),[2]codigos!$K$2:$L$12,2,FALSE)</f>
        <v>NEGRO MOTAS S/I</v>
      </c>
      <c r="F1289" s="11" t="s">
        <v>991</v>
      </c>
      <c r="G1289" s="11" t="s">
        <v>11</v>
      </c>
      <c r="H1289" s="52" t="s">
        <v>1382</v>
      </c>
      <c r="I1289" s="20" t="s">
        <v>1381</v>
      </c>
      <c r="J1289" s="122">
        <v>216</v>
      </c>
      <c r="K1289" s="11">
        <v>216</v>
      </c>
      <c r="L1289" s="11">
        <f t="shared" si="136"/>
        <v>0</v>
      </c>
      <c r="M1289" s="131"/>
      <c r="N1289" s="18">
        <v>46092</v>
      </c>
      <c r="O1289" s="93">
        <v>46092</v>
      </c>
      <c r="P1289" s="18">
        <v>46093</v>
      </c>
    </row>
    <row r="1290" spans="1:16" x14ac:dyDescent="0.25">
      <c r="A1290" s="11">
        <f t="shared" ca="1" si="135"/>
        <v>-45</v>
      </c>
      <c r="C1290" s="11" t="s">
        <v>187</v>
      </c>
      <c r="D1290" s="11" t="str">
        <f>VLOOKUP(VALUE(MID($C1290,13,2)), [2]codigos!$A$2:$B$60, 2, 1) &amp; " " &amp; VLOOKUP(VALUE(MID($C1290,15,4)), [2]codigos!$E$2:$F$102, 2, FALSE)</f>
        <v>OLLA CONVEXA 12</v>
      </c>
      <c r="E1290" s="11" t="str">
        <f>VLOOKUP(VALUE(MID($C1290,19,2)),[2]codigos!$H$2:$I$62,2,1) &amp; " " &amp; VLOOKUP(VALUE(MID($C1290,21,2)),[2]codigos!$K$2:$L$12,2,FALSE)</f>
        <v>A/T S/I</v>
      </c>
      <c r="F1290" s="11" t="s">
        <v>991</v>
      </c>
      <c r="G1290" s="11" t="s">
        <v>11</v>
      </c>
      <c r="H1290" s="52" t="s">
        <v>1382</v>
      </c>
      <c r="I1290" s="20" t="s">
        <v>1381</v>
      </c>
      <c r="J1290" s="122">
        <v>90</v>
      </c>
      <c r="K1290" s="11">
        <f>90</f>
        <v>90</v>
      </c>
      <c r="L1290" s="11">
        <f t="shared" si="136"/>
        <v>0</v>
      </c>
      <c r="M1290" s="131"/>
      <c r="N1290" s="18">
        <v>46092</v>
      </c>
      <c r="O1290" s="93">
        <v>46092</v>
      </c>
      <c r="P1290" s="18">
        <v>46093</v>
      </c>
    </row>
    <row r="1291" spans="1:16" x14ac:dyDescent="0.25">
      <c r="A1291" s="11">
        <f t="shared" ca="1" si="135"/>
        <v>-45</v>
      </c>
      <c r="C1291" s="11" t="s">
        <v>333</v>
      </c>
      <c r="D1291" s="11" t="str">
        <f>VLOOKUP(VALUE(MID($C1291,13,2)), [2]codigos!$A$2:$B$60, 2, 1) &amp; " " &amp; VLOOKUP(VALUE(MID($C1291,15,4)), [2]codigos!$E$2:$F$102, 2, FALSE)</f>
        <v>OLLA CONVEXA 14</v>
      </c>
      <c r="E1291" s="11" t="str">
        <f>VLOOKUP(VALUE(MID($C1291,19,2)),[2]codigos!$H$2:$I$62,2,1) &amp; " " &amp; VLOOKUP(VALUE(MID($C1291,21,2)),[2]codigos!$K$2:$L$12,2,FALSE)</f>
        <v>A/T S/I</v>
      </c>
      <c r="F1291" s="11" t="s">
        <v>991</v>
      </c>
      <c r="G1291" s="11" t="s">
        <v>11</v>
      </c>
      <c r="H1291" s="52" t="s">
        <v>1382</v>
      </c>
      <c r="I1291" s="20" t="s">
        <v>1381</v>
      </c>
      <c r="J1291" s="122">
        <v>126</v>
      </c>
      <c r="K1291" s="11">
        <v>126</v>
      </c>
      <c r="L1291" s="11">
        <f t="shared" si="136"/>
        <v>0</v>
      </c>
      <c r="M1291" s="131"/>
      <c r="N1291" s="18">
        <v>46092</v>
      </c>
      <c r="O1291" s="93">
        <v>46092</v>
      </c>
      <c r="P1291" s="18">
        <v>46093</v>
      </c>
    </row>
    <row r="1292" spans="1:16" x14ac:dyDescent="0.25">
      <c r="A1292" s="11">
        <f t="shared" ca="1" si="135"/>
        <v>-45</v>
      </c>
      <c r="C1292" s="11" t="s">
        <v>150</v>
      </c>
      <c r="D1292" s="11" t="str">
        <f>VLOOKUP(VALUE(MID($C1292,13,2)), [2]codigos!$A$2:$B$60, 2, 1) &amp; " " &amp; VLOOKUP(VALUE(MID($C1292,15,4)), [2]codigos!$E$2:$F$102, 2, FALSE)</f>
        <v>OLLA CONVEXA 18</v>
      </c>
      <c r="E1292" s="11" t="str">
        <f>VLOOKUP(VALUE(MID($C1292,19,2)),[2]codigos!$H$2:$I$62,2,1) &amp; " " &amp; VLOOKUP(VALUE(MID($C1292,21,2)),[2]codigos!$K$2:$L$12,2,FALSE)</f>
        <v>A/T S/I</v>
      </c>
      <c r="F1292" s="11" t="s">
        <v>991</v>
      </c>
      <c r="G1292" s="11" t="s">
        <v>11</v>
      </c>
      <c r="H1292" s="52" t="s">
        <v>1382</v>
      </c>
      <c r="I1292" s="20" t="s">
        <v>1381</v>
      </c>
      <c r="J1292" s="122">
        <v>168</v>
      </c>
      <c r="K1292" s="11">
        <f>40+48+50+12-2+20</f>
        <v>168</v>
      </c>
      <c r="L1292" s="11">
        <f t="shared" si="136"/>
        <v>0</v>
      </c>
      <c r="M1292" s="131"/>
      <c r="N1292" s="18">
        <v>46092</v>
      </c>
      <c r="O1292" s="93">
        <v>46092</v>
      </c>
      <c r="P1292" s="18">
        <v>46093</v>
      </c>
    </row>
    <row r="1293" spans="1:16" x14ac:dyDescent="0.25">
      <c r="A1293" s="11">
        <f t="shared" ca="1" si="135"/>
        <v>-45</v>
      </c>
      <c r="C1293" s="11" t="s">
        <v>152</v>
      </c>
      <c r="D1293" s="11" t="str">
        <f>VLOOKUP(VALUE(MID($C1293,13,2)), [2]codigos!$A$2:$B$60, 2, 1) &amp; " " &amp; VLOOKUP(VALUE(MID($C1293,15,4)), [2]codigos!$E$2:$F$102, 2, FALSE)</f>
        <v>OLLA CONVEXA 24</v>
      </c>
      <c r="E1293" s="11" t="str">
        <f>VLOOKUP(VALUE(MID($C1293,19,2)),[2]codigos!$H$2:$I$62,2,1) &amp; " " &amp; VLOOKUP(VALUE(MID($C1293,21,2)),[2]codigos!$K$2:$L$12,2,FALSE)</f>
        <v>A/T S/I</v>
      </c>
      <c r="F1293" s="11" t="s">
        <v>991</v>
      </c>
      <c r="G1293" s="11" t="s">
        <v>11</v>
      </c>
      <c r="H1293" s="52" t="s">
        <v>1382</v>
      </c>
      <c r="I1293" s="20" t="s">
        <v>1381</v>
      </c>
      <c r="J1293" s="122">
        <v>60</v>
      </c>
      <c r="K1293" s="11">
        <v>60</v>
      </c>
      <c r="L1293" s="11">
        <f t="shared" si="136"/>
        <v>0</v>
      </c>
      <c r="M1293" s="131"/>
      <c r="N1293" s="18">
        <v>46092</v>
      </c>
      <c r="O1293" s="93">
        <v>46092</v>
      </c>
      <c r="P1293" s="18">
        <v>46093</v>
      </c>
    </row>
    <row r="1294" spans="1:16" x14ac:dyDescent="0.25">
      <c r="A1294" s="11">
        <f t="shared" ca="1" si="135"/>
        <v>-45</v>
      </c>
      <c r="C1294" s="11" t="s">
        <v>153</v>
      </c>
      <c r="D1294" s="11" t="str">
        <f>VLOOKUP(VALUE(MID($C1294,13,2)), [2]codigos!$A$2:$B$60, 2, 1) &amp; " " &amp; VLOOKUP(VALUE(MID($C1294,15,4)), [2]codigos!$E$2:$F$102, 2, FALSE)</f>
        <v>OLLA CONVEXA 26</v>
      </c>
      <c r="E1294" s="11" t="str">
        <f>VLOOKUP(VALUE(MID($C1294,19,2)),[2]codigos!$H$2:$I$62,2,1) &amp; " " &amp; VLOOKUP(VALUE(MID($C1294,21,2)),[2]codigos!$K$2:$L$12,2,FALSE)</f>
        <v>A/T S/I</v>
      </c>
      <c r="F1294" s="11" t="s">
        <v>991</v>
      </c>
      <c r="G1294" s="11" t="s">
        <v>11</v>
      </c>
      <c r="H1294" s="52" t="s">
        <v>1382</v>
      </c>
      <c r="I1294" s="20" t="s">
        <v>1381</v>
      </c>
      <c r="J1294" s="122">
        <v>138</v>
      </c>
      <c r="K1294" s="11">
        <f>12+36+3+6+81</f>
        <v>138</v>
      </c>
      <c r="L1294" s="11">
        <f t="shared" si="136"/>
        <v>0</v>
      </c>
      <c r="M1294" s="131"/>
      <c r="N1294" s="18">
        <v>46092</v>
      </c>
      <c r="O1294" s="93">
        <v>46092</v>
      </c>
      <c r="P1294" s="18">
        <v>46093</v>
      </c>
    </row>
    <row r="1295" spans="1:16" x14ac:dyDescent="0.25">
      <c r="A1295" s="11">
        <f t="shared" ca="1" si="135"/>
        <v>-45</v>
      </c>
      <c r="C1295" s="11" t="s">
        <v>154</v>
      </c>
      <c r="D1295" s="11" t="str">
        <f>VLOOKUP(VALUE(MID($C1295,13,2)), [2]codigos!$A$2:$B$60, 2, 1) &amp; " " &amp; VLOOKUP(VALUE(MID($C1295,15,4)), [2]codigos!$E$2:$F$102, 2, FALSE)</f>
        <v>OLLA CONVEXA 30</v>
      </c>
      <c r="E1295" s="11" t="str">
        <f>VLOOKUP(VALUE(MID($C1295,19,2)),[2]codigos!$H$2:$I$62,2,1) &amp; " " &amp; VLOOKUP(VALUE(MID($C1295,21,2)),[2]codigos!$K$2:$L$12,2,FALSE)</f>
        <v>A/T S/I</v>
      </c>
      <c r="F1295" s="11" t="s">
        <v>991</v>
      </c>
      <c r="G1295" s="11" t="s">
        <v>11</v>
      </c>
      <c r="H1295" s="52" t="s">
        <v>1382</v>
      </c>
      <c r="I1295" s="20" t="s">
        <v>1381</v>
      </c>
      <c r="J1295" s="122">
        <v>68</v>
      </c>
      <c r="K1295" s="11">
        <f>38+18+12</f>
        <v>68</v>
      </c>
      <c r="L1295" s="11">
        <f t="shared" si="136"/>
        <v>0</v>
      </c>
      <c r="M1295" s="131"/>
      <c r="N1295" s="18">
        <v>46092</v>
      </c>
      <c r="O1295" s="93">
        <v>46092</v>
      </c>
      <c r="P1295" s="18">
        <v>46093</v>
      </c>
    </row>
    <row r="1296" spans="1:16" x14ac:dyDescent="0.25">
      <c r="A1296" s="11">
        <f t="shared" ca="1" si="135"/>
        <v>-45</v>
      </c>
      <c r="C1296" s="11" t="s">
        <v>222</v>
      </c>
      <c r="D1296" s="11" t="str">
        <f>VLOOKUP(VALUE(MID($C1296,13,2)), [2]codigos!$A$2:$B$60, 2, 1) &amp; " " &amp; VLOOKUP(VALUE(MID($C1296,15,4)), [2]codigos!$E$2:$F$102, 2, FALSE)</f>
        <v>OLLA RECTA 12</v>
      </c>
      <c r="E1296" s="11" t="str">
        <f>VLOOKUP(VALUE(MID($C1296,19,2)),[2]codigos!$H$2:$I$62,2,1) &amp; " " &amp; VLOOKUP(VALUE(MID($C1296,21,2)),[2]codigos!$K$2:$L$12,2,FALSE)</f>
        <v>A/T S/I</v>
      </c>
      <c r="F1296" s="11" t="s">
        <v>991</v>
      </c>
      <c r="G1296" s="11" t="s">
        <v>11</v>
      </c>
      <c r="H1296" s="52" t="s">
        <v>1382</v>
      </c>
      <c r="I1296" s="20" t="s">
        <v>1381</v>
      </c>
      <c r="J1296" s="122">
        <v>18</v>
      </c>
      <c r="K1296" s="11">
        <v>18</v>
      </c>
      <c r="L1296" s="11">
        <f t="shared" si="136"/>
        <v>0</v>
      </c>
      <c r="M1296" s="131"/>
      <c r="N1296" s="18">
        <v>46092</v>
      </c>
      <c r="O1296" s="93">
        <v>46092</v>
      </c>
      <c r="P1296" s="18">
        <v>46093</v>
      </c>
    </row>
    <row r="1297" spans="1:16" x14ac:dyDescent="0.25">
      <c r="A1297" s="11">
        <f t="shared" ca="1" si="135"/>
        <v>-45</v>
      </c>
      <c r="C1297" s="11" t="s">
        <v>257</v>
      </c>
      <c r="D1297" s="11" t="str">
        <f>VLOOKUP(VALUE(MID($C1297,13,2)), [2]codigos!$A$2:$B$60, 2, 1) &amp; " " &amp; VLOOKUP(VALUE(MID($C1297,15,4)), [2]codigos!$E$2:$F$102, 2, FALSE)</f>
        <v>OLLA RECTA 14</v>
      </c>
      <c r="E1297" s="11" t="str">
        <f>VLOOKUP(VALUE(MID($C1297,19,2)),[2]codigos!$H$2:$I$62,2,1) &amp; " " &amp; VLOOKUP(VALUE(MID($C1297,21,2)),[2]codigos!$K$2:$L$12,2,FALSE)</f>
        <v>A/T S/I</v>
      </c>
      <c r="F1297" s="11" t="s">
        <v>991</v>
      </c>
      <c r="G1297" s="11" t="s">
        <v>11</v>
      </c>
      <c r="H1297" s="52" t="s">
        <v>1382</v>
      </c>
      <c r="I1297" s="20" t="s">
        <v>1381</v>
      </c>
      <c r="J1297" s="122">
        <v>18</v>
      </c>
      <c r="K1297" s="11">
        <v>18</v>
      </c>
      <c r="L1297" s="11">
        <f t="shared" si="136"/>
        <v>0</v>
      </c>
      <c r="M1297" s="131"/>
      <c r="N1297" s="18">
        <v>46092</v>
      </c>
      <c r="O1297" s="93">
        <v>46092</v>
      </c>
      <c r="P1297" s="18">
        <v>46093</v>
      </c>
    </row>
    <row r="1298" spans="1:16" x14ac:dyDescent="0.25">
      <c r="A1298" s="11">
        <f t="shared" ca="1" si="135"/>
        <v>-45</v>
      </c>
      <c r="C1298" s="11" t="s">
        <v>180</v>
      </c>
      <c r="D1298" s="11" t="str">
        <f>VLOOKUP(VALUE(MID($C1298,13,2)), [2]codigos!$A$2:$B$60, 2, 1) &amp; " " &amp; VLOOKUP(VALUE(MID($C1298,15,4)), [2]codigos!$E$2:$F$102, 2, FALSE)</f>
        <v>POCILLO 12</v>
      </c>
      <c r="E1298" s="11" t="str">
        <f>VLOOKUP(VALUE(MID($C1298,19,2)),[2]codigos!$H$2:$I$62,2,1) &amp; " " &amp; VLOOKUP(VALUE(MID($C1298,21,2)),[2]codigos!$K$2:$L$12,2,FALSE)</f>
        <v>A/T S/I</v>
      </c>
      <c r="F1298" s="11" t="s">
        <v>991</v>
      </c>
      <c r="G1298" s="11" t="s">
        <v>11</v>
      </c>
      <c r="H1298" s="52" t="s">
        <v>1382</v>
      </c>
      <c r="I1298" s="20" t="s">
        <v>1381</v>
      </c>
      <c r="J1298" s="122">
        <v>120</v>
      </c>
      <c r="K1298" s="11">
        <v>120</v>
      </c>
      <c r="L1298" s="11">
        <f t="shared" si="136"/>
        <v>0</v>
      </c>
      <c r="M1298" s="131"/>
      <c r="N1298" s="18">
        <v>46092</v>
      </c>
      <c r="O1298" s="93">
        <v>46092</v>
      </c>
      <c r="P1298" s="18">
        <v>46093</v>
      </c>
    </row>
    <row r="1299" spans="1:16" x14ac:dyDescent="0.25">
      <c r="A1299" s="11">
        <f t="shared" ca="1" si="135"/>
        <v>-45</v>
      </c>
      <c r="C1299" s="11" t="s">
        <v>182</v>
      </c>
      <c r="D1299" s="11" t="str">
        <f>VLOOKUP(VALUE(MID($C1299,13,2)), [2]codigos!$A$2:$B$60, 2, 1) &amp; " " &amp; VLOOKUP(VALUE(MID($C1299,15,4)), [2]codigos!$E$2:$F$102, 2, FALSE)</f>
        <v>POCILLO 14</v>
      </c>
      <c r="E1299" s="11" t="str">
        <f>VLOOKUP(VALUE(MID($C1299,19,2)),[2]codigos!$H$2:$I$62,2,1) &amp; " " &amp; VLOOKUP(VALUE(MID($C1299,21,2)),[2]codigos!$K$2:$L$12,2,FALSE)</f>
        <v>A/T S/I</v>
      </c>
      <c r="F1299" s="11" t="s">
        <v>991</v>
      </c>
      <c r="G1299" s="11" t="s">
        <v>11</v>
      </c>
      <c r="H1299" s="52" t="s">
        <v>1382</v>
      </c>
      <c r="I1299" s="20" t="s">
        <v>1381</v>
      </c>
      <c r="J1299" s="122">
        <v>66</v>
      </c>
      <c r="K1299" s="11">
        <f>12+1+35+18</f>
        <v>66</v>
      </c>
      <c r="L1299" s="11">
        <f t="shared" si="136"/>
        <v>0</v>
      </c>
      <c r="M1299" s="131"/>
      <c r="N1299" s="18">
        <v>46092</v>
      </c>
      <c r="O1299" s="93">
        <v>46092</v>
      </c>
      <c r="P1299" s="18">
        <v>46093</v>
      </c>
    </row>
    <row r="1300" spans="1:16" x14ac:dyDescent="0.25">
      <c r="A1300" s="11">
        <f t="shared" ca="1" si="135"/>
        <v>-45</v>
      </c>
      <c r="C1300" s="11" t="s">
        <v>188</v>
      </c>
      <c r="D1300" s="11" t="str">
        <f>VLOOKUP(VALUE(MID($C1300,13,2)), [2]codigos!$A$2:$B$60, 2, 1) &amp; " " &amp; VLOOKUP(VALUE(MID($C1300,15,4)), [2]codigos!$E$2:$F$102, 2, FALSE)</f>
        <v>POCILLO 14</v>
      </c>
      <c r="E1300" s="11" t="str">
        <f>VLOOKUP(VALUE(MID($C1300,19,2)),[2]codigos!$H$2:$I$62,2,1) &amp; " " &amp; VLOOKUP(VALUE(MID($C1300,21,2)),[2]codigos!$K$2:$L$12,2,FALSE)</f>
        <v>S/I S/I</v>
      </c>
      <c r="F1300" s="11" t="s">
        <v>991</v>
      </c>
      <c r="G1300" s="11" t="s">
        <v>11</v>
      </c>
      <c r="H1300" s="52" t="s">
        <v>1382</v>
      </c>
      <c r="I1300" s="20" t="s">
        <v>1381</v>
      </c>
      <c r="J1300" s="122">
        <v>72</v>
      </c>
      <c r="K1300" s="11">
        <f>12+60</f>
        <v>72</v>
      </c>
      <c r="L1300" s="11">
        <f t="shared" si="136"/>
        <v>0</v>
      </c>
      <c r="M1300" s="131"/>
      <c r="N1300" s="18">
        <v>46092</v>
      </c>
      <c r="O1300" s="93">
        <v>46092</v>
      </c>
      <c r="P1300" s="18">
        <v>46093</v>
      </c>
    </row>
    <row r="1301" spans="1:16" x14ac:dyDescent="0.25">
      <c r="A1301" s="11">
        <f t="shared" ca="1" si="135"/>
        <v>-24</v>
      </c>
      <c r="C1301" s="11" t="s">
        <v>45</v>
      </c>
      <c r="D1301" s="11" t="s">
        <v>1440</v>
      </c>
      <c r="E1301" s="20" t="s">
        <v>1294</v>
      </c>
      <c r="F1301" s="11" t="s">
        <v>1157</v>
      </c>
      <c r="G1301" s="11" t="s">
        <v>11</v>
      </c>
      <c r="H1301" s="52" t="s">
        <v>1511</v>
      </c>
      <c r="I1301" s="20" t="s">
        <v>1512</v>
      </c>
      <c r="J1301" s="122">
        <v>50</v>
      </c>
      <c r="K1301" s="11">
        <v>50</v>
      </c>
      <c r="L1301" s="11">
        <v>0</v>
      </c>
      <c r="M1301" s="151">
        <v>0.5</v>
      </c>
      <c r="N1301" s="18">
        <v>46093</v>
      </c>
    </row>
    <row r="1302" spans="1:16" x14ac:dyDescent="0.25">
      <c r="A1302" s="11">
        <f t="shared" ca="1" si="135"/>
        <v>-24</v>
      </c>
      <c r="C1302" s="11" t="s">
        <v>32</v>
      </c>
      <c r="D1302" s="11" t="s">
        <v>1551</v>
      </c>
      <c r="E1302" s="20" t="s">
        <v>1294</v>
      </c>
      <c r="F1302" s="11" t="s">
        <v>1157</v>
      </c>
      <c r="G1302" s="11" t="s">
        <v>11</v>
      </c>
      <c r="H1302" s="52" t="s">
        <v>1511</v>
      </c>
      <c r="I1302" s="20" t="s">
        <v>1512</v>
      </c>
      <c r="J1302" s="11">
        <v>30</v>
      </c>
      <c r="K1302" s="11">
        <v>0</v>
      </c>
      <c r="L1302" s="11">
        <v>30</v>
      </c>
      <c r="M1302" s="151"/>
      <c r="N1302" s="18">
        <v>46093</v>
      </c>
    </row>
    <row r="1303" spans="1:16" x14ac:dyDescent="0.25">
      <c r="A1303" s="11">
        <f t="shared" ca="1" si="135"/>
        <v>-24</v>
      </c>
      <c r="C1303" s="11" t="s">
        <v>37</v>
      </c>
      <c r="D1303" s="11" t="s">
        <v>1441</v>
      </c>
      <c r="E1303" s="20" t="s">
        <v>1294</v>
      </c>
      <c r="F1303" s="11" t="s">
        <v>1157</v>
      </c>
      <c r="G1303" s="11" t="s">
        <v>11</v>
      </c>
      <c r="H1303" s="52" t="s">
        <v>1511</v>
      </c>
      <c r="I1303" s="20" t="s">
        <v>1512</v>
      </c>
      <c r="J1303" s="11">
        <v>20</v>
      </c>
      <c r="K1303" s="11">
        <v>0</v>
      </c>
      <c r="L1303" s="11">
        <v>20</v>
      </c>
      <c r="M1303" s="151"/>
      <c r="N1303" s="18">
        <v>46093</v>
      </c>
    </row>
    <row r="1304" spans="1:16" x14ac:dyDescent="0.25">
      <c r="A1304" s="11">
        <f t="shared" ca="1" si="135"/>
        <v>-24</v>
      </c>
      <c r="C1304" s="11" t="s">
        <v>416</v>
      </c>
      <c r="D1304" s="11" t="s">
        <v>1442</v>
      </c>
      <c r="E1304" s="11" t="s">
        <v>1294</v>
      </c>
      <c r="F1304" s="11" t="s">
        <v>1157</v>
      </c>
      <c r="G1304" s="11" t="s">
        <v>11</v>
      </c>
      <c r="H1304" s="52" t="s">
        <v>1511</v>
      </c>
      <c r="I1304" s="14">
        <v>46085</v>
      </c>
      <c r="J1304" s="124">
        <v>20</v>
      </c>
      <c r="K1304" s="15">
        <v>0</v>
      </c>
      <c r="L1304" s="15">
        <v>20</v>
      </c>
      <c r="M1304" s="151"/>
      <c r="N1304" s="18">
        <v>46093</v>
      </c>
    </row>
    <row r="1305" spans="1:16" x14ac:dyDescent="0.25">
      <c r="A1305" s="11">
        <f t="shared" ca="1" si="135"/>
        <v>-24</v>
      </c>
      <c r="C1305" s="11" t="s">
        <v>210</v>
      </c>
      <c r="D1305" s="11" t="s">
        <v>1424</v>
      </c>
      <c r="E1305" s="20" t="s">
        <v>1294</v>
      </c>
      <c r="F1305" s="11" t="s">
        <v>1157</v>
      </c>
      <c r="G1305" s="11" t="s">
        <v>11</v>
      </c>
      <c r="H1305" s="52" t="s">
        <v>1511</v>
      </c>
      <c r="I1305" s="20" t="s">
        <v>1512</v>
      </c>
      <c r="J1305" s="11">
        <v>20</v>
      </c>
      <c r="K1305" s="11">
        <v>0</v>
      </c>
      <c r="L1305" s="11">
        <v>20</v>
      </c>
      <c r="M1305" s="151"/>
      <c r="N1305" s="18">
        <v>46093</v>
      </c>
    </row>
    <row r="1306" spans="1:16" x14ac:dyDescent="0.25">
      <c r="A1306" s="11">
        <f t="shared" ca="1" si="135"/>
        <v>-24</v>
      </c>
      <c r="C1306" s="11" t="s">
        <v>211</v>
      </c>
      <c r="D1306" s="11" t="s">
        <v>1293</v>
      </c>
      <c r="E1306" s="20" t="s">
        <v>1294</v>
      </c>
      <c r="F1306" s="11" t="s">
        <v>1157</v>
      </c>
      <c r="G1306" s="11" t="s">
        <v>11</v>
      </c>
      <c r="H1306" s="52" t="s">
        <v>1511</v>
      </c>
      <c r="I1306" s="20" t="s">
        <v>1512</v>
      </c>
      <c r="J1306" s="122">
        <v>10</v>
      </c>
      <c r="K1306" s="11">
        <v>10</v>
      </c>
      <c r="L1306" s="11">
        <v>0</v>
      </c>
      <c r="M1306" s="151"/>
      <c r="N1306" s="18">
        <v>46093</v>
      </c>
    </row>
    <row r="1307" spans="1:16" x14ac:dyDescent="0.25">
      <c r="A1307" s="11">
        <f t="shared" ca="1" si="135"/>
        <v>-24</v>
      </c>
      <c r="C1307" s="11" t="s">
        <v>212</v>
      </c>
      <c r="D1307" s="11" t="s">
        <v>1295</v>
      </c>
      <c r="E1307" s="20" t="s">
        <v>1294</v>
      </c>
      <c r="F1307" s="11" t="s">
        <v>1157</v>
      </c>
      <c r="G1307" s="11" t="s">
        <v>11</v>
      </c>
      <c r="H1307" s="52" t="s">
        <v>1511</v>
      </c>
      <c r="I1307" s="20" t="s">
        <v>1512</v>
      </c>
      <c r="J1307" s="122">
        <v>10</v>
      </c>
      <c r="K1307" s="11">
        <v>10</v>
      </c>
      <c r="L1307" s="11">
        <v>0</v>
      </c>
      <c r="M1307" s="151"/>
      <c r="N1307" s="18">
        <v>46093</v>
      </c>
    </row>
    <row r="1308" spans="1:16" x14ac:dyDescent="0.25">
      <c r="A1308" s="11">
        <f t="shared" ca="1" si="135"/>
        <v>-24</v>
      </c>
      <c r="C1308" s="11" t="s">
        <v>344</v>
      </c>
      <c r="D1308" s="11" t="str">
        <f>VLOOKUP(VALUE(MID($C1308,13,2)), codigos!$A$2:$B$60, 2, 1) &amp; " " &amp; VLOOKUP(VALUE(MID($C1308,15,4)), codigos!$E$2:$F$102, 2, FALSE)</f>
        <v>COMAL 36</v>
      </c>
      <c r="E1308" s="20" t="str">
        <f>VLOOKUP(VALUE(MID($C1308,19,2)),codigos!$H$2:$I$62,2,1) &amp; " " &amp; VLOOKUP(VALUE(MID($C1308,21,2)),codigos!$K$2:$L$12,2,FALSE)</f>
        <v>NEGRO MOTAS S/I</v>
      </c>
      <c r="F1308" s="11" t="s">
        <v>1156</v>
      </c>
      <c r="G1308" s="11" t="s">
        <v>11</v>
      </c>
      <c r="H1308" s="52" t="s">
        <v>1513</v>
      </c>
      <c r="I1308" s="20" t="s">
        <v>1512</v>
      </c>
      <c r="J1308" s="122">
        <v>120</v>
      </c>
      <c r="K1308" s="11">
        <v>0</v>
      </c>
      <c r="L1308" s="11">
        <f t="shared" ref="L1308:L1316" si="137">+J1308-K1308</f>
        <v>120</v>
      </c>
      <c r="M1308" s="131">
        <f>(SUM(K1308:K1316))/(SUM(J1308:J1316))</f>
        <v>0.47385620915032678</v>
      </c>
      <c r="N1308" s="18">
        <v>46093</v>
      </c>
    </row>
    <row r="1309" spans="1:16" x14ac:dyDescent="0.25">
      <c r="A1309" s="11">
        <f t="shared" ca="1" si="135"/>
        <v>-24</v>
      </c>
      <c r="C1309" s="11" t="s">
        <v>187</v>
      </c>
      <c r="D1309" s="11" t="str">
        <f>VLOOKUP(VALUE(MID($C1309,13,2)), codigos!$A$2:$B$60, 2, 1) &amp; " " &amp; VLOOKUP(VALUE(MID($C1309,15,4)), codigos!$E$2:$F$102, 2, FALSE)</f>
        <v>OLLA CONVEXA 12</v>
      </c>
      <c r="E1309" s="20" t="str">
        <f>VLOOKUP(VALUE(MID($C1309,19,2)),codigos!$H$2:$I$62,2,1) &amp; " " &amp; VLOOKUP(VALUE(MID($C1309,21,2)),codigos!$K$2:$L$12,2,FALSE)</f>
        <v>A/T S/I</v>
      </c>
      <c r="F1309" s="11" t="s">
        <v>1156</v>
      </c>
      <c r="G1309" s="11" t="s">
        <v>11</v>
      </c>
      <c r="H1309" s="52" t="s">
        <v>1513</v>
      </c>
      <c r="I1309" s="20" t="s">
        <v>1512</v>
      </c>
      <c r="J1309" s="122">
        <v>180</v>
      </c>
      <c r="K1309" s="11">
        <v>0</v>
      </c>
      <c r="L1309" s="11">
        <f t="shared" si="137"/>
        <v>180</v>
      </c>
      <c r="M1309" s="131"/>
      <c r="N1309" s="18">
        <v>46093</v>
      </c>
    </row>
    <row r="1310" spans="1:16" x14ac:dyDescent="0.25">
      <c r="A1310" s="11">
        <f t="shared" ca="1" si="135"/>
        <v>-24</v>
      </c>
      <c r="C1310" s="11" t="s">
        <v>333</v>
      </c>
      <c r="D1310" s="11" t="str">
        <f>VLOOKUP(VALUE(MID($C1310,13,2)), codigos!$A$2:$B$60, 2, 1) &amp; " " &amp; VLOOKUP(VALUE(MID($C1310,15,4)), codigos!$E$2:$F$102, 2, FALSE)</f>
        <v>OLLA CONVEXA 14</v>
      </c>
      <c r="E1310" s="20" t="str">
        <f>VLOOKUP(VALUE(MID($C1310,19,2)),codigos!$H$2:$I$62,2,1) &amp; " " &amp; VLOOKUP(VALUE(MID($C1310,21,2)),codigos!$K$2:$L$12,2,FALSE)</f>
        <v>A/T S/I</v>
      </c>
      <c r="F1310" s="11" t="s">
        <v>1156</v>
      </c>
      <c r="G1310" s="11" t="s">
        <v>11</v>
      </c>
      <c r="H1310" s="52" t="s">
        <v>1513</v>
      </c>
      <c r="I1310" s="20" t="s">
        <v>1512</v>
      </c>
      <c r="J1310" s="122">
        <v>180</v>
      </c>
      <c r="K1310" s="11">
        <f>18</f>
        <v>18</v>
      </c>
      <c r="L1310" s="11">
        <f t="shared" si="137"/>
        <v>162</v>
      </c>
      <c r="M1310" s="131"/>
      <c r="N1310" s="18">
        <v>46093</v>
      </c>
    </row>
    <row r="1311" spans="1:16" x14ac:dyDescent="0.25">
      <c r="A1311" s="11">
        <f t="shared" ca="1" si="135"/>
        <v>-24</v>
      </c>
      <c r="C1311" s="11" t="s">
        <v>220</v>
      </c>
      <c r="D1311" s="11" t="str">
        <f>VLOOKUP(VALUE(MID($C1311,13,2)), codigos!$A$2:$B$60, 2, 1) &amp; " " &amp; VLOOKUP(VALUE(MID($C1311,15,4)), codigos!$E$2:$F$102, 2, FALSE)</f>
        <v>OLLA CONVEXA 16</v>
      </c>
      <c r="E1311" s="20" t="str">
        <f>VLOOKUP(VALUE(MID($C1311,19,2)),codigos!$H$2:$I$62,2,1) &amp; " " &amp; VLOOKUP(VALUE(MID($C1311,21,2)),codigos!$K$2:$L$12,2,FALSE)</f>
        <v>A/T S/I</v>
      </c>
      <c r="F1311" s="11" t="s">
        <v>1156</v>
      </c>
      <c r="G1311" s="11" t="s">
        <v>11</v>
      </c>
      <c r="H1311" s="52" t="s">
        <v>1513</v>
      </c>
      <c r="I1311" s="20" t="s">
        <v>1512</v>
      </c>
      <c r="J1311" s="122">
        <v>120</v>
      </c>
      <c r="K1311" s="11">
        <v>0</v>
      </c>
      <c r="L1311" s="11">
        <f t="shared" si="137"/>
        <v>120</v>
      </c>
      <c r="M1311" s="131"/>
      <c r="N1311" s="18">
        <v>46093</v>
      </c>
    </row>
    <row r="1312" spans="1:16" x14ac:dyDescent="0.25">
      <c r="A1312" s="11">
        <f t="shared" ca="1" si="135"/>
        <v>-24</v>
      </c>
      <c r="C1312" s="11" t="s">
        <v>151</v>
      </c>
      <c r="D1312" s="11" t="str">
        <f>VLOOKUP(VALUE(MID($C1312,13,2)), codigos!$A$2:$B$60, 2, 1) &amp; " " &amp; VLOOKUP(VALUE(MID($C1312,15,4)), codigos!$E$2:$F$102, 2, FALSE)</f>
        <v>OLLA CONVEXA 20</v>
      </c>
      <c r="E1312" s="20" t="str">
        <f>VLOOKUP(VALUE(MID($C1312,19,2)),codigos!$H$2:$I$62,2,1) &amp; " " &amp; VLOOKUP(VALUE(MID($C1312,21,2)),codigos!$K$2:$L$12,2,FALSE)</f>
        <v>A/T S/I</v>
      </c>
      <c r="F1312" s="11" t="s">
        <v>1156</v>
      </c>
      <c r="G1312" s="11" t="s">
        <v>11</v>
      </c>
      <c r="H1312" s="52" t="s">
        <v>1513</v>
      </c>
      <c r="I1312" s="20" t="s">
        <v>1512</v>
      </c>
      <c r="J1312" s="122">
        <v>120</v>
      </c>
      <c r="K1312" s="11">
        <v>0</v>
      </c>
      <c r="L1312" s="11">
        <f t="shared" si="137"/>
        <v>120</v>
      </c>
      <c r="M1312" s="131"/>
      <c r="N1312" s="18">
        <v>46093</v>
      </c>
    </row>
    <row r="1313" spans="1:14" x14ac:dyDescent="0.25">
      <c r="A1313" s="11">
        <f t="shared" ca="1" si="135"/>
        <v>-24</v>
      </c>
      <c r="C1313" s="11" t="s">
        <v>283</v>
      </c>
      <c r="D1313" s="11" t="str">
        <f>VLOOKUP(VALUE(MID($C1313,13,2)), codigos!$A$2:$B$60, 2, 1) &amp; " " &amp; VLOOKUP(VALUE(MID($C1313,15,4)), codigos!$E$2:$F$102, 2, FALSE)</f>
        <v>PLATO AVENERO 20</v>
      </c>
      <c r="E1313" s="20" t="str">
        <f>VLOOKUP(VALUE(MID($C1313,19,2)),codigos!$H$2:$I$62,2,1) &amp; " " &amp; VLOOKUP(VALUE(MID($C1313,21,2)),codigos!$K$2:$L$12,2,FALSE)</f>
        <v>BLANCO  NEGRO</v>
      </c>
      <c r="F1313" s="11" t="s">
        <v>1156</v>
      </c>
      <c r="G1313" s="11" t="s">
        <v>11</v>
      </c>
      <c r="H1313" s="52" t="s">
        <v>1513</v>
      </c>
      <c r="I1313" s="20" t="s">
        <v>1512</v>
      </c>
      <c r="J1313" s="122">
        <v>240</v>
      </c>
      <c r="K1313" s="11">
        <f>240</f>
        <v>240</v>
      </c>
      <c r="L1313" s="11">
        <f t="shared" si="137"/>
        <v>0</v>
      </c>
      <c r="M1313" s="131"/>
      <c r="N1313" s="18">
        <v>46093</v>
      </c>
    </row>
    <row r="1314" spans="1:14" x14ac:dyDescent="0.25">
      <c r="A1314" s="11">
        <f t="shared" ca="1" si="135"/>
        <v>-24</v>
      </c>
      <c r="C1314" s="11" t="s">
        <v>129</v>
      </c>
      <c r="D1314" s="11" t="str">
        <f>VLOOKUP(VALUE(MID($C1314,13,2)), codigos!$A$2:$B$60, 2, 1) &amp; " " &amp; VLOOKUP(VALUE(MID($C1314,15,4)), codigos!$E$2:$F$102, 2, FALSE)</f>
        <v>POCILLO 14</v>
      </c>
      <c r="E1314" s="20" t="str">
        <f>VLOOKUP(VALUE(MID($C1314,19,2)),codigos!$H$2:$I$62,2,1) &amp; " " &amp; VLOOKUP(VALUE(MID($C1314,21,2)),codigos!$K$2:$L$12,2,FALSE)</f>
        <v>BICOLOR NARANJA S/I</v>
      </c>
      <c r="F1314" s="11" t="s">
        <v>1156</v>
      </c>
      <c r="G1314" s="11" t="s">
        <v>11</v>
      </c>
      <c r="H1314" s="52" t="s">
        <v>1513</v>
      </c>
      <c r="I1314" s="20" t="s">
        <v>1512</v>
      </c>
      <c r="J1314" s="122">
        <v>36</v>
      </c>
      <c r="K1314" s="11">
        <v>0</v>
      </c>
      <c r="L1314" s="11">
        <f t="shared" si="137"/>
        <v>36</v>
      </c>
      <c r="M1314" s="131"/>
      <c r="N1314" s="18">
        <v>46093</v>
      </c>
    </row>
    <row r="1315" spans="1:14" x14ac:dyDescent="0.25">
      <c r="A1315" s="11">
        <f t="shared" ca="1" si="135"/>
        <v>-24</v>
      </c>
      <c r="C1315" s="11" t="s">
        <v>83</v>
      </c>
      <c r="D1315" s="11" t="str">
        <f>VLOOKUP(VALUE(MID($C1315,13,2)), codigos!$A$2:$B$60, 2, 1) &amp; " " &amp; VLOOKUP(VALUE(MID($C1315,15,4)), codigos!$E$2:$F$102, 2, FALSE)</f>
        <v>TAZON 15.5</v>
      </c>
      <c r="E1315" s="20" t="str">
        <f>VLOOKUP(VALUE(MID($C1315,19,2)),codigos!$H$2:$I$62,2,1) &amp; " " &amp; VLOOKUP(VALUE(MID($C1315,21,2)),codigos!$K$2:$L$12,2,FALSE)</f>
        <v>BLANCO  NEGRO</v>
      </c>
      <c r="F1315" s="11" t="s">
        <v>1156</v>
      </c>
      <c r="G1315" s="11" t="s">
        <v>11</v>
      </c>
      <c r="H1315" s="52" t="s">
        <v>1513</v>
      </c>
      <c r="I1315" s="20" t="s">
        <v>1512</v>
      </c>
      <c r="J1315" s="122">
        <v>240</v>
      </c>
      <c r="K1315" s="11">
        <v>12</v>
      </c>
      <c r="L1315" s="11">
        <f t="shared" si="137"/>
        <v>228</v>
      </c>
      <c r="M1315" s="131"/>
      <c r="N1315" s="18">
        <v>46093</v>
      </c>
    </row>
    <row r="1316" spans="1:14" x14ac:dyDescent="0.25">
      <c r="A1316" s="11">
        <f t="shared" ca="1" si="135"/>
        <v>-24</v>
      </c>
      <c r="C1316" s="11" t="s">
        <v>390</v>
      </c>
      <c r="D1316" s="11" t="str">
        <f>VLOOKUP(VALUE(MID($C1316,13,2)), codigos!$A$2:$B$60, 2, 1) &amp; " " &amp; VLOOKUP(VALUE(MID($C1316,15,4)), codigos!$E$2:$F$102, 2, FALSE)</f>
        <v>TAZON 20</v>
      </c>
      <c r="E1316" s="20" t="str">
        <f>VLOOKUP(VALUE(MID($C1316,19,2)),codigos!$H$2:$I$62,2,1) &amp; " " &amp; VLOOKUP(VALUE(MID($C1316,21,2)),codigos!$K$2:$L$12,2,FALSE)</f>
        <v>BLANCO  NEGRO</v>
      </c>
      <c r="F1316" s="11" t="s">
        <v>1156</v>
      </c>
      <c r="G1316" s="11" t="s">
        <v>11</v>
      </c>
      <c r="H1316" s="52" t="s">
        <v>1513</v>
      </c>
      <c r="I1316" s="20" t="s">
        <v>1512</v>
      </c>
      <c r="J1316" s="122">
        <v>600</v>
      </c>
      <c r="K1316" s="11">
        <v>600</v>
      </c>
      <c r="L1316" s="11">
        <f t="shared" si="137"/>
        <v>0</v>
      </c>
      <c r="M1316" s="131"/>
      <c r="N1316" s="18">
        <v>46093</v>
      </c>
    </row>
    <row r="1317" spans="1:14" x14ac:dyDescent="0.25">
      <c r="A1317" s="11">
        <f t="shared" ca="1" si="135"/>
        <v>-55</v>
      </c>
      <c r="C1317" s="11" t="s">
        <v>214</v>
      </c>
      <c r="D1317" s="11" t="str">
        <f>VLOOKUP(VALUE(MID($C1317,13,2)), [2]codigos!$A$2:$B$60, 2, 1) &amp; " " &amp; VLOOKUP(VALUE(MID($C1317,15,4)), [2]codigos!$E$2:$F$102, 2, FALSE)</f>
        <v>BUDINERA   18</v>
      </c>
      <c r="E1317" s="11" t="str">
        <f>VLOOKUP(VALUE(MID($C1317,19,2)),[2]codigos!$H$2:$I$62,2,1) &amp; " " &amp; VLOOKUP(VALUE(MID($C1317,21,2)),[2]codigos!$K$2:$L$12,2,FALSE)</f>
        <v>A/T S/I</v>
      </c>
      <c r="F1317" s="11" t="s">
        <v>1199</v>
      </c>
      <c r="G1317" s="23" t="s">
        <v>11</v>
      </c>
      <c r="H1317" s="23" t="s">
        <v>1515</v>
      </c>
      <c r="I1317" s="20" t="s">
        <v>1311</v>
      </c>
      <c r="J1317" s="11">
        <v>36</v>
      </c>
      <c r="K1317" s="11">
        <f>36-18+14+1+3</f>
        <v>36</v>
      </c>
      <c r="L1317" s="11">
        <f t="shared" ref="L1317:L1347" si="138">J1317-K1317</f>
        <v>0</v>
      </c>
      <c r="M1317" s="132">
        <f>(SUM(K1317:K1347))/(SUM(J1317:J1347))</f>
        <v>0.95636363636363642</v>
      </c>
      <c r="N1317" s="18">
        <v>46093</v>
      </c>
    </row>
    <row r="1318" spans="1:14" x14ac:dyDescent="0.25">
      <c r="A1318" s="11">
        <f t="shared" ca="1" si="135"/>
        <v>-55</v>
      </c>
      <c r="C1318" s="11" t="s">
        <v>215</v>
      </c>
      <c r="D1318" s="11" t="str">
        <f>VLOOKUP(VALUE(MID($C1318,13,2)), [2]codigos!$A$2:$B$60, 2, 1) &amp; " " &amp; VLOOKUP(VALUE(MID($C1318,15,4)), [2]codigos!$E$2:$F$102, 2, FALSE)</f>
        <v>BUDINERA   20</v>
      </c>
      <c r="E1318" s="11" t="str">
        <f>VLOOKUP(VALUE(MID($C1318,19,2)),[2]codigos!$H$2:$I$62,2,1) &amp; " " &amp; VLOOKUP(VALUE(MID($C1318,21,2)),[2]codigos!$K$2:$L$12,2,FALSE)</f>
        <v>A/T S/I</v>
      </c>
      <c r="F1318" s="11" t="s">
        <v>1199</v>
      </c>
      <c r="G1318" s="23" t="s">
        <v>11</v>
      </c>
      <c r="H1318" s="23" t="s">
        <v>1515</v>
      </c>
      <c r="I1318" s="20" t="s">
        <v>1311</v>
      </c>
      <c r="J1318" s="11">
        <v>36</v>
      </c>
      <c r="K1318" s="11">
        <f>18+5+13</f>
        <v>36</v>
      </c>
      <c r="L1318" s="11">
        <f t="shared" si="138"/>
        <v>0</v>
      </c>
      <c r="M1318" s="133"/>
      <c r="N1318" s="18">
        <v>46093</v>
      </c>
    </row>
    <row r="1319" spans="1:14" x14ac:dyDescent="0.25">
      <c r="A1319" s="11">
        <f t="shared" ca="1" si="135"/>
        <v>-55</v>
      </c>
      <c r="C1319" s="11" t="s">
        <v>216</v>
      </c>
      <c r="D1319" s="11" t="str">
        <f>VLOOKUP(VALUE(MID($C1319,13,2)), [2]codigos!$A$2:$B$60, 2, 1) &amp; " " &amp; VLOOKUP(VALUE(MID($C1319,15,4)), [2]codigos!$E$2:$F$102, 2, FALSE)</f>
        <v>BUDINERA   20</v>
      </c>
      <c r="E1319" s="11" t="str">
        <f>VLOOKUP(VALUE(MID($C1319,19,2)),[2]codigos!$H$2:$I$62,2,1) &amp; " " &amp; VLOOKUP(VALUE(MID($C1319,21,2)),[2]codigos!$K$2:$L$12,2,FALSE)</f>
        <v>BICOLOR AZUL S/I</v>
      </c>
      <c r="F1319" s="11" t="s">
        <v>1199</v>
      </c>
      <c r="G1319" s="23" t="s">
        <v>11</v>
      </c>
      <c r="H1319" s="23" t="s">
        <v>1515</v>
      </c>
      <c r="I1319" s="20" t="s">
        <v>1311</v>
      </c>
      <c r="J1319" s="11">
        <v>12</v>
      </c>
      <c r="K1319" s="11">
        <v>12</v>
      </c>
      <c r="L1319" s="11">
        <f t="shared" si="138"/>
        <v>0</v>
      </c>
      <c r="M1319" s="133"/>
      <c r="N1319" s="18">
        <v>46093</v>
      </c>
    </row>
    <row r="1320" spans="1:14" x14ac:dyDescent="0.25">
      <c r="A1320" s="11">
        <f t="shared" ca="1" si="135"/>
        <v>-55</v>
      </c>
      <c r="C1320" s="11" t="s">
        <v>329</v>
      </c>
      <c r="D1320" s="11" t="str">
        <f>VLOOKUP(VALUE(MID($C1320,13,2)), [2]codigos!$A$2:$B$60, 2, 1) &amp; " " &amp; VLOOKUP(VALUE(MID($C1320,15,4)), [2]codigos!$E$2:$F$102, 2, FALSE)</f>
        <v>BUDINERA   20</v>
      </c>
      <c r="E1320" s="11" t="str">
        <f>VLOOKUP(VALUE(MID($C1320,19,2)),[2]codigos!$H$2:$I$62,2,1) &amp; " " &amp; VLOOKUP(VALUE(MID($C1320,21,2)),[2]codigos!$K$2:$L$12,2,FALSE)</f>
        <v>BICOLOR ROJO S/I</v>
      </c>
      <c r="F1320" s="11" t="s">
        <v>1199</v>
      </c>
      <c r="G1320" s="23" t="s">
        <v>11</v>
      </c>
      <c r="H1320" s="23" t="s">
        <v>1515</v>
      </c>
      <c r="I1320" s="20" t="s">
        <v>1311</v>
      </c>
      <c r="J1320" s="11">
        <v>12</v>
      </c>
      <c r="K1320" s="11">
        <v>12</v>
      </c>
      <c r="L1320" s="11">
        <f t="shared" si="138"/>
        <v>0</v>
      </c>
      <c r="M1320" s="133"/>
      <c r="N1320" s="18">
        <v>46093</v>
      </c>
    </row>
    <row r="1321" spans="1:14" x14ac:dyDescent="0.25">
      <c r="A1321" s="11">
        <f t="shared" ca="1" si="135"/>
        <v>-55</v>
      </c>
      <c r="C1321" s="11" t="s">
        <v>241</v>
      </c>
      <c r="D1321" s="11" t="str">
        <f>VLOOKUP(VALUE(MID($C1321,13,2)), [2]codigos!$A$2:$B$60, 2, 1) &amp; " " &amp; VLOOKUP(VALUE(MID($C1321,15,4)), [2]codigos!$E$2:$F$102, 2, FALSE)</f>
        <v>BUDINERA   22</v>
      </c>
      <c r="E1321" s="11" t="str">
        <f>VLOOKUP(VALUE(MID($C1321,19,2)),[2]codigos!$H$2:$I$62,2,1) &amp; " " &amp; VLOOKUP(VALUE(MID($C1321,21,2)),[2]codigos!$K$2:$L$12,2,FALSE)</f>
        <v>A/T S/I</v>
      </c>
      <c r="F1321" s="11" t="s">
        <v>1199</v>
      </c>
      <c r="G1321" s="23" t="s">
        <v>11</v>
      </c>
      <c r="H1321" s="23" t="s">
        <v>1515</v>
      </c>
      <c r="I1321" s="20" t="s">
        <v>1311</v>
      </c>
      <c r="J1321" s="11">
        <v>24</v>
      </c>
      <c r="K1321" s="11">
        <v>24</v>
      </c>
      <c r="L1321" s="11">
        <f t="shared" si="138"/>
        <v>0</v>
      </c>
      <c r="M1321" s="133"/>
      <c r="N1321" s="18">
        <v>46093</v>
      </c>
    </row>
    <row r="1322" spans="1:14" x14ac:dyDescent="0.25">
      <c r="A1322" s="11">
        <f t="shared" ca="1" si="135"/>
        <v>-55</v>
      </c>
      <c r="C1322" s="11" t="s">
        <v>143</v>
      </c>
      <c r="D1322" s="11" t="str">
        <f>VLOOKUP(VALUE(MID($C1322,13,2)), [2]codigos!$A$2:$B$60, 2, 1) &amp; " " &amp; VLOOKUP(VALUE(MID($C1322,15,4)), [2]codigos!$E$2:$F$102, 2, FALSE)</f>
        <v>BUDINERA   24</v>
      </c>
      <c r="E1322" s="11" t="str">
        <f>VLOOKUP(VALUE(MID($C1322,19,2)),[2]codigos!$H$2:$I$62,2,1) &amp; " " &amp; VLOOKUP(VALUE(MID($C1322,21,2)),[2]codigos!$K$2:$L$12,2,FALSE)</f>
        <v>A/T S/I</v>
      </c>
      <c r="F1322" s="11" t="s">
        <v>1199</v>
      </c>
      <c r="G1322" s="23" t="s">
        <v>11</v>
      </c>
      <c r="H1322" s="23" t="s">
        <v>1515</v>
      </c>
      <c r="I1322" s="20" t="s">
        <v>1311</v>
      </c>
      <c r="J1322" s="11">
        <v>36</v>
      </c>
      <c r="K1322" s="11">
        <v>12</v>
      </c>
      <c r="L1322" s="11">
        <f t="shared" si="138"/>
        <v>24</v>
      </c>
      <c r="M1322" s="133"/>
      <c r="N1322" s="18">
        <v>46093</v>
      </c>
    </row>
    <row r="1323" spans="1:14" x14ac:dyDescent="0.25">
      <c r="A1323" s="11">
        <f t="shared" ca="1" si="135"/>
        <v>-55</v>
      </c>
      <c r="C1323" s="11" t="s">
        <v>217</v>
      </c>
      <c r="D1323" s="11" t="str">
        <f>VLOOKUP(VALUE(MID($C1323,13,2)), [2]codigos!$A$2:$B$60, 2, 1) &amp; " " &amp; VLOOKUP(VALUE(MID($C1323,15,4)), [2]codigos!$E$2:$F$102, 2, FALSE)</f>
        <v>BUDINERA   24</v>
      </c>
      <c r="E1323" s="11" t="str">
        <f>VLOOKUP(VALUE(MID($C1323,19,2)),[2]codigos!$H$2:$I$62,2,1) &amp; " " &amp; VLOOKUP(VALUE(MID($C1323,21,2)),[2]codigos!$K$2:$L$12,2,FALSE)</f>
        <v>BICOLOR AZUL S/I</v>
      </c>
      <c r="F1323" s="11" t="s">
        <v>1199</v>
      </c>
      <c r="G1323" s="23" t="s">
        <v>11</v>
      </c>
      <c r="H1323" s="23" t="s">
        <v>1515</v>
      </c>
      <c r="I1323" s="20" t="s">
        <v>1311</v>
      </c>
      <c r="J1323" s="11">
        <v>8</v>
      </c>
      <c r="K1323" s="11">
        <v>8</v>
      </c>
      <c r="L1323" s="11">
        <f t="shared" si="138"/>
        <v>0</v>
      </c>
      <c r="M1323" s="133"/>
      <c r="N1323" s="18">
        <v>46093</v>
      </c>
    </row>
    <row r="1324" spans="1:14" x14ac:dyDescent="0.25">
      <c r="A1324" s="11">
        <f t="shared" ca="1" si="135"/>
        <v>-55</v>
      </c>
      <c r="C1324" s="11" t="s">
        <v>485</v>
      </c>
      <c r="D1324" s="11" t="str">
        <f>VLOOKUP(VALUE(MID($C1324,13,2)), [2]codigos!$A$2:$B$60, 2, 1) &amp; " " &amp; VLOOKUP(VALUE(MID($C1324,15,4)), [2]codigos!$E$2:$F$102, 2, FALSE)</f>
        <v>BUDINERA   24</v>
      </c>
      <c r="E1324" s="11" t="str">
        <f>VLOOKUP(VALUE(MID($C1324,19,2)),[2]codigos!$H$2:$I$62,2,1) &amp; " " &amp; VLOOKUP(VALUE(MID($C1324,21,2)),[2]codigos!$K$2:$L$12,2,FALSE)</f>
        <v>BICOLOR NARANJA S/I</v>
      </c>
      <c r="F1324" s="11" t="s">
        <v>1199</v>
      </c>
      <c r="G1324" s="23" t="s">
        <v>11</v>
      </c>
      <c r="H1324" s="23" t="s">
        <v>1515</v>
      </c>
      <c r="I1324" s="20" t="s">
        <v>1311</v>
      </c>
      <c r="J1324" s="11">
        <v>8</v>
      </c>
      <c r="K1324" s="11">
        <v>8</v>
      </c>
      <c r="L1324" s="11">
        <f t="shared" si="138"/>
        <v>0</v>
      </c>
      <c r="M1324" s="133"/>
      <c r="N1324" s="18">
        <v>46093</v>
      </c>
    </row>
    <row r="1325" spans="1:14" x14ac:dyDescent="0.25">
      <c r="A1325" s="11">
        <f t="shared" ca="1" si="135"/>
        <v>-55</v>
      </c>
      <c r="C1325" s="11" t="s">
        <v>332</v>
      </c>
      <c r="D1325" s="11" t="str">
        <f>VLOOKUP(VALUE(MID($C1325,13,2)), [2]codigos!$A$2:$B$60, 2, 1) &amp; " " &amp; VLOOKUP(VALUE(MID($C1325,15,4)), [2]codigos!$E$2:$F$102, 2, FALSE)</f>
        <v>BUDINERA   24</v>
      </c>
      <c r="E1325" s="11" t="str">
        <f>VLOOKUP(VALUE(MID($C1325,19,2)),[2]codigos!$H$2:$I$62,2,1) &amp; " " &amp; VLOOKUP(VALUE(MID($C1325,21,2)),[2]codigos!$K$2:$L$12,2,FALSE)</f>
        <v>BICOLOR ROJO S/I</v>
      </c>
      <c r="F1325" s="11" t="s">
        <v>1199</v>
      </c>
      <c r="G1325" s="23" t="s">
        <v>11</v>
      </c>
      <c r="H1325" s="23" t="s">
        <v>1515</v>
      </c>
      <c r="I1325" s="20" t="s">
        <v>1311</v>
      </c>
      <c r="J1325" s="11">
        <v>4</v>
      </c>
      <c r="K1325" s="11">
        <f>1+3</f>
        <v>4</v>
      </c>
      <c r="L1325" s="11">
        <f t="shared" si="138"/>
        <v>0</v>
      </c>
      <c r="M1325" s="133"/>
      <c r="N1325" s="18">
        <v>46093</v>
      </c>
    </row>
    <row r="1326" spans="1:14" x14ac:dyDescent="0.25">
      <c r="A1326" s="11">
        <f t="shared" ca="1" si="135"/>
        <v>-55</v>
      </c>
      <c r="C1326" s="11" t="s">
        <v>169</v>
      </c>
      <c r="D1326" s="11" t="str">
        <f>VLOOKUP(VALUE(MID($C1326,13,2)), [2]codigos!$A$2:$B$60, 2, 1) &amp; " " &amp; VLOOKUP(VALUE(MID($C1326,15,4)), [2]codigos!$E$2:$F$102, 2, FALSE)</f>
        <v>BUDINERA   30</v>
      </c>
      <c r="E1326" s="11" t="str">
        <f>VLOOKUP(VALUE(MID($C1326,19,2)),[2]codigos!$H$2:$I$62,2,1) &amp; " " &amp; VLOOKUP(VALUE(MID($C1326,21,2)),[2]codigos!$K$2:$L$12,2,FALSE)</f>
        <v>A/T S/I</v>
      </c>
      <c r="F1326" s="11" t="s">
        <v>1199</v>
      </c>
      <c r="G1326" s="23" t="s">
        <v>11</v>
      </c>
      <c r="H1326" s="23" t="s">
        <v>1515</v>
      </c>
      <c r="I1326" s="20" t="s">
        <v>1311</v>
      </c>
      <c r="J1326" s="11">
        <v>20</v>
      </c>
      <c r="K1326" s="11">
        <v>20</v>
      </c>
      <c r="L1326" s="11">
        <f t="shared" si="138"/>
        <v>0</v>
      </c>
      <c r="M1326" s="133"/>
      <c r="N1326" s="18">
        <v>46093</v>
      </c>
    </row>
    <row r="1327" spans="1:14" x14ac:dyDescent="0.25">
      <c r="A1327" s="11">
        <f t="shared" ca="1" si="135"/>
        <v>-55</v>
      </c>
      <c r="C1327" s="11" t="s">
        <v>43</v>
      </c>
      <c r="D1327" s="11" t="str">
        <f>VLOOKUP(VALUE(MID($C1327,13,2)), [2]codigos!$A$2:$B$60, 2, 1) &amp; " " &amp; VLOOKUP(VALUE(MID($C1327,15,4)), [2]codigos!$E$2:$F$102, 2, FALSE)</f>
        <v>OLLA CONVEXA 22</v>
      </c>
      <c r="E1327" s="11" t="str">
        <f>VLOOKUP(VALUE(MID($C1327,19,2)),[2]codigos!$H$2:$I$62,2,1) &amp; " " &amp; VLOOKUP(VALUE(MID($C1327,21,2)),[2]codigos!$K$2:$L$12,2,FALSE)</f>
        <v>A/T S/I</v>
      </c>
      <c r="F1327" s="11" t="s">
        <v>1199</v>
      </c>
      <c r="G1327" s="23" t="s">
        <v>11</v>
      </c>
      <c r="H1327" s="23" t="s">
        <v>1515</v>
      </c>
      <c r="I1327" s="20" t="s">
        <v>1311</v>
      </c>
      <c r="J1327" s="11">
        <v>18</v>
      </c>
      <c r="K1327" s="11">
        <v>18</v>
      </c>
      <c r="L1327" s="11">
        <f t="shared" si="138"/>
        <v>0</v>
      </c>
      <c r="M1327" s="133"/>
      <c r="N1327" s="18">
        <v>46093</v>
      </c>
    </row>
    <row r="1328" spans="1:14" x14ac:dyDescent="0.25">
      <c r="A1328" s="11">
        <f t="shared" ca="1" si="135"/>
        <v>-55</v>
      </c>
      <c r="C1328" s="11" t="s">
        <v>152</v>
      </c>
      <c r="D1328" s="11" t="str">
        <f>VLOOKUP(VALUE(MID($C1328,13,2)), [2]codigos!$A$2:$B$60, 2, 1) &amp; " " &amp; VLOOKUP(VALUE(MID($C1328,15,4)), [2]codigos!$E$2:$F$102, 2, FALSE)</f>
        <v>OLLA CONVEXA 24</v>
      </c>
      <c r="E1328" s="11" t="str">
        <f>VLOOKUP(VALUE(MID($C1328,19,2)),[2]codigos!$H$2:$I$62,2,1) &amp; " " &amp; VLOOKUP(VALUE(MID($C1328,21,2)),[2]codigos!$K$2:$L$12,2,FALSE)</f>
        <v>A/T S/I</v>
      </c>
      <c r="F1328" s="11" t="s">
        <v>1199</v>
      </c>
      <c r="G1328" s="23" t="s">
        <v>11</v>
      </c>
      <c r="H1328" s="23" t="s">
        <v>1515</v>
      </c>
      <c r="I1328" s="20" t="s">
        <v>1311</v>
      </c>
      <c r="J1328" s="11">
        <v>12</v>
      </c>
      <c r="K1328" s="11">
        <v>12</v>
      </c>
      <c r="L1328" s="11">
        <f t="shared" si="138"/>
        <v>0</v>
      </c>
      <c r="M1328" s="133"/>
      <c r="N1328" s="18">
        <v>46093</v>
      </c>
    </row>
    <row r="1329" spans="1:14" x14ac:dyDescent="0.25">
      <c r="A1329" s="11">
        <f t="shared" ca="1" si="135"/>
        <v>-55</v>
      </c>
      <c r="C1329" s="11" t="s">
        <v>153</v>
      </c>
      <c r="D1329" s="11" t="str">
        <f>VLOOKUP(VALUE(MID($C1329,13,2)), [2]codigos!$A$2:$B$60, 2, 1) &amp; " " &amp; VLOOKUP(VALUE(MID($C1329,15,4)), [2]codigos!$E$2:$F$102, 2, FALSE)</f>
        <v>OLLA CONVEXA 26</v>
      </c>
      <c r="E1329" s="11" t="str">
        <f>VLOOKUP(VALUE(MID($C1329,19,2)),[2]codigos!$H$2:$I$62,2,1) &amp; " " &amp; VLOOKUP(VALUE(MID($C1329,21,2)),[2]codigos!$K$2:$L$12,2,FALSE)</f>
        <v>A/T S/I</v>
      </c>
      <c r="F1329" s="11" t="s">
        <v>1199</v>
      </c>
      <c r="G1329" s="23" t="s">
        <v>11</v>
      </c>
      <c r="H1329" s="23" t="s">
        <v>1515</v>
      </c>
      <c r="I1329" s="20" t="s">
        <v>1311</v>
      </c>
      <c r="J1329" s="11">
        <v>6</v>
      </c>
      <c r="K1329" s="11">
        <v>6</v>
      </c>
      <c r="L1329" s="11">
        <f t="shared" si="138"/>
        <v>0</v>
      </c>
      <c r="M1329" s="133"/>
      <c r="N1329" s="18">
        <v>46093</v>
      </c>
    </row>
    <row r="1330" spans="1:14" x14ac:dyDescent="0.25">
      <c r="A1330" s="11">
        <f t="shared" ca="1" si="135"/>
        <v>-55</v>
      </c>
      <c r="C1330" s="11" t="s">
        <v>154</v>
      </c>
      <c r="D1330" s="11" t="str">
        <f>VLOOKUP(VALUE(MID($C1330,13,2)), [2]codigos!$A$2:$B$60, 2, 1) &amp; " " &amp; VLOOKUP(VALUE(MID($C1330,15,4)), [2]codigos!$E$2:$F$102, 2, FALSE)</f>
        <v>OLLA CONVEXA 30</v>
      </c>
      <c r="E1330" s="11" t="str">
        <f>VLOOKUP(VALUE(MID($C1330,19,2)),[2]codigos!$H$2:$I$62,2,1) &amp; " " &amp; VLOOKUP(VALUE(MID($C1330,21,2)),[2]codigos!$K$2:$L$12,2,FALSE)</f>
        <v>A/T S/I</v>
      </c>
      <c r="F1330" s="11" t="s">
        <v>1199</v>
      </c>
      <c r="G1330" s="23" t="s">
        <v>11</v>
      </c>
      <c r="H1330" s="23" t="s">
        <v>1515</v>
      </c>
      <c r="I1330" s="20" t="s">
        <v>1311</v>
      </c>
      <c r="J1330" s="11">
        <v>12</v>
      </c>
      <c r="K1330" s="11">
        <f>2+8+2</f>
        <v>12</v>
      </c>
      <c r="L1330" s="11">
        <f t="shared" si="138"/>
        <v>0</v>
      </c>
      <c r="M1330" s="133"/>
      <c r="N1330" s="18">
        <v>46093</v>
      </c>
    </row>
    <row r="1331" spans="1:14" x14ac:dyDescent="0.25">
      <c r="A1331" s="11">
        <f t="shared" ca="1" si="135"/>
        <v>-55</v>
      </c>
      <c r="C1331" s="11" t="s">
        <v>260</v>
      </c>
      <c r="D1331" s="11" t="str">
        <f>VLOOKUP(VALUE(MID($C1331,13,2)), [2]codigos!$A$2:$B$60, 2, 1) &amp; " " &amp; VLOOKUP(VALUE(MID($C1331,15,4)), [2]codigos!$E$2:$F$102, 2, FALSE)</f>
        <v>OLLA RECTA 20</v>
      </c>
      <c r="E1331" s="11" t="str">
        <f>VLOOKUP(VALUE(MID($C1331,19,2)),[2]codigos!$H$2:$I$62,2,1) &amp; " " &amp; VLOOKUP(VALUE(MID($C1331,21,2)),[2]codigos!$K$2:$L$12,2,FALSE)</f>
        <v>A/T S/I</v>
      </c>
      <c r="F1331" s="11" t="s">
        <v>1199</v>
      </c>
      <c r="G1331" s="23" t="s">
        <v>11</v>
      </c>
      <c r="H1331" s="23" t="s">
        <v>1515</v>
      </c>
      <c r="I1331" s="20" t="s">
        <v>1311</v>
      </c>
      <c r="J1331" s="11">
        <v>12</v>
      </c>
      <c r="K1331" s="11">
        <v>12</v>
      </c>
      <c r="L1331" s="11">
        <f t="shared" si="138"/>
        <v>0</v>
      </c>
      <c r="M1331" s="133"/>
      <c r="N1331" s="18">
        <v>46093</v>
      </c>
    </row>
    <row r="1332" spans="1:14" x14ac:dyDescent="0.25">
      <c r="A1332" s="11">
        <f t="shared" ca="1" si="135"/>
        <v>-55</v>
      </c>
      <c r="C1332" s="11" t="s">
        <v>334</v>
      </c>
      <c r="D1332" s="11" t="str">
        <f>VLOOKUP(VALUE(MID($C1332,13,2)), [2]codigos!$A$2:$B$60, 2, 1) &amp; " " &amp; VLOOKUP(VALUE(MID($C1332,15,4)), [2]codigos!$E$2:$F$102, 2, FALSE)</f>
        <v>OLLA RECTA 20</v>
      </c>
      <c r="E1332" s="11" t="str">
        <f>VLOOKUP(VALUE(MID($C1332,19,2)),[2]codigos!$H$2:$I$62,2,1) &amp; " " &amp; VLOOKUP(VALUE(MID($C1332,21,2)),[2]codigos!$K$2:$L$12,2,FALSE)</f>
        <v>BICOLOR NARANJA S/I</v>
      </c>
      <c r="F1332" s="11" t="s">
        <v>1199</v>
      </c>
      <c r="G1332" s="23" t="s">
        <v>11</v>
      </c>
      <c r="H1332" s="23" t="s">
        <v>1515</v>
      </c>
      <c r="I1332" s="20" t="s">
        <v>1311</v>
      </c>
      <c r="J1332" s="11">
        <v>6</v>
      </c>
      <c r="K1332" s="11">
        <v>6</v>
      </c>
      <c r="L1332" s="11">
        <f t="shared" si="138"/>
        <v>0</v>
      </c>
      <c r="M1332" s="133"/>
      <c r="N1332" s="18">
        <v>46093</v>
      </c>
    </row>
    <row r="1333" spans="1:14" x14ac:dyDescent="0.25">
      <c r="A1333" s="11">
        <f t="shared" ca="1" si="135"/>
        <v>-55</v>
      </c>
      <c r="C1333" s="11" t="s">
        <v>336</v>
      </c>
      <c r="D1333" s="11" t="str">
        <f>VLOOKUP(VALUE(MID($C1333,13,2)), [2]codigos!$A$2:$B$60, 2, 1) &amp; " " &amp; VLOOKUP(VALUE(MID($C1333,15,4)), [2]codigos!$E$2:$F$102, 2, FALSE)</f>
        <v>OLLA RECTA 28</v>
      </c>
      <c r="E1333" s="11" t="str">
        <f>VLOOKUP(VALUE(MID($C1333,19,2)),[2]codigos!$H$2:$I$62,2,1) &amp; " " &amp; VLOOKUP(VALUE(MID($C1333,21,2)),[2]codigos!$K$2:$L$12,2,FALSE)</f>
        <v>A/T S/I</v>
      </c>
      <c r="F1333" s="11" t="s">
        <v>1199</v>
      </c>
      <c r="G1333" s="23" t="s">
        <v>11</v>
      </c>
      <c r="H1333" s="23" t="s">
        <v>1515</v>
      </c>
      <c r="I1333" s="20" t="s">
        <v>1311</v>
      </c>
      <c r="J1333" s="11">
        <v>12</v>
      </c>
      <c r="K1333" s="11">
        <f>2+2+4+4</f>
        <v>12</v>
      </c>
      <c r="L1333" s="11">
        <f t="shared" si="138"/>
        <v>0</v>
      </c>
      <c r="M1333" s="133"/>
      <c r="N1333" s="18">
        <v>46093</v>
      </c>
    </row>
    <row r="1334" spans="1:14" x14ac:dyDescent="0.25">
      <c r="A1334" s="11">
        <f t="shared" ca="1" si="135"/>
        <v>-55</v>
      </c>
      <c r="C1334" s="11" t="s">
        <v>155</v>
      </c>
      <c r="D1334" s="11" t="str">
        <f>VLOOKUP(VALUE(MID($C1334,13,2)), [2]codigos!$A$2:$B$60, 2, 1) &amp; " " &amp; VLOOKUP(VALUE(MID($C1334,15,4)), [2]codigos!$E$2:$F$102, 2, FALSE)</f>
        <v>OLLA RECTA 30</v>
      </c>
      <c r="E1334" s="11" t="str">
        <f>VLOOKUP(VALUE(MID($C1334,19,2)),[2]codigos!$H$2:$I$62,2,1) &amp; " " &amp; VLOOKUP(VALUE(MID($C1334,21,2)),[2]codigos!$K$2:$L$12,2,FALSE)</f>
        <v>A/T S/I</v>
      </c>
      <c r="F1334" s="11" t="s">
        <v>1199</v>
      </c>
      <c r="G1334" s="23" t="s">
        <v>11</v>
      </c>
      <c r="H1334" s="23" t="s">
        <v>1515</v>
      </c>
      <c r="I1334" s="20" t="s">
        <v>1311</v>
      </c>
      <c r="J1334" s="11">
        <v>12</v>
      </c>
      <c r="K1334" s="11">
        <v>12</v>
      </c>
      <c r="L1334" s="11">
        <f t="shared" si="138"/>
        <v>0</v>
      </c>
      <c r="M1334" s="133"/>
      <c r="N1334" s="18">
        <v>46093</v>
      </c>
    </row>
    <row r="1335" spans="1:14" x14ac:dyDescent="0.25">
      <c r="A1335" s="11">
        <f t="shared" ca="1" si="135"/>
        <v>-55</v>
      </c>
      <c r="C1335" s="11" t="s">
        <v>226</v>
      </c>
      <c r="D1335" s="11" t="str">
        <f>VLOOKUP(VALUE(MID($C1335,13,2)), [2]codigos!$A$2:$B$60, 2, 1) &amp; " " &amp; VLOOKUP(VALUE(MID($C1335,15,4)), [2]codigos!$E$2:$F$102, 2, FALSE)</f>
        <v>POCILLO 10</v>
      </c>
      <c r="E1335" s="11" t="str">
        <f>VLOOKUP(VALUE(MID($C1335,19,2)),[2]codigos!$H$2:$I$62,2,1) &amp; " " &amp; VLOOKUP(VALUE(MID($C1335,21,2)),[2]codigos!$K$2:$L$12,2,FALSE)</f>
        <v>A/T S/I</v>
      </c>
      <c r="F1335" s="11" t="s">
        <v>1199</v>
      </c>
      <c r="G1335" s="23" t="s">
        <v>11</v>
      </c>
      <c r="H1335" s="23" t="s">
        <v>1515</v>
      </c>
      <c r="I1335" s="20" t="s">
        <v>1311</v>
      </c>
      <c r="J1335" s="11">
        <v>48</v>
      </c>
      <c r="K1335" s="11">
        <v>48</v>
      </c>
      <c r="L1335" s="11">
        <f t="shared" si="138"/>
        <v>0</v>
      </c>
      <c r="M1335" s="133"/>
      <c r="N1335" s="18">
        <v>46093</v>
      </c>
    </row>
    <row r="1336" spans="1:14" x14ac:dyDescent="0.25">
      <c r="A1336" s="11">
        <f t="shared" ref="A1336:A1399" ca="1" si="139">DAYS360($B$1,I1336)</f>
        <v>-55</v>
      </c>
      <c r="C1336" s="11" t="s">
        <v>180</v>
      </c>
      <c r="D1336" s="11" t="str">
        <f>VLOOKUP(VALUE(MID($C1336,13,2)), [2]codigos!$A$2:$B$60, 2, 1) &amp; " " &amp; VLOOKUP(VALUE(MID($C1336,15,4)), [2]codigos!$E$2:$F$102, 2, FALSE)</f>
        <v>POCILLO 12</v>
      </c>
      <c r="E1336" s="11" t="str">
        <f>VLOOKUP(VALUE(MID($C1336,19,2)),[2]codigos!$H$2:$I$62,2,1) &amp; " " &amp; VLOOKUP(VALUE(MID($C1336,21,2)),[2]codigos!$K$2:$L$12,2,FALSE)</f>
        <v>A/T S/I</v>
      </c>
      <c r="F1336" s="11" t="s">
        <v>1199</v>
      </c>
      <c r="G1336" s="23" t="s">
        <v>11</v>
      </c>
      <c r="H1336" s="23" t="s">
        <v>1515</v>
      </c>
      <c r="I1336" s="20" t="s">
        <v>1311</v>
      </c>
      <c r="J1336" s="11">
        <v>36</v>
      </c>
      <c r="K1336" s="11">
        <v>36</v>
      </c>
      <c r="L1336" s="11">
        <f t="shared" si="138"/>
        <v>0</v>
      </c>
      <c r="M1336" s="133"/>
      <c r="N1336" s="18">
        <v>46093</v>
      </c>
    </row>
    <row r="1337" spans="1:14" x14ac:dyDescent="0.25">
      <c r="A1337" s="11">
        <f t="shared" ca="1" si="139"/>
        <v>-55</v>
      </c>
      <c r="C1337" s="11" t="s">
        <v>182</v>
      </c>
      <c r="D1337" s="11" t="str">
        <f>VLOOKUP(VALUE(MID($C1337,13,2)), [2]codigos!$A$2:$B$60, 2, 1) &amp; " " &amp; VLOOKUP(VALUE(MID($C1337,15,4)), [2]codigos!$E$2:$F$102, 2, FALSE)</f>
        <v>POCILLO 14</v>
      </c>
      <c r="E1337" s="11" t="str">
        <f>VLOOKUP(VALUE(MID($C1337,19,2)),[2]codigos!$H$2:$I$62,2,1) &amp; " " &amp; VLOOKUP(VALUE(MID($C1337,21,2)),[2]codigos!$K$2:$L$12,2,FALSE)</f>
        <v>A/T S/I</v>
      </c>
      <c r="F1337" s="11" t="s">
        <v>1199</v>
      </c>
      <c r="G1337" s="23" t="s">
        <v>11</v>
      </c>
      <c r="H1337" s="23" t="s">
        <v>1515</v>
      </c>
      <c r="I1337" s="20" t="s">
        <v>1311</v>
      </c>
      <c r="J1337" s="11">
        <v>42</v>
      </c>
      <c r="K1337" s="11">
        <v>42</v>
      </c>
      <c r="L1337" s="11">
        <f t="shared" si="138"/>
        <v>0</v>
      </c>
      <c r="M1337" s="133"/>
      <c r="N1337" s="18">
        <v>46093</v>
      </c>
    </row>
    <row r="1338" spans="1:14" x14ac:dyDescent="0.25">
      <c r="A1338" s="11">
        <f t="shared" ca="1" si="139"/>
        <v>-55</v>
      </c>
      <c r="C1338" s="11" t="s">
        <v>487</v>
      </c>
      <c r="D1338" s="11" t="str">
        <f>VLOOKUP(VALUE(MID($C1338,13,2)), [2]codigos!$A$2:$B$60, 2, 1) &amp; " " &amp; VLOOKUP(VALUE(MID($C1338,15,4)), [2]codigos!$E$2:$F$102, 2, FALSE)</f>
        <v>VAPORERA 30</v>
      </c>
      <c r="E1338" s="11" t="str">
        <f>VLOOKUP(VALUE(MID($C1338,19,2)),[2]codigos!$H$2:$I$62,2,1) &amp; " " &amp; VLOOKUP(VALUE(MID($C1338,21,2)),[2]codigos!$K$2:$L$12,2,FALSE)</f>
        <v>A/T S/I</v>
      </c>
      <c r="F1338" s="11" t="s">
        <v>1199</v>
      </c>
      <c r="G1338" s="23" t="s">
        <v>11</v>
      </c>
      <c r="H1338" s="23" t="s">
        <v>1515</v>
      </c>
      <c r="I1338" s="20" t="s">
        <v>1311</v>
      </c>
      <c r="J1338" s="11">
        <v>6</v>
      </c>
      <c r="K1338" s="11">
        <v>6</v>
      </c>
      <c r="L1338" s="11">
        <f t="shared" si="138"/>
        <v>0</v>
      </c>
      <c r="M1338" s="133"/>
      <c r="N1338" s="18">
        <v>46093</v>
      </c>
    </row>
    <row r="1339" spans="1:14" x14ac:dyDescent="0.25">
      <c r="A1339" s="11">
        <f t="shared" ca="1" si="139"/>
        <v>-55</v>
      </c>
      <c r="C1339" s="11" t="s">
        <v>1312</v>
      </c>
      <c r="D1339" s="11" t="str">
        <f>VLOOKUP(VALUE(MID($C1339,13,2)), [2]codigos!$A$2:$B$60, 2, 1) &amp; " " &amp; VLOOKUP(VALUE(MID($C1339,15,4)), [2]codigos!$E$2:$F$102, 2, FALSE)</f>
        <v>VASO RECTO CON ASA</v>
      </c>
      <c r="E1339" s="11" t="str">
        <f>VLOOKUP(VALUE(MID($C1339,19,2)),[2]codigos!$H$2:$I$62,2,1) &amp; " " &amp; VLOOKUP(VALUE(MID($C1339,21,2)),[2]codigos!$K$2:$L$12,2,FALSE)</f>
        <v>A/T S/I</v>
      </c>
      <c r="F1339" s="11" t="s">
        <v>1199</v>
      </c>
      <c r="G1339" s="23" t="s">
        <v>11</v>
      </c>
      <c r="H1339" s="23" t="s">
        <v>1515</v>
      </c>
      <c r="I1339" s="20" t="s">
        <v>1311</v>
      </c>
      <c r="J1339" s="11">
        <v>24</v>
      </c>
      <c r="K1339" s="11">
        <v>24</v>
      </c>
      <c r="L1339" s="11">
        <f t="shared" si="138"/>
        <v>0</v>
      </c>
      <c r="M1339" s="133"/>
      <c r="N1339" s="18">
        <v>46093</v>
      </c>
    </row>
    <row r="1340" spans="1:14" x14ac:dyDescent="0.25">
      <c r="A1340" s="11">
        <f t="shared" ca="1" si="139"/>
        <v>-55</v>
      </c>
      <c r="C1340" s="11" t="s">
        <v>1313</v>
      </c>
      <c r="D1340" s="11" t="str">
        <f>VLOOKUP(VALUE(MID($C1340,13,2)), [2]codigos!$A$2:$B$60, 2, 1) &amp; " " &amp; VLOOKUP(VALUE(MID($C1340,15,4)), [2]codigos!$E$2:$F$102, 2, FALSE)</f>
        <v>VASO RECTO CON TAPA</v>
      </c>
      <c r="E1340" s="11" t="str">
        <f>VLOOKUP(VALUE(MID($C1340,19,2)),[2]codigos!$H$2:$I$62,2,1) &amp; " " &amp; VLOOKUP(VALUE(MID($C1340,21,2)),[2]codigos!$K$2:$L$12,2,FALSE)</f>
        <v>A/T S/I</v>
      </c>
      <c r="F1340" s="11" t="s">
        <v>1199</v>
      </c>
      <c r="G1340" s="23" t="s">
        <v>11</v>
      </c>
      <c r="H1340" s="23" t="s">
        <v>1515</v>
      </c>
      <c r="I1340" s="20" t="s">
        <v>1311</v>
      </c>
      <c r="J1340" s="11">
        <v>24</v>
      </c>
      <c r="K1340" s="11">
        <v>24</v>
      </c>
      <c r="L1340" s="11">
        <f t="shared" si="138"/>
        <v>0</v>
      </c>
      <c r="M1340" s="133"/>
      <c r="N1340" s="18">
        <v>46093</v>
      </c>
    </row>
    <row r="1341" spans="1:14" x14ac:dyDescent="0.25">
      <c r="A1341" s="11">
        <f t="shared" ca="1" si="139"/>
        <v>-55</v>
      </c>
      <c r="C1341" s="11" t="s">
        <v>188</v>
      </c>
      <c r="D1341" s="11" t="str">
        <f>VLOOKUP(VALUE(MID($C1341,13,2)), [2]codigos!$A$2:$B$60, 2, 1) &amp; " " &amp; VLOOKUP(VALUE(MID($C1341,15,4)), [2]codigos!$E$2:$F$102, 2, FALSE)</f>
        <v>POCILLO 14</v>
      </c>
      <c r="E1341" s="11" t="str">
        <f>VLOOKUP(VALUE(MID($C1341,19,2)),[2]codigos!$H$2:$I$62,2,1) &amp; " " &amp; VLOOKUP(VALUE(MID($C1341,21,2)),[2]codigos!$K$2:$L$12,2,FALSE)</f>
        <v>S/I S/I</v>
      </c>
      <c r="F1341" s="11" t="s">
        <v>1199</v>
      </c>
      <c r="G1341" s="23" t="s">
        <v>11</v>
      </c>
      <c r="H1341" s="23" t="s">
        <v>1515</v>
      </c>
      <c r="I1341" s="20" t="s">
        <v>1311</v>
      </c>
      <c r="J1341" s="11">
        <v>36</v>
      </c>
      <c r="K1341" s="11">
        <v>36</v>
      </c>
      <c r="L1341" s="11">
        <f t="shared" si="138"/>
        <v>0</v>
      </c>
      <c r="M1341" s="133"/>
      <c r="N1341" s="18">
        <v>46093</v>
      </c>
    </row>
    <row r="1342" spans="1:14" x14ac:dyDescent="0.25">
      <c r="A1342" s="11">
        <f t="shared" ca="1" si="139"/>
        <v>-55</v>
      </c>
      <c r="C1342" s="11" t="s">
        <v>150</v>
      </c>
      <c r="D1342" s="11" t="str">
        <f>VLOOKUP(VALUE(MID($C1342,13,2)), [2]codigos!$A$2:$B$60, 2, 1) &amp; " " &amp; VLOOKUP(VALUE(MID($C1342,15,4)), [2]codigos!$E$2:$F$102, 2, FALSE)</f>
        <v>OLLA CONVEXA 18</v>
      </c>
      <c r="E1342" s="11" t="str">
        <f>VLOOKUP(VALUE(MID($C1342,19,2)),[2]codigos!$H$2:$I$62,2,1) &amp; " " &amp; VLOOKUP(VALUE(MID($C1342,21,2)),[2]codigos!$K$2:$L$12,2,FALSE)</f>
        <v>A/T S/I</v>
      </c>
      <c r="F1342" s="11" t="s">
        <v>1199</v>
      </c>
      <c r="G1342" s="23"/>
      <c r="H1342" s="23" t="s">
        <v>1515</v>
      </c>
      <c r="I1342" s="20" t="s">
        <v>1311</v>
      </c>
      <c r="J1342" s="11">
        <v>12</v>
      </c>
      <c r="K1342" s="11">
        <f>12</f>
        <v>12</v>
      </c>
      <c r="L1342" s="11">
        <f t="shared" si="138"/>
        <v>0</v>
      </c>
      <c r="M1342" s="133"/>
      <c r="N1342" s="18">
        <v>46093</v>
      </c>
    </row>
    <row r="1343" spans="1:14" x14ac:dyDescent="0.25">
      <c r="A1343" s="11">
        <f t="shared" ca="1" si="139"/>
        <v>-55</v>
      </c>
      <c r="C1343" s="11" t="s">
        <v>151</v>
      </c>
      <c r="D1343" s="11" t="str">
        <f>VLOOKUP(VALUE(MID($C1343,13,2)), [2]codigos!$A$2:$B$60, 2, 1) &amp; " " &amp; VLOOKUP(VALUE(MID($C1343,15,4)), [2]codigos!$E$2:$F$102, 2, FALSE)</f>
        <v>OLLA CONVEXA 20</v>
      </c>
      <c r="E1343" s="11" t="str">
        <f>VLOOKUP(VALUE(MID($C1343,19,2)),[2]codigos!$H$2:$I$62,2,1) &amp; " " &amp; VLOOKUP(VALUE(MID($C1343,21,2)),[2]codigos!$K$2:$L$12,2,FALSE)</f>
        <v>A/T S/I</v>
      </c>
      <c r="F1343" s="11" t="s">
        <v>1199</v>
      </c>
      <c r="G1343" s="23"/>
      <c r="H1343" s="23" t="s">
        <v>1515</v>
      </c>
      <c r="I1343" s="20" t="s">
        <v>1311</v>
      </c>
      <c r="J1343" s="11">
        <v>12</v>
      </c>
      <c r="K1343" s="11">
        <f>12</f>
        <v>12</v>
      </c>
      <c r="L1343" s="11">
        <f t="shared" si="138"/>
        <v>0</v>
      </c>
      <c r="M1343" s="133"/>
      <c r="N1343" s="18">
        <v>46093</v>
      </c>
    </row>
    <row r="1344" spans="1:14" x14ac:dyDescent="0.25">
      <c r="A1344" s="11">
        <f t="shared" ca="1" si="139"/>
        <v>-55</v>
      </c>
      <c r="C1344" s="11" t="s">
        <v>223</v>
      </c>
      <c r="D1344" s="11" t="str">
        <f>VLOOKUP(VALUE(MID($C1344,13,2)), [2]codigos!$A$2:$B$60, 2, 1) &amp; " " &amp; VLOOKUP(VALUE(MID($C1344,15,4)), [2]codigos!$E$2:$F$102, 2, FALSE)</f>
        <v>OLLA RECTA 24</v>
      </c>
      <c r="E1344" s="11" t="str">
        <f>VLOOKUP(VALUE(MID($C1344,19,2)),[2]codigos!$H$2:$I$62,2,1) &amp; " " &amp; VLOOKUP(VALUE(MID($C1344,21,2)),[2]codigos!$K$2:$L$12,2,FALSE)</f>
        <v>BICOLOR AZUL S/I</v>
      </c>
      <c r="F1344" s="11" t="s">
        <v>1199</v>
      </c>
      <c r="G1344" s="23"/>
      <c r="H1344" s="23" t="s">
        <v>1515</v>
      </c>
      <c r="I1344" s="20" t="s">
        <v>1311</v>
      </c>
      <c r="J1344" s="11">
        <v>6</v>
      </c>
      <c r="K1344" s="11">
        <v>6</v>
      </c>
      <c r="L1344" s="11">
        <f t="shared" si="138"/>
        <v>0</v>
      </c>
      <c r="M1344" s="133"/>
      <c r="N1344" s="18">
        <v>46093</v>
      </c>
    </row>
    <row r="1345" spans="1:14" x14ac:dyDescent="0.25">
      <c r="A1345" s="11">
        <f t="shared" ca="1" si="139"/>
        <v>-55</v>
      </c>
      <c r="C1345" s="11" t="s">
        <v>335</v>
      </c>
      <c r="D1345" s="11" t="str">
        <f>VLOOKUP(VALUE(MID($C1345,13,2)), [2]codigos!$A$2:$B$60, 2, 1) &amp; " " &amp; VLOOKUP(VALUE(MID($C1345,15,4)), [2]codigos!$E$2:$F$102, 2, FALSE)</f>
        <v>OLLA RECTA 24</v>
      </c>
      <c r="E1345" s="11" t="str">
        <f>VLOOKUP(VALUE(MID($C1345,19,2)),[2]codigos!$H$2:$I$62,2,1) &amp; " " &amp; VLOOKUP(VALUE(MID($C1345,21,2)),[2]codigos!$K$2:$L$12,2,FALSE)</f>
        <v>BICOLOR NARANJA S/I</v>
      </c>
      <c r="F1345" s="11" t="s">
        <v>1199</v>
      </c>
      <c r="G1345" s="23"/>
      <c r="H1345" s="23" t="s">
        <v>1515</v>
      </c>
      <c r="I1345" s="20" t="s">
        <v>1311</v>
      </c>
      <c r="J1345" s="11">
        <v>6</v>
      </c>
      <c r="K1345" s="11">
        <f>2+4</f>
        <v>6</v>
      </c>
      <c r="L1345" s="11">
        <f t="shared" si="138"/>
        <v>0</v>
      </c>
      <c r="M1345" s="133"/>
      <c r="N1345" s="18">
        <v>46093</v>
      </c>
    </row>
    <row r="1346" spans="1:14" x14ac:dyDescent="0.25">
      <c r="A1346" s="11">
        <f t="shared" ca="1" si="139"/>
        <v>-55</v>
      </c>
      <c r="C1346" s="11" t="s">
        <v>381</v>
      </c>
      <c r="D1346" s="11" t="str">
        <f>VLOOKUP(VALUE(MID($C1346,13,2)), [2]codigos!$A$2:$B$60, 2, 1) &amp; " " &amp; VLOOKUP(VALUE(MID($C1346,15,4)), [2]codigos!$E$2:$F$102, 2, FALSE)</f>
        <v>OLLA RECTA 24</v>
      </c>
      <c r="E1346" s="11" t="str">
        <f>VLOOKUP(VALUE(MID($C1346,19,2)),[2]codigos!$H$2:$I$62,2,1) &amp; " " &amp; VLOOKUP(VALUE(MID($C1346,21,2)),[2]codigos!$K$2:$L$12,2,FALSE)</f>
        <v>BICOLOR ROJO S/I</v>
      </c>
      <c r="F1346" s="11" t="s">
        <v>1199</v>
      </c>
      <c r="G1346" s="23"/>
      <c r="H1346" s="23" t="s">
        <v>1515</v>
      </c>
      <c r="I1346" s="20" t="s">
        <v>1311</v>
      </c>
      <c r="J1346" s="11">
        <v>6</v>
      </c>
      <c r="K1346" s="11">
        <v>6</v>
      </c>
      <c r="L1346" s="11">
        <f t="shared" si="138"/>
        <v>0</v>
      </c>
      <c r="M1346" s="133"/>
      <c r="N1346" s="18">
        <v>46093</v>
      </c>
    </row>
    <row r="1347" spans="1:14" x14ac:dyDescent="0.25">
      <c r="A1347" s="11">
        <f t="shared" ca="1" si="139"/>
        <v>-55</v>
      </c>
      <c r="C1347" s="11" t="s">
        <v>388</v>
      </c>
      <c r="D1347" s="11" t="str">
        <f>VLOOKUP(VALUE(MID($C1347,13,2)), [2]codigos!$A$2:$B$60, 2, 1) &amp; " " &amp; VLOOKUP(VALUE(MID($C1347,15,4)), [2]codigos!$E$2:$F$102, 2, FALSE)</f>
        <v>TAZON  20</v>
      </c>
      <c r="E1347" s="11" t="str">
        <f>VLOOKUP(VALUE(MID($C1347,19,2)),[2]codigos!$H$2:$I$62,2,1) &amp; " " &amp; VLOOKUP(VALUE(MID($C1347,21,2)),[2]codigos!$K$2:$L$12,2,FALSE)</f>
        <v>BICOLOR NARANJA S/I</v>
      </c>
      <c r="F1347" s="11" t="s">
        <v>1199</v>
      </c>
      <c r="G1347" s="23"/>
      <c r="H1347" s="23" t="s">
        <v>1515</v>
      </c>
      <c r="I1347" s="20" t="s">
        <v>1311</v>
      </c>
      <c r="J1347" s="11">
        <v>6</v>
      </c>
      <c r="K1347" s="11">
        <v>6</v>
      </c>
      <c r="L1347" s="11">
        <f t="shared" si="138"/>
        <v>0</v>
      </c>
      <c r="M1347" s="130"/>
      <c r="N1347" s="18">
        <v>46093</v>
      </c>
    </row>
    <row r="1348" spans="1:14" x14ac:dyDescent="0.25">
      <c r="A1348" s="11">
        <f t="shared" ca="1" si="139"/>
        <v>-62</v>
      </c>
      <c r="C1348" s="11" t="s">
        <v>148</v>
      </c>
      <c r="D1348" s="11" t="str">
        <f>VLOOKUP(VALUE(MID($C1348,13,2)), codigos!$A$2:$B$60, 2, 1) &amp; " " &amp; VLOOKUP(VALUE(MID($C1348,15,4)), codigos!$E$2:$F$102, 2, FALSE)</f>
        <v>BUDINERA 26</v>
      </c>
      <c r="E1348" s="11" t="str">
        <f>VLOOKUP(VALUE(MID($C1348,19,2)),codigos!$H$2:$I$62,2,1) &amp; " " &amp; VLOOKUP(VALUE(MID($C1348,21,2)),codigos!$K$2:$L$12,2,FALSE)</f>
        <v>A/T S/I</v>
      </c>
      <c r="F1348" s="11" t="s">
        <v>1283</v>
      </c>
      <c r="G1348" s="11" t="s">
        <v>34</v>
      </c>
      <c r="H1348" s="52" t="s">
        <v>1334</v>
      </c>
      <c r="I1348" s="11" t="s">
        <v>1280</v>
      </c>
      <c r="J1348" s="25">
        <v>24</v>
      </c>
      <c r="K1348" s="25">
        <f>12+12</f>
        <v>24</v>
      </c>
      <c r="L1348" s="15">
        <f>+J1348-K1348</f>
        <v>0</v>
      </c>
      <c r="M1348" s="131">
        <f>(SUM(K1348:K1351))/(SUM(J1348:J1351))</f>
        <v>1</v>
      </c>
      <c r="N1348" s="18">
        <v>46093</v>
      </c>
    </row>
    <row r="1349" spans="1:14" x14ac:dyDescent="0.25">
      <c r="A1349" s="11">
        <f t="shared" ca="1" si="139"/>
        <v>-62</v>
      </c>
      <c r="C1349" s="11" t="s">
        <v>169</v>
      </c>
      <c r="D1349" s="11" t="str">
        <f>VLOOKUP(VALUE(MID($C1349,13,2)), codigos!$A$2:$B$60, 2, 1) &amp; " " &amp; VLOOKUP(VALUE(MID($C1349,15,4)), codigos!$E$2:$F$102, 2, FALSE)</f>
        <v>BUDINERA 30</v>
      </c>
      <c r="E1349" s="11" t="str">
        <f>VLOOKUP(VALUE(MID($C1349,19,2)),codigos!$H$2:$I$62,2,1) &amp; " " &amp; VLOOKUP(VALUE(MID($C1349,21,2)),codigos!$K$2:$L$12,2,FALSE)</f>
        <v>A/T S/I</v>
      </c>
      <c r="F1349" s="11" t="s">
        <v>1283</v>
      </c>
      <c r="G1349" s="11" t="s">
        <v>34</v>
      </c>
      <c r="H1349" s="52" t="s">
        <v>1334</v>
      </c>
      <c r="I1349" s="11" t="s">
        <v>1280</v>
      </c>
      <c r="J1349" s="25">
        <v>20</v>
      </c>
      <c r="K1349" s="25">
        <v>20</v>
      </c>
      <c r="L1349" s="15">
        <f>+J1349-K1349</f>
        <v>0</v>
      </c>
      <c r="M1349" s="131"/>
      <c r="N1349" s="18">
        <v>46093</v>
      </c>
    </row>
    <row r="1350" spans="1:14" x14ac:dyDescent="0.25">
      <c r="A1350" s="11">
        <f t="shared" ca="1" si="139"/>
        <v>-62</v>
      </c>
      <c r="C1350" s="11" t="s">
        <v>344</v>
      </c>
      <c r="D1350" s="11" t="str">
        <f>VLOOKUP(VALUE(MID($C1350,13,2)), codigos!$A$2:$B$60, 2, 1) &amp; " " &amp; VLOOKUP(VALUE(MID($C1350,15,4)), codigos!$E$2:$F$102, 2, FALSE)</f>
        <v>COMAL 36</v>
      </c>
      <c r="E1350" s="11" t="str">
        <f>VLOOKUP(VALUE(MID($C1350,19,2)),codigos!$H$2:$I$62,2,1) &amp; " " &amp; VLOOKUP(VALUE(MID($C1350,21,2)),codigos!$K$2:$L$12,2,FALSE)</f>
        <v>NEGRO MOTAS S/I</v>
      </c>
      <c r="F1350" s="11" t="s">
        <v>1283</v>
      </c>
      <c r="G1350" s="11" t="s">
        <v>34</v>
      </c>
      <c r="H1350" s="52" t="s">
        <v>1334</v>
      </c>
      <c r="I1350" s="11" t="s">
        <v>1280</v>
      </c>
      <c r="J1350" s="25">
        <v>24</v>
      </c>
      <c r="K1350" s="25">
        <v>24</v>
      </c>
      <c r="L1350" s="15">
        <f>+J1350-K1350</f>
        <v>0</v>
      </c>
      <c r="M1350" s="131"/>
      <c r="N1350" s="18">
        <v>46093</v>
      </c>
    </row>
    <row r="1351" spans="1:14" x14ac:dyDescent="0.25">
      <c r="A1351" s="11">
        <f t="shared" ca="1" si="139"/>
        <v>-62</v>
      </c>
      <c r="C1351" s="11" t="s">
        <v>43</v>
      </c>
      <c r="D1351" s="11" t="str">
        <f>VLOOKUP(VALUE(MID($C1351,13,2)), codigos!$A$2:$B$60, 2, 1) &amp; " " &amp; VLOOKUP(VALUE(MID($C1351,15,4)), codigos!$E$2:$F$102, 2, FALSE)</f>
        <v>OLLA CONVEXA 22</v>
      </c>
      <c r="E1351" s="11" t="str">
        <f>VLOOKUP(VALUE(MID($C1351,19,2)),codigos!$H$2:$I$62,2,1) &amp; " " &amp; VLOOKUP(VALUE(MID($C1351,21,2)),codigos!$K$2:$L$12,2,FALSE)</f>
        <v>A/T S/I</v>
      </c>
      <c r="F1351" s="11" t="s">
        <v>1283</v>
      </c>
      <c r="G1351" s="11" t="s">
        <v>34</v>
      </c>
      <c r="H1351" s="52" t="s">
        <v>1334</v>
      </c>
      <c r="I1351" s="11" t="s">
        <v>1280</v>
      </c>
      <c r="J1351" s="25">
        <v>12</v>
      </c>
      <c r="K1351" s="25">
        <f>5+6+1</f>
        <v>12</v>
      </c>
      <c r="L1351" s="15">
        <f>+J1351-K1351</f>
        <v>0</v>
      </c>
      <c r="M1351" s="131"/>
      <c r="N1351" s="18">
        <v>46093</v>
      </c>
    </row>
    <row r="1352" spans="1:14" x14ac:dyDescent="0.25">
      <c r="A1352" s="11">
        <f t="shared" ca="1" si="139"/>
        <v>-31</v>
      </c>
      <c r="C1352" s="11" t="s">
        <v>572</v>
      </c>
      <c r="D1352" s="11" t="str">
        <f>VLOOKUP(VALUE(MID($C1352,13,2)), [2]codigos!$A$2:$B$60, 2, 1) &amp; " " &amp; VLOOKUP(VALUE(MID($C1352,15,4)), [2]codigos!$E$2:$F$102, 2, FALSE)</f>
        <v>BUDINERA   18</v>
      </c>
      <c r="E1352" s="11" t="str">
        <f>VLOOKUP(VALUE(MID($C1352,19,2)),[2]codigos!$H$2:$I$62,2,1) &amp; " " &amp; VLOOKUP(VALUE(MID($C1352,21,2)),[2]codigos!$K$2:$L$12,2,FALSE)</f>
        <v>A/T S/I</v>
      </c>
      <c r="F1352" s="11" t="s">
        <v>573</v>
      </c>
      <c r="G1352" s="11" t="s">
        <v>11</v>
      </c>
      <c r="H1352" s="52" t="s">
        <v>1500</v>
      </c>
      <c r="I1352" s="20" t="s">
        <v>1445</v>
      </c>
      <c r="J1352" s="11">
        <v>3</v>
      </c>
      <c r="K1352" s="11">
        <v>3</v>
      </c>
      <c r="L1352" s="11">
        <f t="shared" ref="L1352:L1381" si="140">J1352-K1352</f>
        <v>0</v>
      </c>
      <c r="M1352" s="131">
        <f>(SUM(K1352:K1370))/(SUM(J1352:J1370))</f>
        <v>1</v>
      </c>
      <c r="N1352" s="18">
        <v>46092</v>
      </c>
    </row>
    <row r="1353" spans="1:14" x14ac:dyDescent="0.25">
      <c r="A1353" s="11">
        <f t="shared" ca="1" si="139"/>
        <v>-31</v>
      </c>
      <c r="C1353" s="11" t="s">
        <v>946</v>
      </c>
      <c r="D1353" s="11" t="str">
        <f>VLOOKUP(VALUE(MID($C1353,13,2)), [2]codigos!$A$2:$B$60, 2, 1) &amp; " " &amp; VLOOKUP(VALUE(MID($C1353,15,4)), [2]codigos!$E$2:$F$102, 2, FALSE)</f>
        <v>BUDINERA   24</v>
      </c>
      <c r="E1353" s="11" t="str">
        <f>VLOOKUP(VALUE(MID($C1353,19,2)),[2]codigos!$H$2:$I$62,2,1) &amp; " " &amp; VLOOKUP(VALUE(MID($C1353,21,2)),[2]codigos!$K$2:$L$12,2,FALSE)</f>
        <v>BICOLOR AZUL S/I</v>
      </c>
      <c r="F1353" s="11" t="s">
        <v>573</v>
      </c>
      <c r="G1353" s="11" t="s">
        <v>11</v>
      </c>
      <c r="H1353" s="52" t="s">
        <v>1500</v>
      </c>
      <c r="I1353" s="20" t="s">
        <v>1445</v>
      </c>
      <c r="J1353" s="11">
        <v>2</v>
      </c>
      <c r="K1353" s="11">
        <v>2</v>
      </c>
      <c r="L1353" s="11">
        <f t="shared" si="140"/>
        <v>0</v>
      </c>
      <c r="M1353" s="131"/>
      <c r="N1353" s="18">
        <v>46092</v>
      </c>
    </row>
    <row r="1354" spans="1:14" x14ac:dyDescent="0.25">
      <c r="A1354" s="11">
        <f t="shared" ca="1" si="139"/>
        <v>-31</v>
      </c>
      <c r="C1354" s="11" t="s">
        <v>577</v>
      </c>
      <c r="D1354" s="11" t="str">
        <f>VLOOKUP(VALUE(MID($C1354,13,2)), [2]codigos!$A$2:$B$60, 2, 1) &amp; " " &amp; VLOOKUP(VALUE(MID($C1354,15,4)), [2]codigos!$E$2:$F$102, 2, FALSE)</f>
        <v>BUDINERA   24</v>
      </c>
      <c r="E1354" s="11" t="str">
        <f>VLOOKUP(VALUE(MID($C1354,19,2)),[2]codigos!$H$2:$I$62,2,1) &amp; " " &amp; VLOOKUP(VALUE(MID($C1354,21,2)),[2]codigos!$K$2:$L$12,2,FALSE)</f>
        <v>BICOLOR NARANJA S/I</v>
      </c>
      <c r="F1354" s="11" t="s">
        <v>573</v>
      </c>
      <c r="G1354" s="11" t="s">
        <v>11</v>
      </c>
      <c r="H1354" s="52" t="s">
        <v>1500</v>
      </c>
      <c r="I1354" s="20" t="s">
        <v>1445</v>
      </c>
      <c r="J1354" s="11">
        <v>3</v>
      </c>
      <c r="K1354" s="11">
        <v>3</v>
      </c>
      <c r="L1354" s="11">
        <f t="shared" si="140"/>
        <v>0</v>
      </c>
      <c r="M1354" s="131"/>
      <c r="N1354" s="18">
        <v>46092</v>
      </c>
    </row>
    <row r="1355" spans="1:14" x14ac:dyDescent="0.25">
      <c r="A1355" s="11">
        <f t="shared" ca="1" si="139"/>
        <v>-31</v>
      </c>
      <c r="C1355" s="11" t="s">
        <v>1036</v>
      </c>
      <c r="D1355" s="11" t="str">
        <f>VLOOKUP(VALUE(MID($C1355,13,2)), [2]codigos!$A$2:$B$60, 2, 1) &amp; " " &amp; VLOOKUP(VALUE(MID($C1355,15,4)), [2]codigos!$E$2:$F$102, 2, FALSE)</f>
        <v>BUDINERA   24</v>
      </c>
      <c r="E1355" s="11" t="str">
        <f>VLOOKUP(VALUE(MID($C1355,19,2)),[2]codigos!$H$2:$I$62,2,1) &amp; " " &amp; VLOOKUP(VALUE(MID($C1355,21,2)),[2]codigos!$K$2:$L$12,2,FALSE)</f>
        <v>BICOLOR ROJO S/I</v>
      </c>
      <c r="F1355" s="11" t="s">
        <v>573</v>
      </c>
      <c r="G1355" s="11" t="s">
        <v>11</v>
      </c>
      <c r="H1355" s="52" t="s">
        <v>1500</v>
      </c>
      <c r="I1355" s="20" t="s">
        <v>1445</v>
      </c>
      <c r="J1355" s="11">
        <v>1</v>
      </c>
      <c r="K1355" s="11">
        <v>1</v>
      </c>
      <c r="L1355" s="11">
        <f t="shared" si="140"/>
        <v>0</v>
      </c>
      <c r="M1355" s="131"/>
      <c r="N1355" s="18">
        <v>46092</v>
      </c>
    </row>
    <row r="1356" spans="1:14" x14ac:dyDescent="0.25">
      <c r="A1356" s="11">
        <f t="shared" ca="1" si="139"/>
        <v>-31</v>
      </c>
      <c r="C1356" s="11" t="s">
        <v>578</v>
      </c>
      <c r="D1356" s="11" t="str">
        <f>VLOOKUP(VALUE(MID($C1356,13,2)), [2]codigos!$A$2:$B$60, 2, 1) &amp; " " &amp; VLOOKUP(VALUE(MID($C1356,15,4)), [2]codigos!$E$2:$F$102, 2, FALSE)</f>
        <v>COMAL 28</v>
      </c>
      <c r="E1356" s="11" t="str">
        <f>VLOOKUP(VALUE(MID($C1356,19,2)),[2]codigos!$H$2:$I$62,2,1) &amp; " " &amp; VLOOKUP(VALUE(MID($C1356,21,2)),[2]codigos!$K$2:$L$12,2,FALSE)</f>
        <v>NEGRO S/I</v>
      </c>
      <c r="F1356" s="11" t="s">
        <v>573</v>
      </c>
      <c r="G1356" s="11" t="s">
        <v>11</v>
      </c>
      <c r="H1356" s="52" t="s">
        <v>1500</v>
      </c>
      <c r="I1356" s="20" t="s">
        <v>1445</v>
      </c>
      <c r="J1356" s="11">
        <v>8</v>
      </c>
      <c r="K1356" s="11">
        <f>8</f>
        <v>8</v>
      </c>
      <c r="L1356" s="11">
        <f t="shared" si="140"/>
        <v>0</v>
      </c>
      <c r="M1356" s="131"/>
      <c r="N1356" s="18">
        <v>46092</v>
      </c>
    </row>
    <row r="1357" spans="1:14" x14ac:dyDescent="0.25">
      <c r="A1357" s="11">
        <f t="shared" ca="1" si="139"/>
        <v>-31</v>
      </c>
      <c r="C1357" s="11" t="s">
        <v>579</v>
      </c>
      <c r="D1357" s="11" t="str">
        <f>VLOOKUP(VALUE(MID($C1357,13,2)), [2]codigos!$A$2:$B$60, 2, 1) &amp; " " &amp; VLOOKUP(VALUE(MID($C1357,15,4)), [2]codigos!$E$2:$F$102, 2, FALSE)</f>
        <v>OLLA CONVEXA 18</v>
      </c>
      <c r="E1357" s="11" t="str">
        <f>VLOOKUP(VALUE(MID($C1357,19,2)),[2]codigos!$H$2:$I$62,2,1) &amp; " " &amp; VLOOKUP(VALUE(MID($C1357,21,2)),[2]codigos!$K$2:$L$12,2,FALSE)</f>
        <v>A/T S/I</v>
      </c>
      <c r="F1357" s="11" t="s">
        <v>573</v>
      </c>
      <c r="G1357" s="11" t="s">
        <v>11</v>
      </c>
      <c r="H1357" s="52" t="s">
        <v>1500</v>
      </c>
      <c r="I1357" s="20" t="s">
        <v>1445</v>
      </c>
      <c r="J1357" s="11">
        <v>4</v>
      </c>
      <c r="K1357" s="11">
        <v>4</v>
      </c>
      <c r="L1357" s="11">
        <f t="shared" si="140"/>
        <v>0</v>
      </c>
      <c r="M1357" s="131"/>
      <c r="N1357" s="18">
        <v>46092</v>
      </c>
    </row>
    <row r="1358" spans="1:14" x14ac:dyDescent="0.25">
      <c r="A1358" s="11">
        <f t="shared" ca="1" si="139"/>
        <v>-31</v>
      </c>
      <c r="C1358" s="11" t="s">
        <v>580</v>
      </c>
      <c r="D1358" s="11" t="str">
        <f>VLOOKUP(VALUE(MID($C1358,13,2)), [2]codigos!$A$2:$B$60, 2, 1) &amp; " " &amp; VLOOKUP(VALUE(MID($C1358,15,4)), [2]codigos!$E$2:$F$102, 2, FALSE)</f>
        <v>OLLA CONVEXA 22</v>
      </c>
      <c r="E1358" s="11" t="str">
        <f>VLOOKUP(VALUE(MID($C1358,19,2)),[2]codigos!$H$2:$I$62,2,1) &amp; " " &amp; VLOOKUP(VALUE(MID($C1358,21,2)),[2]codigos!$K$2:$L$12,2,FALSE)</f>
        <v>A/T S/I</v>
      </c>
      <c r="F1358" s="11" t="s">
        <v>573</v>
      </c>
      <c r="G1358" s="11" t="s">
        <v>11</v>
      </c>
      <c r="H1358" s="52" t="s">
        <v>1500</v>
      </c>
      <c r="I1358" s="20" t="s">
        <v>1445</v>
      </c>
      <c r="J1358" s="11">
        <v>1</v>
      </c>
      <c r="K1358" s="11">
        <f>1</f>
        <v>1</v>
      </c>
      <c r="L1358" s="11">
        <f t="shared" si="140"/>
        <v>0</v>
      </c>
      <c r="M1358" s="131"/>
      <c r="N1358" s="18">
        <v>46092</v>
      </c>
    </row>
    <row r="1359" spans="1:14" x14ac:dyDescent="0.25">
      <c r="A1359" s="11">
        <f t="shared" ca="1" si="139"/>
        <v>-31</v>
      </c>
      <c r="C1359" s="11" t="s">
        <v>582</v>
      </c>
      <c r="D1359" s="11" t="str">
        <f>VLOOKUP(VALUE(MID($C1359,13,2)), [2]codigos!$A$2:$B$60, 2, 1) &amp; " " &amp; VLOOKUP(VALUE(MID($C1359,15,4)), [2]codigos!$E$2:$F$102, 2, FALSE)</f>
        <v>OLLA RECTA 20</v>
      </c>
      <c r="E1359" s="11" t="str">
        <f>VLOOKUP(VALUE(MID($C1359,19,2)),[2]codigos!$H$2:$I$62,2,1) &amp; " " &amp; VLOOKUP(VALUE(MID($C1359,21,2)),[2]codigos!$K$2:$L$12,2,FALSE)</f>
        <v>BICOLOR AZUL S/I</v>
      </c>
      <c r="F1359" s="11" t="s">
        <v>573</v>
      </c>
      <c r="G1359" s="11" t="s">
        <v>11</v>
      </c>
      <c r="H1359" s="52" t="s">
        <v>1500</v>
      </c>
      <c r="I1359" s="20" t="s">
        <v>1445</v>
      </c>
      <c r="J1359" s="11">
        <v>1</v>
      </c>
      <c r="K1359" s="11">
        <v>1</v>
      </c>
      <c r="L1359" s="11">
        <f t="shared" si="140"/>
        <v>0</v>
      </c>
      <c r="M1359" s="131"/>
      <c r="N1359" s="18">
        <v>46092</v>
      </c>
    </row>
    <row r="1360" spans="1:14" x14ac:dyDescent="0.25">
      <c r="A1360" s="11">
        <f t="shared" ca="1" si="139"/>
        <v>-31</v>
      </c>
      <c r="C1360" s="11" t="s">
        <v>583</v>
      </c>
      <c r="D1360" s="11" t="str">
        <f>VLOOKUP(VALUE(MID($C1360,13,2)), [2]codigos!$A$2:$B$60, 2, 1) &amp; " " &amp; VLOOKUP(VALUE(MID($C1360,15,4)), [2]codigos!$E$2:$F$102, 2, FALSE)</f>
        <v>OLLA RECTA 20</v>
      </c>
      <c r="E1360" s="11" t="str">
        <f>VLOOKUP(VALUE(MID($C1360,19,2)),[2]codigos!$H$2:$I$62,2,1) &amp; " " &amp; VLOOKUP(VALUE(MID($C1360,21,2)),[2]codigos!$K$2:$L$12,2,FALSE)</f>
        <v>BICOLOR NARANJA S/I</v>
      </c>
      <c r="F1360" s="11" t="s">
        <v>573</v>
      </c>
      <c r="G1360" s="11" t="s">
        <v>11</v>
      </c>
      <c r="H1360" s="52" t="s">
        <v>1500</v>
      </c>
      <c r="I1360" s="20" t="s">
        <v>1445</v>
      </c>
      <c r="J1360" s="11">
        <v>3</v>
      </c>
      <c r="K1360" s="11">
        <v>3</v>
      </c>
      <c r="L1360" s="11">
        <f t="shared" si="140"/>
        <v>0</v>
      </c>
      <c r="M1360" s="131"/>
      <c r="N1360" s="18">
        <v>46092</v>
      </c>
    </row>
    <row r="1361" spans="1:14" x14ac:dyDescent="0.25">
      <c r="A1361" s="11">
        <f t="shared" ca="1" si="139"/>
        <v>-31</v>
      </c>
      <c r="C1361" s="11" t="s">
        <v>584</v>
      </c>
      <c r="D1361" s="11" t="str">
        <f>VLOOKUP(VALUE(MID($C1361,13,2)), [2]codigos!$A$2:$B$60, 2, 1) &amp; " " &amp; VLOOKUP(VALUE(MID($C1361,15,4)), [2]codigos!$E$2:$F$102, 2, FALSE)</f>
        <v>OLLA RECTA 20</v>
      </c>
      <c r="E1361" s="11" t="str">
        <f>VLOOKUP(VALUE(MID($C1361,19,2)),[2]codigos!$H$2:$I$62,2,1) &amp; " " &amp; VLOOKUP(VALUE(MID($C1361,21,2)),[2]codigos!$K$2:$L$12,2,FALSE)</f>
        <v>BICOLOR ROJO S/I</v>
      </c>
      <c r="F1361" s="11" t="s">
        <v>573</v>
      </c>
      <c r="G1361" s="11" t="s">
        <v>11</v>
      </c>
      <c r="H1361" s="52" t="s">
        <v>1500</v>
      </c>
      <c r="I1361" s="20" t="s">
        <v>1445</v>
      </c>
      <c r="J1361" s="11">
        <v>1</v>
      </c>
      <c r="K1361" s="11">
        <v>1</v>
      </c>
      <c r="L1361" s="11">
        <f t="shared" si="140"/>
        <v>0</v>
      </c>
      <c r="M1361" s="131"/>
      <c r="N1361" s="18">
        <v>46092</v>
      </c>
    </row>
    <row r="1362" spans="1:14" x14ac:dyDescent="0.25">
      <c r="A1362" s="11">
        <f t="shared" ca="1" si="139"/>
        <v>-31</v>
      </c>
      <c r="C1362" s="11" t="s">
        <v>585</v>
      </c>
      <c r="D1362" s="11" t="str">
        <f>VLOOKUP(VALUE(MID($C1362,13,2)), [2]codigos!$A$2:$B$60, 2, 1) &amp; " " &amp; VLOOKUP(VALUE(MID($C1362,15,4)), [2]codigos!$E$2:$F$102, 2, FALSE)</f>
        <v>OLLA RECTA 24</v>
      </c>
      <c r="E1362" s="11" t="str">
        <f>VLOOKUP(VALUE(MID($C1362,19,2)),[2]codigos!$H$2:$I$62,2,1) &amp; " " &amp; VLOOKUP(VALUE(MID($C1362,21,2)),[2]codigos!$K$2:$L$12,2,FALSE)</f>
        <v>BICOLOR AZUL S/I</v>
      </c>
      <c r="F1362" s="11" t="s">
        <v>573</v>
      </c>
      <c r="G1362" s="11" t="s">
        <v>11</v>
      </c>
      <c r="H1362" s="52" t="s">
        <v>1500</v>
      </c>
      <c r="I1362" s="20" t="s">
        <v>1445</v>
      </c>
      <c r="J1362" s="11">
        <v>4</v>
      </c>
      <c r="K1362" s="11">
        <f>2+1+1</f>
        <v>4</v>
      </c>
      <c r="L1362" s="11">
        <f t="shared" si="140"/>
        <v>0</v>
      </c>
      <c r="M1362" s="131"/>
      <c r="N1362" s="18">
        <v>46092</v>
      </c>
    </row>
    <row r="1363" spans="1:14" x14ac:dyDescent="0.25">
      <c r="A1363" s="11">
        <f t="shared" ca="1" si="139"/>
        <v>-31</v>
      </c>
      <c r="C1363" s="11" t="s">
        <v>586</v>
      </c>
      <c r="D1363" s="11" t="str">
        <f>VLOOKUP(VALUE(MID($C1363,13,2)), [2]codigos!$A$2:$B$60, 2, 1) &amp; " " &amp; VLOOKUP(VALUE(MID($C1363,15,4)), [2]codigos!$E$2:$F$102, 2, FALSE)</f>
        <v>OLLA RECTA 24</v>
      </c>
      <c r="E1363" s="11" t="str">
        <f>VLOOKUP(VALUE(MID($C1363,19,2)),[2]codigos!$H$2:$I$62,2,1) &amp; " " &amp; VLOOKUP(VALUE(MID($C1363,21,2)),[2]codigos!$K$2:$L$12,2,FALSE)</f>
        <v>BICOLOR NARANJA S/I</v>
      </c>
      <c r="F1363" s="11" t="s">
        <v>573</v>
      </c>
      <c r="G1363" s="11" t="s">
        <v>11</v>
      </c>
      <c r="H1363" s="52" t="s">
        <v>1500</v>
      </c>
      <c r="I1363" s="20" t="s">
        <v>1445</v>
      </c>
      <c r="J1363" s="11">
        <v>3</v>
      </c>
      <c r="K1363" s="11">
        <f>3</f>
        <v>3</v>
      </c>
      <c r="L1363" s="11">
        <f t="shared" si="140"/>
        <v>0</v>
      </c>
      <c r="M1363" s="131"/>
      <c r="N1363" s="18">
        <v>46092</v>
      </c>
    </row>
    <row r="1364" spans="1:14" x14ac:dyDescent="0.25">
      <c r="A1364" s="11">
        <f t="shared" ca="1" si="139"/>
        <v>-31</v>
      </c>
      <c r="C1364" s="11" t="s">
        <v>587</v>
      </c>
      <c r="D1364" s="11" t="str">
        <f>VLOOKUP(VALUE(MID($C1364,13,2)), [2]codigos!$A$2:$B$60, 2, 1) &amp; " " &amp; VLOOKUP(VALUE(MID($C1364,15,4)), [2]codigos!$E$2:$F$102, 2, FALSE)</f>
        <v>OLLA RECTA 24</v>
      </c>
      <c r="E1364" s="11" t="str">
        <f>VLOOKUP(VALUE(MID($C1364,19,2)),[2]codigos!$H$2:$I$62,2,1) &amp; " " &amp; VLOOKUP(VALUE(MID($C1364,21,2)),[2]codigos!$K$2:$L$12,2,FALSE)</f>
        <v>BICOLOR ROJO S/I</v>
      </c>
      <c r="F1364" s="11" t="s">
        <v>573</v>
      </c>
      <c r="G1364" s="11" t="s">
        <v>11</v>
      </c>
      <c r="H1364" s="52" t="s">
        <v>1500</v>
      </c>
      <c r="I1364" s="20" t="s">
        <v>1445</v>
      </c>
      <c r="J1364" s="11">
        <v>8</v>
      </c>
      <c r="K1364" s="11">
        <v>8</v>
      </c>
      <c r="L1364" s="11">
        <f t="shared" si="140"/>
        <v>0</v>
      </c>
      <c r="M1364" s="131"/>
      <c r="N1364" s="18">
        <v>46092</v>
      </c>
    </row>
    <row r="1365" spans="1:14" x14ac:dyDescent="0.25">
      <c r="A1365" s="11">
        <f t="shared" ca="1" si="139"/>
        <v>-31</v>
      </c>
      <c r="C1365" s="11" t="s">
        <v>588</v>
      </c>
      <c r="D1365" s="11" t="str">
        <f>VLOOKUP(VALUE(MID($C1365,13,2)), [2]codigos!$A$2:$B$60, 2, 1) &amp; " " &amp; VLOOKUP(VALUE(MID($C1365,15,4)), [2]codigos!$E$2:$F$102, 2, FALSE)</f>
        <v>OLLA RECTA 28</v>
      </c>
      <c r="E1365" s="11" t="str">
        <f>VLOOKUP(VALUE(MID($C1365,19,2)),[2]codigos!$H$2:$I$62,2,1) &amp; " " &amp; VLOOKUP(VALUE(MID($C1365,21,2)),[2]codigos!$K$2:$L$12,2,FALSE)</f>
        <v>A/T S/I</v>
      </c>
      <c r="F1365" s="11" t="s">
        <v>573</v>
      </c>
      <c r="G1365" s="11" t="s">
        <v>11</v>
      </c>
      <c r="H1365" s="52" t="s">
        <v>1500</v>
      </c>
      <c r="I1365" s="20" t="s">
        <v>1445</v>
      </c>
      <c r="J1365" s="11">
        <v>11</v>
      </c>
      <c r="K1365" s="11">
        <f>3+8</f>
        <v>11</v>
      </c>
      <c r="L1365" s="11">
        <f t="shared" si="140"/>
        <v>0</v>
      </c>
      <c r="M1365" s="131"/>
      <c r="N1365" s="18">
        <v>46092</v>
      </c>
    </row>
    <row r="1366" spans="1:14" x14ac:dyDescent="0.25">
      <c r="A1366" s="11">
        <f t="shared" ca="1" si="139"/>
        <v>-31</v>
      </c>
      <c r="C1366" s="11" t="s">
        <v>589</v>
      </c>
      <c r="D1366" s="11" t="str">
        <f>VLOOKUP(VALUE(MID($C1366,13,2)), [2]codigos!$A$2:$B$60, 2, 1) &amp; " " &amp; VLOOKUP(VALUE(MID($C1366,15,4)), [2]codigos!$E$2:$F$102, 2, FALSE)</f>
        <v>POCILLO 14</v>
      </c>
      <c r="E1366" s="11" t="str">
        <f>VLOOKUP(VALUE(MID($C1366,19,2)),[2]codigos!$H$2:$I$62,2,1) &amp; " " &amp; VLOOKUP(VALUE(MID($C1366,21,2)),[2]codigos!$K$2:$L$12,2,FALSE)</f>
        <v>S/I S/I</v>
      </c>
      <c r="F1366" s="11" t="s">
        <v>573</v>
      </c>
      <c r="G1366" s="11" t="s">
        <v>11</v>
      </c>
      <c r="H1366" s="52" t="s">
        <v>1500</v>
      </c>
      <c r="I1366" s="20" t="s">
        <v>1445</v>
      </c>
      <c r="J1366" s="11">
        <v>5</v>
      </c>
      <c r="K1366" s="11">
        <v>5</v>
      </c>
      <c r="L1366" s="11">
        <f t="shared" si="140"/>
        <v>0</v>
      </c>
      <c r="M1366" s="131"/>
      <c r="N1366" s="18">
        <v>46092</v>
      </c>
    </row>
    <row r="1367" spans="1:14" x14ac:dyDescent="0.25">
      <c r="A1367" s="11">
        <f t="shared" ca="1" si="139"/>
        <v>-31</v>
      </c>
      <c r="C1367" s="11" t="s">
        <v>590</v>
      </c>
      <c r="D1367" s="11" t="str">
        <f>VLOOKUP(VALUE(MID($C1367,13,2)), [2]codigos!$A$2:$B$60, 2, 1) &amp; " " &amp; VLOOKUP(VALUE(MID($C1367,15,4)), [2]codigos!$E$2:$F$102, 2, FALSE)</f>
        <v>POCILLO 14</v>
      </c>
      <c r="E1367" s="11" t="str">
        <f>VLOOKUP(VALUE(MID($C1367,19,2)),[2]codigos!$H$2:$I$62,2,1) &amp; " " &amp; VLOOKUP(VALUE(MID($C1367,21,2)),[2]codigos!$K$2:$L$12,2,FALSE)</f>
        <v>A/T S/I</v>
      </c>
      <c r="F1367" s="11" t="s">
        <v>573</v>
      </c>
      <c r="G1367" s="11" t="s">
        <v>11</v>
      </c>
      <c r="H1367" s="52" t="s">
        <v>1500</v>
      </c>
      <c r="I1367" s="20" t="s">
        <v>1445</v>
      </c>
      <c r="J1367" s="11">
        <v>14</v>
      </c>
      <c r="K1367" s="11">
        <v>14</v>
      </c>
      <c r="L1367" s="11">
        <f t="shared" si="140"/>
        <v>0</v>
      </c>
      <c r="M1367" s="131"/>
      <c r="N1367" s="18">
        <v>46092</v>
      </c>
    </row>
    <row r="1368" spans="1:14" x14ac:dyDescent="0.25">
      <c r="A1368" s="11">
        <f t="shared" ca="1" si="139"/>
        <v>-31</v>
      </c>
      <c r="C1368" s="11" t="s">
        <v>591</v>
      </c>
      <c r="D1368" s="11" t="str">
        <f>VLOOKUP(VALUE(MID($C1368,13,2)), [2]codigos!$A$2:$B$60, 2, 1) &amp; " " &amp; VLOOKUP(VALUE(MID($C1368,15,4)), [2]codigos!$E$2:$F$102, 2, FALSE)</f>
        <v>POCILLO 14</v>
      </c>
      <c r="E1368" s="11" t="str">
        <f>VLOOKUP(VALUE(MID($C1368,19,2)),[2]codigos!$H$2:$I$62,2,1) &amp; " " &amp; VLOOKUP(VALUE(MID($C1368,21,2)),[2]codigos!$K$2:$L$12,2,FALSE)</f>
        <v>BICOLOR AZUL S/I</v>
      </c>
      <c r="F1368" s="11" t="s">
        <v>573</v>
      </c>
      <c r="G1368" s="11" t="s">
        <v>11</v>
      </c>
      <c r="H1368" s="52" t="s">
        <v>1500</v>
      </c>
      <c r="I1368" s="20" t="s">
        <v>1445</v>
      </c>
      <c r="J1368" s="11">
        <v>5</v>
      </c>
      <c r="K1368" s="11">
        <f>2+3</f>
        <v>5</v>
      </c>
      <c r="L1368" s="11">
        <f t="shared" si="140"/>
        <v>0</v>
      </c>
      <c r="M1368" s="131"/>
      <c r="N1368" s="18">
        <v>46092</v>
      </c>
    </row>
    <row r="1369" spans="1:14" x14ac:dyDescent="0.25">
      <c r="A1369" s="11">
        <f t="shared" ca="1" si="139"/>
        <v>-31</v>
      </c>
      <c r="C1369" s="11" t="s">
        <v>592</v>
      </c>
      <c r="D1369" s="11" t="str">
        <f>VLOOKUP(VALUE(MID($C1369,13,2)), [2]codigos!$A$2:$B$60, 2, 1) &amp; " " &amp; VLOOKUP(VALUE(MID($C1369,15,4)), [2]codigos!$E$2:$F$102, 2, FALSE)</f>
        <v>POCILLO 14</v>
      </c>
      <c r="E1369" s="11" t="str">
        <f>VLOOKUP(VALUE(MID($C1369,19,2)),[2]codigos!$H$2:$I$62,2,1) &amp; " " &amp; VLOOKUP(VALUE(MID($C1369,21,2)),[2]codigos!$K$2:$L$12,2,FALSE)</f>
        <v>BICOLOR NARANJA S/I</v>
      </c>
      <c r="F1369" s="11" t="s">
        <v>573</v>
      </c>
      <c r="G1369" s="11" t="s">
        <v>11</v>
      </c>
      <c r="H1369" s="52" t="s">
        <v>1500</v>
      </c>
      <c r="I1369" s="20" t="s">
        <v>1445</v>
      </c>
      <c r="J1369" s="11">
        <v>6</v>
      </c>
      <c r="K1369" s="11">
        <f>3+3</f>
        <v>6</v>
      </c>
      <c r="L1369" s="11">
        <f t="shared" si="140"/>
        <v>0</v>
      </c>
      <c r="M1369" s="131"/>
      <c r="N1369" s="18">
        <v>46092</v>
      </c>
    </row>
    <row r="1370" spans="1:14" x14ac:dyDescent="0.25">
      <c r="A1370" s="11">
        <f t="shared" ca="1" si="139"/>
        <v>-31</v>
      </c>
      <c r="C1370" s="11" t="s">
        <v>593</v>
      </c>
      <c r="D1370" s="11" t="str">
        <f>VLOOKUP(VALUE(MID($C1370,13,2)), [2]codigos!$A$2:$B$60, 2, 1) &amp; " " &amp; VLOOKUP(VALUE(MID($C1370,15,4)), [2]codigos!$E$2:$F$102, 2, FALSE)</f>
        <v>POCILLO 14</v>
      </c>
      <c r="E1370" s="11" t="str">
        <f>VLOOKUP(VALUE(MID($C1370,19,2)),[2]codigos!$H$2:$I$62,2,1) &amp; " " &amp; VLOOKUP(VALUE(MID($C1370,21,2)),[2]codigos!$K$2:$L$12,2,FALSE)</f>
        <v>BICOLOR ROJO S/I</v>
      </c>
      <c r="F1370" s="11" t="s">
        <v>573</v>
      </c>
      <c r="G1370" s="11" t="s">
        <v>11</v>
      </c>
      <c r="H1370" s="52" t="s">
        <v>1500</v>
      </c>
      <c r="I1370" s="20" t="s">
        <v>1445</v>
      </c>
      <c r="J1370" s="11">
        <v>6</v>
      </c>
      <c r="K1370" s="11">
        <v>6</v>
      </c>
      <c r="L1370" s="11">
        <f t="shared" si="140"/>
        <v>0</v>
      </c>
      <c r="M1370" s="131"/>
      <c r="N1370" s="18">
        <v>46092</v>
      </c>
    </row>
    <row r="1371" spans="1:14" x14ac:dyDescent="0.25">
      <c r="A1371" s="11">
        <f t="shared" ca="1" si="139"/>
        <v>-33</v>
      </c>
      <c r="C1371" s="11" t="s">
        <v>1493</v>
      </c>
      <c r="D1371" s="11" t="str">
        <f>VLOOKUP(VALUE(MID($C1371,13,2)), [2]codigos!$A$2:$B$60, 2, 1) &amp; " " &amp; VLOOKUP(VALUE(MID($C1371,15,4)), [2]codigos!$E$2:$F$102, 2, FALSE)</f>
        <v>BANDEJA 1</v>
      </c>
      <c r="E1371" s="11" t="str">
        <f>VLOOKUP(VALUE(MID($C1371,19,2)),[2]codigos!$H$2:$I$62,2,1) &amp; " " &amp; VLOOKUP(VALUE(MID($C1371,21,2)),[2]codigos!$K$2:$L$12,2,FALSE)</f>
        <v>GALVANIZADO S/I</v>
      </c>
      <c r="F1371" s="11" t="s">
        <v>993</v>
      </c>
      <c r="G1371" s="11" t="s">
        <v>11</v>
      </c>
      <c r="H1371" s="52" t="s">
        <v>1494</v>
      </c>
      <c r="I1371" s="20" t="s">
        <v>1495</v>
      </c>
      <c r="J1371" s="11">
        <v>25</v>
      </c>
      <c r="K1371" s="11">
        <v>25</v>
      </c>
      <c r="L1371" s="11">
        <f t="shared" si="140"/>
        <v>0</v>
      </c>
      <c r="M1371" s="131">
        <f>(SUM(K1371:K1380))/(SUM(J1371:J1380))</f>
        <v>1</v>
      </c>
      <c r="N1371" s="96">
        <v>46094</v>
      </c>
    </row>
    <row r="1372" spans="1:14" x14ac:dyDescent="0.25">
      <c r="A1372" s="11">
        <f t="shared" ca="1" si="139"/>
        <v>-33</v>
      </c>
      <c r="C1372" s="11" t="s">
        <v>1496</v>
      </c>
      <c r="D1372" s="11" t="str">
        <f>VLOOKUP(VALUE(MID($C1372,13,2)), [2]codigos!$A$2:$B$60, 2, 1) &amp; " " &amp; VLOOKUP(VALUE(MID($C1372,15,4)), [2]codigos!$E$2:$F$102, 2, FALSE)</f>
        <v>BANDEJA 2</v>
      </c>
      <c r="E1372" s="11" t="str">
        <f>VLOOKUP(VALUE(MID($C1372,19,2)),[2]codigos!$H$2:$I$62,2,1) &amp; " " &amp; VLOOKUP(VALUE(MID($C1372,21,2)),[2]codigos!$K$2:$L$12,2,FALSE)</f>
        <v>GALVANIZADO S/I</v>
      </c>
      <c r="F1372" s="11" t="s">
        <v>993</v>
      </c>
      <c r="G1372" s="11" t="s">
        <v>11</v>
      </c>
      <c r="H1372" s="52" t="s">
        <v>1494</v>
      </c>
      <c r="I1372" s="20" t="s">
        <v>1495</v>
      </c>
      <c r="J1372" s="11">
        <v>25</v>
      </c>
      <c r="K1372" s="11">
        <v>25</v>
      </c>
      <c r="L1372" s="11">
        <f t="shared" si="140"/>
        <v>0</v>
      </c>
      <c r="M1372" s="131"/>
      <c r="N1372" s="96">
        <v>46094</v>
      </c>
    </row>
    <row r="1373" spans="1:14" x14ac:dyDescent="0.25">
      <c r="A1373" s="11">
        <f t="shared" ca="1" si="139"/>
        <v>-33</v>
      </c>
      <c r="C1373" s="11" t="s">
        <v>417</v>
      </c>
      <c r="D1373" s="11" t="str">
        <f>VLOOKUP(VALUE(MID($C1373,13,2)), [2]codigos!$A$2:$B$60, 2, 1) &amp; " " &amp; VLOOKUP(VALUE(MID($C1373,15,4)), [2]codigos!$E$2:$F$102, 2, FALSE)</f>
        <v>BAÑO 0</v>
      </c>
      <c r="E1373" s="11" t="str">
        <f>VLOOKUP(VALUE(MID($C1373,19,2)),[2]codigos!$H$2:$I$62,2,1) &amp; " " &amp; VLOOKUP(VALUE(MID($C1373,21,2)),[2]codigos!$K$2:$L$12,2,FALSE)</f>
        <v>GALVANIZADO S/I</v>
      </c>
      <c r="F1373" s="11" t="s">
        <v>993</v>
      </c>
      <c r="G1373" s="11" t="s">
        <v>11</v>
      </c>
      <c r="H1373" s="52" t="s">
        <v>1494</v>
      </c>
      <c r="I1373" s="20" t="s">
        <v>1495</v>
      </c>
      <c r="J1373" s="11">
        <v>5</v>
      </c>
      <c r="K1373" s="11">
        <v>5</v>
      </c>
      <c r="L1373" s="11">
        <f t="shared" si="140"/>
        <v>0</v>
      </c>
      <c r="M1373" s="131"/>
      <c r="N1373" s="96">
        <v>46094</v>
      </c>
    </row>
    <row r="1374" spans="1:14" x14ac:dyDescent="0.25">
      <c r="A1374" s="11">
        <f t="shared" ca="1" si="139"/>
        <v>-33</v>
      </c>
      <c r="C1374" s="11" t="s">
        <v>1497</v>
      </c>
      <c r="D1374" s="11" t="str">
        <f>VLOOKUP(VALUE(MID($C1374,13,2)), [2]codigos!$A$2:$B$60, 2, 1) &amp; " " &amp; VLOOKUP(VALUE(MID($C1374,15,4)), [2]codigos!$E$2:$F$102, 2, FALSE)</f>
        <v>BAÑO 0</v>
      </c>
      <c r="E1374" s="11" t="str">
        <f>VLOOKUP(VALUE(MID($C1374,19,2)),[2]codigos!$H$2:$I$62,2,1) &amp; " " &amp; VLOOKUP(VALUE(MID($C1374,21,2)),[2]codigos!$K$2:$L$12,2,FALSE)</f>
        <v>GALVANIZADO S/I</v>
      </c>
      <c r="F1374" s="11" t="s">
        <v>993</v>
      </c>
      <c r="G1374" s="11" t="s">
        <v>11</v>
      </c>
      <c r="H1374" s="52" t="s">
        <v>1494</v>
      </c>
      <c r="I1374" s="20" t="s">
        <v>1495</v>
      </c>
      <c r="J1374" s="11">
        <v>10</v>
      </c>
      <c r="K1374" s="11">
        <v>10</v>
      </c>
      <c r="L1374" s="11">
        <f t="shared" si="140"/>
        <v>0</v>
      </c>
      <c r="M1374" s="131"/>
      <c r="N1374" s="96">
        <v>46094</v>
      </c>
    </row>
    <row r="1375" spans="1:14" x14ac:dyDescent="0.25">
      <c r="A1375" s="11">
        <f t="shared" ca="1" si="139"/>
        <v>-33</v>
      </c>
      <c r="C1375" s="11" t="s">
        <v>419</v>
      </c>
      <c r="D1375" s="11" t="str">
        <f>VLOOKUP(VALUE(MID($C1375,13,2)), [2]codigos!$A$2:$B$60, 2, 1) &amp; " " &amp; VLOOKUP(VALUE(MID($C1375,15,4)), [2]codigos!$E$2:$F$102, 2, FALSE)</f>
        <v>BAÑO 1</v>
      </c>
      <c r="E1375" s="11" t="str">
        <f>VLOOKUP(VALUE(MID($C1375,19,2)),[2]codigos!$H$2:$I$62,2,1) &amp; " " &amp; VLOOKUP(VALUE(MID($C1375,21,2)),[2]codigos!$K$2:$L$12,2,FALSE)</f>
        <v>GALVANIZADO S/I</v>
      </c>
      <c r="F1375" s="11" t="s">
        <v>993</v>
      </c>
      <c r="G1375" s="11" t="s">
        <v>11</v>
      </c>
      <c r="H1375" s="52" t="s">
        <v>1494</v>
      </c>
      <c r="I1375" s="20" t="s">
        <v>1495</v>
      </c>
      <c r="J1375" s="11">
        <v>10</v>
      </c>
      <c r="K1375" s="11">
        <v>10</v>
      </c>
      <c r="L1375" s="11">
        <f t="shared" si="140"/>
        <v>0</v>
      </c>
      <c r="M1375" s="131"/>
      <c r="N1375" s="96">
        <v>46094</v>
      </c>
    </row>
    <row r="1376" spans="1:14" x14ac:dyDescent="0.25">
      <c r="A1376" s="11">
        <f t="shared" ca="1" si="139"/>
        <v>-33</v>
      </c>
      <c r="C1376" s="11" t="s">
        <v>424</v>
      </c>
      <c r="D1376" s="11" t="str">
        <f>VLOOKUP(VALUE(MID($C1376,13,2)), [2]codigos!$A$2:$B$60, 2, 1) &amp; " " &amp; VLOOKUP(VALUE(MID($C1376,15,4)), [2]codigos!$E$2:$F$102, 2, FALSE)</f>
        <v>BAÑO 7</v>
      </c>
      <c r="E1376" s="11" t="str">
        <f>VLOOKUP(VALUE(MID($C1376,19,2)),[2]codigos!$H$2:$I$62,2,1) &amp; " " &amp; VLOOKUP(VALUE(MID($C1376,21,2)),[2]codigos!$K$2:$L$12,2,FALSE)</f>
        <v>GALVANIZADO S/I</v>
      </c>
      <c r="F1376" s="11" t="s">
        <v>993</v>
      </c>
      <c r="G1376" s="11" t="s">
        <v>11</v>
      </c>
      <c r="H1376" s="52" t="s">
        <v>1494</v>
      </c>
      <c r="I1376" s="20" t="s">
        <v>1495</v>
      </c>
      <c r="J1376" s="11">
        <v>10</v>
      </c>
      <c r="K1376" s="11">
        <v>10</v>
      </c>
      <c r="L1376" s="11">
        <f t="shared" si="140"/>
        <v>0</v>
      </c>
      <c r="M1376" s="131"/>
      <c r="N1376" s="96">
        <v>46094</v>
      </c>
    </row>
    <row r="1377" spans="1:14" x14ac:dyDescent="0.25">
      <c r="A1377" s="11">
        <f t="shared" ca="1" si="139"/>
        <v>-33</v>
      </c>
      <c r="C1377" s="11" t="s">
        <v>999</v>
      </c>
      <c r="D1377" s="11" t="str">
        <f>VLOOKUP(VALUE(MID($C1377,13,2)), [2]codigos!$A$2:$B$60, 2, 1) &amp; " " &amp; VLOOKUP(VALUE(MID($C1377,15,4)), [2]codigos!$E$2:$F$102, 2, FALSE)</f>
        <v>BAÑO B</v>
      </c>
      <c r="E1377" s="11" t="str">
        <f>VLOOKUP(VALUE(MID($C1377,19,2)),[2]codigos!$H$2:$I$62,2,1) &amp; " " &amp; VLOOKUP(VALUE(MID($C1377,21,2)),[2]codigos!$K$2:$L$12,2,FALSE)</f>
        <v>GALVANIZADO S/I</v>
      </c>
      <c r="F1377" s="11" t="s">
        <v>993</v>
      </c>
      <c r="G1377" s="11" t="s">
        <v>11</v>
      </c>
      <c r="H1377" s="52" t="s">
        <v>1494</v>
      </c>
      <c r="I1377" s="20" t="s">
        <v>1495</v>
      </c>
      <c r="J1377" s="11">
        <v>25</v>
      </c>
      <c r="K1377" s="11">
        <v>25</v>
      </c>
      <c r="L1377" s="11">
        <f t="shared" si="140"/>
        <v>0</v>
      </c>
      <c r="M1377" s="131"/>
      <c r="N1377" s="96">
        <v>46094</v>
      </c>
    </row>
    <row r="1378" spans="1:14" x14ac:dyDescent="0.25">
      <c r="A1378" s="11">
        <f t="shared" ca="1" si="139"/>
        <v>-33</v>
      </c>
      <c r="C1378" s="11" t="s">
        <v>1498</v>
      </c>
      <c r="D1378" s="11" t="str">
        <f>VLOOKUP(VALUE(MID($C1378,13,2)), [2]codigos!$A$2:$B$60, 2, 1) &amp; " " &amp; VLOOKUP(VALUE(MID($C1378,15,4)), [2]codigos!$E$2:$F$102, 2, FALSE)</f>
        <v>CUBETA 4</v>
      </c>
      <c r="E1378" s="11" t="str">
        <f>VLOOKUP(VALUE(MID($C1378,19,2)),[2]codigos!$H$2:$I$62,2,1) &amp; " " &amp; VLOOKUP(VALUE(MID($C1378,21,2)),[2]codigos!$K$2:$L$12,2,FALSE)</f>
        <v>GALVANIZADO S/I</v>
      </c>
      <c r="F1378" s="11" t="s">
        <v>993</v>
      </c>
      <c r="G1378" s="11" t="s">
        <v>11</v>
      </c>
      <c r="H1378" s="52" t="s">
        <v>1494</v>
      </c>
      <c r="I1378" s="20" t="s">
        <v>1495</v>
      </c>
      <c r="J1378" s="11">
        <v>25</v>
      </c>
      <c r="K1378" s="11">
        <v>25</v>
      </c>
      <c r="L1378" s="11">
        <f t="shared" si="140"/>
        <v>0</v>
      </c>
      <c r="M1378" s="131"/>
      <c r="N1378" s="96">
        <v>46094</v>
      </c>
    </row>
    <row r="1379" spans="1:14" x14ac:dyDescent="0.25">
      <c r="A1379" s="11">
        <f t="shared" ca="1" si="139"/>
        <v>-33</v>
      </c>
      <c r="C1379" s="11" t="s">
        <v>1000</v>
      </c>
      <c r="D1379" s="11" t="str">
        <f>VLOOKUP(VALUE(MID($C1379,13,2)), [2]codigos!$A$2:$B$60, 2, 1) &amp; " " &amp; VLOOKUP(VALUE(MID($C1379,15,4)), [2]codigos!$E$2:$F$102, 2, FALSE)</f>
        <v>CUBETA 6</v>
      </c>
      <c r="E1379" s="11" t="str">
        <f>VLOOKUP(VALUE(MID($C1379,19,2)),[2]codigos!$H$2:$I$62,2,1) &amp; " " &amp; VLOOKUP(VALUE(MID($C1379,21,2)),[2]codigos!$K$2:$L$12,2,FALSE)</f>
        <v>GALVANIZADO S/I</v>
      </c>
      <c r="F1379" s="11" t="s">
        <v>993</v>
      </c>
      <c r="G1379" s="11" t="s">
        <v>11</v>
      </c>
      <c r="H1379" s="52" t="s">
        <v>1494</v>
      </c>
      <c r="I1379" s="20" t="s">
        <v>1495</v>
      </c>
      <c r="J1379" s="11">
        <v>25</v>
      </c>
      <c r="K1379" s="11">
        <v>25</v>
      </c>
      <c r="L1379" s="11">
        <f t="shared" si="140"/>
        <v>0</v>
      </c>
      <c r="M1379" s="131"/>
      <c r="N1379" s="96">
        <v>46094</v>
      </c>
    </row>
    <row r="1380" spans="1:14" x14ac:dyDescent="0.25">
      <c r="A1380" s="11">
        <f t="shared" ca="1" si="139"/>
        <v>-33</v>
      </c>
      <c r="C1380" s="11" t="s">
        <v>1002</v>
      </c>
      <c r="D1380" s="11" t="str">
        <f>VLOOKUP(VALUE(MID($C1380,13,2)), [2]codigos!$A$2:$B$60, 2, 1) &amp; " " &amp; VLOOKUP(VALUE(MID($C1380,15,4)), [2]codigos!$E$2:$F$102, 2, FALSE)</f>
        <v>CUBETA 10</v>
      </c>
      <c r="E1380" s="11" t="str">
        <f>VLOOKUP(VALUE(MID($C1380,19,2)),[2]codigos!$H$2:$I$62,2,1) &amp; " " &amp; VLOOKUP(VALUE(MID($C1380,21,2)),[2]codigos!$K$2:$L$12,2,FALSE)</f>
        <v>GALVANIZADO S/I</v>
      </c>
      <c r="F1380" s="11" t="s">
        <v>993</v>
      </c>
      <c r="G1380" s="11" t="s">
        <v>11</v>
      </c>
      <c r="H1380" s="52" t="s">
        <v>1494</v>
      </c>
      <c r="I1380" s="20" t="s">
        <v>1495</v>
      </c>
      <c r="J1380" s="11">
        <v>50</v>
      </c>
      <c r="K1380" s="11">
        <v>50</v>
      </c>
      <c r="L1380" s="11">
        <f t="shared" si="140"/>
        <v>0</v>
      </c>
      <c r="M1380" s="131"/>
      <c r="N1380" s="96">
        <v>46094</v>
      </c>
    </row>
    <row r="1381" spans="1:14" x14ac:dyDescent="0.25">
      <c r="A1381" s="11">
        <f t="shared" ca="1" si="139"/>
        <v>-33</v>
      </c>
      <c r="C1381" s="11" t="s">
        <v>537</v>
      </c>
      <c r="D1381" s="11" t="str">
        <f>VLOOKUP(VALUE(MID($C1381,13,2)), [2]codigos!$A$2:$B$60, 2, 1) &amp; " " &amp; VLOOKUP(VALUE(MID($C1381,15,4)), [2]codigos!$E$2:$F$102, 2, FALSE)</f>
        <v>TAMALERA 4</v>
      </c>
      <c r="E1381" s="11" t="str">
        <f>VLOOKUP(VALUE(MID($C1381,19,2)),[2]codigos!$H$2:$I$62,2,1) &amp; " " &amp; VLOOKUP(VALUE(MID($C1381,21,2)),[2]codigos!$K$2:$L$12,2,FALSE)</f>
        <v>GALVANIZADO S/I</v>
      </c>
      <c r="F1381" s="11" t="s">
        <v>993</v>
      </c>
      <c r="G1381" s="11" t="s">
        <v>11</v>
      </c>
      <c r="H1381" s="52" t="s">
        <v>1499</v>
      </c>
      <c r="I1381" s="20" t="s">
        <v>1495</v>
      </c>
      <c r="J1381" s="11">
        <v>5</v>
      </c>
      <c r="K1381" s="11">
        <v>5</v>
      </c>
      <c r="L1381" s="11">
        <f t="shared" si="140"/>
        <v>0</v>
      </c>
      <c r="M1381" s="88">
        <f>(SUM(K1381))/(SUM(J1381))</f>
        <v>1</v>
      </c>
      <c r="N1381" s="96">
        <v>46094</v>
      </c>
    </row>
    <row r="1382" spans="1:14" x14ac:dyDescent="0.25">
      <c r="A1382" s="11">
        <f t="shared" ca="1" si="139"/>
        <v>-62</v>
      </c>
      <c r="C1382" s="11" t="s">
        <v>211</v>
      </c>
      <c r="D1382" s="11" t="str">
        <f>VLOOKUP(VALUE(MID($C1382,13,2)), codigos!$A$2:$B$60, 2, 1) &amp; " " &amp; VLOOKUP(VALUE(MID($C1382,15,4)), codigos!$E$2:$F$102, 2, FALSE)</f>
        <v>BAÑO 10</v>
      </c>
      <c r="E1382" s="11" t="str">
        <f>VLOOKUP(VALUE(MID($C1382,19,2)),codigos!$H$2:$I$62,2,1) &amp; " " &amp; VLOOKUP(VALUE(MID($C1382,21,2)),codigos!$K$2:$L$12,2,FALSE)</f>
        <v>GALVANIZADO S/I</v>
      </c>
      <c r="F1382" s="11" t="s">
        <v>1283</v>
      </c>
      <c r="G1382" s="11" t="s">
        <v>34</v>
      </c>
      <c r="H1382" s="52" t="s">
        <v>1335</v>
      </c>
      <c r="I1382" s="11" t="s">
        <v>1280</v>
      </c>
      <c r="J1382" s="25">
        <v>15</v>
      </c>
      <c r="K1382" s="25">
        <v>15</v>
      </c>
      <c r="L1382" s="15">
        <f>+J1382-K1382</f>
        <v>0</v>
      </c>
      <c r="M1382" s="120">
        <f>(SUM(K1382))/(SUM(J1382))</f>
        <v>1</v>
      </c>
      <c r="N1382" s="96">
        <v>46094</v>
      </c>
    </row>
    <row r="1383" spans="1:14" x14ac:dyDescent="0.25">
      <c r="A1383" s="11">
        <f t="shared" ca="1" si="139"/>
        <v>-62</v>
      </c>
      <c r="C1383" s="11" t="s">
        <v>211</v>
      </c>
      <c r="D1383" s="11" t="str">
        <f>VLOOKUP(VALUE(MID($C1383,13,2)), codigos!$A$2:$B$60, 2, 1) &amp; " " &amp; VLOOKUP(VALUE(MID($C1383,15,4)), codigos!$E$2:$F$102, 2, FALSE)</f>
        <v>BAÑO 10</v>
      </c>
      <c r="E1383" s="11" t="str">
        <f>VLOOKUP(VALUE(MID($C1383,19,2)),codigos!$H$2:$I$62,2,1) &amp; " " &amp; VLOOKUP(VALUE(MID($C1383,21,2)),codigos!$K$2:$L$12,2,FALSE)</f>
        <v>GALVANIZADO S/I</v>
      </c>
      <c r="F1383" s="11" t="s">
        <v>1287</v>
      </c>
      <c r="G1383" s="11" t="s">
        <v>11</v>
      </c>
      <c r="H1383" s="11" t="s">
        <v>1286</v>
      </c>
      <c r="I1383" s="11" t="s">
        <v>1280</v>
      </c>
      <c r="J1383" s="25">
        <v>30</v>
      </c>
      <c r="K1383" s="25">
        <f>3+27</f>
        <v>30</v>
      </c>
      <c r="L1383" s="15">
        <f>+J1383-K1383</f>
        <v>0</v>
      </c>
      <c r="M1383" s="131">
        <f>(SUM(K1383:K1384))/(SUM(J1383:J1384))</f>
        <v>0.5</v>
      </c>
      <c r="N1383" s="96">
        <v>46098</v>
      </c>
    </row>
    <row r="1384" spans="1:14" x14ac:dyDescent="0.25">
      <c r="A1384" s="11">
        <f t="shared" ca="1" si="139"/>
        <v>-62</v>
      </c>
      <c r="C1384" s="64" t="s">
        <v>212</v>
      </c>
      <c r="D1384" s="64" t="str">
        <f>VLOOKUP(VALUE(MID($C1384,13,2)), codigos!$A$2:$B$60, 2, 1) &amp; " " &amp; VLOOKUP(VALUE(MID($C1384,15,4)), codigos!$E$2:$F$102, 2, FALSE)</f>
        <v>BAÑO 12</v>
      </c>
      <c r="E1384" s="64" t="str">
        <f>VLOOKUP(VALUE(MID($C1384,19,2)),codigos!$H$2:$I$62,2,1) &amp; " " &amp; VLOOKUP(VALUE(MID($C1384,21,2)),codigos!$K$2:$L$12,2,FALSE)</f>
        <v>GALVANIZADO S/I</v>
      </c>
      <c r="F1384" s="64" t="s">
        <v>1287</v>
      </c>
      <c r="G1384" s="64" t="s">
        <v>11</v>
      </c>
      <c r="H1384" s="64" t="s">
        <v>1286</v>
      </c>
      <c r="I1384" s="64" t="s">
        <v>1280</v>
      </c>
      <c r="J1384" s="115">
        <v>30</v>
      </c>
      <c r="K1384" s="115">
        <v>0</v>
      </c>
      <c r="L1384" s="29">
        <f>+J1384-K1384</f>
        <v>30</v>
      </c>
      <c r="M1384" s="131"/>
      <c r="N1384" s="96">
        <v>46098</v>
      </c>
    </row>
    <row r="1385" spans="1:14" x14ac:dyDescent="0.25">
      <c r="A1385" s="11">
        <f t="shared" ca="1" si="139"/>
        <v>-62</v>
      </c>
      <c r="C1385" s="11" t="s">
        <v>149</v>
      </c>
      <c r="D1385" s="11" t="str">
        <f>VLOOKUP(VALUE(MID($C1385,13,2)), codigos!$A$2:$B$60, 2, 1) &amp; " " &amp; VLOOKUP(VALUE(MID($C1385,15,4)), codigos!$E$2:$F$102, 2, FALSE)</f>
        <v>COMAL 28</v>
      </c>
      <c r="E1385" s="11" t="str">
        <f>VLOOKUP(VALUE(MID($C1385,19,2)),codigos!$H$2:$I$62,2,1) &amp; " " &amp; VLOOKUP(VALUE(MID($C1385,21,2)),codigos!$K$2:$L$12,2,FALSE)</f>
        <v>NEGRO MOTAS S/I</v>
      </c>
      <c r="F1385" s="11" t="s">
        <v>1287</v>
      </c>
      <c r="G1385" s="11" t="s">
        <v>11</v>
      </c>
      <c r="H1385" s="11" t="s">
        <v>1288</v>
      </c>
      <c r="I1385" s="11" t="s">
        <v>1280</v>
      </c>
      <c r="J1385" s="25">
        <v>120</v>
      </c>
      <c r="K1385" s="25">
        <f>50+60+10</f>
        <v>120</v>
      </c>
      <c r="L1385" s="15">
        <f>+J1385-K1385</f>
        <v>0</v>
      </c>
      <c r="M1385" s="88">
        <f>(SUM(K1385))/(SUM(J1385))</f>
        <v>1</v>
      </c>
      <c r="N1385" s="96">
        <v>46098</v>
      </c>
    </row>
    <row r="1386" spans="1:14" x14ac:dyDescent="0.25">
      <c r="A1386" s="11">
        <f t="shared" ca="1" si="139"/>
        <v>-83</v>
      </c>
      <c r="C1386" s="64" t="s">
        <v>210</v>
      </c>
      <c r="D1386" s="64" t="str">
        <f>VLOOKUP(VALUE(MID($C1386,13,2)), [2]codigos!$A$2:$B$60, 2, 1) &amp; " " &amp; VLOOKUP(VALUE(MID($C1386,15,4)), [2]codigos!$E$2:$F$102, 2, FALSE)</f>
        <v>BAÑO 8</v>
      </c>
      <c r="E1386" s="64" t="str">
        <f>VLOOKUP(VALUE(MID($C1386,19,2)),[2]codigos!$H$2:$I$62,2,1) &amp; " " &amp; VLOOKUP(VALUE(MID($C1386,21,2)),[2]codigos!$K$2:$L$12,2,FALSE)</f>
        <v>GALVANIZADO S/I</v>
      </c>
      <c r="F1386" s="64" t="s">
        <v>988</v>
      </c>
      <c r="G1386" s="64" t="s">
        <v>145</v>
      </c>
      <c r="H1386" s="66" t="s">
        <v>989</v>
      </c>
      <c r="I1386" s="64" t="s">
        <v>990</v>
      </c>
      <c r="J1386" s="64">
        <v>20</v>
      </c>
      <c r="K1386" s="64">
        <v>0</v>
      </c>
      <c r="L1386" s="64">
        <f>J1386-K1386</f>
        <v>20</v>
      </c>
      <c r="M1386" s="134">
        <f>(SUM(K1386:K1388))/(SUM(J1386:J1388))</f>
        <v>0.51818181818181819</v>
      </c>
      <c r="N1386" s="96">
        <v>46098</v>
      </c>
    </row>
    <row r="1387" spans="1:14" x14ac:dyDescent="0.25">
      <c r="A1387" s="11">
        <f t="shared" ca="1" si="139"/>
        <v>-83</v>
      </c>
      <c r="C1387" s="11" t="s">
        <v>211</v>
      </c>
      <c r="D1387" s="11" t="str">
        <f>VLOOKUP(VALUE(MID($C1387,13,2)), [2]codigos!$A$2:$B$60, 2, 1) &amp; " " &amp; VLOOKUP(VALUE(MID($C1387,15,4)), [2]codigos!$E$2:$F$102, 2, FALSE)</f>
        <v>BAÑO 10</v>
      </c>
      <c r="E1387" s="11" t="str">
        <f>VLOOKUP(VALUE(MID($C1387,19,2)),[2]codigos!$H$2:$I$62,2,1) &amp; " " &amp; VLOOKUP(VALUE(MID($C1387,21,2)),[2]codigos!$K$2:$L$12,2,FALSE)</f>
        <v>GALVANIZADO S/I</v>
      </c>
      <c r="F1387" s="11" t="s">
        <v>988</v>
      </c>
      <c r="G1387" s="11" t="s">
        <v>145</v>
      </c>
      <c r="H1387" s="52" t="s">
        <v>989</v>
      </c>
      <c r="I1387" s="20" t="s">
        <v>990</v>
      </c>
      <c r="J1387" s="11">
        <v>50</v>
      </c>
      <c r="K1387" s="11">
        <v>50</v>
      </c>
      <c r="L1387" s="11">
        <f>J1387-K1387</f>
        <v>0</v>
      </c>
      <c r="M1387" s="134"/>
      <c r="N1387" s="96">
        <v>46098</v>
      </c>
    </row>
    <row r="1388" spans="1:14" x14ac:dyDescent="0.25">
      <c r="A1388" s="11">
        <f t="shared" ca="1" si="139"/>
        <v>-83</v>
      </c>
      <c r="C1388" s="11" t="s">
        <v>212</v>
      </c>
      <c r="D1388" s="11" t="str">
        <f>VLOOKUP(VALUE(MID($C1388,13,2)), [2]codigos!$A$2:$B$60, 2, 1) &amp; " " &amp; VLOOKUP(VALUE(MID($C1388,15,4)), [2]codigos!$E$2:$F$102, 2, FALSE)</f>
        <v>BAÑO 12</v>
      </c>
      <c r="E1388" s="11" t="str">
        <f>VLOOKUP(VALUE(MID($C1388,19,2)),[2]codigos!$H$2:$I$62,2,1) &amp; " " &amp; VLOOKUP(VALUE(MID($C1388,21,2)),[2]codigos!$K$2:$L$12,2,FALSE)</f>
        <v>GALVANIZADO S/I</v>
      </c>
      <c r="F1388" s="11" t="s">
        <v>988</v>
      </c>
      <c r="G1388" s="11" t="s">
        <v>145</v>
      </c>
      <c r="H1388" s="52" t="s">
        <v>989</v>
      </c>
      <c r="I1388" s="20" t="s">
        <v>990</v>
      </c>
      <c r="J1388" s="11">
        <v>150</v>
      </c>
      <c r="K1388" s="11">
        <f>12+54-20+104-21-50-10-5</f>
        <v>64</v>
      </c>
      <c r="L1388" s="11">
        <f>J1388-K1388</f>
        <v>86</v>
      </c>
      <c r="M1388" s="134"/>
      <c r="N1388" s="96">
        <v>46098</v>
      </c>
    </row>
    <row r="1389" spans="1:14" x14ac:dyDescent="0.25">
      <c r="A1389" s="11">
        <f t="shared" ca="1" si="139"/>
        <v>-82</v>
      </c>
      <c r="C1389" s="11" t="s">
        <v>211</v>
      </c>
      <c r="D1389" s="11" t="s">
        <v>1293</v>
      </c>
      <c r="E1389" s="11" t="s">
        <v>1294</v>
      </c>
      <c r="F1389" s="11" t="s">
        <v>600</v>
      </c>
      <c r="G1389" s="11" t="s">
        <v>34</v>
      </c>
      <c r="H1389" s="52" t="s">
        <v>1308</v>
      </c>
      <c r="I1389" s="20" t="s">
        <v>995</v>
      </c>
      <c r="J1389" s="11">
        <v>10</v>
      </c>
      <c r="K1389" s="11">
        <v>10</v>
      </c>
      <c r="L1389" s="15">
        <f>+J1389-K1389</f>
        <v>0</v>
      </c>
      <c r="M1389" s="99">
        <f>(SUM(K1389))/(SUM(J1389))</f>
        <v>1</v>
      </c>
      <c r="N1389" s="96">
        <v>46098</v>
      </c>
    </row>
    <row r="1390" spans="1:14" x14ac:dyDescent="0.25">
      <c r="A1390" s="11">
        <f t="shared" ca="1" si="139"/>
        <v>-19</v>
      </c>
      <c r="C1390" s="11" t="s">
        <v>214</v>
      </c>
      <c r="D1390" s="11" t="str">
        <f>VLOOKUP(VALUE(MID($C1390,13,2)), codigos!$A$2:$B$60, 2, 1) &amp; " " &amp; VLOOKUP(VALUE(MID($C1390,15,4)), codigos!$E$2:$F$102, 2, FALSE)</f>
        <v>BUDINERA 18</v>
      </c>
      <c r="E1390" s="11" t="str">
        <f>VLOOKUP(VALUE(MID($C1390,19,2)),codigos!$H$2:$I$62,2,1) &amp; " " &amp; VLOOKUP(VALUE(MID($C1390,21,2)),codigos!$K$2:$L$12,2,FALSE)</f>
        <v>A/T S/I</v>
      </c>
      <c r="F1390" s="11" t="s">
        <v>600</v>
      </c>
      <c r="G1390" s="11" t="s">
        <v>11</v>
      </c>
      <c r="H1390" s="52" t="s">
        <v>1528</v>
      </c>
      <c r="I1390" s="20" t="s">
        <v>1525</v>
      </c>
      <c r="J1390" s="11">
        <v>18</v>
      </c>
      <c r="K1390" s="11">
        <v>0</v>
      </c>
      <c r="L1390" s="11">
        <f t="shared" ref="L1390:L1426" si="141">+J1390-K1390</f>
        <v>18</v>
      </c>
      <c r="M1390" s="132">
        <f>(SUM(K1390:K1424))/(SUM(J1390:J1424))</f>
        <v>0.10741444866920152</v>
      </c>
      <c r="N1390" s="96">
        <v>46098</v>
      </c>
    </row>
    <row r="1391" spans="1:14" x14ac:dyDescent="0.25">
      <c r="A1391" s="11">
        <f t="shared" ca="1" si="139"/>
        <v>-19</v>
      </c>
      <c r="C1391" s="11" t="s">
        <v>215</v>
      </c>
      <c r="D1391" s="11" t="str">
        <f>VLOOKUP(VALUE(MID($C1391,13,2)), codigos!$A$2:$B$60, 2, 1) &amp; " " &amp; VLOOKUP(VALUE(MID($C1391,15,4)), codigos!$E$2:$F$102, 2, FALSE)</f>
        <v>BUDINERA 20</v>
      </c>
      <c r="E1391" s="11" t="str">
        <f>VLOOKUP(VALUE(MID($C1391,19,2)),codigos!$H$2:$I$62,2,1) &amp; " " &amp; VLOOKUP(VALUE(MID($C1391,21,2)),codigos!$K$2:$L$12,2,FALSE)</f>
        <v>A/T S/I</v>
      </c>
      <c r="F1391" s="11" t="s">
        <v>600</v>
      </c>
      <c r="G1391" s="11" t="s">
        <v>11</v>
      </c>
      <c r="H1391" s="52" t="s">
        <v>1528</v>
      </c>
      <c r="I1391" s="20" t="s">
        <v>1525</v>
      </c>
      <c r="J1391" s="11">
        <v>18</v>
      </c>
      <c r="K1391" s="11">
        <f>0</f>
        <v>0</v>
      </c>
      <c r="L1391" s="11">
        <f t="shared" si="141"/>
        <v>18</v>
      </c>
      <c r="M1391" s="133"/>
      <c r="N1391" s="96">
        <v>46098</v>
      </c>
    </row>
    <row r="1392" spans="1:14" x14ac:dyDescent="0.25">
      <c r="A1392" s="11">
        <f t="shared" ca="1" si="139"/>
        <v>-19</v>
      </c>
      <c r="C1392" s="11" t="s">
        <v>241</v>
      </c>
      <c r="D1392" s="11" t="str">
        <f>VLOOKUP(VALUE(MID($C1392,13,2)), codigos!$A$2:$B$60, 2, 1) &amp; " " &amp; VLOOKUP(VALUE(MID($C1392,15,4)), codigos!$E$2:$F$102, 2, FALSE)</f>
        <v>BUDINERA 22</v>
      </c>
      <c r="E1392" s="11" t="str">
        <f>VLOOKUP(VALUE(MID($C1392,19,2)),codigos!$H$2:$I$62,2,1) &amp; " " &amp; VLOOKUP(VALUE(MID($C1392,21,2)),codigos!$K$2:$L$12,2,FALSE)</f>
        <v>A/T S/I</v>
      </c>
      <c r="F1392" s="11" t="s">
        <v>600</v>
      </c>
      <c r="G1392" s="11" t="s">
        <v>11</v>
      </c>
      <c r="H1392" s="52" t="s">
        <v>1528</v>
      </c>
      <c r="I1392" s="20" t="s">
        <v>1525</v>
      </c>
      <c r="J1392" s="11">
        <v>12</v>
      </c>
      <c r="K1392" s="11">
        <v>0</v>
      </c>
      <c r="L1392" s="11">
        <f t="shared" si="141"/>
        <v>12</v>
      </c>
      <c r="M1392" s="133"/>
      <c r="N1392" s="96">
        <v>46098</v>
      </c>
    </row>
    <row r="1393" spans="1:14" x14ac:dyDescent="0.25">
      <c r="A1393" s="11">
        <f t="shared" ca="1" si="139"/>
        <v>-19</v>
      </c>
      <c r="C1393" s="11" t="s">
        <v>217</v>
      </c>
      <c r="D1393" s="11" t="str">
        <f>VLOOKUP(VALUE(MID($C1393,13,2)), codigos!$A$2:$B$60, 2, 1) &amp; " " &amp; VLOOKUP(VALUE(MID($C1393,15,4)), codigos!$E$2:$F$102, 2, FALSE)</f>
        <v>BUDINERA 24</v>
      </c>
      <c r="E1393" s="11" t="str">
        <f>VLOOKUP(VALUE(MID($C1393,19,2)),codigos!$H$2:$I$62,2,1) &amp; " " &amp; VLOOKUP(VALUE(MID($C1393,21,2)),codigos!$K$2:$L$12,2,FALSE)</f>
        <v>BICOLOR AZUL S/I</v>
      </c>
      <c r="F1393" s="11" t="s">
        <v>600</v>
      </c>
      <c r="G1393" s="11" t="s">
        <v>11</v>
      </c>
      <c r="H1393" s="52" t="s">
        <v>1528</v>
      </c>
      <c r="I1393" s="20" t="s">
        <v>1525</v>
      </c>
      <c r="J1393" s="11">
        <v>6</v>
      </c>
      <c r="K1393" s="113">
        <v>0</v>
      </c>
      <c r="L1393" s="11">
        <f t="shared" si="141"/>
        <v>6</v>
      </c>
      <c r="M1393" s="133"/>
      <c r="N1393" s="96">
        <v>46098</v>
      </c>
    </row>
    <row r="1394" spans="1:14" x14ac:dyDescent="0.25">
      <c r="A1394" s="11">
        <f t="shared" ca="1" si="139"/>
        <v>-19</v>
      </c>
      <c r="C1394" s="11" t="s">
        <v>485</v>
      </c>
      <c r="D1394" s="11" t="str">
        <f>VLOOKUP(VALUE(MID($C1394,13,2)), codigos!$A$2:$B$60, 2, 1) &amp; " " &amp; VLOOKUP(VALUE(MID($C1394,15,4)), codigos!$E$2:$F$102, 2, FALSE)</f>
        <v>BUDINERA 24</v>
      </c>
      <c r="E1394" s="11" t="str">
        <f>VLOOKUP(VALUE(MID($C1394,19,2)),codigos!$H$2:$I$62,2,1) &amp; " " &amp; VLOOKUP(VALUE(MID($C1394,21,2)),codigos!$K$2:$L$12,2,FALSE)</f>
        <v>BICOLOR NARANJA S/I</v>
      </c>
      <c r="F1394" s="11" t="s">
        <v>600</v>
      </c>
      <c r="G1394" s="11" t="s">
        <v>11</v>
      </c>
      <c r="H1394" s="52" t="s">
        <v>1528</v>
      </c>
      <c r="I1394" s="20" t="s">
        <v>1525</v>
      </c>
      <c r="J1394" s="11">
        <v>6</v>
      </c>
      <c r="K1394" s="113">
        <v>6</v>
      </c>
      <c r="L1394" s="11">
        <f t="shared" si="141"/>
        <v>0</v>
      </c>
      <c r="M1394" s="133"/>
      <c r="N1394" s="96">
        <v>46098</v>
      </c>
    </row>
    <row r="1395" spans="1:14" x14ac:dyDescent="0.25">
      <c r="A1395" s="11">
        <f t="shared" ca="1" si="139"/>
        <v>-19</v>
      </c>
      <c r="C1395" s="11" t="s">
        <v>332</v>
      </c>
      <c r="D1395" s="11" t="str">
        <f>VLOOKUP(VALUE(MID($C1395,13,2)), codigos!$A$2:$B$60, 2, 1) &amp; " " &amp; VLOOKUP(VALUE(MID($C1395,15,4)), codigos!$E$2:$F$102, 2, FALSE)</f>
        <v>BUDINERA 24</v>
      </c>
      <c r="E1395" s="11" t="str">
        <f>VLOOKUP(VALUE(MID($C1395,19,2)),codigos!$H$2:$I$62,2,1) &amp; " " &amp; VLOOKUP(VALUE(MID($C1395,21,2)),codigos!$K$2:$L$12,2,FALSE)</f>
        <v>BICOLOR ROJO S/I</v>
      </c>
      <c r="F1395" s="11" t="s">
        <v>600</v>
      </c>
      <c r="G1395" s="11" t="s">
        <v>11</v>
      </c>
      <c r="H1395" s="52" t="s">
        <v>1528</v>
      </c>
      <c r="I1395" s="20" t="s">
        <v>1525</v>
      </c>
      <c r="J1395" s="11">
        <v>6</v>
      </c>
      <c r="K1395" s="113">
        <v>6</v>
      </c>
      <c r="L1395" s="11">
        <f t="shared" si="141"/>
        <v>0</v>
      </c>
      <c r="M1395" s="133"/>
      <c r="N1395" s="96">
        <v>46098</v>
      </c>
    </row>
    <row r="1396" spans="1:14" x14ac:dyDescent="0.25">
      <c r="A1396" s="11">
        <f t="shared" ca="1" si="139"/>
        <v>-19</v>
      </c>
      <c r="C1396" s="11" t="s">
        <v>148</v>
      </c>
      <c r="D1396" s="11" t="str">
        <f>VLOOKUP(VALUE(MID($C1396,13,2)), codigos!$A$2:$B$60, 2, 1) &amp; " " &amp; VLOOKUP(VALUE(MID($C1396,15,4)), codigos!$E$2:$F$102, 2, FALSE)</f>
        <v>BUDINERA 26</v>
      </c>
      <c r="E1396" s="20" t="str">
        <f>VLOOKUP(VALUE(MID($C1396,19,2)),codigos!$H$2:$I$62,2,1) &amp; " " &amp; VLOOKUP(VALUE(MID($C1396,21,2)),codigos!$K$2:$L$12,2,FALSE)</f>
        <v>A/T S/I</v>
      </c>
      <c r="F1396" s="11" t="s">
        <v>600</v>
      </c>
      <c r="G1396" s="11" t="s">
        <v>11</v>
      </c>
      <c r="H1396" s="11" t="s">
        <v>1528</v>
      </c>
      <c r="I1396" s="11" t="s">
        <v>1525</v>
      </c>
      <c r="J1396" s="11">
        <v>36</v>
      </c>
      <c r="K1396" s="11">
        <v>0</v>
      </c>
      <c r="L1396" s="11">
        <f t="shared" si="141"/>
        <v>36</v>
      </c>
      <c r="M1396" s="133"/>
      <c r="N1396" s="96">
        <v>46098</v>
      </c>
    </row>
    <row r="1397" spans="1:14" x14ac:dyDescent="0.25">
      <c r="A1397" s="11">
        <f t="shared" ca="1" si="139"/>
        <v>-19</v>
      </c>
      <c r="C1397" s="11" t="s">
        <v>169</v>
      </c>
      <c r="D1397" s="11" t="str">
        <f>VLOOKUP(VALUE(MID($C1397,13,2)), codigos!$A$2:$B$60, 2, 1) &amp; " " &amp; VLOOKUP(VALUE(MID($C1397,15,4)), codigos!$E$2:$F$102, 2, FALSE)</f>
        <v>BUDINERA 30</v>
      </c>
      <c r="E1397" s="20" t="str">
        <f>VLOOKUP(VALUE(MID($C1397,19,2)),codigos!$H$2:$I$62,2,1) &amp; " " &amp; VLOOKUP(VALUE(MID($C1397,21,2)),codigos!$K$2:$L$12,2,FALSE)</f>
        <v>A/T S/I</v>
      </c>
      <c r="F1397" s="11" t="s">
        <v>600</v>
      </c>
      <c r="G1397" s="11" t="s">
        <v>11</v>
      </c>
      <c r="H1397" s="11" t="s">
        <v>1528</v>
      </c>
      <c r="I1397" s="11" t="s">
        <v>1525</v>
      </c>
      <c r="J1397" s="11">
        <v>16</v>
      </c>
      <c r="K1397" s="113">
        <v>5</v>
      </c>
      <c r="L1397" s="11">
        <f t="shared" si="141"/>
        <v>11</v>
      </c>
      <c r="M1397" s="133"/>
      <c r="N1397" s="96">
        <v>46098</v>
      </c>
    </row>
    <row r="1398" spans="1:14" x14ac:dyDescent="0.25">
      <c r="A1398" s="11">
        <f t="shared" ca="1" si="139"/>
        <v>-19</v>
      </c>
      <c r="C1398" s="11" t="s">
        <v>173</v>
      </c>
      <c r="D1398" s="11" t="str">
        <f>VLOOKUP(VALUE(MID($C1398,13,2)), codigos!$A$2:$B$60, 2, 1) &amp; " " &amp; VLOOKUP(VALUE(MID($C1398,15,4)), codigos!$E$2:$F$102, 2, FALSE)</f>
        <v>BUDINERA 34</v>
      </c>
      <c r="E1398" s="20" t="str">
        <f>VLOOKUP(VALUE(MID($C1398,19,2)),codigos!$H$2:$I$62,2,1) &amp; " " &amp; VLOOKUP(VALUE(MID($C1398,21,2)),codigos!$K$2:$L$12,2,FALSE)</f>
        <v>A/T S/I</v>
      </c>
      <c r="F1398" s="11" t="s">
        <v>600</v>
      </c>
      <c r="G1398" s="11" t="s">
        <v>11</v>
      </c>
      <c r="H1398" s="11" t="s">
        <v>1528</v>
      </c>
      <c r="I1398" s="11" t="s">
        <v>1525</v>
      </c>
      <c r="J1398" s="11">
        <v>12</v>
      </c>
      <c r="K1398" s="11">
        <v>0</v>
      </c>
      <c r="L1398" s="11">
        <f t="shared" si="141"/>
        <v>12</v>
      </c>
      <c r="M1398" s="133"/>
      <c r="N1398" s="96">
        <v>46098</v>
      </c>
    </row>
    <row r="1399" spans="1:14" x14ac:dyDescent="0.25">
      <c r="A1399" s="11">
        <f t="shared" ca="1" si="139"/>
        <v>-19</v>
      </c>
      <c r="C1399" s="11" t="s">
        <v>38</v>
      </c>
      <c r="D1399" s="11" t="str">
        <f>VLOOKUP(VALUE(MID($C1399,13,2)), codigos!$A$2:$B$60, 2, 1) &amp; " " &amp; VLOOKUP(VALUE(MID($C1399,15,4)), codigos!$E$2:$F$102, 2, FALSE)</f>
        <v>BUDINERA 42</v>
      </c>
      <c r="E1399" s="20" t="str">
        <f>VLOOKUP(VALUE(MID($C1399,19,2)),codigos!$H$2:$I$62,2,1) &amp; " " &amp; VLOOKUP(VALUE(MID($C1399,21,2)),codigos!$K$2:$L$12,2,FALSE)</f>
        <v>A/T S/I</v>
      </c>
      <c r="F1399" s="11" t="s">
        <v>600</v>
      </c>
      <c r="G1399" s="11" t="s">
        <v>11</v>
      </c>
      <c r="H1399" s="11" t="s">
        <v>1528</v>
      </c>
      <c r="I1399" s="11" t="s">
        <v>1525</v>
      </c>
      <c r="J1399" s="11">
        <v>8</v>
      </c>
      <c r="K1399" s="113">
        <v>7</v>
      </c>
      <c r="L1399" s="11">
        <f t="shared" si="141"/>
        <v>1</v>
      </c>
      <c r="M1399" s="133"/>
      <c r="N1399" s="96">
        <v>46098</v>
      </c>
    </row>
    <row r="1400" spans="1:14" x14ac:dyDescent="0.25">
      <c r="A1400" s="11">
        <f t="shared" ref="A1400:A1463" ca="1" si="142">DAYS360($B$1,I1400)</f>
        <v>-19</v>
      </c>
      <c r="C1400" s="11" t="s">
        <v>149</v>
      </c>
      <c r="D1400" s="11" t="str">
        <f>VLOOKUP(VALUE(MID($C1400,13,2)), codigos!$A$2:$B$60, 2, 1) &amp; " " &amp; VLOOKUP(VALUE(MID($C1400,15,4)), codigos!$E$2:$F$102, 2, FALSE)</f>
        <v>COMAL 28</v>
      </c>
      <c r="E1400" s="20" t="str">
        <f>VLOOKUP(VALUE(MID($C1400,19,2)),codigos!$H$2:$I$62,2,1) &amp; " " &amp; VLOOKUP(VALUE(MID($C1400,21,2)),codigos!$K$2:$L$12,2,FALSE)</f>
        <v>NEGRO MOTAS S/I</v>
      </c>
      <c r="F1400" s="11" t="s">
        <v>600</v>
      </c>
      <c r="G1400" s="11" t="s">
        <v>11</v>
      </c>
      <c r="H1400" s="11" t="s">
        <v>1528</v>
      </c>
      <c r="I1400" s="11" t="s">
        <v>1525</v>
      </c>
      <c r="J1400" s="11">
        <v>36</v>
      </c>
      <c r="K1400" s="11">
        <v>0</v>
      </c>
      <c r="L1400" s="11">
        <f t="shared" si="141"/>
        <v>36</v>
      </c>
      <c r="M1400" s="133"/>
      <c r="N1400" s="96">
        <v>46098</v>
      </c>
    </row>
    <row r="1401" spans="1:14" x14ac:dyDescent="0.25">
      <c r="A1401" s="11">
        <f t="shared" ca="1" si="142"/>
        <v>-19</v>
      </c>
      <c r="C1401" s="11" t="s">
        <v>344</v>
      </c>
      <c r="D1401" s="11" t="str">
        <f>VLOOKUP(VALUE(MID($C1401,13,2)), codigos!$A$2:$B$60, 2, 1) &amp; " " &amp; VLOOKUP(VALUE(MID($C1401,15,4)), codigos!$E$2:$F$102, 2, FALSE)</f>
        <v>COMAL 36</v>
      </c>
      <c r="E1401" s="20" t="str">
        <f>VLOOKUP(VALUE(MID($C1401,19,2)),codigos!$H$2:$I$62,2,1) &amp; " " &amp; VLOOKUP(VALUE(MID($C1401,21,2)),codigos!$K$2:$L$12,2,FALSE)</f>
        <v>NEGRO MOTAS S/I</v>
      </c>
      <c r="F1401" s="11" t="s">
        <v>600</v>
      </c>
      <c r="G1401" s="11" t="s">
        <v>11</v>
      </c>
      <c r="H1401" s="11" t="s">
        <v>1528</v>
      </c>
      <c r="I1401" s="11" t="s">
        <v>1525</v>
      </c>
      <c r="J1401" s="11">
        <v>24</v>
      </c>
      <c r="K1401" s="11">
        <v>0</v>
      </c>
      <c r="L1401" s="11">
        <f t="shared" si="141"/>
        <v>24</v>
      </c>
      <c r="M1401" s="133"/>
      <c r="N1401" s="96">
        <v>46098</v>
      </c>
    </row>
    <row r="1402" spans="1:14" x14ac:dyDescent="0.25">
      <c r="A1402" s="11">
        <f t="shared" ca="1" si="142"/>
        <v>-19</v>
      </c>
      <c r="C1402" s="11" t="s">
        <v>333</v>
      </c>
      <c r="D1402" s="11" t="str">
        <f>VLOOKUP(VALUE(MID($C1402,13,2)), codigos!$A$2:$B$60, 2, 1) &amp; " " &amp; VLOOKUP(VALUE(MID($C1402,15,4)), codigos!$E$2:$F$102, 2, FALSE)</f>
        <v>OLLA CONVEXA 14</v>
      </c>
      <c r="E1402" s="20" t="str">
        <f>VLOOKUP(VALUE(MID($C1402,19,2)),codigos!$H$2:$I$62,2,1) &amp; " " &amp; VLOOKUP(VALUE(MID($C1402,21,2)),codigos!$K$2:$L$12,2,FALSE)</f>
        <v>A/T S/I</v>
      </c>
      <c r="F1402" s="11" t="s">
        <v>600</v>
      </c>
      <c r="G1402" s="11" t="s">
        <v>11</v>
      </c>
      <c r="H1402" s="11" t="s">
        <v>1528</v>
      </c>
      <c r="I1402" s="11" t="s">
        <v>1525</v>
      </c>
      <c r="J1402" s="11">
        <v>18</v>
      </c>
      <c r="K1402" s="113">
        <v>7</v>
      </c>
      <c r="L1402" s="11">
        <f t="shared" si="141"/>
        <v>11</v>
      </c>
      <c r="M1402" s="133"/>
      <c r="N1402" s="96">
        <v>46098</v>
      </c>
    </row>
    <row r="1403" spans="1:14" x14ac:dyDescent="0.25">
      <c r="A1403" s="11">
        <f t="shared" ca="1" si="142"/>
        <v>-19</v>
      </c>
      <c r="C1403" s="11" t="s">
        <v>220</v>
      </c>
      <c r="D1403" s="11" t="str">
        <f>VLOOKUP(VALUE(MID($C1403,13,2)), codigos!$A$2:$B$60, 2, 1) &amp; " " &amp; VLOOKUP(VALUE(MID($C1403,15,4)), codigos!$E$2:$F$102, 2, FALSE)</f>
        <v>OLLA CONVEXA 16</v>
      </c>
      <c r="E1403" s="20" t="str">
        <f>VLOOKUP(VALUE(MID($C1403,19,2)),codigos!$H$2:$I$62,2,1) &amp; " " &amp; VLOOKUP(VALUE(MID($C1403,21,2)),codigos!$K$2:$L$12,2,FALSE)</f>
        <v>A/T S/I</v>
      </c>
      <c r="F1403" s="11" t="s">
        <v>600</v>
      </c>
      <c r="G1403" s="11" t="s">
        <v>11</v>
      </c>
      <c r="H1403" s="11" t="s">
        <v>1528</v>
      </c>
      <c r="I1403" s="11" t="s">
        <v>1525</v>
      </c>
      <c r="J1403" s="11">
        <v>24</v>
      </c>
      <c r="K1403" s="11">
        <f>6</f>
        <v>6</v>
      </c>
      <c r="L1403" s="11">
        <f t="shared" si="141"/>
        <v>18</v>
      </c>
      <c r="M1403" s="133"/>
      <c r="N1403" s="96">
        <v>46098</v>
      </c>
    </row>
    <row r="1404" spans="1:14" x14ac:dyDescent="0.25">
      <c r="A1404" s="11">
        <f t="shared" ca="1" si="142"/>
        <v>-19</v>
      </c>
      <c r="C1404" s="11" t="s">
        <v>150</v>
      </c>
      <c r="D1404" s="11" t="str">
        <f>VLOOKUP(VALUE(MID($C1404,13,2)), codigos!$A$2:$B$60, 2, 1) &amp; " " &amp; VLOOKUP(VALUE(MID($C1404,15,4)), codigos!$E$2:$F$102, 2, FALSE)</f>
        <v>OLLA CONVEXA 18</v>
      </c>
      <c r="E1404" s="20" t="str">
        <f>VLOOKUP(VALUE(MID($C1404,19,2)),codigos!$H$2:$I$62,2,1) &amp; " " &amp; VLOOKUP(VALUE(MID($C1404,21,2)),codigos!$K$2:$L$12,2,FALSE)</f>
        <v>A/T S/I</v>
      </c>
      <c r="F1404" s="11" t="s">
        <v>600</v>
      </c>
      <c r="G1404" s="11" t="s">
        <v>11</v>
      </c>
      <c r="H1404" s="11" t="s">
        <v>1528</v>
      </c>
      <c r="I1404" s="11" t="s">
        <v>1525</v>
      </c>
      <c r="J1404" s="11">
        <v>24</v>
      </c>
      <c r="K1404" s="11">
        <v>0</v>
      </c>
      <c r="L1404" s="11">
        <f t="shared" si="141"/>
        <v>24</v>
      </c>
      <c r="M1404" s="133"/>
      <c r="N1404" s="96">
        <v>46098</v>
      </c>
    </row>
    <row r="1405" spans="1:14" x14ac:dyDescent="0.25">
      <c r="A1405" s="11">
        <f t="shared" ca="1" si="142"/>
        <v>-19</v>
      </c>
      <c r="C1405" s="11" t="s">
        <v>151</v>
      </c>
      <c r="D1405" s="11" t="str">
        <f>VLOOKUP(VALUE(MID($C1405,13,2)), codigos!$A$2:$B$60, 2, 1) &amp; " " &amp; VLOOKUP(VALUE(MID($C1405,15,4)), codigos!$E$2:$F$102, 2, FALSE)</f>
        <v>OLLA CONVEXA 20</v>
      </c>
      <c r="E1405" s="20" t="str">
        <f>VLOOKUP(VALUE(MID($C1405,19,2)),codigos!$H$2:$I$62,2,1) &amp; " " &amp; VLOOKUP(VALUE(MID($C1405,21,2)),codigos!$K$2:$L$12,2,FALSE)</f>
        <v>A/T S/I</v>
      </c>
      <c r="F1405" s="11" t="s">
        <v>600</v>
      </c>
      <c r="G1405" s="11" t="s">
        <v>11</v>
      </c>
      <c r="H1405" s="11" t="s">
        <v>1528</v>
      </c>
      <c r="I1405" s="11" t="s">
        <v>1525</v>
      </c>
      <c r="J1405" s="11">
        <v>24</v>
      </c>
      <c r="K1405" s="11">
        <v>0</v>
      </c>
      <c r="L1405" s="11">
        <f t="shared" si="141"/>
        <v>24</v>
      </c>
      <c r="M1405" s="133"/>
      <c r="N1405" s="96">
        <v>46098</v>
      </c>
    </row>
    <row r="1406" spans="1:14" x14ac:dyDescent="0.25">
      <c r="A1406" s="11">
        <f t="shared" ca="1" si="142"/>
        <v>-19</v>
      </c>
      <c r="C1406" s="11" t="s">
        <v>43</v>
      </c>
      <c r="D1406" s="11" t="str">
        <f>VLOOKUP(VALUE(MID($C1406,13,2)), codigos!$A$2:$B$60, 2, 1) &amp; " " &amp; VLOOKUP(VALUE(MID($C1406,15,4)), codigos!$E$2:$F$102, 2, FALSE)</f>
        <v>OLLA CONVEXA 22</v>
      </c>
      <c r="E1406" s="20" t="str">
        <f>VLOOKUP(VALUE(MID($C1406,19,2)),codigos!$H$2:$I$62,2,1) &amp; " " &amp; VLOOKUP(VALUE(MID($C1406,21,2)),codigos!$K$2:$L$12,2,FALSE)</f>
        <v>A/T S/I</v>
      </c>
      <c r="F1406" s="11" t="s">
        <v>600</v>
      </c>
      <c r="G1406" s="11" t="s">
        <v>11</v>
      </c>
      <c r="H1406" s="11" t="s">
        <v>1528</v>
      </c>
      <c r="I1406" s="11" t="s">
        <v>1525</v>
      </c>
      <c r="J1406" s="11">
        <v>12</v>
      </c>
      <c r="K1406" s="11">
        <f>5</f>
        <v>5</v>
      </c>
      <c r="L1406" s="11">
        <f t="shared" si="141"/>
        <v>7</v>
      </c>
      <c r="M1406" s="133"/>
      <c r="N1406" s="96">
        <v>46098</v>
      </c>
    </row>
    <row r="1407" spans="1:14" x14ac:dyDescent="0.25">
      <c r="A1407" s="11">
        <f t="shared" ca="1" si="142"/>
        <v>-19</v>
      </c>
      <c r="C1407" s="11" t="s">
        <v>154</v>
      </c>
      <c r="D1407" s="11" t="str">
        <f>VLOOKUP(VALUE(MID($C1407,13,2)), codigos!$A$2:$B$60, 2, 1) &amp; " " &amp; VLOOKUP(VALUE(MID($C1407,15,4)), codigos!$E$2:$F$102, 2, FALSE)</f>
        <v>OLLA CONVEXA 30</v>
      </c>
      <c r="E1407" s="20" t="str">
        <f>VLOOKUP(VALUE(MID($C1407,19,2)),codigos!$H$2:$I$62,2,1) &amp; " " &amp; VLOOKUP(VALUE(MID($C1407,21,2)),codigos!$K$2:$L$12,2,FALSE)</f>
        <v>A/T S/I</v>
      </c>
      <c r="F1407" s="11" t="s">
        <v>600</v>
      </c>
      <c r="G1407" s="11" t="s">
        <v>11</v>
      </c>
      <c r="H1407" s="11" t="s">
        <v>1528</v>
      </c>
      <c r="I1407" s="11" t="s">
        <v>1525</v>
      </c>
      <c r="J1407" s="11">
        <v>8</v>
      </c>
      <c r="K1407" s="11">
        <f>1</f>
        <v>1</v>
      </c>
      <c r="L1407" s="11">
        <f t="shared" si="141"/>
        <v>7</v>
      </c>
      <c r="M1407" s="133"/>
      <c r="N1407" s="96">
        <v>46098</v>
      </c>
    </row>
    <row r="1408" spans="1:14" x14ac:dyDescent="0.25">
      <c r="A1408" s="11">
        <f t="shared" ca="1" si="142"/>
        <v>-19</v>
      </c>
      <c r="C1408" s="11" t="s">
        <v>221</v>
      </c>
      <c r="D1408" s="11" t="str">
        <f>VLOOKUP(VALUE(MID($C1408,13,2)), codigos!$A$2:$B$60, 2, 1) &amp; " " &amp; VLOOKUP(VALUE(MID($C1408,15,4)), codigos!$E$2:$F$102, 2, FALSE)</f>
        <v>OLLA CONVEXA 34</v>
      </c>
      <c r="E1408" s="20" t="str">
        <f>VLOOKUP(VALUE(MID($C1408,19,2)),codigos!$H$2:$I$62,2,1) &amp; " " &amp; VLOOKUP(VALUE(MID($C1408,21,2)),codigos!$K$2:$L$12,2,FALSE)</f>
        <v>A/T S/I</v>
      </c>
      <c r="F1408" s="11" t="s">
        <v>600</v>
      </c>
      <c r="G1408" s="11" t="s">
        <v>11</v>
      </c>
      <c r="H1408" s="11" t="s">
        <v>1528</v>
      </c>
      <c r="I1408" s="11" t="s">
        <v>1525</v>
      </c>
      <c r="J1408" s="11">
        <v>6</v>
      </c>
      <c r="K1408" s="11">
        <v>0</v>
      </c>
      <c r="L1408" s="11">
        <f t="shared" si="141"/>
        <v>6</v>
      </c>
      <c r="M1408" s="133"/>
      <c r="N1408" s="96">
        <v>46098</v>
      </c>
    </row>
    <row r="1409" spans="1:14" x14ac:dyDescent="0.25">
      <c r="A1409" s="11">
        <f t="shared" ca="1" si="142"/>
        <v>-19</v>
      </c>
      <c r="C1409" s="11" t="s">
        <v>1529</v>
      </c>
      <c r="D1409" s="11" t="str">
        <f>VLOOKUP(VALUE(MID($C1409,13,2)), codigos!$A$2:$B$60, 2, 1) &amp; " " &amp; VLOOKUP(VALUE(MID($C1409,15,4)), codigos!$E$2:$F$102, 2, FALSE)</f>
        <v>OLLA RECTA 20</v>
      </c>
      <c r="E1409" s="20" t="str">
        <f>VLOOKUP(VALUE(MID($C1409,19,2)),codigos!$H$2:$I$62,2,1) &amp; " " &amp; VLOOKUP(VALUE(MID($C1409,21,2)),codigos!$K$2:$L$12,2,FALSE)</f>
        <v>BICOLOR AZUL S/I</v>
      </c>
      <c r="F1409" s="11" t="s">
        <v>600</v>
      </c>
      <c r="G1409" s="11" t="s">
        <v>11</v>
      </c>
      <c r="H1409" s="11" t="s">
        <v>1528</v>
      </c>
      <c r="I1409" s="11" t="s">
        <v>1525</v>
      </c>
      <c r="J1409" s="11">
        <v>12</v>
      </c>
      <c r="K1409" s="113">
        <f>6+6</f>
        <v>12</v>
      </c>
      <c r="L1409" s="11">
        <f t="shared" si="141"/>
        <v>0</v>
      </c>
      <c r="M1409" s="133"/>
      <c r="N1409" s="96">
        <v>46098</v>
      </c>
    </row>
    <row r="1410" spans="1:14" x14ac:dyDescent="0.25">
      <c r="A1410" s="11">
        <f t="shared" ca="1" si="142"/>
        <v>-19</v>
      </c>
      <c r="C1410" s="11" t="s">
        <v>334</v>
      </c>
      <c r="D1410" s="11" t="str">
        <f>VLOOKUP(VALUE(MID($C1410,13,2)), codigos!$A$2:$B$60, 2, 1) &amp; " " &amp; VLOOKUP(VALUE(MID($C1410,15,4)), codigos!$E$2:$F$102, 2, FALSE)</f>
        <v>OLLA RECTA 20</v>
      </c>
      <c r="E1410" s="11" t="str">
        <f>VLOOKUP(VALUE(MID($C1410,19,2)),codigos!$H$2:$I$62,2,1) &amp; " " &amp; VLOOKUP(VALUE(MID($C1410,21,2)),codigos!$K$2:$L$12,2,FALSE)</f>
        <v>BICOLOR NARANJA S/I</v>
      </c>
      <c r="F1410" s="11" t="s">
        <v>600</v>
      </c>
      <c r="G1410" s="23" t="s">
        <v>11</v>
      </c>
      <c r="H1410" s="23" t="s">
        <v>1528</v>
      </c>
      <c r="I1410" s="20" t="s">
        <v>1525</v>
      </c>
      <c r="J1410" s="11">
        <v>12</v>
      </c>
      <c r="K1410" s="113">
        <f>6+6</f>
        <v>12</v>
      </c>
      <c r="L1410" s="11">
        <f t="shared" si="141"/>
        <v>0</v>
      </c>
      <c r="M1410" s="133"/>
      <c r="N1410" s="96">
        <v>46098</v>
      </c>
    </row>
    <row r="1411" spans="1:14" x14ac:dyDescent="0.25">
      <c r="A1411" s="11">
        <f t="shared" ca="1" si="142"/>
        <v>-19</v>
      </c>
      <c r="C1411" s="11" t="s">
        <v>380</v>
      </c>
      <c r="D1411" s="11" t="str">
        <f>VLOOKUP(VALUE(MID($C1411,13,2)), codigos!$A$2:$B$60, 2, 1) &amp; " " &amp; VLOOKUP(VALUE(MID($C1411,15,4)), codigos!$E$2:$F$102, 2, FALSE)</f>
        <v>OLLA RECTA 20</v>
      </c>
      <c r="E1411" s="20" t="str">
        <f>VLOOKUP(VALUE(MID($C1411,19,2)),codigos!$H$2:$I$62,2,1) &amp; " " &amp; VLOOKUP(VALUE(MID($C1411,21,2)),codigos!$K$2:$L$12,2,FALSE)</f>
        <v>BICOLOR ROJO S/I</v>
      </c>
      <c r="F1411" s="11" t="s">
        <v>600</v>
      </c>
      <c r="G1411" s="11" t="s">
        <v>11</v>
      </c>
      <c r="H1411" s="11" t="s">
        <v>1528</v>
      </c>
      <c r="I1411" s="11" t="s">
        <v>1525</v>
      </c>
      <c r="J1411" s="11">
        <v>12</v>
      </c>
      <c r="K1411" s="113">
        <v>6</v>
      </c>
      <c r="L1411" s="11">
        <f t="shared" si="141"/>
        <v>6</v>
      </c>
      <c r="M1411" s="133"/>
      <c r="N1411" s="96">
        <v>46098</v>
      </c>
    </row>
    <row r="1412" spans="1:14" x14ac:dyDescent="0.25">
      <c r="A1412" s="11">
        <f t="shared" ca="1" si="142"/>
        <v>-19</v>
      </c>
      <c r="C1412" s="11" t="s">
        <v>336</v>
      </c>
      <c r="D1412" s="11" t="str">
        <f>VLOOKUP(VALUE(MID($C1412,13,2)), codigos!$A$2:$B$60, 2, 1) &amp; " " &amp; VLOOKUP(VALUE(MID($C1412,15,4)), codigos!$E$2:$F$102, 2, FALSE)</f>
        <v>OLLA RECTA 28</v>
      </c>
      <c r="E1412" s="20" t="str">
        <f>VLOOKUP(VALUE(MID($C1412,19,2)),codigos!$H$2:$I$62,2,1) &amp; " " &amp; VLOOKUP(VALUE(MID($C1412,21,2)),codigos!$K$2:$L$12,2,FALSE)</f>
        <v>A/T S/I</v>
      </c>
      <c r="F1412" s="11" t="s">
        <v>600</v>
      </c>
      <c r="G1412" s="11" t="s">
        <v>11</v>
      </c>
      <c r="H1412" s="11" t="s">
        <v>1528</v>
      </c>
      <c r="I1412" s="11" t="s">
        <v>1525</v>
      </c>
      <c r="J1412" s="11">
        <v>6</v>
      </c>
      <c r="K1412" s="113">
        <v>0</v>
      </c>
      <c r="L1412" s="11">
        <f t="shared" si="141"/>
        <v>6</v>
      </c>
      <c r="M1412" s="133"/>
      <c r="N1412" s="96">
        <v>46098</v>
      </c>
    </row>
    <row r="1413" spans="1:14" x14ac:dyDescent="0.25">
      <c r="A1413" s="11">
        <f t="shared" ca="1" si="142"/>
        <v>-19</v>
      </c>
      <c r="C1413" s="11" t="s">
        <v>155</v>
      </c>
      <c r="D1413" s="11" t="str">
        <f>VLOOKUP(VALUE(MID($C1413,13,2)), codigos!$A$2:$B$60, 2, 1) &amp; " " &amp; VLOOKUP(VALUE(MID($C1413,15,4)), codigos!$E$2:$F$102, 2, FALSE)</f>
        <v>OLLA RECTA 30</v>
      </c>
      <c r="E1413" s="20" t="str">
        <f>VLOOKUP(VALUE(MID($C1413,19,2)),codigos!$H$2:$I$62,2,1) &amp; " " &amp; VLOOKUP(VALUE(MID($C1413,21,2)),codigos!$K$2:$L$12,2,FALSE)</f>
        <v>A/T S/I</v>
      </c>
      <c r="F1413" s="11" t="s">
        <v>600</v>
      </c>
      <c r="G1413" s="11" t="s">
        <v>11</v>
      </c>
      <c r="H1413" s="11" t="s">
        <v>1528</v>
      </c>
      <c r="I1413" s="11" t="s">
        <v>1525</v>
      </c>
      <c r="J1413" s="11">
        <v>6</v>
      </c>
      <c r="K1413" s="113">
        <f>1+4-1</f>
        <v>4</v>
      </c>
      <c r="L1413" s="11">
        <f t="shared" si="141"/>
        <v>2</v>
      </c>
      <c r="M1413" s="133"/>
      <c r="N1413" s="96">
        <v>46098</v>
      </c>
    </row>
    <row r="1414" spans="1:14" x14ac:dyDescent="0.25">
      <c r="A1414" s="11">
        <f t="shared" ca="1" si="142"/>
        <v>-19</v>
      </c>
      <c r="C1414" s="11" t="s">
        <v>156</v>
      </c>
      <c r="D1414" s="11" t="str">
        <f>VLOOKUP(VALUE(MID($C1414,13,2)), codigos!$A$2:$B$60, 2, 1) &amp; " " &amp; VLOOKUP(VALUE(MID($C1414,15,4)), codigos!$E$2:$F$102, 2, FALSE)</f>
        <v>OLLA RECTA 34</v>
      </c>
      <c r="E1414" s="20" t="str">
        <f>VLOOKUP(VALUE(MID($C1414,19,2)),codigos!$H$2:$I$62,2,1) &amp; " " &amp; VLOOKUP(VALUE(MID($C1414,21,2)),codigos!$K$2:$L$12,2,FALSE)</f>
        <v>A/T S/I</v>
      </c>
      <c r="F1414" s="11" t="s">
        <v>600</v>
      </c>
      <c r="G1414" s="11" t="s">
        <v>11</v>
      </c>
      <c r="H1414" s="11" t="s">
        <v>1528</v>
      </c>
      <c r="I1414" s="11" t="s">
        <v>1525</v>
      </c>
      <c r="J1414" s="11">
        <v>6</v>
      </c>
      <c r="K1414" s="11">
        <v>0</v>
      </c>
      <c r="L1414" s="11">
        <f t="shared" si="141"/>
        <v>6</v>
      </c>
      <c r="M1414" s="133"/>
      <c r="N1414" s="96">
        <v>46098</v>
      </c>
    </row>
    <row r="1415" spans="1:14" x14ac:dyDescent="0.25">
      <c r="A1415" s="11">
        <f t="shared" ca="1" si="142"/>
        <v>-19</v>
      </c>
      <c r="C1415" s="11" t="s">
        <v>66</v>
      </c>
      <c r="D1415" s="11" t="str">
        <f>VLOOKUP(VALUE(MID($C1415,13,2)), codigos!$A$2:$B$60, 2, 1) &amp; " " &amp; VLOOKUP(VALUE(MID($C1415,15,4)), codigos!$E$2:$F$102, 2, FALSE)</f>
        <v>PLATO AVENERO 20</v>
      </c>
      <c r="E1415" s="20" t="str">
        <f>VLOOKUP(VALUE(MID($C1415,19,2)),codigos!$H$2:$I$62,2,1) &amp; " " &amp; VLOOKUP(VALUE(MID($C1415,21,2)),codigos!$K$2:$L$12,2,FALSE)</f>
        <v>A/T S/I</v>
      </c>
      <c r="F1415" s="11" t="s">
        <v>600</v>
      </c>
      <c r="G1415" s="11" t="s">
        <v>11</v>
      </c>
      <c r="H1415" s="11" t="s">
        <v>1528</v>
      </c>
      <c r="I1415" s="11" t="s">
        <v>1525</v>
      </c>
      <c r="J1415" s="11">
        <v>96</v>
      </c>
      <c r="K1415" s="11">
        <f>12</f>
        <v>12</v>
      </c>
      <c r="L1415" s="11">
        <f t="shared" si="141"/>
        <v>84</v>
      </c>
      <c r="M1415" s="133"/>
      <c r="N1415" s="96">
        <v>46098</v>
      </c>
    </row>
    <row r="1416" spans="1:14" x14ac:dyDescent="0.25">
      <c r="A1416" s="11">
        <f t="shared" ca="1" si="142"/>
        <v>-19</v>
      </c>
      <c r="C1416" s="11" t="s">
        <v>283</v>
      </c>
      <c r="D1416" s="11" t="str">
        <f>VLOOKUP(VALUE(MID($C1416,13,2)), codigos!$A$2:$B$60, 2, 1) &amp; " " &amp; VLOOKUP(VALUE(MID($C1416,15,4)), codigos!$E$2:$F$102, 2, FALSE)</f>
        <v>PLATO AVENERO 20</v>
      </c>
      <c r="E1416" s="20" t="str">
        <f>VLOOKUP(VALUE(MID($C1416,19,2)),codigos!$H$2:$I$62,2,1) &amp; " " &amp; VLOOKUP(VALUE(MID($C1416,21,2)),codigos!$K$2:$L$12,2,FALSE)</f>
        <v>BLANCO  NEGRO</v>
      </c>
      <c r="F1416" s="11" t="s">
        <v>600</v>
      </c>
      <c r="G1416" s="11" t="s">
        <v>11</v>
      </c>
      <c r="H1416" s="11" t="s">
        <v>1528</v>
      </c>
      <c r="I1416" s="11" t="s">
        <v>1525</v>
      </c>
      <c r="J1416" s="11">
        <v>192</v>
      </c>
      <c r="K1416" s="11">
        <v>0</v>
      </c>
      <c r="L1416" s="11">
        <f t="shared" si="141"/>
        <v>192</v>
      </c>
      <c r="M1416" s="133"/>
      <c r="N1416" s="96">
        <v>46098</v>
      </c>
    </row>
    <row r="1417" spans="1:14" x14ac:dyDescent="0.25">
      <c r="A1417" s="11">
        <f t="shared" ca="1" si="142"/>
        <v>-19</v>
      </c>
      <c r="C1417" s="11" t="s">
        <v>180</v>
      </c>
      <c r="D1417" s="11" t="str">
        <f>VLOOKUP(VALUE(MID($C1417,13,2)), codigos!$A$2:$B$60, 2, 1) &amp; " " &amp; VLOOKUP(VALUE(MID($C1417,15,4)), codigos!$E$2:$F$102, 2, FALSE)</f>
        <v>POCILLO 12</v>
      </c>
      <c r="E1417" s="20" t="str">
        <f>VLOOKUP(VALUE(MID($C1417,19,2)),codigos!$H$2:$I$62,2,1) &amp; " " &amp; VLOOKUP(VALUE(MID($C1417,21,2)),codigos!$K$2:$L$12,2,FALSE)</f>
        <v>A/T S/I</v>
      </c>
      <c r="F1417" s="11" t="s">
        <v>600</v>
      </c>
      <c r="G1417" s="11" t="s">
        <v>11</v>
      </c>
      <c r="H1417" s="11" t="s">
        <v>1528</v>
      </c>
      <c r="I1417" s="11" t="s">
        <v>1525</v>
      </c>
      <c r="J1417" s="11">
        <v>96</v>
      </c>
      <c r="K1417" s="11">
        <v>0</v>
      </c>
      <c r="L1417" s="11">
        <f t="shared" si="141"/>
        <v>96</v>
      </c>
      <c r="M1417" s="133"/>
      <c r="N1417" s="96">
        <v>46098</v>
      </c>
    </row>
    <row r="1418" spans="1:14" x14ac:dyDescent="0.25">
      <c r="A1418" s="11">
        <f t="shared" ca="1" si="142"/>
        <v>-19</v>
      </c>
      <c r="C1418" s="11" t="s">
        <v>182</v>
      </c>
      <c r="D1418" s="11" t="str">
        <f>VLOOKUP(VALUE(MID($C1418,13,2)), codigos!$A$2:$B$60, 2, 1) &amp; " " &amp; VLOOKUP(VALUE(MID($C1418,15,4)), codigos!$E$2:$F$102, 2, FALSE)</f>
        <v>POCILLO 14</v>
      </c>
      <c r="E1418" s="20" t="str">
        <f>VLOOKUP(VALUE(MID($C1418,19,2)),codigos!$H$2:$I$62,2,1) &amp; " " &amp; VLOOKUP(VALUE(MID($C1418,21,2)),codigos!$K$2:$L$12,2,FALSE)</f>
        <v>A/T S/I</v>
      </c>
      <c r="F1418" s="11" t="s">
        <v>600</v>
      </c>
      <c r="G1418" s="11" t="s">
        <v>11</v>
      </c>
      <c r="H1418" s="11" t="s">
        <v>1528</v>
      </c>
      <c r="I1418" s="11" t="s">
        <v>1525</v>
      </c>
      <c r="J1418" s="11">
        <v>48</v>
      </c>
      <c r="K1418" s="11">
        <v>0</v>
      </c>
      <c r="L1418" s="11">
        <f t="shared" si="141"/>
        <v>48</v>
      </c>
      <c r="M1418" s="133"/>
      <c r="N1418" s="96">
        <v>46098</v>
      </c>
    </row>
    <row r="1419" spans="1:14" x14ac:dyDescent="0.25">
      <c r="A1419" s="11">
        <f t="shared" ca="1" si="142"/>
        <v>-19</v>
      </c>
      <c r="C1419" s="11" t="s">
        <v>262</v>
      </c>
      <c r="D1419" s="11" t="str">
        <f>VLOOKUP(VALUE(MID($C1419,13,2)), codigos!$A$2:$B$60, 2, 1) &amp; " " &amp; VLOOKUP(VALUE(MID($C1419,15,4)), codigos!$E$2:$F$102, 2, FALSE)</f>
        <v>SARTEN 20</v>
      </c>
      <c r="E1419" s="20" t="str">
        <f>VLOOKUP(VALUE(MID($C1419,19,2)),codigos!$H$2:$I$62,2,1) &amp; " " &amp; VLOOKUP(VALUE(MID($C1419,21,2)),codigos!$K$2:$L$12,2,FALSE)</f>
        <v>A/T S/I</v>
      </c>
      <c r="F1419" s="11" t="s">
        <v>600</v>
      </c>
      <c r="G1419" s="11" t="s">
        <v>11</v>
      </c>
      <c r="H1419" s="11" t="s">
        <v>1528</v>
      </c>
      <c r="I1419" s="11" t="s">
        <v>1525</v>
      </c>
      <c r="J1419" s="11">
        <v>24</v>
      </c>
      <c r="K1419" s="11">
        <v>24</v>
      </c>
      <c r="L1419" s="11">
        <f t="shared" si="141"/>
        <v>0</v>
      </c>
      <c r="M1419" s="133"/>
      <c r="N1419" s="96">
        <v>46098</v>
      </c>
    </row>
    <row r="1420" spans="1:14" x14ac:dyDescent="0.25">
      <c r="A1420" s="11">
        <f t="shared" ca="1" si="142"/>
        <v>-19</v>
      </c>
      <c r="C1420" s="11" t="s">
        <v>44</v>
      </c>
      <c r="D1420" s="11" t="str">
        <f>VLOOKUP(VALUE(MID($C1420,13,2)), codigos!$A$2:$B$60, 2, 1) &amp; " " &amp; VLOOKUP(VALUE(MID($C1420,15,4)), codigos!$E$2:$F$102, 2, FALSE)</f>
        <v>SARTEN 24</v>
      </c>
      <c r="E1420" s="20" t="str">
        <f>VLOOKUP(VALUE(MID($C1420,19,2)),codigos!$H$2:$I$62,2,1) &amp; " " &amp; VLOOKUP(VALUE(MID($C1420,21,2)),codigos!$K$2:$L$12,2,FALSE)</f>
        <v>A/T S/I</v>
      </c>
      <c r="F1420" s="11" t="s">
        <v>600</v>
      </c>
      <c r="G1420" s="11" t="s">
        <v>11</v>
      </c>
      <c r="H1420" s="11" t="s">
        <v>1528</v>
      </c>
      <c r="I1420" s="11" t="s">
        <v>1525</v>
      </c>
      <c r="J1420" s="11">
        <v>24</v>
      </c>
      <c r="K1420" s="11">
        <v>0</v>
      </c>
      <c r="L1420" s="11">
        <f t="shared" si="141"/>
        <v>24</v>
      </c>
      <c r="M1420" s="133"/>
      <c r="N1420" s="96">
        <v>46098</v>
      </c>
    </row>
    <row r="1421" spans="1:14" x14ac:dyDescent="0.25">
      <c r="A1421" s="11">
        <f t="shared" ca="1" si="142"/>
        <v>-19</v>
      </c>
      <c r="C1421" s="11" t="s">
        <v>239</v>
      </c>
      <c r="D1421" s="11" t="str">
        <f>VLOOKUP(VALUE(MID($C1421,13,2)), codigos!$A$2:$B$60, 2, 1) &amp; " " &amp; VLOOKUP(VALUE(MID($C1421,15,4)), codigos!$E$2:$F$102, 2, FALSE)</f>
        <v>SARTEN 26</v>
      </c>
      <c r="E1421" s="20" t="str">
        <f>VLOOKUP(VALUE(MID($C1421,19,2)),codigos!$H$2:$I$62,2,1) &amp; " " &amp; VLOOKUP(VALUE(MID($C1421,21,2)),codigos!$K$2:$L$12,2,FALSE)</f>
        <v>A/T S/I</v>
      </c>
      <c r="F1421" s="11" t="s">
        <v>600</v>
      </c>
      <c r="G1421" s="11" t="s">
        <v>11</v>
      </c>
      <c r="H1421" s="11" t="s">
        <v>1528</v>
      </c>
      <c r="I1421" s="11" t="s">
        <v>1525</v>
      </c>
      <c r="J1421" s="11">
        <v>24</v>
      </c>
      <c r="K1421" s="11">
        <v>0</v>
      </c>
      <c r="L1421" s="11">
        <f t="shared" si="141"/>
        <v>24</v>
      </c>
      <c r="M1421" s="133"/>
      <c r="N1421" s="96">
        <v>46098</v>
      </c>
    </row>
    <row r="1422" spans="1:14" x14ac:dyDescent="0.25">
      <c r="A1422" s="11">
        <f t="shared" ca="1" si="142"/>
        <v>-19</v>
      </c>
      <c r="C1422" s="11" t="s">
        <v>80</v>
      </c>
      <c r="D1422" s="11" t="str">
        <f>VLOOKUP(VALUE(MID($C1422,13,2)), codigos!$A$2:$B$60, 2, 1) &amp; " " &amp; VLOOKUP(VALUE(MID($C1422,15,4)), codigos!$E$2:$F$102, 2, FALSE)</f>
        <v>TAZON 15.5</v>
      </c>
      <c r="E1422" s="20" t="str">
        <f>VLOOKUP(VALUE(MID($C1422,19,2)),codigos!$H$2:$I$62,2,1) &amp; " " &amp; VLOOKUP(VALUE(MID($C1422,21,2)),codigos!$K$2:$L$12,2,FALSE)</f>
        <v>A/T S/I</v>
      </c>
      <c r="F1422" s="11" t="s">
        <v>600</v>
      </c>
      <c r="G1422" s="11" t="s">
        <v>11</v>
      </c>
      <c r="H1422" s="11" t="s">
        <v>1528</v>
      </c>
      <c r="I1422" s="11" t="s">
        <v>1525</v>
      </c>
      <c r="J1422" s="11">
        <v>48</v>
      </c>
      <c r="K1422" s="11">
        <v>0</v>
      </c>
      <c r="L1422" s="11">
        <f t="shared" si="141"/>
        <v>48</v>
      </c>
      <c r="M1422" s="133"/>
      <c r="N1422" s="96">
        <v>46098</v>
      </c>
    </row>
    <row r="1423" spans="1:14" x14ac:dyDescent="0.25">
      <c r="A1423" s="11">
        <f t="shared" ca="1" si="142"/>
        <v>-19</v>
      </c>
      <c r="C1423" s="11" t="s">
        <v>83</v>
      </c>
      <c r="D1423" s="11" t="str">
        <f>VLOOKUP(VALUE(MID($C1423,13,2)), codigos!$A$2:$B$60, 2, 1) &amp; " " &amp; VLOOKUP(VALUE(MID($C1423,15,4)), codigos!$E$2:$F$102, 2, FALSE)</f>
        <v>TAZON 15.5</v>
      </c>
      <c r="E1423" s="20" t="str">
        <f>VLOOKUP(VALUE(MID($C1423,19,2)),codigos!$H$2:$I$62,2,1) &amp; " " &amp; VLOOKUP(VALUE(MID($C1423,21,2)),codigos!$K$2:$L$12,2,FALSE)</f>
        <v>BLANCO  NEGRO</v>
      </c>
      <c r="F1423" s="11" t="s">
        <v>600</v>
      </c>
      <c r="G1423" s="11" t="s">
        <v>11</v>
      </c>
      <c r="H1423" s="11" t="s">
        <v>1528</v>
      </c>
      <c r="I1423" s="11" t="s">
        <v>1525</v>
      </c>
      <c r="J1423" s="11">
        <v>72</v>
      </c>
      <c r="K1423" s="11">
        <v>0</v>
      </c>
      <c r="L1423" s="11">
        <f t="shared" si="141"/>
        <v>72</v>
      </c>
      <c r="M1423" s="133"/>
      <c r="N1423" s="96">
        <v>46098</v>
      </c>
    </row>
    <row r="1424" spans="1:14" x14ac:dyDescent="0.25">
      <c r="A1424" s="11">
        <f t="shared" ca="1" si="142"/>
        <v>-19</v>
      </c>
      <c r="C1424" s="11" t="s">
        <v>188</v>
      </c>
      <c r="D1424" s="11" t="str">
        <f>VLOOKUP(VALUE(MID($C1424,13,2)), codigos!$A$2:$B$60, 2, 1) &amp; " " &amp; VLOOKUP(VALUE(MID($C1424,15,4)), codigos!$E$2:$F$102, 2, FALSE)</f>
        <v>POCILLO 14</v>
      </c>
      <c r="E1424" s="20" t="str">
        <f>VLOOKUP(VALUE(MID($C1424,19,2)),codigos!$H$2:$I$62,2,1) &amp; " " &amp; VLOOKUP(VALUE(MID($C1424,21,2)),codigos!$K$2:$L$12,2,FALSE)</f>
        <v>S/I S/I</v>
      </c>
      <c r="F1424" s="11" t="s">
        <v>600</v>
      </c>
      <c r="G1424" s="11" t="s">
        <v>11</v>
      </c>
      <c r="H1424" s="11" t="s">
        <v>1528</v>
      </c>
      <c r="I1424" s="11" t="s">
        <v>1525</v>
      </c>
      <c r="J1424" s="11">
        <v>60</v>
      </c>
      <c r="K1424" s="11">
        <v>0</v>
      </c>
      <c r="L1424" s="11">
        <f t="shared" si="141"/>
        <v>60</v>
      </c>
      <c r="M1424" s="130"/>
      <c r="N1424" s="96">
        <v>46098</v>
      </c>
    </row>
    <row r="1425" spans="1:14" x14ac:dyDescent="0.25">
      <c r="A1425" s="11">
        <f t="shared" ca="1" si="142"/>
        <v>-19</v>
      </c>
      <c r="C1425" s="11" t="s">
        <v>277</v>
      </c>
      <c r="D1425" s="11" t="str">
        <f>VLOOKUP(VALUE(MID($C1425,13,2)), codigos!$A$2:$B$60, 2, 1) &amp; " " &amp; VLOOKUP(VALUE(MID($C1425,15,4)), codigos!$E$2:$F$102, 2, FALSE)</f>
        <v>BUDINERA 12</v>
      </c>
      <c r="E1425" s="20" t="str">
        <f>VLOOKUP(VALUE(MID($C1425,19,2)),codigos!$H$2:$I$62,2,1) &amp; " " &amp; VLOOKUP(VALUE(MID($C1425,21,2)),codigos!$K$2:$L$12,2,FALSE)</f>
        <v>BLANCO  NEGRO</v>
      </c>
      <c r="F1425" s="11" t="s">
        <v>600</v>
      </c>
      <c r="G1425" s="11" t="s">
        <v>11</v>
      </c>
      <c r="H1425" s="11" t="s">
        <v>1530</v>
      </c>
      <c r="I1425" s="11" t="s">
        <v>1525</v>
      </c>
      <c r="J1425" s="11">
        <v>18</v>
      </c>
      <c r="K1425" s="11">
        <v>0</v>
      </c>
      <c r="L1425" s="11">
        <f t="shared" si="141"/>
        <v>18</v>
      </c>
      <c r="M1425" s="132">
        <f>(SUM(K1425:K1426))/(SUM(J1425:J1426))</f>
        <v>0.17777777777777778</v>
      </c>
      <c r="N1425" s="96">
        <v>46098</v>
      </c>
    </row>
    <row r="1426" spans="1:14" x14ac:dyDescent="0.25">
      <c r="A1426" s="11">
        <f t="shared" ca="1" si="142"/>
        <v>-19</v>
      </c>
      <c r="C1426" s="11" t="s">
        <v>299</v>
      </c>
      <c r="D1426" s="11" t="str">
        <f>VLOOKUP(VALUE(MID($C1426,13,2)), codigos!$A$2:$B$60, 2, 1) &amp; " " &amp; VLOOKUP(VALUE(MID($C1426,15,4)), codigos!$E$2:$F$102, 2, FALSE)</f>
        <v>POCILLO 8</v>
      </c>
      <c r="E1426" s="20" t="str">
        <f>VLOOKUP(VALUE(MID($C1426,19,2)),codigos!$H$2:$I$62,2,1) &amp; " " &amp; VLOOKUP(VALUE(MID($C1426,21,2)),codigos!$K$2:$L$12,2,FALSE)</f>
        <v>BLANCO  NEGRO</v>
      </c>
      <c r="F1426" s="11" t="s">
        <v>600</v>
      </c>
      <c r="G1426" s="11" t="s">
        <v>11</v>
      </c>
      <c r="H1426" s="11" t="s">
        <v>1530</v>
      </c>
      <c r="I1426" s="11" t="s">
        <v>1525</v>
      </c>
      <c r="J1426" s="11">
        <v>72</v>
      </c>
      <c r="K1426" s="113">
        <v>16</v>
      </c>
      <c r="L1426" s="11">
        <f t="shared" si="141"/>
        <v>56</v>
      </c>
      <c r="M1426" s="130"/>
      <c r="N1426" s="96">
        <v>46098</v>
      </c>
    </row>
    <row r="1427" spans="1:14" x14ac:dyDescent="0.25">
      <c r="A1427" s="11">
        <f t="shared" ca="1" si="142"/>
        <v>-55</v>
      </c>
      <c r="C1427" s="11" t="s">
        <v>19</v>
      </c>
      <c r="D1427" s="11" t="str">
        <f>VLOOKUP(VALUE(MID($C1427,13,2)), [2]codigos!$A$2:$B$60, 2, 1) &amp; " " &amp; VLOOKUP(VALUE(MID($C1427,15,4)), [2]codigos!$E$2:$F$102, 2, FALSE)</f>
        <v>BACINICA 24</v>
      </c>
      <c r="E1427" s="11" t="str">
        <f>VLOOKUP(VALUE(MID($C1427,19,2)),[2]codigos!$H$2:$I$62,2,1) &amp; " " &amp; VLOOKUP(VALUE(MID($C1427,21,2)),[2]codigos!$K$2:$L$12,2,FALSE)</f>
        <v>BLANCO  NEGRO</v>
      </c>
      <c r="F1427" s="11" t="s">
        <v>477</v>
      </c>
      <c r="G1427" s="11" t="s">
        <v>11</v>
      </c>
      <c r="H1427" s="52" t="s">
        <v>1317</v>
      </c>
      <c r="I1427" s="20" t="s">
        <v>1311</v>
      </c>
      <c r="J1427" s="113">
        <v>48</v>
      </c>
      <c r="K1427" s="11">
        <f>12+12+5+19</f>
        <v>48</v>
      </c>
      <c r="L1427" s="11">
        <f t="shared" ref="L1427:L1462" si="143">J1427-K1427</f>
        <v>0</v>
      </c>
      <c r="M1427" s="131">
        <f>(SUM(K1427:K1462))/(SUM(J1427:J1462))</f>
        <v>0.99757634512845372</v>
      </c>
      <c r="N1427" s="96">
        <v>46098</v>
      </c>
    </row>
    <row r="1428" spans="1:14" x14ac:dyDescent="0.25">
      <c r="A1428" s="11">
        <f t="shared" ca="1" si="142"/>
        <v>-55</v>
      </c>
      <c r="C1428" s="11" t="s">
        <v>255</v>
      </c>
      <c r="D1428" s="11" t="str">
        <f>VLOOKUP(VALUE(MID($C1428,13,2)), [2]codigos!$A$2:$B$60, 2, 1) &amp; " " &amp; VLOOKUP(VALUE(MID($C1428,15,4)), [2]codigos!$E$2:$F$102, 2, FALSE)</f>
        <v>BUDINERA   12</v>
      </c>
      <c r="E1428" s="11" t="str">
        <f>VLOOKUP(VALUE(MID($C1428,19,2)),[2]codigos!$H$2:$I$62,2,1) &amp; " " &amp; VLOOKUP(VALUE(MID($C1428,21,2)),[2]codigos!$K$2:$L$12,2,FALSE)</f>
        <v>A/T S/I</v>
      </c>
      <c r="F1428" s="11" t="s">
        <v>477</v>
      </c>
      <c r="G1428" s="11" t="s">
        <v>11</v>
      </c>
      <c r="H1428" s="52" t="s">
        <v>1317</v>
      </c>
      <c r="I1428" s="20" t="s">
        <v>1311</v>
      </c>
      <c r="J1428" s="113">
        <v>108</v>
      </c>
      <c r="K1428" s="11">
        <f>108</f>
        <v>108</v>
      </c>
      <c r="L1428" s="11">
        <f t="shared" si="143"/>
        <v>0</v>
      </c>
      <c r="M1428" s="131"/>
      <c r="N1428" s="96">
        <v>46098</v>
      </c>
    </row>
    <row r="1429" spans="1:14" x14ac:dyDescent="0.25">
      <c r="A1429" s="11">
        <f t="shared" ca="1" si="142"/>
        <v>-55</v>
      </c>
      <c r="C1429" s="11" t="s">
        <v>256</v>
      </c>
      <c r="D1429" s="11" t="str">
        <f>VLOOKUP(VALUE(MID($C1429,13,2)), [2]codigos!$A$2:$B$60, 2, 1) &amp; " " &amp; VLOOKUP(VALUE(MID($C1429,15,4)), [2]codigos!$E$2:$F$102, 2, FALSE)</f>
        <v>BUDINERA   14</v>
      </c>
      <c r="E1429" s="11" t="str">
        <f>VLOOKUP(VALUE(MID($C1429,19,2)),[2]codigos!$H$2:$I$62,2,1) &amp; " " &amp; VLOOKUP(VALUE(MID($C1429,21,2)),[2]codigos!$K$2:$L$12,2,FALSE)</f>
        <v>A/T S/I</v>
      </c>
      <c r="F1429" s="11" t="s">
        <v>477</v>
      </c>
      <c r="G1429" s="11" t="s">
        <v>11</v>
      </c>
      <c r="H1429" s="52" t="s">
        <v>1317</v>
      </c>
      <c r="I1429" s="20" t="s">
        <v>1311</v>
      </c>
      <c r="J1429" s="113">
        <v>108</v>
      </c>
      <c r="K1429" s="11">
        <f>4+18+18+54+14</f>
        <v>108</v>
      </c>
      <c r="L1429" s="11">
        <f t="shared" si="143"/>
        <v>0</v>
      </c>
      <c r="M1429" s="131"/>
      <c r="N1429" s="96">
        <v>46098</v>
      </c>
    </row>
    <row r="1430" spans="1:14" x14ac:dyDescent="0.25">
      <c r="A1430" s="11">
        <f t="shared" ca="1" si="142"/>
        <v>-55</v>
      </c>
      <c r="C1430" s="11" t="s">
        <v>189</v>
      </c>
      <c r="D1430" s="11" t="str">
        <f>VLOOKUP(VALUE(MID($C1430,13,2)), [2]codigos!$A$2:$B$60, 2, 1) &amp; " " &amp; VLOOKUP(VALUE(MID($C1430,15,4)), [2]codigos!$E$2:$F$102, 2, FALSE)</f>
        <v>BUDINERA   16</v>
      </c>
      <c r="E1430" s="11" t="str">
        <f>VLOOKUP(VALUE(MID($C1430,19,2)),[2]codigos!$H$2:$I$62,2,1) &amp; " " &amp; VLOOKUP(VALUE(MID($C1430,21,2)),[2]codigos!$K$2:$L$12,2,FALSE)</f>
        <v>A/T S/I</v>
      </c>
      <c r="F1430" s="11" t="s">
        <v>477</v>
      </c>
      <c r="G1430" s="11" t="s">
        <v>11</v>
      </c>
      <c r="H1430" s="52" t="s">
        <v>1317</v>
      </c>
      <c r="I1430" s="20" t="s">
        <v>1311</v>
      </c>
      <c r="J1430" s="113">
        <v>108</v>
      </c>
      <c r="K1430" s="11">
        <f>18+90</f>
        <v>108</v>
      </c>
      <c r="L1430" s="11">
        <f t="shared" si="143"/>
        <v>0</v>
      </c>
      <c r="M1430" s="131"/>
      <c r="N1430" s="96">
        <v>46098</v>
      </c>
    </row>
    <row r="1431" spans="1:14" x14ac:dyDescent="0.25">
      <c r="A1431" s="11">
        <f t="shared" ca="1" si="142"/>
        <v>-55</v>
      </c>
      <c r="C1431" s="11" t="s">
        <v>214</v>
      </c>
      <c r="D1431" s="11" t="str">
        <f>VLOOKUP(VALUE(MID($C1431,13,2)), [2]codigos!$A$2:$B$60, 2, 1) &amp; " " &amp; VLOOKUP(VALUE(MID($C1431,15,4)), [2]codigos!$E$2:$F$102, 2, FALSE)</f>
        <v>BUDINERA   18</v>
      </c>
      <c r="E1431" s="11" t="str">
        <f>VLOOKUP(VALUE(MID($C1431,19,2)),[2]codigos!$H$2:$I$62,2,1) &amp; " " &amp; VLOOKUP(VALUE(MID($C1431,21,2)),[2]codigos!$K$2:$L$12,2,FALSE)</f>
        <v>A/T S/I</v>
      </c>
      <c r="F1431" s="11" t="s">
        <v>477</v>
      </c>
      <c r="G1431" s="11" t="s">
        <v>11</v>
      </c>
      <c r="H1431" s="52" t="s">
        <v>1317</v>
      </c>
      <c r="I1431" s="20" t="s">
        <v>1311</v>
      </c>
      <c r="J1431" s="113">
        <v>108</v>
      </c>
      <c r="K1431" s="11">
        <f>36+72-66+32+32+2</f>
        <v>108</v>
      </c>
      <c r="L1431" s="11">
        <f t="shared" si="143"/>
        <v>0</v>
      </c>
      <c r="M1431" s="131"/>
      <c r="N1431" s="96">
        <v>46098</v>
      </c>
    </row>
    <row r="1432" spans="1:14" x14ac:dyDescent="0.25">
      <c r="A1432" s="11">
        <f t="shared" ca="1" si="142"/>
        <v>-55</v>
      </c>
      <c r="C1432" s="11" t="s">
        <v>215</v>
      </c>
      <c r="D1432" s="11" t="str">
        <f>VLOOKUP(VALUE(MID($C1432,13,2)), [2]codigos!$A$2:$B$60, 2, 1) &amp; " " &amp; VLOOKUP(VALUE(MID($C1432,15,4)), [2]codigos!$E$2:$F$102, 2, FALSE)</f>
        <v>BUDINERA   20</v>
      </c>
      <c r="E1432" s="11" t="str">
        <f>VLOOKUP(VALUE(MID($C1432,19,2)),[2]codigos!$H$2:$I$62,2,1) &amp; " " &amp; VLOOKUP(VALUE(MID($C1432,21,2)),[2]codigos!$K$2:$L$12,2,FALSE)</f>
        <v>A/T S/I</v>
      </c>
      <c r="F1432" s="11" t="s">
        <v>477</v>
      </c>
      <c r="G1432" s="11" t="s">
        <v>11</v>
      </c>
      <c r="H1432" s="52" t="s">
        <v>1317</v>
      </c>
      <c r="I1432" s="20" t="s">
        <v>1311</v>
      </c>
      <c r="J1432" s="113">
        <v>108</v>
      </c>
      <c r="K1432" s="11">
        <f>36+36+36</f>
        <v>108</v>
      </c>
      <c r="L1432" s="11">
        <f t="shared" si="143"/>
        <v>0</v>
      </c>
      <c r="M1432" s="131"/>
      <c r="N1432" s="96">
        <v>46098</v>
      </c>
    </row>
    <row r="1433" spans="1:14" x14ac:dyDescent="0.25">
      <c r="A1433" s="11">
        <f t="shared" ca="1" si="142"/>
        <v>-55</v>
      </c>
      <c r="C1433" s="11" t="s">
        <v>241</v>
      </c>
      <c r="D1433" s="11" t="str">
        <f>VLOOKUP(VALUE(MID($C1433,13,2)), [2]codigos!$A$2:$B$60, 2, 1) &amp; " " &amp; VLOOKUP(VALUE(MID($C1433,15,4)), [2]codigos!$E$2:$F$102, 2, FALSE)</f>
        <v>BUDINERA   22</v>
      </c>
      <c r="E1433" s="11" t="str">
        <f>VLOOKUP(VALUE(MID($C1433,19,2)),[2]codigos!$H$2:$I$62,2,1) &amp; " " &amp; VLOOKUP(VALUE(MID($C1433,21,2)),[2]codigos!$K$2:$L$12,2,FALSE)</f>
        <v>A/T S/I</v>
      </c>
      <c r="F1433" s="11" t="s">
        <v>477</v>
      </c>
      <c r="G1433" s="11" t="s">
        <v>11</v>
      </c>
      <c r="H1433" s="52" t="s">
        <v>1317</v>
      </c>
      <c r="I1433" s="20" t="s">
        <v>1311</v>
      </c>
      <c r="J1433" s="113">
        <v>72</v>
      </c>
      <c r="K1433" s="11">
        <f>36+36</f>
        <v>72</v>
      </c>
      <c r="L1433" s="11">
        <f t="shared" si="143"/>
        <v>0</v>
      </c>
      <c r="M1433" s="131"/>
      <c r="N1433" s="96">
        <v>46098</v>
      </c>
    </row>
    <row r="1434" spans="1:14" x14ac:dyDescent="0.25">
      <c r="A1434" s="11">
        <f t="shared" ca="1" si="142"/>
        <v>-55</v>
      </c>
      <c r="C1434" s="11" t="s">
        <v>143</v>
      </c>
      <c r="D1434" s="11" t="str">
        <f>VLOOKUP(VALUE(MID($C1434,13,2)), [2]codigos!$A$2:$B$60, 2, 1) &amp; " " &amp; VLOOKUP(VALUE(MID($C1434,15,4)), [2]codigos!$E$2:$F$102, 2, FALSE)</f>
        <v>BUDINERA   24</v>
      </c>
      <c r="E1434" s="11" t="str">
        <f>VLOOKUP(VALUE(MID($C1434,19,2)),[2]codigos!$H$2:$I$62,2,1) &amp; " " &amp; VLOOKUP(VALUE(MID($C1434,21,2)),[2]codigos!$K$2:$L$12,2,FALSE)</f>
        <v>A/T S/I</v>
      </c>
      <c r="F1434" s="11" t="s">
        <v>477</v>
      </c>
      <c r="G1434" s="11" t="s">
        <v>11</v>
      </c>
      <c r="H1434" s="52" t="s">
        <v>1317</v>
      </c>
      <c r="I1434" s="20" t="s">
        <v>1311</v>
      </c>
      <c r="J1434" s="113">
        <v>36</v>
      </c>
      <c r="K1434" s="11">
        <f>12+24</f>
        <v>36</v>
      </c>
      <c r="L1434" s="11">
        <f t="shared" si="143"/>
        <v>0</v>
      </c>
      <c r="M1434" s="131"/>
      <c r="N1434" s="96">
        <v>46098</v>
      </c>
    </row>
    <row r="1435" spans="1:14" x14ac:dyDescent="0.25">
      <c r="A1435" s="11">
        <f t="shared" ca="1" si="142"/>
        <v>-55</v>
      </c>
      <c r="C1435" s="11" t="s">
        <v>169</v>
      </c>
      <c r="D1435" s="11" t="str">
        <f>VLOOKUP(VALUE(MID($C1435,13,2)), [2]codigos!$A$2:$B$60, 2, 1) &amp; " " &amp; VLOOKUP(VALUE(MID($C1435,15,4)), [2]codigos!$E$2:$F$102, 2, FALSE)</f>
        <v>BUDINERA   30</v>
      </c>
      <c r="E1435" s="11" t="str">
        <f>VLOOKUP(VALUE(MID($C1435,19,2)),[2]codigos!$H$2:$I$62,2,1) &amp; " " &amp; VLOOKUP(VALUE(MID($C1435,21,2)),[2]codigos!$K$2:$L$12,2,FALSE)</f>
        <v>A/T S/I</v>
      </c>
      <c r="F1435" s="11" t="s">
        <v>477</v>
      </c>
      <c r="G1435" s="11" t="s">
        <v>11</v>
      </c>
      <c r="H1435" s="52" t="s">
        <v>1317</v>
      </c>
      <c r="I1435" s="20" t="s">
        <v>1311</v>
      </c>
      <c r="J1435" s="113">
        <v>24</v>
      </c>
      <c r="K1435" s="11">
        <f>2+22</f>
        <v>24</v>
      </c>
      <c r="L1435" s="11">
        <f t="shared" si="143"/>
        <v>0</v>
      </c>
      <c r="M1435" s="131"/>
      <c r="N1435" s="96">
        <v>46098</v>
      </c>
    </row>
    <row r="1436" spans="1:14" x14ac:dyDescent="0.25">
      <c r="A1436" s="11">
        <f t="shared" ca="1" si="142"/>
        <v>-55</v>
      </c>
      <c r="C1436" s="11" t="s">
        <v>38</v>
      </c>
      <c r="D1436" s="11" t="str">
        <f>VLOOKUP(VALUE(MID($C1436,13,2)), [2]codigos!$A$2:$B$60, 2, 1) &amp; " " &amp; VLOOKUP(VALUE(MID($C1436,15,4)), [2]codigos!$E$2:$F$102, 2, FALSE)</f>
        <v>BUDINERA   42</v>
      </c>
      <c r="E1436" s="11" t="str">
        <f>VLOOKUP(VALUE(MID($C1436,19,2)),[2]codigos!$H$2:$I$62,2,1) &amp; " " &amp; VLOOKUP(VALUE(MID($C1436,21,2)),[2]codigos!$K$2:$L$12,2,FALSE)</f>
        <v>A/T S/I</v>
      </c>
      <c r="F1436" s="11" t="s">
        <v>477</v>
      </c>
      <c r="G1436" s="11" t="s">
        <v>11</v>
      </c>
      <c r="H1436" s="52" t="s">
        <v>1317</v>
      </c>
      <c r="I1436" s="20" t="s">
        <v>1311</v>
      </c>
      <c r="J1436" s="113">
        <v>6</v>
      </c>
      <c r="K1436" s="11">
        <v>6</v>
      </c>
      <c r="L1436" s="11">
        <f t="shared" si="143"/>
        <v>0</v>
      </c>
      <c r="M1436" s="131"/>
      <c r="N1436" s="96">
        <v>46098</v>
      </c>
    </row>
    <row r="1437" spans="1:14" x14ac:dyDescent="0.25">
      <c r="A1437" s="11">
        <f t="shared" ca="1" si="142"/>
        <v>-55</v>
      </c>
      <c r="C1437" s="11" t="s">
        <v>218</v>
      </c>
      <c r="D1437" s="11" t="str">
        <f>VLOOKUP(VALUE(MID($C1437,13,2)), [2]codigos!$A$2:$B$60, 2, 1) &amp; " " &amp; VLOOKUP(VALUE(MID($C1437,15,4)), [2]codigos!$E$2:$F$102, 2, FALSE)</f>
        <v>CAZO 14</v>
      </c>
      <c r="E1437" s="11" t="str">
        <f>VLOOKUP(VALUE(MID($C1437,19,2)),[2]codigos!$H$2:$I$62,2,1) &amp; " " &amp; VLOOKUP(VALUE(MID($C1437,21,2)),[2]codigos!$K$2:$L$12,2,FALSE)</f>
        <v>A/T S/I</v>
      </c>
      <c r="F1437" s="11" t="s">
        <v>477</v>
      </c>
      <c r="G1437" s="11" t="s">
        <v>11</v>
      </c>
      <c r="H1437" s="52" t="s">
        <v>1317</v>
      </c>
      <c r="I1437" s="20" t="s">
        <v>1311</v>
      </c>
      <c r="J1437" s="113">
        <v>72</v>
      </c>
      <c r="K1437" s="11">
        <v>72</v>
      </c>
      <c r="L1437" s="11">
        <f t="shared" si="143"/>
        <v>0</v>
      </c>
      <c r="M1437" s="131"/>
      <c r="N1437" s="96">
        <v>46098</v>
      </c>
    </row>
    <row r="1438" spans="1:14" x14ac:dyDescent="0.25">
      <c r="A1438" s="11">
        <f t="shared" ca="1" si="142"/>
        <v>-55</v>
      </c>
      <c r="C1438" s="11" t="s">
        <v>149</v>
      </c>
      <c r="D1438" s="11" t="str">
        <f>VLOOKUP(VALUE(MID($C1438,13,2)), [2]codigos!$A$2:$B$60, 2, 1) &amp; " " &amp; VLOOKUP(VALUE(MID($C1438,15,4)), [2]codigos!$E$2:$F$102, 2, FALSE)</f>
        <v>COMAL 28</v>
      </c>
      <c r="E1438" s="11" t="str">
        <f>VLOOKUP(VALUE(MID($C1438,19,2)),[2]codigos!$H$2:$I$62,2,1) &amp; " " &amp; VLOOKUP(VALUE(MID($C1438,21,2)),[2]codigos!$K$2:$L$12,2,FALSE)</f>
        <v>NEGRO MOTAS S/I</v>
      </c>
      <c r="F1438" s="11" t="s">
        <v>477</v>
      </c>
      <c r="G1438" s="11" t="s">
        <v>11</v>
      </c>
      <c r="H1438" s="52" t="s">
        <v>1317</v>
      </c>
      <c r="I1438" s="20" t="s">
        <v>1311</v>
      </c>
      <c r="J1438" s="113">
        <v>36</v>
      </c>
      <c r="K1438" s="11">
        <f>1+35</f>
        <v>36</v>
      </c>
      <c r="L1438" s="11">
        <f t="shared" si="143"/>
        <v>0</v>
      </c>
      <c r="M1438" s="131"/>
      <c r="N1438" s="96">
        <v>46098</v>
      </c>
    </row>
    <row r="1439" spans="1:14" x14ac:dyDescent="0.25">
      <c r="A1439" s="11">
        <f t="shared" ca="1" si="142"/>
        <v>-55</v>
      </c>
      <c r="C1439" s="11" t="s">
        <v>344</v>
      </c>
      <c r="D1439" s="11" t="str">
        <f>VLOOKUP(VALUE(MID($C1439,13,2)), [2]codigos!$A$2:$B$60, 2, 1) &amp; " " &amp; VLOOKUP(VALUE(MID($C1439,15,4)), [2]codigos!$E$2:$F$102, 2, FALSE)</f>
        <v>COMAL 36</v>
      </c>
      <c r="E1439" s="11" t="str">
        <f>VLOOKUP(VALUE(MID($C1439,19,2)),[2]codigos!$H$2:$I$62,2,1) &amp; " " &amp; VLOOKUP(VALUE(MID($C1439,21,2)),[2]codigos!$K$2:$L$12,2,FALSE)</f>
        <v>NEGRO MOTAS S/I</v>
      </c>
      <c r="F1439" s="11" t="s">
        <v>477</v>
      </c>
      <c r="G1439" s="11" t="s">
        <v>11</v>
      </c>
      <c r="H1439" s="52" t="s">
        <v>1317</v>
      </c>
      <c r="I1439" s="20" t="s">
        <v>1311</v>
      </c>
      <c r="J1439" s="113">
        <v>48</v>
      </c>
      <c r="K1439" s="11">
        <v>48</v>
      </c>
      <c r="L1439" s="11">
        <f t="shared" si="143"/>
        <v>0</v>
      </c>
      <c r="M1439" s="131"/>
      <c r="N1439" s="96">
        <v>46098</v>
      </c>
    </row>
    <row r="1440" spans="1:14" x14ac:dyDescent="0.25">
      <c r="A1440" s="11">
        <f t="shared" ca="1" si="142"/>
        <v>-55</v>
      </c>
      <c r="C1440" s="11" t="s">
        <v>220</v>
      </c>
      <c r="D1440" s="11" t="str">
        <f>VLOOKUP(VALUE(MID($C1440,13,2)), [2]codigos!$A$2:$B$60, 2, 1) &amp; " " &amp; VLOOKUP(VALUE(MID($C1440,15,4)), [2]codigos!$E$2:$F$102, 2, FALSE)</f>
        <v>OLLA CONVEXA 16</v>
      </c>
      <c r="E1440" s="11" t="str">
        <f>VLOOKUP(VALUE(MID($C1440,19,2)),[2]codigos!$H$2:$I$62,2,1) &amp; " " &amp; VLOOKUP(VALUE(MID($C1440,21,2)),[2]codigos!$K$2:$L$12,2,FALSE)</f>
        <v>A/T S/I</v>
      </c>
      <c r="F1440" s="11" t="s">
        <v>477</v>
      </c>
      <c r="G1440" s="11" t="s">
        <v>11</v>
      </c>
      <c r="H1440" s="52" t="s">
        <v>1317</v>
      </c>
      <c r="I1440" s="20" t="s">
        <v>1311</v>
      </c>
      <c r="J1440" s="113">
        <v>96</v>
      </c>
      <c r="K1440" s="11">
        <v>96</v>
      </c>
      <c r="L1440" s="11">
        <f t="shared" si="143"/>
        <v>0</v>
      </c>
      <c r="M1440" s="131"/>
      <c r="N1440" s="96">
        <v>46098</v>
      </c>
    </row>
    <row r="1441" spans="1:14" x14ac:dyDescent="0.25">
      <c r="A1441" s="11">
        <f t="shared" ca="1" si="142"/>
        <v>-55</v>
      </c>
      <c r="C1441" s="11" t="s">
        <v>150</v>
      </c>
      <c r="D1441" s="11" t="str">
        <f>VLOOKUP(VALUE(MID($C1441,13,2)), [2]codigos!$A$2:$B$60, 2, 1) &amp; " " &amp; VLOOKUP(VALUE(MID($C1441,15,4)), [2]codigos!$E$2:$F$102, 2, FALSE)</f>
        <v>OLLA CONVEXA 18</v>
      </c>
      <c r="E1441" s="11" t="str">
        <f>VLOOKUP(VALUE(MID($C1441,19,2)),[2]codigos!$H$2:$I$62,2,1) &amp; " " &amp; VLOOKUP(VALUE(MID($C1441,21,2)),[2]codigos!$K$2:$L$12,2,FALSE)</f>
        <v>A/T S/I</v>
      </c>
      <c r="F1441" s="11" t="s">
        <v>477</v>
      </c>
      <c r="G1441" s="11" t="s">
        <v>11</v>
      </c>
      <c r="H1441" s="52" t="s">
        <v>1317</v>
      </c>
      <c r="I1441" s="20" t="s">
        <v>1311</v>
      </c>
      <c r="J1441" s="113">
        <v>84</v>
      </c>
      <c r="K1441" s="11">
        <f>4+36+36+8</f>
        <v>84</v>
      </c>
      <c r="L1441" s="11">
        <f t="shared" si="143"/>
        <v>0</v>
      </c>
      <c r="M1441" s="131"/>
      <c r="N1441" s="96">
        <v>46098</v>
      </c>
    </row>
    <row r="1442" spans="1:14" x14ac:dyDescent="0.25">
      <c r="A1442" s="11">
        <f t="shared" ca="1" si="142"/>
        <v>-55</v>
      </c>
      <c r="C1442" s="11" t="s">
        <v>151</v>
      </c>
      <c r="D1442" s="11" t="str">
        <f>VLOOKUP(VALUE(MID($C1442,13,2)), [2]codigos!$A$2:$B$60, 2, 1) &amp; " " &amp; VLOOKUP(VALUE(MID($C1442,15,4)), [2]codigos!$E$2:$F$102, 2, FALSE)</f>
        <v>OLLA CONVEXA 20</v>
      </c>
      <c r="E1442" s="11" t="str">
        <f>VLOOKUP(VALUE(MID($C1442,19,2)),[2]codigos!$H$2:$I$62,2,1) &amp; " " &amp; VLOOKUP(VALUE(MID($C1442,21,2)),[2]codigos!$K$2:$L$12,2,FALSE)</f>
        <v>A/T S/I</v>
      </c>
      <c r="F1442" s="11" t="s">
        <v>477</v>
      </c>
      <c r="G1442" s="11" t="s">
        <v>11</v>
      </c>
      <c r="H1442" s="52" t="s">
        <v>1317</v>
      </c>
      <c r="I1442" s="20" t="s">
        <v>1311</v>
      </c>
      <c r="J1442" s="113">
        <v>72</v>
      </c>
      <c r="K1442" s="11">
        <f>24+31+7+10</f>
        <v>72</v>
      </c>
      <c r="L1442" s="11">
        <f t="shared" si="143"/>
        <v>0</v>
      </c>
      <c r="M1442" s="131"/>
      <c r="N1442" s="96">
        <v>46098</v>
      </c>
    </row>
    <row r="1443" spans="1:14" x14ac:dyDescent="0.25">
      <c r="A1443" s="11">
        <f t="shared" ca="1" si="142"/>
        <v>-55</v>
      </c>
      <c r="C1443" s="11" t="s">
        <v>43</v>
      </c>
      <c r="D1443" s="11" t="str">
        <f>VLOOKUP(VALUE(MID($C1443,13,2)), [2]codigos!$A$2:$B$60, 2, 1) &amp; " " &amp; VLOOKUP(VALUE(MID($C1443,15,4)), [2]codigos!$E$2:$F$102, 2, FALSE)</f>
        <v>OLLA CONVEXA 22</v>
      </c>
      <c r="E1443" s="11" t="str">
        <f>VLOOKUP(VALUE(MID($C1443,19,2)),[2]codigos!$H$2:$I$62,2,1) &amp; " " &amp; VLOOKUP(VALUE(MID($C1443,21,2)),[2]codigos!$K$2:$L$12,2,FALSE)</f>
        <v>A/T S/I</v>
      </c>
      <c r="F1443" s="11" t="s">
        <v>477</v>
      </c>
      <c r="G1443" s="11" t="s">
        <v>11</v>
      </c>
      <c r="H1443" s="52" t="s">
        <v>1317</v>
      </c>
      <c r="I1443" s="20" t="s">
        <v>1311</v>
      </c>
      <c r="J1443" s="113">
        <v>60</v>
      </c>
      <c r="K1443" s="11">
        <f>4+12+42+2</f>
        <v>60</v>
      </c>
      <c r="L1443" s="11">
        <f t="shared" si="143"/>
        <v>0</v>
      </c>
      <c r="M1443" s="131"/>
      <c r="N1443" s="96">
        <v>46098</v>
      </c>
    </row>
    <row r="1444" spans="1:14" x14ac:dyDescent="0.25">
      <c r="A1444" s="11">
        <f t="shared" ca="1" si="142"/>
        <v>-55</v>
      </c>
      <c r="C1444" s="11" t="s">
        <v>152</v>
      </c>
      <c r="D1444" s="11" t="str">
        <f>VLOOKUP(VALUE(MID($C1444,13,2)), [2]codigos!$A$2:$B$60, 2, 1) &amp; " " &amp; VLOOKUP(VALUE(MID($C1444,15,4)), [2]codigos!$E$2:$F$102, 2, FALSE)</f>
        <v>OLLA CONVEXA 24</v>
      </c>
      <c r="E1444" s="11" t="str">
        <f>VLOOKUP(VALUE(MID($C1444,19,2)),[2]codigos!$H$2:$I$62,2,1) &amp; " " &amp; VLOOKUP(VALUE(MID($C1444,21,2)),[2]codigos!$K$2:$L$12,2,FALSE)</f>
        <v>A/T S/I</v>
      </c>
      <c r="F1444" s="11" t="s">
        <v>477</v>
      </c>
      <c r="G1444" s="11" t="s">
        <v>11</v>
      </c>
      <c r="H1444" s="52" t="s">
        <v>1317</v>
      </c>
      <c r="I1444" s="20" t="s">
        <v>1311</v>
      </c>
      <c r="J1444" s="113">
        <v>60</v>
      </c>
      <c r="K1444" s="11">
        <v>60</v>
      </c>
      <c r="L1444" s="11">
        <f t="shared" si="143"/>
        <v>0</v>
      </c>
      <c r="M1444" s="131"/>
      <c r="N1444" s="96">
        <v>46098</v>
      </c>
    </row>
    <row r="1445" spans="1:14" x14ac:dyDescent="0.25">
      <c r="A1445" s="11">
        <f t="shared" ca="1" si="142"/>
        <v>-55</v>
      </c>
      <c r="C1445" s="11" t="s">
        <v>153</v>
      </c>
      <c r="D1445" s="11" t="str">
        <f>VLOOKUP(VALUE(MID($C1445,13,2)), [2]codigos!$A$2:$B$60, 2, 1) &amp; " " &amp; VLOOKUP(VALUE(MID($C1445,15,4)), [2]codigos!$E$2:$F$102, 2, FALSE)</f>
        <v>OLLA CONVEXA 26</v>
      </c>
      <c r="E1445" s="11" t="str">
        <f>VLOOKUP(VALUE(MID($C1445,19,2)),[2]codigos!$H$2:$I$62,2,1) &amp; " " &amp; VLOOKUP(VALUE(MID($C1445,21,2)),[2]codigos!$K$2:$L$12,2,FALSE)</f>
        <v>A/T S/I</v>
      </c>
      <c r="F1445" s="11" t="s">
        <v>477</v>
      </c>
      <c r="G1445" s="11" t="s">
        <v>11</v>
      </c>
      <c r="H1445" s="52" t="s">
        <v>1317</v>
      </c>
      <c r="I1445" s="20" t="s">
        <v>1311</v>
      </c>
      <c r="J1445" s="113">
        <v>42</v>
      </c>
      <c r="K1445" s="11">
        <v>42</v>
      </c>
      <c r="L1445" s="11">
        <f t="shared" si="143"/>
        <v>0</v>
      </c>
      <c r="M1445" s="131"/>
      <c r="N1445" s="96">
        <v>46098</v>
      </c>
    </row>
    <row r="1446" spans="1:14" x14ac:dyDescent="0.25">
      <c r="A1446" s="11">
        <f t="shared" ca="1" si="142"/>
        <v>-55</v>
      </c>
      <c r="C1446" s="11" t="s">
        <v>154</v>
      </c>
      <c r="D1446" s="11" t="str">
        <f>VLOOKUP(VALUE(MID($C1446,13,2)), [2]codigos!$A$2:$B$60, 2, 1) &amp; " " &amp; VLOOKUP(VALUE(MID($C1446,15,4)), [2]codigos!$E$2:$F$102, 2, FALSE)</f>
        <v>OLLA CONVEXA 30</v>
      </c>
      <c r="E1446" s="11" t="str">
        <f>VLOOKUP(VALUE(MID($C1446,19,2)),[2]codigos!$H$2:$I$62,2,1) &amp; " " &amp; VLOOKUP(VALUE(MID($C1446,21,2)),[2]codigos!$K$2:$L$12,2,FALSE)</f>
        <v>A/T S/I</v>
      </c>
      <c r="F1446" s="11" t="s">
        <v>477</v>
      </c>
      <c r="G1446" s="11" t="s">
        <v>11</v>
      </c>
      <c r="H1446" s="52" t="s">
        <v>1317</v>
      </c>
      <c r="I1446" s="20" t="s">
        <v>1311</v>
      </c>
      <c r="J1446" s="113">
        <v>14</v>
      </c>
      <c r="K1446" s="11">
        <f>6+8</f>
        <v>14</v>
      </c>
      <c r="L1446" s="11">
        <f t="shared" si="143"/>
        <v>0</v>
      </c>
      <c r="M1446" s="131"/>
      <c r="N1446" s="96">
        <v>46098</v>
      </c>
    </row>
    <row r="1447" spans="1:14" x14ac:dyDescent="0.25">
      <c r="A1447" s="11">
        <f t="shared" ca="1" si="142"/>
        <v>-55</v>
      </c>
      <c r="C1447" s="11" t="s">
        <v>221</v>
      </c>
      <c r="D1447" s="11" t="str">
        <f>VLOOKUP(VALUE(MID($C1447,13,2)), [2]codigos!$A$2:$B$60, 2, 1) &amp; " " &amp; VLOOKUP(VALUE(MID($C1447,15,4)), [2]codigos!$E$2:$F$102, 2, FALSE)</f>
        <v>OLLA CONVEXA 34</v>
      </c>
      <c r="E1447" s="11" t="str">
        <f>VLOOKUP(VALUE(MID($C1447,19,2)),[2]codigos!$H$2:$I$62,2,1) &amp; " " &amp; VLOOKUP(VALUE(MID($C1447,21,2)),[2]codigos!$K$2:$L$12,2,FALSE)</f>
        <v>A/T S/I</v>
      </c>
      <c r="F1447" s="11" t="s">
        <v>477</v>
      </c>
      <c r="G1447" s="11" t="s">
        <v>11</v>
      </c>
      <c r="H1447" s="52" t="s">
        <v>1317</v>
      </c>
      <c r="I1447" s="20" t="s">
        <v>1311</v>
      </c>
      <c r="J1447" s="113">
        <v>10</v>
      </c>
      <c r="K1447" s="11">
        <v>10</v>
      </c>
      <c r="L1447" s="11">
        <f t="shared" si="143"/>
        <v>0</v>
      </c>
      <c r="M1447" s="131"/>
      <c r="N1447" s="96">
        <v>46098</v>
      </c>
    </row>
    <row r="1448" spans="1:14" x14ac:dyDescent="0.25">
      <c r="A1448" s="11">
        <f t="shared" ca="1" si="142"/>
        <v>-55</v>
      </c>
      <c r="C1448" s="11" t="s">
        <v>257</v>
      </c>
      <c r="D1448" s="11" t="str">
        <f>VLOOKUP(VALUE(MID($C1448,13,2)), [2]codigos!$A$2:$B$60, 2, 1) &amp; " " &amp; VLOOKUP(VALUE(MID($C1448,15,4)), [2]codigos!$E$2:$F$102, 2, FALSE)</f>
        <v>OLLA RECTA 14</v>
      </c>
      <c r="E1448" s="11" t="str">
        <f>VLOOKUP(VALUE(MID($C1448,19,2)),[2]codigos!$H$2:$I$62,2,1) &amp; " " &amp; VLOOKUP(VALUE(MID($C1448,21,2)),[2]codigos!$K$2:$L$12,2,FALSE)</f>
        <v>A/T S/I</v>
      </c>
      <c r="F1448" s="11" t="s">
        <v>477</v>
      </c>
      <c r="G1448" s="11" t="s">
        <v>11</v>
      </c>
      <c r="H1448" s="52" t="s">
        <v>1317</v>
      </c>
      <c r="I1448" s="20" t="s">
        <v>1311</v>
      </c>
      <c r="J1448" s="113">
        <v>90</v>
      </c>
      <c r="K1448" s="11">
        <f>50+36+4</f>
        <v>90</v>
      </c>
      <c r="L1448" s="11">
        <f t="shared" si="143"/>
        <v>0</v>
      </c>
      <c r="M1448" s="131"/>
      <c r="N1448" s="96">
        <v>46098</v>
      </c>
    </row>
    <row r="1449" spans="1:14" x14ac:dyDescent="0.25">
      <c r="A1449" s="11">
        <f t="shared" ca="1" si="142"/>
        <v>-55</v>
      </c>
      <c r="C1449" s="11" t="s">
        <v>236</v>
      </c>
      <c r="D1449" s="11" t="str">
        <f>VLOOKUP(VALUE(MID($C1449,13,2)), [2]codigos!$A$2:$B$60, 2, 1) &amp; " " &amp; VLOOKUP(VALUE(MID($C1449,15,4)), [2]codigos!$E$2:$F$102, 2, FALSE)</f>
        <v>OLLA RECTA 22</v>
      </c>
      <c r="E1449" s="11" t="str">
        <f>VLOOKUP(VALUE(MID($C1449,19,2)),[2]codigos!$H$2:$I$62,2,1) &amp; " " &amp; VLOOKUP(VALUE(MID($C1449,21,2)),[2]codigos!$K$2:$L$12,2,FALSE)</f>
        <v>A/T S/I</v>
      </c>
      <c r="F1449" s="11" t="s">
        <v>477</v>
      </c>
      <c r="G1449" s="11" t="s">
        <v>11</v>
      </c>
      <c r="H1449" s="52" t="s">
        <v>1317</v>
      </c>
      <c r="I1449" s="20" t="s">
        <v>1311</v>
      </c>
      <c r="J1449" s="113">
        <v>24</v>
      </c>
      <c r="K1449" s="11">
        <v>24</v>
      </c>
      <c r="L1449" s="11">
        <f t="shared" si="143"/>
        <v>0</v>
      </c>
      <c r="M1449" s="131"/>
      <c r="N1449" s="96">
        <v>46098</v>
      </c>
    </row>
    <row r="1450" spans="1:14" x14ac:dyDescent="0.25">
      <c r="A1450" s="11">
        <f t="shared" ca="1" si="142"/>
        <v>-55</v>
      </c>
      <c r="C1450" s="11" t="s">
        <v>336</v>
      </c>
      <c r="D1450" s="11" t="str">
        <f>VLOOKUP(VALUE(MID($C1450,13,2)), [2]codigos!$A$2:$B$60, 2, 1) &amp; " " &amp; VLOOKUP(VALUE(MID($C1450,15,4)), [2]codigos!$E$2:$F$102, 2, FALSE)</f>
        <v>OLLA RECTA 28</v>
      </c>
      <c r="E1450" s="11" t="str">
        <f>VLOOKUP(VALUE(MID($C1450,19,2)),[2]codigos!$H$2:$I$62,2,1) &amp; " " &amp; VLOOKUP(VALUE(MID($C1450,21,2)),[2]codigos!$K$2:$L$12,2,FALSE)</f>
        <v>A/T S/I</v>
      </c>
      <c r="F1450" s="11" t="s">
        <v>477</v>
      </c>
      <c r="G1450" s="11" t="s">
        <v>11</v>
      </c>
      <c r="H1450" s="52" t="s">
        <v>1317</v>
      </c>
      <c r="I1450" s="20" t="s">
        <v>1311</v>
      </c>
      <c r="J1450" s="113">
        <v>10</v>
      </c>
      <c r="K1450" s="11">
        <v>10</v>
      </c>
      <c r="L1450" s="11">
        <f t="shared" si="143"/>
        <v>0</v>
      </c>
      <c r="M1450" s="131"/>
      <c r="N1450" s="96">
        <v>46098</v>
      </c>
    </row>
    <row r="1451" spans="1:14" x14ac:dyDescent="0.25">
      <c r="A1451" s="11">
        <f t="shared" ca="1" si="142"/>
        <v>-55</v>
      </c>
      <c r="C1451" s="11" t="s">
        <v>155</v>
      </c>
      <c r="D1451" s="11" t="str">
        <f>VLOOKUP(VALUE(MID($C1451,13,2)), [2]codigos!$A$2:$B$60, 2, 1) &amp; " " &amp; VLOOKUP(VALUE(MID($C1451,15,4)), [2]codigos!$E$2:$F$102, 2, FALSE)</f>
        <v>OLLA RECTA 30</v>
      </c>
      <c r="E1451" s="11" t="str">
        <f>VLOOKUP(VALUE(MID($C1451,19,2)),[2]codigos!$H$2:$I$62,2,1) &amp; " " &amp; VLOOKUP(VALUE(MID($C1451,21,2)),[2]codigos!$K$2:$L$12,2,FALSE)</f>
        <v>A/T S/I</v>
      </c>
      <c r="F1451" s="11" t="s">
        <v>477</v>
      </c>
      <c r="G1451" s="11" t="s">
        <v>11</v>
      </c>
      <c r="H1451" s="52" t="s">
        <v>1317</v>
      </c>
      <c r="I1451" s="20" t="s">
        <v>1311</v>
      </c>
      <c r="J1451" s="113">
        <v>12</v>
      </c>
      <c r="K1451" s="11">
        <v>12</v>
      </c>
      <c r="L1451" s="11">
        <f t="shared" si="143"/>
        <v>0</v>
      </c>
      <c r="M1451" s="131"/>
      <c r="N1451" s="96">
        <v>46098</v>
      </c>
    </row>
    <row r="1452" spans="1:14" x14ac:dyDescent="0.25">
      <c r="A1452" s="11">
        <f t="shared" ca="1" si="142"/>
        <v>-55</v>
      </c>
      <c r="C1452" s="11" t="s">
        <v>156</v>
      </c>
      <c r="D1452" s="11" t="str">
        <f>VLOOKUP(VALUE(MID($C1452,13,2)), [2]codigos!$A$2:$B$60, 2, 1) &amp; " " &amp; VLOOKUP(VALUE(MID($C1452,15,4)), [2]codigos!$E$2:$F$102, 2, FALSE)</f>
        <v>OLLA RECTA 34</v>
      </c>
      <c r="E1452" s="11" t="str">
        <f>VLOOKUP(VALUE(MID($C1452,19,2)),[2]codigos!$H$2:$I$62,2,1) &amp; " " &amp; VLOOKUP(VALUE(MID($C1452,21,2)),[2]codigos!$K$2:$L$12,2,FALSE)</f>
        <v>A/T S/I</v>
      </c>
      <c r="F1452" s="11" t="s">
        <v>477</v>
      </c>
      <c r="G1452" s="11" t="s">
        <v>11</v>
      </c>
      <c r="H1452" s="52" t="s">
        <v>1317</v>
      </c>
      <c r="I1452" s="20" t="s">
        <v>1311</v>
      </c>
      <c r="J1452" s="113">
        <v>8</v>
      </c>
      <c r="K1452" s="11">
        <v>8</v>
      </c>
      <c r="L1452" s="11">
        <f t="shared" si="143"/>
        <v>0</v>
      </c>
      <c r="M1452" s="131"/>
      <c r="N1452" s="96">
        <v>46098</v>
      </c>
    </row>
    <row r="1453" spans="1:14" x14ac:dyDescent="0.25">
      <c r="A1453" s="11">
        <f t="shared" ca="1" si="142"/>
        <v>-55</v>
      </c>
      <c r="C1453" s="64" t="s">
        <v>157</v>
      </c>
      <c r="D1453" s="64" t="str">
        <f>VLOOKUP(VALUE(MID($C1453,13,2)), [2]codigos!$A$2:$B$60, 2, 1) &amp; " " &amp; VLOOKUP(VALUE(MID($C1453,15,4)), [2]codigos!$E$2:$F$102, 2, FALSE)</f>
        <v>OLLA RECTA 42</v>
      </c>
      <c r="E1453" s="64" t="str">
        <f>VLOOKUP(VALUE(MID($C1453,19,2)),[2]codigos!$H$2:$I$62,2,1) &amp; " " &amp; VLOOKUP(VALUE(MID($C1453,21,2)),[2]codigos!$K$2:$L$12,2,FALSE)</f>
        <v>A/T S/I</v>
      </c>
      <c r="F1453" s="64" t="s">
        <v>477</v>
      </c>
      <c r="G1453" s="64" t="s">
        <v>11</v>
      </c>
      <c r="H1453" s="66" t="s">
        <v>1317</v>
      </c>
      <c r="I1453" s="64" t="s">
        <v>1311</v>
      </c>
      <c r="J1453" s="64">
        <v>5</v>
      </c>
      <c r="K1453" s="64">
        <v>0</v>
      </c>
      <c r="L1453" s="64">
        <f t="shared" si="143"/>
        <v>5</v>
      </c>
      <c r="M1453" s="131"/>
      <c r="N1453" s="96">
        <v>46098</v>
      </c>
    </row>
    <row r="1454" spans="1:14" x14ac:dyDescent="0.25">
      <c r="A1454" s="11">
        <f t="shared" ca="1" si="142"/>
        <v>-55</v>
      </c>
      <c r="C1454" s="11" t="s">
        <v>226</v>
      </c>
      <c r="D1454" s="11" t="str">
        <f>VLOOKUP(VALUE(MID($C1454,13,2)), [2]codigos!$A$2:$B$60, 2, 1) &amp; " " &amp; VLOOKUP(VALUE(MID($C1454,15,4)), [2]codigos!$E$2:$F$102, 2, FALSE)</f>
        <v>POCILLO 10</v>
      </c>
      <c r="E1454" s="11" t="str">
        <f>VLOOKUP(VALUE(MID($C1454,19,2)),[2]codigos!$H$2:$I$62,2,1) &amp; " " &amp; VLOOKUP(VALUE(MID($C1454,21,2)),[2]codigos!$K$2:$L$12,2,FALSE)</f>
        <v>A/T S/I</v>
      </c>
      <c r="F1454" s="11" t="s">
        <v>477</v>
      </c>
      <c r="G1454" s="11" t="s">
        <v>11</v>
      </c>
      <c r="H1454" s="52" t="s">
        <v>1317</v>
      </c>
      <c r="I1454" s="20" t="s">
        <v>1311</v>
      </c>
      <c r="J1454" s="113">
        <v>192</v>
      </c>
      <c r="K1454" s="11">
        <f>16+48+48+19+24+24+13</f>
        <v>192</v>
      </c>
      <c r="L1454" s="11">
        <f t="shared" si="143"/>
        <v>0</v>
      </c>
      <c r="M1454" s="131"/>
      <c r="N1454" s="96">
        <v>46098</v>
      </c>
    </row>
    <row r="1455" spans="1:14" x14ac:dyDescent="0.25">
      <c r="A1455" s="11">
        <f t="shared" ca="1" si="142"/>
        <v>-55</v>
      </c>
      <c r="C1455" s="11" t="s">
        <v>180</v>
      </c>
      <c r="D1455" s="11" t="str">
        <f>VLOOKUP(VALUE(MID($C1455,13,2)), [2]codigos!$A$2:$B$60, 2, 1) &amp; " " &amp; VLOOKUP(VALUE(MID($C1455,15,4)), [2]codigos!$E$2:$F$102, 2, FALSE)</f>
        <v>POCILLO 12</v>
      </c>
      <c r="E1455" s="11" t="str">
        <f>VLOOKUP(VALUE(MID($C1455,19,2)),[2]codigos!$H$2:$I$62,2,1) &amp; " " &amp; VLOOKUP(VALUE(MID($C1455,21,2)),[2]codigos!$K$2:$L$12,2,FALSE)</f>
        <v>A/T S/I</v>
      </c>
      <c r="F1455" s="11" t="s">
        <v>477</v>
      </c>
      <c r="G1455" s="11" t="s">
        <v>11</v>
      </c>
      <c r="H1455" s="52" t="s">
        <v>1317</v>
      </c>
      <c r="I1455" s="20" t="s">
        <v>1311</v>
      </c>
      <c r="J1455" s="113">
        <v>120</v>
      </c>
      <c r="K1455" s="11">
        <f>19+24+77</f>
        <v>120</v>
      </c>
      <c r="L1455" s="11">
        <f t="shared" si="143"/>
        <v>0</v>
      </c>
      <c r="M1455" s="131"/>
      <c r="N1455" s="96">
        <v>46098</v>
      </c>
    </row>
    <row r="1456" spans="1:14" x14ac:dyDescent="0.25">
      <c r="A1456" s="11">
        <f t="shared" ca="1" si="142"/>
        <v>-55</v>
      </c>
      <c r="C1456" s="11" t="s">
        <v>182</v>
      </c>
      <c r="D1456" s="11" t="str">
        <f>VLOOKUP(VALUE(MID($C1456,13,2)), [2]codigos!$A$2:$B$60, 2, 1) &amp; " " &amp; VLOOKUP(VALUE(MID($C1456,15,4)), [2]codigos!$E$2:$F$102, 2, FALSE)</f>
        <v>POCILLO 14</v>
      </c>
      <c r="E1456" s="11" t="str">
        <f>VLOOKUP(VALUE(MID($C1456,19,2)),[2]codigos!$H$2:$I$62,2,1) &amp; " " &amp; VLOOKUP(VALUE(MID($C1456,21,2)),[2]codigos!$K$2:$L$12,2,FALSE)</f>
        <v>A/T S/I</v>
      </c>
      <c r="F1456" s="11" t="s">
        <v>477</v>
      </c>
      <c r="G1456" s="11" t="s">
        <v>11</v>
      </c>
      <c r="H1456" s="52" t="s">
        <v>1317</v>
      </c>
      <c r="I1456" s="20" t="s">
        <v>1311</v>
      </c>
      <c r="J1456" s="113">
        <v>90</v>
      </c>
      <c r="K1456" s="11">
        <v>90</v>
      </c>
      <c r="L1456" s="11">
        <f t="shared" si="143"/>
        <v>0</v>
      </c>
      <c r="M1456" s="131"/>
      <c r="N1456" s="96">
        <v>46098</v>
      </c>
    </row>
    <row r="1457" spans="1:14" x14ac:dyDescent="0.25">
      <c r="A1457" s="11">
        <f t="shared" ca="1" si="142"/>
        <v>-55</v>
      </c>
      <c r="C1457" s="11" t="s">
        <v>125</v>
      </c>
      <c r="D1457" s="11" t="str">
        <f>VLOOKUP(VALUE(MID($C1457,13,2)), [2]codigos!$A$2:$B$60, 2, 1) &amp; " " &amp; VLOOKUP(VALUE(MID($C1457,15,4)), [2]codigos!$E$2:$F$102, 2, FALSE)</f>
        <v>POCILLO 14</v>
      </c>
      <c r="E1457" s="11" t="str">
        <f>VLOOKUP(VALUE(MID($C1457,19,2)),[2]codigos!$H$2:$I$62,2,1) &amp; " " &amp; VLOOKUP(VALUE(MID($C1457,21,2)),[2]codigos!$K$2:$L$12,2,FALSE)</f>
        <v>BICOLOR AZUL S/I</v>
      </c>
      <c r="F1457" s="11" t="s">
        <v>477</v>
      </c>
      <c r="G1457" s="11" t="s">
        <v>11</v>
      </c>
      <c r="H1457" s="52" t="s">
        <v>1317</v>
      </c>
      <c r="I1457" s="20" t="s">
        <v>1311</v>
      </c>
      <c r="J1457" s="113">
        <v>12</v>
      </c>
      <c r="K1457" s="11">
        <f>7+2+3</f>
        <v>12</v>
      </c>
      <c r="L1457" s="11">
        <f t="shared" si="143"/>
        <v>0</v>
      </c>
      <c r="M1457" s="131"/>
      <c r="N1457" s="96">
        <v>46098</v>
      </c>
    </row>
    <row r="1458" spans="1:14" x14ac:dyDescent="0.25">
      <c r="A1458" s="11">
        <f t="shared" ca="1" si="142"/>
        <v>-55</v>
      </c>
      <c r="C1458" s="11" t="s">
        <v>129</v>
      </c>
      <c r="D1458" s="11" t="str">
        <f>VLOOKUP(VALUE(MID($C1458,13,2)), [2]codigos!$A$2:$B$60, 2, 1) &amp; " " &amp; VLOOKUP(VALUE(MID($C1458,15,4)), [2]codigos!$E$2:$F$102, 2, FALSE)</f>
        <v>POCILLO 14</v>
      </c>
      <c r="E1458" s="11" t="str">
        <f>VLOOKUP(VALUE(MID($C1458,19,2)),[2]codigos!$H$2:$I$62,2,1) &amp; " " &amp; VLOOKUP(VALUE(MID($C1458,21,2)),[2]codigos!$K$2:$L$12,2,FALSE)</f>
        <v>BICOLOR NARANJA S/I</v>
      </c>
      <c r="F1458" s="11" t="s">
        <v>477</v>
      </c>
      <c r="G1458" s="11" t="s">
        <v>11</v>
      </c>
      <c r="H1458" s="52" t="s">
        <v>1317</v>
      </c>
      <c r="I1458" s="20" t="s">
        <v>1311</v>
      </c>
      <c r="J1458" s="113">
        <v>12</v>
      </c>
      <c r="K1458" s="11">
        <f>3+2+6+1</f>
        <v>12</v>
      </c>
      <c r="L1458" s="11">
        <f t="shared" si="143"/>
        <v>0</v>
      </c>
      <c r="M1458" s="131"/>
      <c r="N1458" s="96">
        <v>46098</v>
      </c>
    </row>
    <row r="1459" spans="1:14" x14ac:dyDescent="0.25">
      <c r="A1459" s="11">
        <f t="shared" ca="1" si="142"/>
        <v>-55</v>
      </c>
      <c r="C1459" s="11" t="s">
        <v>130</v>
      </c>
      <c r="D1459" s="11" t="str">
        <f>VLOOKUP(VALUE(MID($C1459,13,2)), [2]codigos!$A$2:$B$60, 2, 1) &amp; " " &amp; VLOOKUP(VALUE(MID($C1459,15,4)), [2]codigos!$E$2:$F$102, 2, FALSE)</f>
        <v>POCILLO 14</v>
      </c>
      <c r="E1459" s="11" t="str">
        <f>VLOOKUP(VALUE(MID($C1459,19,2)),[2]codigos!$H$2:$I$62,2,1) &amp; " " &amp; VLOOKUP(VALUE(MID($C1459,21,2)),[2]codigos!$K$2:$L$12,2,FALSE)</f>
        <v>BICOLOR ROJO S/I</v>
      </c>
      <c r="F1459" s="11" t="s">
        <v>477</v>
      </c>
      <c r="G1459" s="11" t="s">
        <v>11</v>
      </c>
      <c r="H1459" s="52" t="s">
        <v>1317</v>
      </c>
      <c r="I1459" s="20" t="s">
        <v>1311</v>
      </c>
      <c r="J1459" s="113">
        <v>12</v>
      </c>
      <c r="K1459" s="11">
        <v>12</v>
      </c>
      <c r="L1459" s="11">
        <f t="shared" si="143"/>
        <v>0</v>
      </c>
      <c r="M1459" s="131"/>
      <c r="N1459" s="96">
        <v>46098</v>
      </c>
    </row>
    <row r="1460" spans="1:14" x14ac:dyDescent="0.25">
      <c r="A1460" s="11">
        <f t="shared" ca="1" si="142"/>
        <v>-55</v>
      </c>
      <c r="C1460" s="11" t="s">
        <v>262</v>
      </c>
      <c r="D1460" s="11" t="str">
        <f>VLOOKUP(VALUE(MID($C1460,13,2)), [2]codigos!$A$2:$B$60, 2, 1) &amp; " " &amp; VLOOKUP(VALUE(MID($C1460,15,4)), [2]codigos!$E$2:$F$102, 2, FALSE)</f>
        <v>SARTEN 20</v>
      </c>
      <c r="E1460" s="11" t="str">
        <f>VLOOKUP(VALUE(MID($C1460,19,2)),[2]codigos!$H$2:$I$62,2,1) &amp; " " &amp; VLOOKUP(VALUE(MID($C1460,21,2)),[2]codigos!$K$2:$L$12,2,FALSE)</f>
        <v>A/T S/I</v>
      </c>
      <c r="F1460" s="11" t="s">
        <v>477</v>
      </c>
      <c r="G1460" s="11" t="s">
        <v>11</v>
      </c>
      <c r="H1460" s="52" t="s">
        <v>1317</v>
      </c>
      <c r="I1460" s="20" t="s">
        <v>1311</v>
      </c>
      <c r="J1460" s="113">
        <v>60</v>
      </c>
      <c r="K1460" s="11">
        <v>60</v>
      </c>
      <c r="L1460" s="11">
        <f t="shared" si="143"/>
        <v>0</v>
      </c>
      <c r="M1460" s="131"/>
      <c r="N1460" s="96">
        <v>46098</v>
      </c>
    </row>
    <row r="1461" spans="1:14" x14ac:dyDescent="0.25">
      <c r="A1461" s="11">
        <f t="shared" ca="1" si="142"/>
        <v>-55</v>
      </c>
      <c r="C1461" s="11" t="s">
        <v>227</v>
      </c>
      <c r="D1461" s="11" t="str">
        <f>VLOOKUP(VALUE(MID($C1461,13,2)), [2]codigos!$A$2:$B$60, 2, 1) &amp; " " &amp; VLOOKUP(VALUE(MID($C1461,15,4)), [2]codigos!$E$2:$F$102, 2, FALSE)</f>
        <v>SARTEN 22</v>
      </c>
      <c r="E1461" s="11" t="str">
        <f>VLOOKUP(VALUE(MID($C1461,19,2)),[2]codigos!$H$2:$I$62,2,1) &amp; " " &amp; VLOOKUP(VALUE(MID($C1461,21,2)),[2]codigos!$K$2:$L$12,2,FALSE)</f>
        <v>A/T S/I</v>
      </c>
      <c r="F1461" s="11" t="s">
        <v>477</v>
      </c>
      <c r="G1461" s="11" t="s">
        <v>11</v>
      </c>
      <c r="H1461" s="52" t="s">
        <v>1317</v>
      </c>
      <c r="I1461" s="20" t="s">
        <v>1311</v>
      </c>
      <c r="J1461" s="113">
        <v>48</v>
      </c>
      <c r="K1461" s="11">
        <v>48</v>
      </c>
      <c r="L1461" s="11">
        <f t="shared" si="143"/>
        <v>0</v>
      </c>
      <c r="M1461" s="131"/>
      <c r="N1461" s="96">
        <v>46098</v>
      </c>
    </row>
    <row r="1462" spans="1:14" x14ac:dyDescent="0.25">
      <c r="A1462" s="11">
        <f t="shared" ca="1" si="142"/>
        <v>-55</v>
      </c>
      <c r="C1462" s="11" t="s">
        <v>44</v>
      </c>
      <c r="D1462" s="11" t="str">
        <f>VLOOKUP(VALUE(MID($C1462,13,2)), [2]codigos!$A$2:$B$60, 2, 1) &amp; " " &amp; VLOOKUP(VALUE(MID($C1462,15,4)), [2]codigos!$E$2:$F$102, 2, FALSE)</f>
        <v>SARTEN 24</v>
      </c>
      <c r="E1462" s="11" t="str">
        <f>VLOOKUP(VALUE(MID($C1462,19,2)),[2]codigos!$H$2:$I$62,2,1) &amp; " " &amp; VLOOKUP(VALUE(MID($C1462,21,2)),[2]codigos!$K$2:$L$12,2,FALSE)</f>
        <v>A/T S/I</v>
      </c>
      <c r="F1462" s="11" t="s">
        <v>477</v>
      </c>
      <c r="G1462" s="11" t="s">
        <v>11</v>
      </c>
      <c r="H1462" s="52" t="s">
        <v>1317</v>
      </c>
      <c r="I1462" s="20" t="s">
        <v>1311</v>
      </c>
      <c r="J1462" s="113">
        <v>48</v>
      </c>
      <c r="K1462" s="11">
        <f>48</f>
        <v>48</v>
      </c>
      <c r="L1462" s="11">
        <f t="shared" si="143"/>
        <v>0</v>
      </c>
      <c r="M1462" s="131"/>
      <c r="N1462" s="96">
        <v>46098</v>
      </c>
    </row>
    <row r="1463" spans="1:14" x14ac:dyDescent="0.25">
      <c r="A1463" s="11">
        <f t="shared" ca="1" si="142"/>
        <v>-149</v>
      </c>
      <c r="C1463" s="11" t="s">
        <v>148</v>
      </c>
      <c r="D1463" s="11" t="s">
        <v>895</v>
      </c>
      <c r="E1463" s="11" t="s">
        <v>896</v>
      </c>
      <c r="F1463" s="11" t="s">
        <v>892</v>
      </c>
      <c r="G1463" s="11" t="s">
        <v>34</v>
      </c>
      <c r="H1463" s="52" t="s">
        <v>1309</v>
      </c>
      <c r="I1463" s="20" t="s">
        <v>894</v>
      </c>
      <c r="J1463" s="11">
        <v>24</v>
      </c>
      <c r="K1463" s="11">
        <f>1+23</f>
        <v>24</v>
      </c>
      <c r="L1463" s="11">
        <f>+J1463-K1463</f>
        <v>0</v>
      </c>
      <c r="M1463" s="131">
        <f>(SUM(K1463:K1466))/(SUM(J1463:J1466))</f>
        <v>0.62962962962962965</v>
      </c>
      <c r="N1463" s="96">
        <v>46098</v>
      </c>
    </row>
    <row r="1464" spans="1:14" x14ac:dyDescent="0.25">
      <c r="A1464" s="11">
        <f t="shared" ref="A1464:A1527" ca="1" si="144">DAYS360($B$1,I1464)</f>
        <v>-149</v>
      </c>
      <c r="C1464" s="11" t="s">
        <v>175</v>
      </c>
      <c r="D1464" s="11" t="s">
        <v>898</v>
      </c>
      <c r="E1464" s="11" t="s">
        <v>899</v>
      </c>
      <c r="F1464" s="11" t="s">
        <v>892</v>
      </c>
      <c r="G1464" s="11" t="s">
        <v>34</v>
      </c>
      <c r="H1464" s="52" t="s">
        <v>1309</v>
      </c>
      <c r="I1464" s="20" t="s">
        <v>894</v>
      </c>
      <c r="J1464" s="11">
        <v>10</v>
      </c>
      <c r="K1464" s="11">
        <v>0</v>
      </c>
      <c r="L1464" s="15">
        <f>+J1464-K1464</f>
        <v>10</v>
      </c>
      <c r="M1464" s="131"/>
      <c r="N1464" s="96">
        <v>46098</v>
      </c>
    </row>
    <row r="1465" spans="1:14" x14ac:dyDescent="0.25">
      <c r="A1465" s="11">
        <f t="shared" ca="1" si="144"/>
        <v>-149</v>
      </c>
      <c r="C1465" s="11" t="s">
        <v>394</v>
      </c>
      <c r="D1465" s="11" t="s">
        <v>900</v>
      </c>
      <c r="E1465" s="11" t="s">
        <v>899</v>
      </c>
      <c r="F1465" s="11" t="s">
        <v>892</v>
      </c>
      <c r="G1465" s="11" t="s">
        <v>34</v>
      </c>
      <c r="H1465" s="52" t="s">
        <v>1309</v>
      </c>
      <c r="I1465" s="20" t="s">
        <v>894</v>
      </c>
      <c r="J1465" s="11">
        <v>10</v>
      </c>
      <c r="K1465" s="11">
        <v>0</v>
      </c>
      <c r="L1465" s="15">
        <f>+J1465-K1465</f>
        <v>10</v>
      </c>
      <c r="M1465" s="131"/>
      <c r="N1465" s="96">
        <v>46098</v>
      </c>
    </row>
    <row r="1466" spans="1:14" x14ac:dyDescent="0.25">
      <c r="A1466" s="11">
        <f t="shared" ca="1" si="144"/>
        <v>-149</v>
      </c>
      <c r="C1466" s="11" t="s">
        <v>154</v>
      </c>
      <c r="D1466" s="11" t="s">
        <v>903</v>
      </c>
      <c r="E1466" s="11" t="s">
        <v>896</v>
      </c>
      <c r="F1466" s="11" t="s">
        <v>892</v>
      </c>
      <c r="G1466" s="11" t="s">
        <v>34</v>
      </c>
      <c r="H1466" s="52" t="s">
        <v>1309</v>
      </c>
      <c r="I1466" s="20" t="s">
        <v>894</v>
      </c>
      <c r="J1466" s="11">
        <v>10</v>
      </c>
      <c r="K1466" s="11">
        <v>10</v>
      </c>
      <c r="L1466" s="15">
        <f>+J1466-K1466</f>
        <v>0</v>
      </c>
      <c r="M1466" s="131"/>
      <c r="N1466" s="96">
        <v>46098</v>
      </c>
    </row>
    <row r="1467" spans="1:14" x14ac:dyDescent="0.25">
      <c r="A1467" s="11">
        <f t="shared" ca="1" si="144"/>
        <v>-42</v>
      </c>
      <c r="C1467" s="11" t="s">
        <v>256</v>
      </c>
      <c r="D1467" s="11" t="str">
        <f>VLOOKUP(VALUE(MID($C1467,13,2)), [2]codigos!$A$2:$B$60, 2, 1) &amp; " " &amp; VLOOKUP(VALUE(MID($C1467,15,4)), [2]codigos!$E$2:$F$102, 2, FALSE)</f>
        <v>BUDINERA   14</v>
      </c>
      <c r="E1467" s="11" t="str">
        <f>VLOOKUP(VALUE(MID($C1467,19,2)),[2]codigos!$H$2:$I$62,2,1) &amp; " " &amp; VLOOKUP(VALUE(MID($C1467,21,2)),[2]codigos!$K$2:$L$12,2,FALSE)</f>
        <v>A/T S/I</v>
      </c>
      <c r="F1467" s="11" t="s">
        <v>471</v>
      </c>
      <c r="G1467" s="11" t="s">
        <v>11</v>
      </c>
      <c r="H1467" s="52" t="s">
        <v>1392</v>
      </c>
      <c r="I1467" s="20" t="s">
        <v>1387</v>
      </c>
      <c r="J1467" s="11">
        <v>90</v>
      </c>
      <c r="K1467" s="11">
        <v>90</v>
      </c>
      <c r="L1467" s="15">
        <f t="shared" ref="L1467:L1497" si="145">J1467-K1467</f>
        <v>0</v>
      </c>
      <c r="M1467" s="131">
        <f>(SUM(K1467:K1473))/(SUM(J1467:J1473))</f>
        <v>0.78021978021978022</v>
      </c>
      <c r="N1467" s="96">
        <v>46098</v>
      </c>
    </row>
    <row r="1468" spans="1:14" x14ac:dyDescent="0.25">
      <c r="A1468" s="11">
        <f t="shared" ca="1" si="144"/>
        <v>-42</v>
      </c>
      <c r="C1468" s="11" t="s">
        <v>189</v>
      </c>
      <c r="D1468" s="11" t="str">
        <f>VLOOKUP(VALUE(MID($C1468,13,2)), [2]codigos!$A$2:$B$60, 2, 1) &amp; " " &amp; VLOOKUP(VALUE(MID($C1468,15,4)), [2]codigos!$E$2:$F$102, 2, FALSE)</f>
        <v>BUDINERA   16</v>
      </c>
      <c r="E1468" s="11" t="str">
        <f>VLOOKUP(VALUE(MID($C1468,19,2)),[2]codigos!$H$2:$I$62,2,1) &amp; " " &amp; VLOOKUP(VALUE(MID($C1468,21,2)),[2]codigos!$K$2:$L$12,2,FALSE)</f>
        <v>A/T S/I</v>
      </c>
      <c r="F1468" s="11" t="s">
        <v>471</v>
      </c>
      <c r="G1468" s="11" t="s">
        <v>11</v>
      </c>
      <c r="H1468" s="52" t="s">
        <v>1392</v>
      </c>
      <c r="I1468" s="20" t="s">
        <v>1387</v>
      </c>
      <c r="J1468" s="11">
        <v>18</v>
      </c>
      <c r="K1468" s="11">
        <f>18</f>
        <v>18</v>
      </c>
      <c r="L1468" s="15">
        <f t="shared" si="145"/>
        <v>0</v>
      </c>
      <c r="M1468" s="131"/>
      <c r="N1468" s="96">
        <v>46098</v>
      </c>
    </row>
    <row r="1469" spans="1:14" x14ac:dyDescent="0.25">
      <c r="A1469" s="11">
        <f t="shared" ca="1" si="144"/>
        <v>-42</v>
      </c>
      <c r="C1469" s="11" t="s">
        <v>241</v>
      </c>
      <c r="D1469" s="11" t="str">
        <f>VLOOKUP(VALUE(MID($C1469,13,2)), [2]codigos!$A$2:$B$60, 2, 1) &amp; " " &amp; VLOOKUP(VALUE(MID($C1469,15,4)), [2]codigos!$E$2:$F$102, 2, FALSE)</f>
        <v>BUDINERA   22</v>
      </c>
      <c r="E1469" s="11" t="str">
        <f>VLOOKUP(VALUE(MID($C1469,19,2)),[2]codigos!$H$2:$I$62,2,1) &amp; " " &amp; VLOOKUP(VALUE(MID($C1469,21,2)),[2]codigos!$K$2:$L$12,2,FALSE)</f>
        <v>A/T S/I</v>
      </c>
      <c r="F1469" s="11" t="s">
        <v>471</v>
      </c>
      <c r="G1469" s="11" t="s">
        <v>11</v>
      </c>
      <c r="H1469" s="52" t="s">
        <v>1392</v>
      </c>
      <c r="I1469" s="20" t="s">
        <v>1387</v>
      </c>
      <c r="J1469" s="11">
        <v>36</v>
      </c>
      <c r="K1469" s="11">
        <v>36</v>
      </c>
      <c r="L1469" s="15">
        <f t="shared" si="145"/>
        <v>0</v>
      </c>
      <c r="M1469" s="131"/>
      <c r="N1469" s="96">
        <v>46098</v>
      </c>
    </row>
    <row r="1470" spans="1:14" x14ac:dyDescent="0.25">
      <c r="A1470" s="11">
        <f t="shared" ca="1" si="144"/>
        <v>-42</v>
      </c>
      <c r="C1470" s="11" t="s">
        <v>143</v>
      </c>
      <c r="D1470" s="11" t="str">
        <f>VLOOKUP(VALUE(MID($C1470,13,2)), [2]codigos!$A$2:$B$60, 2, 1) &amp; " " &amp; VLOOKUP(VALUE(MID($C1470,15,4)), [2]codigos!$E$2:$F$102, 2, FALSE)</f>
        <v>BUDINERA   24</v>
      </c>
      <c r="E1470" s="11" t="str">
        <f>VLOOKUP(VALUE(MID($C1470,19,2)),[2]codigos!$H$2:$I$62,2,1) &amp; " " &amp; VLOOKUP(VALUE(MID($C1470,21,2)),[2]codigos!$K$2:$L$12,2,FALSE)</f>
        <v>A/T S/I</v>
      </c>
      <c r="F1470" s="11" t="s">
        <v>471</v>
      </c>
      <c r="G1470" s="11" t="s">
        <v>11</v>
      </c>
      <c r="H1470" s="52" t="s">
        <v>1392</v>
      </c>
      <c r="I1470" s="20" t="s">
        <v>1387</v>
      </c>
      <c r="J1470" s="11">
        <v>60</v>
      </c>
      <c r="K1470" s="11">
        <v>0</v>
      </c>
      <c r="L1470" s="15">
        <f t="shared" si="145"/>
        <v>60</v>
      </c>
      <c r="M1470" s="131"/>
      <c r="N1470" s="96">
        <v>46098</v>
      </c>
    </row>
    <row r="1471" spans="1:14" x14ac:dyDescent="0.25">
      <c r="A1471" s="11">
        <f t="shared" ca="1" si="144"/>
        <v>-42</v>
      </c>
      <c r="C1471" s="11" t="s">
        <v>169</v>
      </c>
      <c r="D1471" s="11" t="str">
        <f>VLOOKUP(VALUE(MID($C1471,13,2)), [2]codigos!$A$2:$B$60, 2, 1) &amp; " " &amp; VLOOKUP(VALUE(MID($C1471,15,4)), [2]codigos!$E$2:$F$102, 2, FALSE)</f>
        <v>BUDINERA   30</v>
      </c>
      <c r="E1471" s="11" t="str">
        <f>VLOOKUP(VALUE(MID($C1471,19,2)),[2]codigos!$H$2:$I$62,2,1) &amp; " " &amp; VLOOKUP(VALUE(MID($C1471,21,2)),[2]codigos!$K$2:$L$12,2,FALSE)</f>
        <v>A/T S/I</v>
      </c>
      <c r="F1471" s="11" t="s">
        <v>471</v>
      </c>
      <c r="G1471" s="11" t="s">
        <v>11</v>
      </c>
      <c r="H1471" s="52" t="s">
        <v>1392</v>
      </c>
      <c r="I1471" s="20" t="s">
        <v>1387</v>
      </c>
      <c r="J1471" s="11">
        <v>20</v>
      </c>
      <c r="K1471" s="11">
        <f>20</f>
        <v>20</v>
      </c>
      <c r="L1471" s="15">
        <f t="shared" si="145"/>
        <v>0</v>
      </c>
      <c r="M1471" s="131"/>
      <c r="N1471" s="96">
        <v>46098</v>
      </c>
    </row>
    <row r="1472" spans="1:14" x14ac:dyDescent="0.25">
      <c r="A1472" s="11">
        <f t="shared" ca="1" si="144"/>
        <v>-42</v>
      </c>
      <c r="C1472" s="11" t="s">
        <v>173</v>
      </c>
      <c r="D1472" s="11" t="str">
        <f>VLOOKUP(VALUE(MID($C1472,13,2)), [2]codigos!$A$2:$B$60, 2, 1) &amp; " " &amp; VLOOKUP(VALUE(MID($C1472,15,4)), [2]codigos!$E$2:$F$102, 2, FALSE)</f>
        <v>BUDINERA   34</v>
      </c>
      <c r="E1472" s="11" t="str">
        <f>VLOOKUP(VALUE(MID($C1472,19,2)),[2]codigos!$H$2:$I$62,2,1) &amp; " " &amp; VLOOKUP(VALUE(MID($C1472,21,2)),[2]codigos!$K$2:$L$12,2,FALSE)</f>
        <v>A/T S/I</v>
      </c>
      <c r="F1472" s="11" t="s">
        <v>471</v>
      </c>
      <c r="G1472" s="11" t="s">
        <v>11</v>
      </c>
      <c r="H1472" s="52" t="s">
        <v>1392</v>
      </c>
      <c r="I1472" s="20" t="s">
        <v>1387</v>
      </c>
      <c r="J1472" s="11">
        <v>20</v>
      </c>
      <c r="K1472" s="11">
        <v>0</v>
      </c>
      <c r="L1472" s="15">
        <f t="shared" si="145"/>
        <v>20</v>
      </c>
      <c r="M1472" s="131"/>
      <c r="N1472" s="96">
        <v>46098</v>
      </c>
    </row>
    <row r="1473" spans="1:14" x14ac:dyDescent="0.25">
      <c r="A1473" s="11">
        <f t="shared" ca="1" si="144"/>
        <v>-42</v>
      </c>
      <c r="C1473" s="11" t="s">
        <v>149</v>
      </c>
      <c r="D1473" s="11" t="str">
        <f>VLOOKUP(VALUE(MID($C1473,13,2)), [2]codigos!$A$2:$B$60, 2, 1) &amp; " " &amp; VLOOKUP(VALUE(MID($C1473,15,4)), [2]codigos!$E$2:$F$102, 2, FALSE)</f>
        <v>COMAL 28</v>
      </c>
      <c r="E1473" s="11" t="str">
        <f>VLOOKUP(VALUE(MID($C1473,19,2)),[2]codigos!$H$2:$I$62,2,1) &amp; " " &amp; VLOOKUP(VALUE(MID($C1473,21,2)),[2]codigos!$K$2:$L$12,2,FALSE)</f>
        <v>NEGRO MOTAS S/I</v>
      </c>
      <c r="F1473" s="11" t="s">
        <v>471</v>
      </c>
      <c r="G1473" s="11" t="s">
        <v>11</v>
      </c>
      <c r="H1473" s="52" t="s">
        <v>1392</v>
      </c>
      <c r="I1473" s="20" t="s">
        <v>1387</v>
      </c>
      <c r="J1473" s="11">
        <v>120</v>
      </c>
      <c r="K1473" s="11">
        <f>12+100+8</f>
        <v>120</v>
      </c>
      <c r="L1473" s="15">
        <f t="shared" si="145"/>
        <v>0</v>
      </c>
      <c r="M1473" s="131"/>
      <c r="N1473" s="96">
        <v>46098</v>
      </c>
    </row>
    <row r="1474" spans="1:14" x14ac:dyDescent="0.25">
      <c r="A1474" s="11">
        <f t="shared" ca="1" si="144"/>
        <v>-42</v>
      </c>
      <c r="C1474" s="11" t="s">
        <v>216</v>
      </c>
      <c r="D1474" s="11" t="str">
        <f>VLOOKUP(VALUE(MID($C1474,13,2)), [2]codigos!$A$2:$B$60, 2, 1) &amp; " " &amp; VLOOKUP(VALUE(MID($C1474,15,4)), [2]codigos!$E$2:$F$102, 2, FALSE)</f>
        <v>BUDINERA   20</v>
      </c>
      <c r="E1474" s="11" t="str">
        <f>VLOOKUP(VALUE(MID($C1474,19,2)),[2]codigos!$H$2:$I$62,2,1) &amp; " " &amp; VLOOKUP(VALUE(MID($C1474,21,2)),[2]codigos!$K$2:$L$12,2,FALSE)</f>
        <v>BICOLOR AZUL S/I</v>
      </c>
      <c r="F1474" s="11" t="s">
        <v>471</v>
      </c>
      <c r="G1474" s="11" t="s">
        <v>11</v>
      </c>
      <c r="H1474" s="52" t="s">
        <v>1393</v>
      </c>
      <c r="I1474" s="20" t="s">
        <v>1387</v>
      </c>
      <c r="J1474" s="11">
        <v>36</v>
      </c>
      <c r="K1474" s="11">
        <f>36</f>
        <v>36</v>
      </c>
      <c r="L1474" s="15">
        <f t="shared" si="145"/>
        <v>0</v>
      </c>
      <c r="M1474" s="131">
        <f>(SUM(K1474:K1485))/(SUM(J1474:J1485))</f>
        <v>0.54400000000000004</v>
      </c>
      <c r="N1474" s="96">
        <v>46098</v>
      </c>
    </row>
    <row r="1475" spans="1:14" x14ac:dyDescent="0.25">
      <c r="A1475" s="11">
        <f t="shared" ca="1" si="144"/>
        <v>-42</v>
      </c>
      <c r="C1475" s="11" t="s">
        <v>484</v>
      </c>
      <c r="D1475" s="11" t="str">
        <f>VLOOKUP(VALUE(MID($C1475,13,2)), [2]codigos!$A$2:$B$60, 2, 1) &amp; " " &amp; VLOOKUP(VALUE(MID($C1475,15,4)), [2]codigos!$E$2:$F$102, 2, FALSE)</f>
        <v>BUDINERA   20</v>
      </c>
      <c r="E1475" s="11" t="str">
        <f>VLOOKUP(VALUE(MID($C1475,19,2)),[2]codigos!$H$2:$I$62,2,1) &amp; " " &amp; VLOOKUP(VALUE(MID($C1475,21,2)),[2]codigos!$K$2:$L$12,2,FALSE)</f>
        <v>BICOLOR NARANJA S/I</v>
      </c>
      <c r="F1475" s="11" t="s">
        <v>471</v>
      </c>
      <c r="G1475" s="11" t="s">
        <v>11</v>
      </c>
      <c r="H1475" s="52" t="s">
        <v>1393</v>
      </c>
      <c r="I1475" s="20" t="s">
        <v>1387</v>
      </c>
      <c r="J1475" s="11">
        <v>36</v>
      </c>
      <c r="K1475" s="11">
        <v>0</v>
      </c>
      <c r="L1475" s="15">
        <f t="shared" si="145"/>
        <v>36</v>
      </c>
      <c r="M1475" s="131"/>
      <c r="N1475" s="96">
        <v>46098</v>
      </c>
    </row>
    <row r="1476" spans="1:14" x14ac:dyDescent="0.25">
      <c r="A1476" s="11">
        <f t="shared" ca="1" si="144"/>
        <v>-42</v>
      </c>
      <c r="C1476" s="11" t="s">
        <v>329</v>
      </c>
      <c r="D1476" s="11" t="str">
        <f>VLOOKUP(VALUE(MID($C1476,13,2)), [2]codigos!$A$2:$B$60, 2, 1) &amp; " " &amp; VLOOKUP(VALUE(MID($C1476,15,4)), [2]codigos!$E$2:$F$102, 2, FALSE)</f>
        <v>BUDINERA   20</v>
      </c>
      <c r="E1476" s="11" t="str">
        <f>VLOOKUP(VALUE(MID($C1476,19,2)),[2]codigos!$H$2:$I$62,2,1) &amp; " " &amp; VLOOKUP(VALUE(MID($C1476,21,2)),[2]codigos!$K$2:$L$12,2,FALSE)</f>
        <v>BICOLOR ROJO S/I</v>
      </c>
      <c r="F1476" s="11" t="s">
        <v>471</v>
      </c>
      <c r="G1476" s="11" t="s">
        <v>11</v>
      </c>
      <c r="H1476" s="52" t="s">
        <v>1393</v>
      </c>
      <c r="I1476" s="20" t="s">
        <v>1387</v>
      </c>
      <c r="J1476" s="11">
        <v>36</v>
      </c>
      <c r="K1476" s="11">
        <f>36</f>
        <v>36</v>
      </c>
      <c r="L1476" s="15">
        <f t="shared" si="145"/>
        <v>0</v>
      </c>
      <c r="M1476" s="131"/>
      <c r="N1476" s="96">
        <v>46098</v>
      </c>
    </row>
    <row r="1477" spans="1:14" x14ac:dyDescent="0.25">
      <c r="A1477" s="11">
        <f t="shared" ca="1" si="144"/>
        <v>-42</v>
      </c>
      <c r="C1477" s="11" t="s">
        <v>217</v>
      </c>
      <c r="D1477" s="11" t="str">
        <f>VLOOKUP(VALUE(MID($C1477,13,2)), [2]codigos!$A$2:$B$60, 2, 1) &amp; " " &amp; VLOOKUP(VALUE(MID($C1477,15,4)), [2]codigos!$E$2:$F$102, 2, FALSE)</f>
        <v>BUDINERA   24</v>
      </c>
      <c r="E1477" s="11" t="str">
        <f>VLOOKUP(VALUE(MID($C1477,19,2)),[2]codigos!$H$2:$I$62,2,1) &amp; " " &amp; VLOOKUP(VALUE(MID($C1477,21,2)),[2]codigos!$K$2:$L$12,2,FALSE)</f>
        <v>BICOLOR AZUL S/I</v>
      </c>
      <c r="F1477" s="11" t="s">
        <v>471</v>
      </c>
      <c r="G1477" s="11" t="s">
        <v>11</v>
      </c>
      <c r="H1477" s="52" t="s">
        <v>1393</v>
      </c>
      <c r="I1477" s="20" t="s">
        <v>1387</v>
      </c>
      <c r="J1477" s="11">
        <v>24</v>
      </c>
      <c r="K1477" s="11">
        <f>24</f>
        <v>24</v>
      </c>
      <c r="L1477" s="15">
        <f t="shared" si="145"/>
        <v>0</v>
      </c>
      <c r="M1477" s="131"/>
      <c r="N1477" s="96">
        <v>46098</v>
      </c>
    </row>
    <row r="1478" spans="1:14" x14ac:dyDescent="0.25">
      <c r="A1478" s="11">
        <f t="shared" ca="1" si="144"/>
        <v>-42</v>
      </c>
      <c r="C1478" s="11" t="s">
        <v>485</v>
      </c>
      <c r="D1478" s="11" t="str">
        <f>VLOOKUP(VALUE(MID($C1478,13,2)), [2]codigos!$A$2:$B$60, 2, 1) &amp; " " &amp; VLOOKUP(VALUE(MID($C1478,15,4)), [2]codigos!$E$2:$F$102, 2, FALSE)</f>
        <v>BUDINERA   24</v>
      </c>
      <c r="E1478" s="11" t="str">
        <f>VLOOKUP(VALUE(MID($C1478,19,2)),[2]codigos!$H$2:$I$62,2,1) &amp; " " &amp; VLOOKUP(VALUE(MID($C1478,21,2)),[2]codigos!$K$2:$L$12,2,FALSE)</f>
        <v>BICOLOR NARANJA S/I</v>
      </c>
      <c r="F1478" s="11" t="s">
        <v>471</v>
      </c>
      <c r="G1478" s="11" t="s">
        <v>11</v>
      </c>
      <c r="H1478" s="52" t="s">
        <v>1393</v>
      </c>
      <c r="I1478" s="20" t="s">
        <v>1387</v>
      </c>
      <c r="J1478" s="11">
        <v>24</v>
      </c>
      <c r="K1478" s="11">
        <f>4+1+2+2+3+2+3+7</f>
        <v>24</v>
      </c>
      <c r="L1478" s="15">
        <f t="shared" si="145"/>
        <v>0</v>
      </c>
      <c r="M1478" s="131"/>
      <c r="N1478" s="96">
        <v>46098</v>
      </c>
    </row>
    <row r="1479" spans="1:14" x14ac:dyDescent="0.25">
      <c r="A1479" s="11">
        <f t="shared" ca="1" si="144"/>
        <v>-42</v>
      </c>
      <c r="C1479" s="11" t="s">
        <v>332</v>
      </c>
      <c r="D1479" s="11" t="str">
        <f>VLOOKUP(VALUE(MID($C1479,13,2)), [2]codigos!$A$2:$B$60, 2, 1) &amp; " " &amp; VLOOKUP(VALUE(MID($C1479,15,4)), [2]codigos!$E$2:$F$102, 2, FALSE)</f>
        <v>BUDINERA   24</v>
      </c>
      <c r="E1479" s="11" t="str">
        <f>VLOOKUP(VALUE(MID($C1479,19,2)),[2]codigos!$H$2:$I$62,2,1) &amp; " " &amp; VLOOKUP(VALUE(MID($C1479,21,2)),[2]codigos!$K$2:$L$12,2,FALSE)</f>
        <v>BICOLOR ROJO S/I</v>
      </c>
      <c r="F1479" s="11" t="s">
        <v>471</v>
      </c>
      <c r="G1479" s="11" t="s">
        <v>11</v>
      </c>
      <c r="H1479" s="52" t="s">
        <v>1393</v>
      </c>
      <c r="I1479" s="20" t="s">
        <v>1387</v>
      </c>
      <c r="J1479" s="11">
        <v>24</v>
      </c>
      <c r="K1479" s="11">
        <v>20</v>
      </c>
      <c r="L1479" s="15">
        <f t="shared" si="145"/>
        <v>4</v>
      </c>
      <c r="M1479" s="131"/>
      <c r="N1479" s="96">
        <v>46098</v>
      </c>
    </row>
    <row r="1480" spans="1:14" x14ac:dyDescent="0.25">
      <c r="A1480" s="11">
        <f t="shared" ca="1" si="144"/>
        <v>-42</v>
      </c>
      <c r="C1480" s="11" t="s">
        <v>175</v>
      </c>
      <c r="D1480" s="11" t="str">
        <f>VLOOKUP(VALUE(MID($C1480,13,2)), [2]codigos!$A$2:$B$60, 2, 1) &amp; " " &amp; VLOOKUP(VALUE(MID($C1480,15,4)), [2]codigos!$E$2:$F$102, 2, FALSE)</f>
        <v>JUEGO 3+3</v>
      </c>
      <c r="E1480" s="11" t="str">
        <f>VLOOKUP(VALUE(MID($C1480,19,2)),[2]codigos!$H$2:$I$62,2,1) &amp; " " &amp; VLOOKUP(VALUE(MID($C1480,21,2)),[2]codigos!$K$2:$L$12,2,FALSE)</f>
        <v>S/I S/I</v>
      </c>
      <c r="F1480" s="11" t="s">
        <v>471</v>
      </c>
      <c r="G1480" s="11" t="s">
        <v>11</v>
      </c>
      <c r="H1480" s="52" t="s">
        <v>1393</v>
      </c>
      <c r="I1480" s="20" t="s">
        <v>1387</v>
      </c>
      <c r="J1480" s="11">
        <v>10</v>
      </c>
      <c r="K1480" s="11">
        <v>0</v>
      </c>
      <c r="L1480" s="15">
        <f t="shared" si="145"/>
        <v>10</v>
      </c>
      <c r="M1480" s="131"/>
      <c r="N1480" s="96">
        <v>46098</v>
      </c>
    </row>
    <row r="1481" spans="1:14" x14ac:dyDescent="0.25">
      <c r="A1481" s="11">
        <f t="shared" ca="1" si="144"/>
        <v>-42</v>
      </c>
      <c r="C1481" s="11" t="s">
        <v>394</v>
      </c>
      <c r="D1481" s="11" t="str">
        <f>VLOOKUP(VALUE(MID($C1481,13,2)), [2]codigos!$A$2:$B$60, 2, 1) &amp; " " &amp; VLOOKUP(VALUE(MID($C1481,15,4)), [2]codigos!$E$2:$F$102, 2, FALSE)</f>
        <v>JUEGO 5+5</v>
      </c>
      <c r="E1481" s="11" t="str">
        <f>VLOOKUP(VALUE(MID($C1481,19,2)),[2]codigos!$H$2:$I$62,2,1) &amp; " " &amp; VLOOKUP(VALUE(MID($C1481,21,2)),[2]codigos!$K$2:$L$12,2,FALSE)</f>
        <v>S/I S/I</v>
      </c>
      <c r="F1481" s="11" t="s">
        <v>471</v>
      </c>
      <c r="G1481" s="11" t="s">
        <v>11</v>
      </c>
      <c r="H1481" s="52" t="s">
        <v>1393</v>
      </c>
      <c r="I1481" s="20" t="s">
        <v>1387</v>
      </c>
      <c r="J1481" s="11">
        <v>10</v>
      </c>
      <c r="K1481" s="11">
        <v>0</v>
      </c>
      <c r="L1481" s="15">
        <f t="shared" si="145"/>
        <v>10</v>
      </c>
      <c r="M1481" s="131"/>
      <c r="N1481" s="96">
        <v>46098</v>
      </c>
    </row>
    <row r="1482" spans="1:14" x14ac:dyDescent="0.25">
      <c r="A1482" s="11">
        <f t="shared" ca="1" si="144"/>
        <v>-42</v>
      </c>
      <c r="C1482" s="11" t="s">
        <v>182</v>
      </c>
      <c r="D1482" s="11" t="str">
        <f>VLOOKUP(VALUE(MID($C1482,13,2)), [2]codigos!$A$2:$B$60, 2, 1) &amp; " " &amp; VLOOKUP(VALUE(MID($C1482,15,4)), [2]codigos!$E$2:$F$102, 2, FALSE)</f>
        <v>POCILLO 14</v>
      </c>
      <c r="E1482" s="11" t="str">
        <f>VLOOKUP(VALUE(MID($C1482,19,2)),[2]codigos!$H$2:$I$62,2,1) &amp; " " &amp; VLOOKUP(VALUE(MID($C1482,21,2)),[2]codigos!$K$2:$L$12,2,FALSE)</f>
        <v>A/T S/I</v>
      </c>
      <c r="F1482" s="11" t="s">
        <v>471</v>
      </c>
      <c r="G1482" s="11" t="s">
        <v>11</v>
      </c>
      <c r="H1482" s="52" t="s">
        <v>1393</v>
      </c>
      <c r="I1482" s="20" t="s">
        <v>1387</v>
      </c>
      <c r="J1482" s="11">
        <v>120</v>
      </c>
      <c r="K1482" s="11">
        <v>42</v>
      </c>
      <c r="L1482" s="15">
        <f t="shared" si="145"/>
        <v>78</v>
      </c>
      <c r="M1482" s="131"/>
      <c r="N1482" s="96">
        <v>46098</v>
      </c>
    </row>
    <row r="1483" spans="1:14" x14ac:dyDescent="0.25">
      <c r="A1483" s="11">
        <f t="shared" ca="1" si="144"/>
        <v>-42</v>
      </c>
      <c r="C1483" s="11" t="s">
        <v>44</v>
      </c>
      <c r="D1483" s="11" t="str">
        <f>VLOOKUP(VALUE(MID($C1483,13,2)), [2]codigos!$A$2:$B$60, 2, 1) &amp; " " &amp; VLOOKUP(VALUE(MID($C1483,15,4)), [2]codigos!$E$2:$F$102, 2, FALSE)</f>
        <v>SARTEN 24</v>
      </c>
      <c r="E1483" s="11" t="str">
        <f>VLOOKUP(VALUE(MID($C1483,19,2)),[2]codigos!$H$2:$I$62,2,1) &amp; " " &amp; VLOOKUP(VALUE(MID($C1483,21,2)),[2]codigos!$K$2:$L$12,2,FALSE)</f>
        <v>A/T S/I</v>
      </c>
      <c r="F1483" s="11" t="s">
        <v>471</v>
      </c>
      <c r="G1483" s="11" t="s">
        <v>11</v>
      </c>
      <c r="H1483" s="52" t="s">
        <v>1393</v>
      </c>
      <c r="I1483" s="20" t="s">
        <v>1387</v>
      </c>
      <c r="J1483" s="11">
        <v>60</v>
      </c>
      <c r="K1483" s="11">
        <f>30</f>
        <v>30</v>
      </c>
      <c r="L1483" s="15">
        <f t="shared" si="145"/>
        <v>30</v>
      </c>
      <c r="M1483" s="131"/>
      <c r="N1483" s="96">
        <v>46098</v>
      </c>
    </row>
    <row r="1484" spans="1:14" x14ac:dyDescent="0.25">
      <c r="A1484" s="11">
        <f t="shared" ca="1" si="144"/>
        <v>-42</v>
      </c>
      <c r="C1484" s="11" t="s">
        <v>1312</v>
      </c>
      <c r="D1484" s="11" t="str">
        <f>VLOOKUP(VALUE(MID($C1484,13,2)), [2]codigos!$A$2:$B$60, 2, 1) &amp; " " &amp; VLOOKUP(VALUE(MID($C1484,15,4)), [2]codigos!$E$2:$F$102, 2, FALSE)</f>
        <v>VASO RECTO CON ASA</v>
      </c>
      <c r="E1484" s="11" t="str">
        <f>VLOOKUP(VALUE(MID($C1484,19,2)),[2]codigos!$H$2:$I$62,2,1) &amp; " " &amp; VLOOKUP(VALUE(MID($C1484,21,2)),[2]codigos!$K$2:$L$12,2,FALSE)</f>
        <v>A/T S/I</v>
      </c>
      <c r="F1484" s="11" t="s">
        <v>471</v>
      </c>
      <c r="G1484" s="11" t="s">
        <v>11</v>
      </c>
      <c r="H1484" s="52" t="s">
        <v>1393</v>
      </c>
      <c r="I1484" s="20" t="s">
        <v>1387</v>
      </c>
      <c r="J1484" s="11">
        <v>60</v>
      </c>
      <c r="K1484" s="11">
        <v>60</v>
      </c>
      <c r="L1484" s="15">
        <f t="shared" si="145"/>
        <v>0</v>
      </c>
      <c r="M1484" s="131"/>
      <c r="N1484" s="96">
        <v>46098</v>
      </c>
    </row>
    <row r="1485" spans="1:14" x14ac:dyDescent="0.25">
      <c r="A1485" s="11">
        <f t="shared" ca="1" si="144"/>
        <v>-42</v>
      </c>
      <c r="C1485" s="11" t="s">
        <v>188</v>
      </c>
      <c r="D1485" s="11" t="str">
        <f>VLOOKUP(VALUE(MID($C1485,13,2)), [2]codigos!$A$2:$B$60, 2, 1) &amp; " " &amp; VLOOKUP(VALUE(MID($C1485,15,4)), [2]codigos!$E$2:$F$102, 2, FALSE)</f>
        <v>POCILLO 14</v>
      </c>
      <c r="E1485" s="11" t="str">
        <f>VLOOKUP(VALUE(MID($C1485,19,2)),[2]codigos!$H$2:$I$62,2,1) &amp; " " &amp; VLOOKUP(VALUE(MID($C1485,21,2)),[2]codigos!$K$2:$L$12,2,FALSE)</f>
        <v>S/I S/I</v>
      </c>
      <c r="F1485" s="11" t="s">
        <v>471</v>
      </c>
      <c r="G1485" s="11" t="s">
        <v>11</v>
      </c>
      <c r="H1485" s="52" t="s">
        <v>1393</v>
      </c>
      <c r="I1485" s="20" t="s">
        <v>1387</v>
      </c>
      <c r="J1485" s="11">
        <v>60</v>
      </c>
      <c r="K1485" s="11">
        <v>0</v>
      </c>
      <c r="L1485" s="15">
        <f t="shared" si="145"/>
        <v>60</v>
      </c>
      <c r="M1485" s="131"/>
      <c r="N1485" s="96">
        <v>46098</v>
      </c>
    </row>
    <row r="1486" spans="1:14" x14ac:dyDescent="0.25">
      <c r="A1486" s="11">
        <f t="shared" ca="1" si="144"/>
        <v>-42</v>
      </c>
      <c r="C1486" s="11" t="s">
        <v>220</v>
      </c>
      <c r="D1486" s="11" t="str">
        <f>VLOOKUP(VALUE(MID($C1486,13,2)), [2]codigos!$A$2:$B$60, 2, 1) &amp; " " &amp; VLOOKUP(VALUE(MID($C1486,15,4)), [2]codigos!$E$2:$F$102, 2, FALSE)</f>
        <v>OLLA CONVEXA 16</v>
      </c>
      <c r="E1486" s="11" t="str">
        <f>VLOOKUP(VALUE(MID($C1486,19,2)),[2]codigos!$H$2:$I$62,2,1) &amp; " " &amp; VLOOKUP(VALUE(MID($C1486,21,2)),[2]codigos!$K$2:$L$12,2,FALSE)</f>
        <v>A/T S/I</v>
      </c>
      <c r="F1486" s="11" t="s">
        <v>471</v>
      </c>
      <c r="G1486" s="11" t="s">
        <v>11</v>
      </c>
      <c r="H1486" s="52" t="s">
        <v>1394</v>
      </c>
      <c r="I1486" s="20" t="s">
        <v>1387</v>
      </c>
      <c r="J1486" s="11">
        <v>60</v>
      </c>
      <c r="K1486" s="11">
        <f>6+2+16+36</f>
        <v>60</v>
      </c>
      <c r="L1486" s="15">
        <f t="shared" si="145"/>
        <v>0</v>
      </c>
      <c r="M1486" s="131">
        <f>(SUM(K1486:K1496))/(SUM(J1486:J1496))</f>
        <v>0.79729729729729726</v>
      </c>
      <c r="N1486" s="96">
        <v>46098</v>
      </c>
    </row>
    <row r="1487" spans="1:14" x14ac:dyDescent="0.25">
      <c r="A1487" s="11">
        <f t="shared" ca="1" si="144"/>
        <v>-42</v>
      </c>
      <c r="C1487" s="11" t="s">
        <v>150</v>
      </c>
      <c r="D1487" s="11" t="str">
        <f>VLOOKUP(VALUE(MID($C1487,13,2)), [2]codigos!$A$2:$B$60, 2, 1) &amp; " " &amp; VLOOKUP(VALUE(MID($C1487,15,4)), [2]codigos!$E$2:$F$102, 2, FALSE)</f>
        <v>OLLA CONVEXA 18</v>
      </c>
      <c r="E1487" s="11" t="str">
        <f>VLOOKUP(VALUE(MID($C1487,19,2)),[2]codigos!$H$2:$I$62,2,1) &amp; " " &amp; VLOOKUP(VALUE(MID($C1487,21,2)),[2]codigos!$K$2:$L$12,2,FALSE)</f>
        <v>A/T S/I</v>
      </c>
      <c r="F1487" s="11" t="s">
        <v>471</v>
      </c>
      <c r="G1487" s="11" t="s">
        <v>11</v>
      </c>
      <c r="H1487" s="52" t="s">
        <v>1394</v>
      </c>
      <c r="I1487" s="20" t="s">
        <v>1387</v>
      </c>
      <c r="J1487" s="11">
        <v>60</v>
      </c>
      <c r="K1487" s="11">
        <v>60</v>
      </c>
      <c r="L1487" s="15">
        <f t="shared" si="145"/>
        <v>0</v>
      </c>
      <c r="M1487" s="131"/>
      <c r="N1487" s="96">
        <v>46098</v>
      </c>
    </row>
    <row r="1488" spans="1:14" x14ac:dyDescent="0.25">
      <c r="A1488" s="11">
        <f t="shared" ca="1" si="144"/>
        <v>-42</v>
      </c>
      <c r="C1488" s="11" t="s">
        <v>151</v>
      </c>
      <c r="D1488" s="11" t="str">
        <f>VLOOKUP(VALUE(MID($C1488,13,2)), [2]codigos!$A$2:$B$60, 2, 1) &amp; " " &amp; VLOOKUP(VALUE(MID($C1488,15,4)), [2]codigos!$E$2:$F$102, 2, FALSE)</f>
        <v>OLLA CONVEXA 20</v>
      </c>
      <c r="E1488" s="11" t="str">
        <f>VLOOKUP(VALUE(MID($C1488,19,2)),[2]codigos!$H$2:$I$62,2,1) &amp; " " &amp; VLOOKUP(VALUE(MID($C1488,21,2)),[2]codigos!$K$2:$L$12,2,FALSE)</f>
        <v>A/T S/I</v>
      </c>
      <c r="F1488" s="11" t="s">
        <v>471</v>
      </c>
      <c r="G1488" s="11" t="s">
        <v>11</v>
      </c>
      <c r="H1488" s="52" t="s">
        <v>1394</v>
      </c>
      <c r="I1488" s="20" t="s">
        <v>1387</v>
      </c>
      <c r="J1488" s="11">
        <v>60</v>
      </c>
      <c r="K1488" s="11">
        <v>0</v>
      </c>
      <c r="L1488" s="15">
        <f t="shared" si="145"/>
        <v>60</v>
      </c>
      <c r="M1488" s="131"/>
      <c r="N1488" s="96">
        <v>46098</v>
      </c>
    </row>
    <row r="1489" spans="1:15" x14ac:dyDescent="0.25">
      <c r="A1489" s="11">
        <f t="shared" ca="1" si="144"/>
        <v>-42</v>
      </c>
      <c r="C1489" s="11" t="s">
        <v>43</v>
      </c>
      <c r="D1489" s="11" t="str">
        <f>VLOOKUP(VALUE(MID($C1489,13,2)), [2]codigos!$A$2:$B$60, 2, 1) &amp; " " &amp; VLOOKUP(VALUE(MID($C1489,15,4)), [2]codigos!$E$2:$F$102, 2, FALSE)</f>
        <v>OLLA CONVEXA 22</v>
      </c>
      <c r="E1489" s="11" t="str">
        <f>VLOOKUP(VALUE(MID($C1489,19,2)),[2]codigos!$H$2:$I$62,2,1) &amp; " " &amp; VLOOKUP(VALUE(MID($C1489,21,2)),[2]codigos!$K$2:$L$12,2,FALSE)</f>
        <v>A/T S/I</v>
      </c>
      <c r="F1489" s="11" t="s">
        <v>471</v>
      </c>
      <c r="G1489" s="11" t="s">
        <v>11</v>
      </c>
      <c r="H1489" s="52" t="s">
        <v>1394</v>
      </c>
      <c r="I1489" s="20" t="s">
        <v>1387</v>
      </c>
      <c r="J1489" s="11">
        <v>30</v>
      </c>
      <c r="K1489" s="11">
        <v>30</v>
      </c>
      <c r="L1489" s="15">
        <f t="shared" si="145"/>
        <v>0</v>
      </c>
      <c r="M1489" s="131"/>
      <c r="N1489" s="96">
        <v>46098</v>
      </c>
    </row>
    <row r="1490" spans="1:15" x14ac:dyDescent="0.25">
      <c r="A1490" s="11">
        <f t="shared" ca="1" si="144"/>
        <v>-42</v>
      </c>
      <c r="C1490" s="11" t="s">
        <v>152</v>
      </c>
      <c r="D1490" s="11" t="str">
        <f>VLOOKUP(VALUE(MID($C1490,13,2)), [2]codigos!$A$2:$B$60, 2, 1) &amp; " " &amp; VLOOKUP(VALUE(MID($C1490,15,4)), [2]codigos!$E$2:$F$102, 2, FALSE)</f>
        <v>OLLA CONVEXA 24</v>
      </c>
      <c r="E1490" s="11" t="str">
        <f>VLOOKUP(VALUE(MID($C1490,19,2)),[2]codigos!$H$2:$I$62,2,1) &amp; " " &amp; VLOOKUP(VALUE(MID($C1490,21,2)),[2]codigos!$K$2:$L$12,2,FALSE)</f>
        <v>A/T S/I</v>
      </c>
      <c r="F1490" s="11" t="s">
        <v>471</v>
      </c>
      <c r="G1490" s="11" t="s">
        <v>11</v>
      </c>
      <c r="H1490" s="52" t="s">
        <v>1394</v>
      </c>
      <c r="I1490" s="20" t="s">
        <v>1387</v>
      </c>
      <c r="J1490" s="11">
        <v>30</v>
      </c>
      <c r="K1490" s="11">
        <f>30</f>
        <v>30</v>
      </c>
      <c r="L1490" s="15">
        <f t="shared" si="145"/>
        <v>0</v>
      </c>
      <c r="M1490" s="131"/>
      <c r="N1490" s="96">
        <v>46098</v>
      </c>
    </row>
    <row r="1491" spans="1:15" x14ac:dyDescent="0.25">
      <c r="A1491" s="11">
        <f t="shared" ca="1" si="144"/>
        <v>-42</v>
      </c>
      <c r="C1491" s="11" t="s">
        <v>153</v>
      </c>
      <c r="D1491" s="11" t="str">
        <f>VLOOKUP(VALUE(MID($C1491,13,2)), [2]codigos!$A$2:$B$60, 2, 1) &amp; " " &amp; VLOOKUP(VALUE(MID($C1491,15,4)), [2]codigos!$E$2:$F$102, 2, FALSE)</f>
        <v>OLLA CONVEXA 26</v>
      </c>
      <c r="E1491" s="11" t="str">
        <f>VLOOKUP(VALUE(MID($C1491,19,2)),[2]codigos!$H$2:$I$62,2,1) &amp; " " &amp; VLOOKUP(VALUE(MID($C1491,21,2)),[2]codigos!$K$2:$L$12,2,FALSE)</f>
        <v>A/T S/I</v>
      </c>
      <c r="F1491" s="11" t="s">
        <v>471</v>
      </c>
      <c r="G1491" s="11" t="s">
        <v>11</v>
      </c>
      <c r="H1491" s="52" t="s">
        <v>1394</v>
      </c>
      <c r="I1491" s="20" t="s">
        <v>1387</v>
      </c>
      <c r="J1491" s="11">
        <v>30</v>
      </c>
      <c r="K1491" s="11">
        <v>0</v>
      </c>
      <c r="L1491" s="15">
        <f t="shared" si="145"/>
        <v>30</v>
      </c>
      <c r="M1491" s="131"/>
      <c r="N1491" s="96">
        <v>46098</v>
      </c>
    </row>
    <row r="1492" spans="1:15" x14ac:dyDescent="0.25">
      <c r="A1492" s="11">
        <f t="shared" ca="1" si="144"/>
        <v>-42</v>
      </c>
      <c r="C1492" s="11" t="s">
        <v>154</v>
      </c>
      <c r="D1492" s="11" t="str">
        <f>VLOOKUP(VALUE(MID($C1492,13,2)), [2]codigos!$A$2:$B$60, 2, 1) &amp; " " &amp; VLOOKUP(VALUE(MID($C1492,15,4)), [2]codigos!$E$2:$F$102, 2, FALSE)</f>
        <v>OLLA CONVEXA 30</v>
      </c>
      <c r="E1492" s="11" t="str">
        <f>VLOOKUP(VALUE(MID($C1492,19,2)),[2]codigos!$H$2:$I$62,2,1) &amp; " " &amp; VLOOKUP(VALUE(MID($C1492,21,2)),[2]codigos!$K$2:$L$12,2,FALSE)</f>
        <v>A/T S/I</v>
      </c>
      <c r="F1492" s="11" t="s">
        <v>471</v>
      </c>
      <c r="G1492" s="11" t="s">
        <v>11</v>
      </c>
      <c r="H1492" s="52" t="s">
        <v>1394</v>
      </c>
      <c r="I1492" s="20" t="s">
        <v>1387</v>
      </c>
      <c r="J1492" s="11">
        <v>10</v>
      </c>
      <c r="K1492" s="11">
        <f>2+8</f>
        <v>10</v>
      </c>
      <c r="L1492" s="15">
        <f t="shared" si="145"/>
        <v>0</v>
      </c>
      <c r="M1492" s="131"/>
      <c r="N1492" s="96">
        <v>46098</v>
      </c>
    </row>
    <row r="1493" spans="1:15" x14ac:dyDescent="0.25">
      <c r="A1493" s="11">
        <f t="shared" ca="1" si="144"/>
        <v>-42</v>
      </c>
      <c r="C1493" s="11" t="s">
        <v>236</v>
      </c>
      <c r="D1493" s="11" t="str">
        <f>VLOOKUP(VALUE(MID($C1493,13,2)), [2]codigos!$A$2:$B$60, 2, 1) &amp; " " &amp; VLOOKUP(VALUE(MID($C1493,15,4)), [2]codigos!$E$2:$F$102, 2, FALSE)</f>
        <v>OLLA RECTA 22</v>
      </c>
      <c r="E1493" s="11" t="str">
        <f>VLOOKUP(VALUE(MID($C1493,19,2)),[2]codigos!$H$2:$I$62,2,1) &amp; " " &amp; VLOOKUP(VALUE(MID($C1493,21,2)),[2]codigos!$K$2:$L$12,2,FALSE)</f>
        <v>A/T S/I</v>
      </c>
      <c r="F1493" s="11" t="s">
        <v>471</v>
      </c>
      <c r="G1493" s="11" t="s">
        <v>11</v>
      </c>
      <c r="H1493" s="52" t="s">
        <v>1394</v>
      </c>
      <c r="I1493" s="20" t="s">
        <v>1387</v>
      </c>
      <c r="J1493" s="11">
        <v>24</v>
      </c>
      <c r="K1493" s="11">
        <v>24</v>
      </c>
      <c r="L1493" s="15">
        <f t="shared" si="145"/>
        <v>0</v>
      </c>
      <c r="M1493" s="131"/>
      <c r="N1493" s="96">
        <v>46098</v>
      </c>
    </row>
    <row r="1494" spans="1:15" x14ac:dyDescent="0.25">
      <c r="A1494" s="11">
        <f t="shared" ca="1" si="144"/>
        <v>-42</v>
      </c>
      <c r="C1494" s="11" t="s">
        <v>155</v>
      </c>
      <c r="D1494" s="11" t="str">
        <f>VLOOKUP(VALUE(MID($C1494,13,2)), [2]codigos!$A$2:$B$60, 2, 1) &amp; " " &amp; VLOOKUP(VALUE(MID($C1494,15,4)), [2]codigos!$E$2:$F$102, 2, FALSE)</f>
        <v>OLLA RECTA 30</v>
      </c>
      <c r="E1494" s="11" t="str">
        <f>VLOOKUP(VALUE(MID($C1494,19,2)),[2]codigos!$H$2:$I$62,2,1) &amp; " " &amp; VLOOKUP(VALUE(MID($C1494,21,2)),[2]codigos!$K$2:$L$12,2,FALSE)</f>
        <v>A/T S/I</v>
      </c>
      <c r="F1494" s="11" t="s">
        <v>471</v>
      </c>
      <c r="G1494" s="11" t="s">
        <v>11</v>
      </c>
      <c r="H1494" s="52" t="s">
        <v>1394</v>
      </c>
      <c r="I1494" s="20" t="s">
        <v>1387</v>
      </c>
      <c r="J1494" s="11">
        <v>10</v>
      </c>
      <c r="K1494" s="11">
        <v>10</v>
      </c>
      <c r="L1494" s="15">
        <f t="shared" si="145"/>
        <v>0</v>
      </c>
      <c r="M1494" s="131"/>
      <c r="N1494" s="96">
        <v>46098</v>
      </c>
    </row>
    <row r="1495" spans="1:15" x14ac:dyDescent="0.25">
      <c r="A1495" s="11">
        <f t="shared" ca="1" si="144"/>
        <v>-42</v>
      </c>
      <c r="C1495" s="11" t="s">
        <v>156</v>
      </c>
      <c r="D1495" s="11" t="str">
        <f>VLOOKUP(VALUE(MID($C1495,13,2)), [2]codigos!$A$2:$B$60, 2, 1) &amp; " " &amp; VLOOKUP(VALUE(MID($C1495,15,4)), [2]codigos!$E$2:$F$102, 2, FALSE)</f>
        <v>OLLA RECTA 34</v>
      </c>
      <c r="E1495" s="11" t="str">
        <f>VLOOKUP(VALUE(MID($C1495,19,2)),[2]codigos!$H$2:$I$62,2,1) &amp; " " &amp; VLOOKUP(VALUE(MID($C1495,21,2)),[2]codigos!$K$2:$L$12,2,FALSE)</f>
        <v>A/T S/I</v>
      </c>
      <c r="F1495" s="11" t="s">
        <v>471</v>
      </c>
      <c r="G1495" s="11" t="s">
        <v>11</v>
      </c>
      <c r="H1495" s="52" t="s">
        <v>1394</v>
      </c>
      <c r="I1495" s="20" t="s">
        <v>1387</v>
      </c>
      <c r="J1495" s="11">
        <v>10</v>
      </c>
      <c r="K1495" s="11">
        <v>10</v>
      </c>
      <c r="L1495" s="15">
        <f t="shared" si="145"/>
        <v>0</v>
      </c>
      <c r="M1495" s="131"/>
      <c r="N1495" s="96">
        <v>46098</v>
      </c>
    </row>
    <row r="1496" spans="1:15" x14ac:dyDescent="0.25">
      <c r="A1496" s="11">
        <f t="shared" ca="1" si="144"/>
        <v>-42</v>
      </c>
      <c r="C1496" s="11" t="s">
        <v>180</v>
      </c>
      <c r="D1496" s="11" t="str">
        <f>VLOOKUP(VALUE(MID($C1496,13,2)), [2]codigos!$A$2:$B$60, 2, 1) &amp; " " &amp; VLOOKUP(VALUE(MID($C1496,15,4)), [2]codigos!$E$2:$F$102, 2, FALSE)</f>
        <v>POCILLO 12</v>
      </c>
      <c r="E1496" s="11" t="str">
        <f>VLOOKUP(VALUE(MID($C1496,19,2)),[2]codigos!$H$2:$I$62,2,1) &amp; " " &amp; VLOOKUP(VALUE(MID($C1496,21,2)),[2]codigos!$K$2:$L$12,2,FALSE)</f>
        <v>A/T S/I</v>
      </c>
      <c r="F1496" s="11" t="s">
        <v>471</v>
      </c>
      <c r="G1496" s="11" t="s">
        <v>11</v>
      </c>
      <c r="H1496" s="52" t="s">
        <v>1394</v>
      </c>
      <c r="I1496" s="20" t="s">
        <v>1387</v>
      </c>
      <c r="J1496" s="11">
        <v>120</v>
      </c>
      <c r="K1496" s="11">
        <f>120</f>
        <v>120</v>
      </c>
      <c r="L1496" s="15">
        <f t="shared" si="145"/>
        <v>0</v>
      </c>
      <c r="M1496" s="131"/>
      <c r="N1496" s="96">
        <v>46098</v>
      </c>
    </row>
    <row r="1497" spans="1:15" x14ac:dyDescent="0.25">
      <c r="A1497" s="11">
        <f t="shared" ca="1" si="144"/>
        <v>-9</v>
      </c>
      <c r="C1497" s="11" t="s">
        <v>1576</v>
      </c>
      <c r="D1497" s="11" t="str">
        <f>VLOOKUP(VALUE(MID($C1497,13,2)), [2]codigos!$A$2:$B$60, 2, 1) &amp; " " &amp; VLOOKUP(VALUE(MID($C1497,15,4)), [2]codigos!$E$2:$F$102, 2, FALSE)</f>
        <v>VAJILLA CERRADO MARINO</v>
      </c>
      <c r="E1497" s="11" t="str">
        <f>VLOOKUP(VALUE(MID($C1497,19,2)),[2]codigos!$H$2:$I$62,2,1) &amp; " " &amp; VLOOKUP(VALUE(MID($C1497,21,2)),[2]codigos!$K$2:$L$12,2,FALSE)</f>
        <v>S/I S/I</v>
      </c>
      <c r="F1497" s="11" t="s">
        <v>1222</v>
      </c>
      <c r="G1497" s="11" t="s">
        <v>140</v>
      </c>
      <c r="H1497" s="52" t="s">
        <v>1577</v>
      </c>
      <c r="I1497" s="20" t="s">
        <v>1572</v>
      </c>
      <c r="J1497" s="11">
        <v>6</v>
      </c>
      <c r="K1497" s="11">
        <v>6</v>
      </c>
      <c r="L1497" s="15">
        <f t="shared" si="145"/>
        <v>0</v>
      </c>
      <c r="M1497" s="125">
        <v>0</v>
      </c>
      <c r="N1497" s="96">
        <v>46100</v>
      </c>
    </row>
    <row r="1498" spans="1:15" x14ac:dyDescent="0.25">
      <c r="A1498" s="11">
        <f t="shared" ca="1" si="144"/>
        <v>-99</v>
      </c>
      <c r="C1498" s="11" t="s">
        <v>112</v>
      </c>
      <c r="D1498" s="11" t="str">
        <f>VLOOKUP(VALUE(MID($C1498,13,2)), codigos!$A$2:$B$60, 2, 1) &amp; " " &amp; VLOOKUP(VALUE(MID($C1498,15,4)), codigos!$E$2:$F$102, 2, FALSE)</f>
        <v>OLLA RECTA 22</v>
      </c>
      <c r="E1498" s="11" t="str">
        <f>VLOOKUP(VALUE(MID($C1498,19,2)),codigos!$H$2:$I$62,2,1) &amp; " " &amp; VLOOKUP(VALUE(MID($C1498,21,2)),codigos!$K$2:$L$12,2,FALSE)</f>
        <v>NAVY S/I</v>
      </c>
      <c r="F1498" s="11" t="s">
        <v>113</v>
      </c>
      <c r="G1498" s="11" t="s">
        <v>114</v>
      </c>
      <c r="H1498" s="52" t="s">
        <v>962</v>
      </c>
      <c r="I1498" s="20" t="s">
        <v>949</v>
      </c>
      <c r="J1498" s="11">
        <v>9458</v>
      </c>
      <c r="K1498" s="11">
        <v>9282</v>
      </c>
      <c r="L1498" s="11">
        <f>J1498-K1498</f>
        <v>176</v>
      </c>
      <c r="M1498" s="134">
        <f>(SUM(K1498:K1499))/(SUM(J1498:J1499))</f>
        <v>0.87843684577808789</v>
      </c>
      <c r="N1498" s="96">
        <v>46100</v>
      </c>
    </row>
    <row r="1499" spans="1:15" x14ac:dyDescent="0.25">
      <c r="A1499" s="11">
        <f t="shared" ca="1" si="144"/>
        <v>-99</v>
      </c>
      <c r="C1499" s="11" t="s">
        <v>117</v>
      </c>
      <c r="D1499" s="11" t="str">
        <f>VLOOKUP(VALUE(MID($C1499,13,2)), codigos!$A$2:$B$60, 2, 1) &amp; " " &amp; VLOOKUP(VALUE(MID($C1499,15,4)), codigos!$E$2:$F$102, 2, FALSE)</f>
        <v>POCILLO 12</v>
      </c>
      <c r="E1499" s="11" t="str">
        <f>VLOOKUP(VALUE(MID($C1499,19,2)),codigos!$H$2:$I$62,2,1) &amp; " " &amp; VLOOKUP(VALUE(MID($C1499,21,2)),codigos!$K$2:$L$12,2,FALSE)</f>
        <v>NAVY (WM) S/I</v>
      </c>
      <c r="F1499" s="11" t="s">
        <v>113</v>
      </c>
      <c r="G1499" s="11" t="s">
        <v>114</v>
      </c>
      <c r="H1499" s="52" t="s">
        <v>962</v>
      </c>
      <c r="I1499" s="20" t="s">
        <v>949</v>
      </c>
      <c r="J1499" s="11">
        <v>4872</v>
      </c>
      <c r="K1499" s="11">
        <v>3306</v>
      </c>
      <c r="L1499" s="11">
        <f>J1499-K1499</f>
        <v>1566</v>
      </c>
      <c r="M1499" s="134"/>
      <c r="N1499" s="96">
        <v>46100</v>
      </c>
    </row>
    <row r="1500" spans="1:15" x14ac:dyDescent="0.25">
      <c r="A1500" s="11">
        <f t="shared" ca="1" si="144"/>
        <v>-47</v>
      </c>
      <c r="C1500" s="11" t="s">
        <v>19</v>
      </c>
      <c r="D1500" s="11" t="str">
        <f>VLOOKUP(VALUE(MID($C1500,13,2)), codigos!$A$2:$B$60, 2, 1) &amp; " " &amp; VLOOKUP(VALUE(MID($C1500,15,4)), codigos!$E$2:$F$102, 2, FALSE)</f>
        <v>BACINICA 24</v>
      </c>
      <c r="E1500" s="11" t="str">
        <f>VLOOKUP(VALUE(MID($C1500,19,2)),codigos!$H$2:$I$62,2,1) &amp; " " &amp; VLOOKUP(VALUE(MID($C1500,21,2)),codigos!$K$2:$L$12,2,FALSE)</f>
        <v>BLANCO  NEGRO</v>
      </c>
      <c r="F1500" s="11" t="s">
        <v>1376</v>
      </c>
      <c r="G1500" s="11" t="s">
        <v>11</v>
      </c>
      <c r="H1500" s="52" t="s">
        <v>1372</v>
      </c>
      <c r="I1500" s="20" t="s">
        <v>1373</v>
      </c>
      <c r="J1500" s="11">
        <v>12</v>
      </c>
      <c r="K1500" s="11">
        <f>5+5+2</f>
        <v>12</v>
      </c>
      <c r="L1500" s="11">
        <f t="shared" ref="L1500:L1518" si="146">J1500-K1500</f>
        <v>0</v>
      </c>
      <c r="M1500" s="131">
        <f>(SUM(K1500:K1518))/(SUM(J1500:J1518))</f>
        <v>1</v>
      </c>
      <c r="N1500" s="18">
        <v>46101</v>
      </c>
      <c r="O1500" s="93">
        <v>46108</v>
      </c>
    </row>
    <row r="1501" spans="1:15" x14ac:dyDescent="0.25">
      <c r="A1501" s="11">
        <f t="shared" ca="1" si="144"/>
        <v>-47</v>
      </c>
      <c r="C1501" s="11" t="s">
        <v>256</v>
      </c>
      <c r="D1501" s="11" t="str">
        <f>VLOOKUP(VALUE(MID($C1501,13,2)), codigos!$A$2:$B$60, 2, 1) &amp; " " &amp; VLOOKUP(VALUE(MID($C1501,15,4)), codigos!$E$2:$F$102, 2, FALSE)</f>
        <v>BUDINERA 14</v>
      </c>
      <c r="E1501" s="11" t="str">
        <f>VLOOKUP(VALUE(MID($C1501,19,2)),codigos!$H$2:$I$62,2,1) &amp; " " &amp; VLOOKUP(VALUE(MID($C1501,21,2)),codigos!$K$2:$L$12,2,FALSE)</f>
        <v>A/T S/I</v>
      </c>
      <c r="F1501" s="11" t="s">
        <v>1376</v>
      </c>
      <c r="G1501" s="11" t="s">
        <v>11</v>
      </c>
      <c r="H1501" s="52" t="s">
        <v>1372</v>
      </c>
      <c r="I1501" s="20" t="s">
        <v>1373</v>
      </c>
      <c r="J1501" s="11">
        <v>18</v>
      </c>
      <c r="K1501" s="11">
        <v>18</v>
      </c>
      <c r="L1501" s="11">
        <f t="shared" si="146"/>
        <v>0</v>
      </c>
      <c r="M1501" s="131"/>
      <c r="N1501" s="18">
        <v>46101</v>
      </c>
      <c r="O1501" s="93">
        <v>46108</v>
      </c>
    </row>
    <row r="1502" spans="1:15" x14ac:dyDescent="0.25">
      <c r="A1502" s="11">
        <f t="shared" ca="1" si="144"/>
        <v>-47</v>
      </c>
      <c r="C1502" s="11" t="s">
        <v>214</v>
      </c>
      <c r="D1502" s="11" t="str">
        <f>VLOOKUP(VALUE(MID($C1502,13,2)), codigos!$A$2:$B$60, 2, 1) &amp; " " &amp; VLOOKUP(VALUE(MID($C1502,15,4)), codigos!$E$2:$F$102, 2, FALSE)</f>
        <v>BUDINERA 18</v>
      </c>
      <c r="E1502" s="11" t="str">
        <f>VLOOKUP(VALUE(MID($C1502,19,2)),codigos!$H$2:$I$62,2,1) &amp; " " &amp; VLOOKUP(VALUE(MID($C1502,21,2)),codigos!$K$2:$L$12,2,FALSE)</f>
        <v>A/T S/I</v>
      </c>
      <c r="F1502" s="11" t="s">
        <v>1376</v>
      </c>
      <c r="G1502" s="11" t="s">
        <v>11</v>
      </c>
      <c r="H1502" s="52" t="s">
        <v>1372</v>
      </c>
      <c r="I1502" s="20" t="s">
        <v>1373</v>
      </c>
      <c r="J1502" s="11">
        <v>18</v>
      </c>
      <c r="K1502" s="11">
        <v>18</v>
      </c>
      <c r="L1502" s="11">
        <f t="shared" si="146"/>
        <v>0</v>
      </c>
      <c r="M1502" s="131"/>
      <c r="N1502" s="18">
        <v>46101</v>
      </c>
      <c r="O1502" s="93">
        <v>46108</v>
      </c>
    </row>
    <row r="1503" spans="1:15" x14ac:dyDescent="0.25">
      <c r="A1503" s="11">
        <f t="shared" ca="1" si="144"/>
        <v>-47</v>
      </c>
      <c r="C1503" s="11" t="s">
        <v>241</v>
      </c>
      <c r="D1503" s="11" t="str">
        <f>VLOOKUP(VALUE(MID($C1503,13,2)), codigos!$A$2:$B$60, 2, 1) &amp; " " &amp; VLOOKUP(VALUE(MID($C1503,15,4)), codigos!$E$2:$F$102, 2, FALSE)</f>
        <v>BUDINERA 22</v>
      </c>
      <c r="E1503" s="11" t="str">
        <f>VLOOKUP(VALUE(MID($C1503,19,2)),codigos!$H$2:$I$62,2,1) &amp; " " &amp; VLOOKUP(VALUE(MID($C1503,21,2)),codigos!$K$2:$L$12,2,FALSE)</f>
        <v>A/T S/I</v>
      </c>
      <c r="F1503" s="11" t="s">
        <v>1376</v>
      </c>
      <c r="G1503" s="11" t="s">
        <v>11</v>
      </c>
      <c r="H1503" s="52" t="s">
        <v>1372</v>
      </c>
      <c r="I1503" s="20" t="s">
        <v>1373</v>
      </c>
      <c r="J1503" s="11">
        <v>12</v>
      </c>
      <c r="K1503" s="11">
        <v>12</v>
      </c>
      <c r="L1503" s="11">
        <f t="shared" si="146"/>
        <v>0</v>
      </c>
      <c r="M1503" s="131"/>
      <c r="N1503" s="18">
        <v>46101</v>
      </c>
      <c r="O1503" s="93">
        <v>46108</v>
      </c>
    </row>
    <row r="1504" spans="1:15" x14ac:dyDescent="0.25">
      <c r="A1504" s="11">
        <f t="shared" ca="1" si="144"/>
        <v>-47</v>
      </c>
      <c r="C1504" s="11" t="s">
        <v>169</v>
      </c>
      <c r="D1504" s="11" t="str">
        <f>VLOOKUP(VALUE(MID($C1504,13,2)), codigos!$A$2:$B$60, 2, 1) &amp; " " &amp; VLOOKUP(VALUE(MID($C1504,15,4)), codigos!$E$2:$F$102, 2, FALSE)</f>
        <v>BUDINERA 30</v>
      </c>
      <c r="E1504" s="11" t="str">
        <f>VLOOKUP(VALUE(MID($C1504,19,2)),codigos!$H$2:$I$62,2,1) &amp; " " &amp; VLOOKUP(VALUE(MID($C1504,21,2)),codigos!$K$2:$L$12,2,FALSE)</f>
        <v>A/T S/I</v>
      </c>
      <c r="F1504" s="11" t="s">
        <v>1376</v>
      </c>
      <c r="G1504" s="11" t="s">
        <v>11</v>
      </c>
      <c r="H1504" s="52" t="s">
        <v>1372</v>
      </c>
      <c r="I1504" s="20" t="s">
        <v>1373</v>
      </c>
      <c r="J1504" s="11">
        <v>12</v>
      </c>
      <c r="K1504" s="11">
        <f>12</f>
        <v>12</v>
      </c>
      <c r="L1504" s="11">
        <f t="shared" si="146"/>
        <v>0</v>
      </c>
      <c r="M1504" s="131"/>
      <c r="N1504" s="18">
        <v>46101</v>
      </c>
      <c r="O1504" s="93">
        <v>46108</v>
      </c>
    </row>
    <row r="1505" spans="1:15" x14ac:dyDescent="0.25">
      <c r="A1505" s="11">
        <f t="shared" ca="1" si="144"/>
        <v>-47</v>
      </c>
      <c r="C1505" s="11" t="s">
        <v>173</v>
      </c>
      <c r="D1505" s="11" t="str">
        <f>VLOOKUP(VALUE(MID($C1505,13,2)), codigos!$A$2:$B$60, 2, 1) &amp; " " &amp; VLOOKUP(VALUE(MID($C1505,15,4)), codigos!$E$2:$F$102, 2, FALSE)</f>
        <v>BUDINERA 34</v>
      </c>
      <c r="E1505" s="11" t="str">
        <f>VLOOKUP(VALUE(MID($C1505,19,2)),codigos!$H$2:$I$62,2,1) &amp; " " &amp; VLOOKUP(VALUE(MID($C1505,21,2)),codigos!$K$2:$L$12,2,FALSE)</f>
        <v>A/T S/I</v>
      </c>
      <c r="F1505" s="11" t="s">
        <v>1376</v>
      </c>
      <c r="G1505" s="11" t="s">
        <v>11</v>
      </c>
      <c r="H1505" s="52" t="s">
        <v>1372</v>
      </c>
      <c r="I1505" s="20" t="s">
        <v>1373</v>
      </c>
      <c r="J1505" s="11">
        <v>8</v>
      </c>
      <c r="K1505" s="11">
        <f>8</f>
        <v>8</v>
      </c>
      <c r="L1505" s="11">
        <f t="shared" si="146"/>
        <v>0</v>
      </c>
      <c r="M1505" s="131"/>
      <c r="N1505" s="18">
        <v>46101</v>
      </c>
      <c r="O1505" s="93">
        <v>46108</v>
      </c>
    </row>
    <row r="1506" spans="1:15" x14ac:dyDescent="0.25">
      <c r="A1506" s="11">
        <f t="shared" ca="1" si="144"/>
        <v>-47</v>
      </c>
      <c r="C1506" s="11" t="s">
        <v>242</v>
      </c>
      <c r="D1506" s="11" t="str">
        <f>VLOOKUP(VALUE(MID($C1506,13,2)), codigos!$A$2:$B$60, 2, 1) &amp; " " &amp; VLOOKUP(VALUE(MID($C1506,15,4)), codigos!$E$2:$F$102, 2, FALSE)</f>
        <v>COMAL 22</v>
      </c>
      <c r="E1506" s="11" t="str">
        <f>VLOOKUP(VALUE(MID($C1506,19,2)),codigos!$H$2:$I$62,2,1) &amp; " " &amp; VLOOKUP(VALUE(MID($C1506,21,2)),codigos!$K$2:$L$12,2,FALSE)</f>
        <v>NEGRO MOTAS S/I</v>
      </c>
      <c r="F1506" s="11" t="s">
        <v>1376</v>
      </c>
      <c r="G1506" s="11" t="s">
        <v>11</v>
      </c>
      <c r="H1506" s="52" t="s">
        <v>1372</v>
      </c>
      <c r="I1506" s="20" t="s">
        <v>1373</v>
      </c>
      <c r="J1506" s="11">
        <v>24</v>
      </c>
      <c r="K1506" s="11">
        <v>24</v>
      </c>
      <c r="L1506" s="11">
        <f t="shared" si="146"/>
        <v>0</v>
      </c>
      <c r="M1506" s="131"/>
      <c r="N1506" s="18">
        <v>46101</v>
      </c>
      <c r="O1506" s="93">
        <v>46108</v>
      </c>
    </row>
    <row r="1507" spans="1:15" x14ac:dyDescent="0.25">
      <c r="A1507" s="11">
        <f t="shared" ca="1" si="144"/>
        <v>-47</v>
      </c>
      <c r="C1507" s="11" t="s">
        <v>149</v>
      </c>
      <c r="D1507" s="11" t="str">
        <f>VLOOKUP(VALUE(MID($C1507,13,2)), codigos!$A$2:$B$60, 2, 1) &amp; " " &amp; VLOOKUP(VALUE(MID($C1507,15,4)), codigos!$E$2:$F$102, 2, FALSE)</f>
        <v>COMAL 28</v>
      </c>
      <c r="E1507" s="11" t="str">
        <f>VLOOKUP(VALUE(MID($C1507,19,2)),codigos!$H$2:$I$62,2,1) &amp; " " &amp; VLOOKUP(VALUE(MID($C1507,21,2)),codigos!$K$2:$L$12,2,FALSE)</f>
        <v>NEGRO MOTAS S/I</v>
      </c>
      <c r="F1507" s="11" t="s">
        <v>1376</v>
      </c>
      <c r="G1507" s="11" t="s">
        <v>11</v>
      </c>
      <c r="H1507" s="52" t="s">
        <v>1372</v>
      </c>
      <c r="I1507" s="20" t="s">
        <v>1373</v>
      </c>
      <c r="J1507" s="11">
        <v>60</v>
      </c>
      <c r="K1507" s="11">
        <f>36+5+12+7</f>
        <v>60</v>
      </c>
      <c r="L1507" s="11">
        <f t="shared" si="146"/>
        <v>0</v>
      </c>
      <c r="M1507" s="131"/>
      <c r="N1507" s="18">
        <v>46101</v>
      </c>
      <c r="O1507" s="93">
        <v>46108</v>
      </c>
    </row>
    <row r="1508" spans="1:15" x14ac:dyDescent="0.25">
      <c r="A1508" s="11">
        <f t="shared" ca="1" si="144"/>
        <v>-47</v>
      </c>
      <c r="C1508" s="11" t="s">
        <v>344</v>
      </c>
      <c r="D1508" s="11" t="str">
        <f>VLOOKUP(VALUE(MID($C1508,13,2)), codigos!$A$2:$B$60, 2, 1) &amp; " " &amp; VLOOKUP(VALUE(MID($C1508,15,4)), codigos!$E$2:$F$102, 2, FALSE)</f>
        <v>COMAL 36</v>
      </c>
      <c r="E1508" s="11" t="str">
        <f>VLOOKUP(VALUE(MID($C1508,19,2)),codigos!$H$2:$I$62,2,1) &amp; " " &amp; VLOOKUP(VALUE(MID($C1508,21,2)),codigos!$K$2:$L$12,2,FALSE)</f>
        <v>NEGRO MOTAS S/I</v>
      </c>
      <c r="F1508" s="11" t="s">
        <v>1376</v>
      </c>
      <c r="G1508" s="11" t="s">
        <v>11</v>
      </c>
      <c r="H1508" s="52" t="s">
        <v>1372</v>
      </c>
      <c r="I1508" s="20" t="s">
        <v>1373</v>
      </c>
      <c r="J1508" s="11">
        <v>36</v>
      </c>
      <c r="K1508" s="11">
        <f>8+16+12</f>
        <v>36</v>
      </c>
      <c r="L1508" s="11">
        <f t="shared" si="146"/>
        <v>0</v>
      </c>
      <c r="M1508" s="131"/>
      <c r="N1508" s="18">
        <v>46101</v>
      </c>
      <c r="O1508" s="93">
        <v>46108</v>
      </c>
    </row>
    <row r="1509" spans="1:15" x14ac:dyDescent="0.25">
      <c r="A1509" s="11">
        <f t="shared" ca="1" si="144"/>
        <v>-47</v>
      </c>
      <c r="C1509" s="11" t="s">
        <v>220</v>
      </c>
      <c r="D1509" s="11" t="str">
        <f>VLOOKUP(VALUE(MID($C1509,13,2)), codigos!$A$2:$B$60, 2, 1) &amp; " " &amp; VLOOKUP(VALUE(MID($C1509,15,4)), codigos!$E$2:$F$102, 2, FALSE)</f>
        <v>OLLA CONVEXA 16</v>
      </c>
      <c r="E1509" s="11" t="str">
        <f>VLOOKUP(VALUE(MID($C1509,19,2)),codigos!$H$2:$I$62,2,1) &amp; " " &amp; VLOOKUP(VALUE(MID($C1509,21,2)),codigos!$K$2:$L$12,2,FALSE)</f>
        <v>A/T S/I</v>
      </c>
      <c r="F1509" s="11" t="s">
        <v>1376</v>
      </c>
      <c r="G1509" s="11" t="s">
        <v>11</v>
      </c>
      <c r="H1509" s="52" t="s">
        <v>1372</v>
      </c>
      <c r="I1509" s="20" t="s">
        <v>1373</v>
      </c>
      <c r="J1509" s="11">
        <v>12</v>
      </c>
      <c r="K1509" s="11">
        <v>12</v>
      </c>
      <c r="L1509" s="11">
        <f t="shared" si="146"/>
        <v>0</v>
      </c>
      <c r="M1509" s="131"/>
      <c r="N1509" s="18">
        <v>46101</v>
      </c>
      <c r="O1509" s="93">
        <v>46108</v>
      </c>
    </row>
    <row r="1510" spans="1:15" x14ac:dyDescent="0.25">
      <c r="A1510" s="11">
        <f t="shared" ca="1" si="144"/>
        <v>-47</v>
      </c>
      <c r="C1510" s="11" t="s">
        <v>153</v>
      </c>
      <c r="D1510" s="11" t="str">
        <f>VLOOKUP(VALUE(MID($C1510,13,2)), codigos!$A$2:$B$60, 2, 1) &amp; " " &amp; VLOOKUP(VALUE(MID($C1510,15,4)), codigos!$E$2:$F$102, 2, FALSE)</f>
        <v>OLLA CONVEXA 26</v>
      </c>
      <c r="E1510" s="11" t="str">
        <f>VLOOKUP(VALUE(MID($C1510,19,2)),codigos!$H$2:$I$62,2,1) &amp; " " &amp; VLOOKUP(VALUE(MID($C1510,21,2)),codigos!$K$2:$L$12,2,FALSE)</f>
        <v>A/T S/I</v>
      </c>
      <c r="F1510" s="11" t="s">
        <v>1376</v>
      </c>
      <c r="G1510" s="11" t="s">
        <v>11</v>
      </c>
      <c r="H1510" s="52" t="s">
        <v>1372</v>
      </c>
      <c r="I1510" s="20" t="s">
        <v>1373</v>
      </c>
      <c r="J1510" s="11">
        <v>6</v>
      </c>
      <c r="K1510" s="11">
        <v>6</v>
      </c>
      <c r="L1510" s="11">
        <f t="shared" si="146"/>
        <v>0</v>
      </c>
      <c r="M1510" s="131"/>
      <c r="N1510" s="18">
        <v>46101</v>
      </c>
      <c r="O1510" s="93">
        <v>46108</v>
      </c>
    </row>
    <row r="1511" spans="1:15" x14ac:dyDescent="0.25">
      <c r="A1511" s="11">
        <f t="shared" ca="1" si="144"/>
        <v>-47</v>
      </c>
      <c r="C1511" s="11" t="s">
        <v>221</v>
      </c>
      <c r="D1511" s="11" t="str">
        <f>VLOOKUP(VALUE(MID($C1511,13,2)), codigos!$A$2:$B$60, 2, 1) &amp; " " &amp; VLOOKUP(VALUE(MID($C1511,15,4)), codigos!$E$2:$F$102, 2, FALSE)</f>
        <v>OLLA CONVEXA 34</v>
      </c>
      <c r="E1511" s="11" t="str">
        <f>VLOOKUP(VALUE(MID($C1511,19,2)),codigos!$H$2:$I$62,2,1) &amp; " " &amp; VLOOKUP(VALUE(MID($C1511,21,2)),codigos!$K$2:$L$12,2,FALSE)</f>
        <v>A/T S/I</v>
      </c>
      <c r="F1511" s="11" t="s">
        <v>1376</v>
      </c>
      <c r="G1511" s="11" t="s">
        <v>11</v>
      </c>
      <c r="H1511" s="52" t="s">
        <v>1372</v>
      </c>
      <c r="I1511" s="20" t="s">
        <v>1373</v>
      </c>
      <c r="J1511" s="11">
        <v>4</v>
      </c>
      <c r="K1511" s="11">
        <v>4</v>
      </c>
      <c r="L1511" s="11">
        <f t="shared" si="146"/>
        <v>0</v>
      </c>
      <c r="M1511" s="131"/>
      <c r="N1511" s="18">
        <v>46101</v>
      </c>
      <c r="O1511" s="93">
        <v>46108</v>
      </c>
    </row>
    <row r="1512" spans="1:15" x14ac:dyDescent="0.25">
      <c r="A1512" s="11">
        <f t="shared" ca="1" si="144"/>
        <v>-47</v>
      </c>
      <c r="C1512" s="11" t="s">
        <v>260</v>
      </c>
      <c r="D1512" s="11" t="str">
        <f>VLOOKUP(VALUE(MID($C1512,13,2)), codigos!$A$2:$B$60, 2, 1) &amp; " " &amp; VLOOKUP(VALUE(MID($C1512,15,4)), codigos!$E$2:$F$102, 2, FALSE)</f>
        <v>OLLA RECTA 20</v>
      </c>
      <c r="E1512" s="11" t="str">
        <f>VLOOKUP(VALUE(MID($C1512,19,2)),codigos!$H$2:$I$62,2,1) &amp; " " &amp; VLOOKUP(VALUE(MID($C1512,21,2)),codigos!$K$2:$L$12,2,FALSE)</f>
        <v>A/T S/I</v>
      </c>
      <c r="F1512" s="11" t="s">
        <v>1376</v>
      </c>
      <c r="G1512" s="11" t="s">
        <v>11</v>
      </c>
      <c r="H1512" s="52" t="s">
        <v>1372</v>
      </c>
      <c r="I1512" s="20" t="s">
        <v>1373</v>
      </c>
      <c r="J1512" s="11">
        <v>12</v>
      </c>
      <c r="K1512" s="11">
        <v>12</v>
      </c>
      <c r="L1512" s="11">
        <f t="shared" si="146"/>
        <v>0</v>
      </c>
      <c r="M1512" s="131"/>
      <c r="N1512" s="18">
        <v>46101</v>
      </c>
      <c r="O1512" s="93">
        <v>46108</v>
      </c>
    </row>
    <row r="1513" spans="1:15" x14ac:dyDescent="0.25">
      <c r="A1513" s="11">
        <f t="shared" ca="1" si="144"/>
        <v>-47</v>
      </c>
      <c r="C1513" s="11" t="s">
        <v>237</v>
      </c>
      <c r="D1513" s="11" t="str">
        <f>VLOOKUP(VALUE(MID($C1513,13,2)), codigos!$A$2:$B$60, 2, 1) &amp; " " &amp; VLOOKUP(VALUE(MID($C1513,15,4)), codigos!$E$2:$F$102, 2, FALSE)</f>
        <v>OLLA RECTA 24</v>
      </c>
      <c r="E1513" s="11" t="str">
        <f>VLOOKUP(VALUE(MID($C1513,19,2)),codigos!$H$2:$I$62,2,1) &amp; " " &amp; VLOOKUP(VALUE(MID($C1513,21,2)),codigos!$K$2:$L$12,2,FALSE)</f>
        <v>A/T S/I</v>
      </c>
      <c r="F1513" s="11" t="s">
        <v>1376</v>
      </c>
      <c r="G1513" s="11" t="s">
        <v>11</v>
      </c>
      <c r="H1513" s="52" t="s">
        <v>1372</v>
      </c>
      <c r="I1513" s="20" t="s">
        <v>1373</v>
      </c>
      <c r="J1513" s="11">
        <v>6</v>
      </c>
      <c r="K1513" s="11">
        <v>6</v>
      </c>
      <c r="L1513" s="11">
        <f t="shared" si="146"/>
        <v>0</v>
      </c>
      <c r="M1513" s="131"/>
      <c r="N1513" s="18">
        <v>46101</v>
      </c>
      <c r="O1513" s="93">
        <v>46108</v>
      </c>
    </row>
    <row r="1514" spans="1:15" x14ac:dyDescent="0.25">
      <c r="A1514" s="11">
        <f t="shared" ca="1" si="144"/>
        <v>-47</v>
      </c>
      <c r="C1514" s="11" t="s">
        <v>155</v>
      </c>
      <c r="D1514" s="11" t="str">
        <f>VLOOKUP(VALUE(MID($C1514,13,2)), codigos!$A$2:$B$60, 2, 1) &amp; " " &amp; VLOOKUP(VALUE(MID($C1514,15,4)), codigos!$E$2:$F$102, 2, FALSE)</f>
        <v>OLLA RECTA 30</v>
      </c>
      <c r="E1514" s="11" t="str">
        <f>VLOOKUP(VALUE(MID($C1514,19,2)),codigos!$H$2:$I$62,2,1) &amp; " " &amp; VLOOKUP(VALUE(MID($C1514,21,2)),codigos!$K$2:$L$12,2,FALSE)</f>
        <v>A/T S/I</v>
      </c>
      <c r="F1514" s="11" t="s">
        <v>1376</v>
      </c>
      <c r="G1514" s="11" t="s">
        <v>11</v>
      </c>
      <c r="H1514" s="52" t="s">
        <v>1372</v>
      </c>
      <c r="I1514" s="20" t="s">
        <v>1373</v>
      </c>
      <c r="J1514" s="11">
        <v>4</v>
      </c>
      <c r="K1514" s="11">
        <v>4</v>
      </c>
      <c r="L1514" s="11">
        <f t="shared" si="146"/>
        <v>0</v>
      </c>
      <c r="M1514" s="131"/>
      <c r="N1514" s="18">
        <v>46101</v>
      </c>
      <c r="O1514" s="93">
        <v>46108</v>
      </c>
    </row>
    <row r="1515" spans="1:15" x14ac:dyDescent="0.25">
      <c r="A1515" s="11">
        <f t="shared" ca="1" si="144"/>
        <v>-47</v>
      </c>
      <c r="C1515" s="11" t="s">
        <v>226</v>
      </c>
      <c r="D1515" s="11" t="str">
        <f>VLOOKUP(VALUE(MID($C1515,13,2)), codigos!$A$2:$B$60, 2, 1) &amp; " " &amp; VLOOKUP(VALUE(MID($C1515,15,4)), codigos!$E$2:$F$102, 2, FALSE)</f>
        <v>POCILLO 10</v>
      </c>
      <c r="E1515" s="11" t="str">
        <f>VLOOKUP(VALUE(MID($C1515,19,2)),codigos!$H$2:$I$62,2,1) &amp; " " &amp; VLOOKUP(VALUE(MID($C1515,21,2)),codigos!$K$2:$L$12,2,FALSE)</f>
        <v>A/T S/I</v>
      </c>
      <c r="F1515" s="11" t="s">
        <v>1376</v>
      </c>
      <c r="G1515" s="11" t="s">
        <v>11</v>
      </c>
      <c r="H1515" s="52" t="s">
        <v>1372</v>
      </c>
      <c r="I1515" s="20" t="s">
        <v>1373</v>
      </c>
      <c r="J1515" s="11">
        <v>48</v>
      </c>
      <c r="K1515" s="11">
        <v>48</v>
      </c>
      <c r="L1515" s="11">
        <f t="shared" si="146"/>
        <v>0</v>
      </c>
      <c r="M1515" s="131"/>
      <c r="N1515" s="18">
        <v>46101</v>
      </c>
      <c r="O1515" s="93">
        <v>46108</v>
      </c>
    </row>
    <row r="1516" spans="1:15" x14ac:dyDescent="0.25">
      <c r="A1516" s="11">
        <f t="shared" ca="1" si="144"/>
        <v>-47</v>
      </c>
      <c r="C1516" s="11" t="s">
        <v>180</v>
      </c>
      <c r="D1516" s="11" t="str">
        <f>VLOOKUP(VALUE(MID($C1516,13,2)), codigos!$A$2:$B$60, 2, 1) &amp; " " &amp; VLOOKUP(VALUE(MID($C1516,15,4)), codigos!$E$2:$F$102, 2, FALSE)</f>
        <v>POCILLO 12</v>
      </c>
      <c r="E1516" s="11" t="str">
        <f>VLOOKUP(VALUE(MID($C1516,19,2)),codigos!$H$2:$I$62,2,1) &amp; " " &amp; VLOOKUP(VALUE(MID($C1516,21,2)),codigos!$K$2:$L$12,2,FALSE)</f>
        <v>A/T S/I</v>
      </c>
      <c r="F1516" s="11" t="s">
        <v>1376</v>
      </c>
      <c r="G1516" s="11" t="s">
        <v>11</v>
      </c>
      <c r="H1516" s="52" t="s">
        <v>1372</v>
      </c>
      <c r="I1516" s="20" t="s">
        <v>1373</v>
      </c>
      <c r="J1516" s="11">
        <v>36</v>
      </c>
      <c r="K1516" s="11">
        <v>36</v>
      </c>
      <c r="L1516" s="11">
        <f t="shared" si="146"/>
        <v>0</v>
      </c>
      <c r="M1516" s="131"/>
      <c r="N1516" s="18">
        <v>46101</v>
      </c>
      <c r="O1516" s="93">
        <v>46108</v>
      </c>
    </row>
    <row r="1517" spans="1:15" x14ac:dyDescent="0.25">
      <c r="A1517" s="11">
        <f t="shared" ca="1" si="144"/>
        <v>-47</v>
      </c>
      <c r="C1517" s="11" t="s">
        <v>129</v>
      </c>
      <c r="D1517" s="11" t="str">
        <f>VLOOKUP(VALUE(MID($C1517,13,2)), codigos!$A$2:$B$60, 2, 1) &amp; " " &amp; VLOOKUP(VALUE(MID($C1517,15,4)), codigos!$E$2:$F$102, 2, FALSE)</f>
        <v>POCILLO 14</v>
      </c>
      <c r="E1517" s="11" t="str">
        <f>VLOOKUP(VALUE(MID($C1517,19,2)),codigos!$H$2:$I$62,2,1) &amp; " " &amp; VLOOKUP(VALUE(MID($C1517,21,2)),codigos!$K$2:$L$12,2,FALSE)</f>
        <v>BICOLOR NARANJA S/I</v>
      </c>
      <c r="F1517" s="11" t="s">
        <v>1376</v>
      </c>
      <c r="G1517" s="11" t="s">
        <v>11</v>
      </c>
      <c r="H1517" s="52" t="s">
        <v>1372</v>
      </c>
      <c r="I1517" s="20" t="s">
        <v>1373</v>
      </c>
      <c r="J1517" s="11">
        <v>18</v>
      </c>
      <c r="K1517" s="11">
        <f>18-12+12</f>
        <v>18</v>
      </c>
      <c r="L1517" s="11">
        <f t="shared" si="146"/>
        <v>0</v>
      </c>
      <c r="M1517" s="131"/>
      <c r="N1517" s="18">
        <v>46101</v>
      </c>
      <c r="O1517" s="93">
        <v>46108</v>
      </c>
    </row>
    <row r="1518" spans="1:15" x14ac:dyDescent="0.25">
      <c r="A1518" s="11">
        <f t="shared" ca="1" si="144"/>
        <v>-47</v>
      </c>
      <c r="C1518" s="11" t="s">
        <v>130</v>
      </c>
      <c r="D1518" s="11" t="str">
        <f>VLOOKUP(VALUE(MID($C1518,13,2)), codigos!$A$2:$B$60, 2, 1) &amp; " " &amp; VLOOKUP(VALUE(MID($C1518,15,4)), codigos!$E$2:$F$102, 2, FALSE)</f>
        <v>POCILLO 14</v>
      </c>
      <c r="E1518" s="11" t="str">
        <f>VLOOKUP(VALUE(MID($C1518,19,2)),codigos!$H$2:$I$62,2,1) &amp; " " &amp; VLOOKUP(VALUE(MID($C1518,21,2)),codigos!$K$2:$L$12,2,FALSE)</f>
        <v>BICOLOR ROJO S/I</v>
      </c>
      <c r="F1518" s="11" t="s">
        <v>1376</v>
      </c>
      <c r="G1518" s="11" t="s">
        <v>11</v>
      </c>
      <c r="H1518" s="52" t="s">
        <v>1372</v>
      </c>
      <c r="I1518" s="20" t="s">
        <v>1373</v>
      </c>
      <c r="J1518" s="11">
        <v>24</v>
      </c>
      <c r="K1518" s="11">
        <v>24</v>
      </c>
      <c r="L1518" s="11">
        <f t="shared" si="146"/>
        <v>0</v>
      </c>
      <c r="M1518" s="131"/>
      <c r="N1518" s="18">
        <v>46101</v>
      </c>
      <c r="O1518" s="93">
        <v>46108</v>
      </c>
    </row>
    <row r="1519" spans="1:15" x14ac:dyDescent="0.25">
      <c r="A1519" s="11">
        <f t="shared" ca="1" si="144"/>
        <v>-66</v>
      </c>
      <c r="C1519" s="11" t="s">
        <v>211</v>
      </c>
      <c r="D1519" s="11" t="str">
        <f>VLOOKUP(VALUE(MID($C1519,13,2)), codigos!$A$2:$B$60, 2, 1) &amp; " " &amp; VLOOKUP(VALUE(MID($C1519,15,4)), codigos!$E$2:$F$102, 2, FALSE)</f>
        <v>BAÑO 10</v>
      </c>
      <c r="E1519" s="11" t="str">
        <f>VLOOKUP(VALUE(MID($C1519,19,2)),codigos!$H$2:$I$62,2,1) &amp; " " &amp; VLOOKUP(VALUE(MID($C1519,21,2)),codigos!$K$2:$L$12,2,FALSE)</f>
        <v>GALVANIZADO S/I</v>
      </c>
      <c r="F1519" s="11" t="s">
        <v>597</v>
      </c>
      <c r="G1519" s="11" t="s">
        <v>34</v>
      </c>
      <c r="H1519" s="52" t="s">
        <v>1336</v>
      </c>
      <c r="I1519" s="11" t="s">
        <v>1263</v>
      </c>
      <c r="J1519" s="25">
        <v>30</v>
      </c>
      <c r="K1519" s="25">
        <v>30</v>
      </c>
      <c r="L1519" s="15">
        <f>+J1519-K1519</f>
        <v>0</v>
      </c>
      <c r="M1519" s="131">
        <f>(SUM(K1519:K1520))/(SUM(J1519:J1520))</f>
        <v>1</v>
      </c>
      <c r="N1519" s="126">
        <v>46101</v>
      </c>
      <c r="O1519" s="93">
        <v>46108</v>
      </c>
    </row>
    <row r="1520" spans="1:15" x14ac:dyDescent="0.25">
      <c r="A1520" s="11">
        <f t="shared" ca="1" si="144"/>
        <v>-66</v>
      </c>
      <c r="C1520" s="11" t="s">
        <v>212</v>
      </c>
      <c r="D1520" s="11" t="str">
        <f>VLOOKUP(VALUE(MID($C1520,13,2)), codigos!$A$2:$B$60, 2, 1) &amp; " " &amp; VLOOKUP(VALUE(MID($C1520,15,4)), codigos!$E$2:$F$102, 2, FALSE)</f>
        <v>BAÑO 12</v>
      </c>
      <c r="E1520" s="11" t="str">
        <f>VLOOKUP(VALUE(MID($C1520,19,2)),codigos!$H$2:$I$62,2,1) &amp; " " &amp; VLOOKUP(VALUE(MID($C1520,21,2)),codigos!$K$2:$L$12,2,FALSE)</f>
        <v>GALVANIZADO S/I</v>
      </c>
      <c r="F1520" s="11" t="s">
        <v>597</v>
      </c>
      <c r="G1520" s="11" t="s">
        <v>34</v>
      </c>
      <c r="H1520" s="52" t="s">
        <v>1336</v>
      </c>
      <c r="I1520" s="11" t="s">
        <v>1263</v>
      </c>
      <c r="J1520" s="25">
        <v>5</v>
      </c>
      <c r="K1520" s="25">
        <v>5</v>
      </c>
      <c r="L1520" s="15">
        <f>+J1520-K1520</f>
        <v>0</v>
      </c>
      <c r="M1520" s="131"/>
      <c r="N1520" s="126">
        <v>46101</v>
      </c>
      <c r="O1520" s="93">
        <v>46108</v>
      </c>
    </row>
    <row r="1521" spans="1:15" x14ac:dyDescent="0.25">
      <c r="A1521" s="11">
        <f t="shared" ca="1" si="144"/>
        <v>-5</v>
      </c>
      <c r="C1521" s="11" t="s">
        <v>1586</v>
      </c>
      <c r="D1521" s="11" t="str">
        <f>VLOOKUP(VALUE(MID($C1521,13,2)), codigos!$A$2:$B$60, 2, 1) &amp; " " &amp; VLOOKUP(VALUE(MID($C1521,15,4)), codigos!$E$2:$F$102, 2, FALSE)</f>
        <v>VAJILLA LAVANDA</v>
      </c>
      <c r="E1521" s="11" t="str">
        <f>VLOOKUP(VALUE(MID($C1521,19,2)),codigos!$H$2:$I$62,2,1) &amp; " " &amp; VLOOKUP(VALUE(MID($C1521,21,2)),codigos!$K$2:$L$12,2,FALSE)</f>
        <v>S/I S/I</v>
      </c>
      <c r="F1521" s="11" t="s">
        <v>1222</v>
      </c>
      <c r="G1521" s="11" t="s">
        <v>140</v>
      </c>
      <c r="H1521" s="52" t="s">
        <v>409</v>
      </c>
      <c r="I1521" s="11" t="s">
        <v>1587</v>
      </c>
      <c r="J1521" s="25">
        <v>1</v>
      </c>
      <c r="K1521" s="25">
        <v>1</v>
      </c>
      <c r="L1521" s="15">
        <f>+J1521-K1521</f>
        <v>0</v>
      </c>
      <c r="M1521" s="88">
        <f>(SUM(K1521))/(SUM(J1521))</f>
        <v>1</v>
      </c>
      <c r="N1521" s="126">
        <v>46104</v>
      </c>
      <c r="O1521" s="15"/>
    </row>
    <row r="1522" spans="1:15" x14ac:dyDescent="0.25">
      <c r="A1522" s="11">
        <f t="shared" ca="1" si="144"/>
        <v>-4</v>
      </c>
      <c r="C1522" s="11" t="s">
        <v>249</v>
      </c>
      <c r="D1522" s="11" t="str">
        <f>VLOOKUP(VALUE(MID($C1522,13,2)), codigos!$A$2:$B$60, 2, 1) &amp; " " &amp; VLOOKUP(VALUE(MID($C1522,15,4)), codigos!$E$2:$F$102, 2, FALSE)</f>
        <v>PLATO OVAL 32</v>
      </c>
      <c r="E1522" s="11" t="str">
        <f>VLOOKUP(VALUE(MID($C1522,19,2)),codigos!$H$2:$I$62,2,1) &amp; " " &amp; VLOOKUP(VALUE(MID($C1522,21,2)),codigos!$K$2:$L$12,2,FALSE)</f>
        <v>BLANCO  NEGRO</v>
      </c>
      <c r="F1522" s="11" t="s">
        <v>365</v>
      </c>
      <c r="G1522" s="11" t="s">
        <v>140</v>
      </c>
      <c r="H1522" s="52" t="s">
        <v>436</v>
      </c>
      <c r="I1522" s="14">
        <v>46105</v>
      </c>
      <c r="J1522" s="11">
        <v>24</v>
      </c>
      <c r="K1522" s="20">
        <v>24</v>
      </c>
      <c r="L1522" s="15">
        <f t="shared" ref="L1522:L1552" si="147">+J1522-K1522</f>
        <v>0</v>
      </c>
      <c r="M1522" s="131">
        <f>(SUM(K1522:K1523))/(SUM(J1522:J1523))</f>
        <v>1</v>
      </c>
      <c r="N1522" s="11"/>
      <c r="O1522" s="15"/>
    </row>
    <row r="1523" spans="1:15" x14ac:dyDescent="0.25">
      <c r="A1523" s="11">
        <f t="shared" ca="1" si="144"/>
        <v>-4</v>
      </c>
      <c r="C1523" s="11" t="s">
        <v>308</v>
      </c>
      <c r="D1523" s="11" t="str">
        <f>VLOOKUP(VALUE(MID($C1523,13,2)), codigos!$A$2:$B$60, 2, 1) &amp; " " &amp; VLOOKUP(VALUE(MID($C1523,15,4)), codigos!$E$2:$F$102, 2, FALSE)</f>
        <v>PLATO OVAL 28</v>
      </c>
      <c r="E1523" s="11" t="str">
        <f>VLOOKUP(VALUE(MID($C1523,19,2)),codigos!$H$2:$I$62,2,1) &amp; " " &amp; VLOOKUP(VALUE(MID($C1523,21,2)),codigos!$K$2:$L$12,2,FALSE)</f>
        <v>BLANCO  NEGRO</v>
      </c>
      <c r="F1523" s="11" t="s">
        <v>365</v>
      </c>
      <c r="G1523" s="11" t="s">
        <v>140</v>
      </c>
      <c r="H1523" s="52" t="s">
        <v>436</v>
      </c>
      <c r="I1523" s="14">
        <v>46105</v>
      </c>
      <c r="J1523" s="11">
        <v>18</v>
      </c>
      <c r="K1523" s="20">
        <v>18</v>
      </c>
      <c r="L1523" s="15">
        <f t="shared" si="147"/>
        <v>0</v>
      </c>
      <c r="M1523" s="131"/>
      <c r="N1523" s="11"/>
      <c r="O1523" s="15"/>
    </row>
    <row r="1524" spans="1:15" x14ac:dyDescent="0.25">
      <c r="A1524" s="11">
        <f t="shared" ca="1" si="144"/>
        <v>-4</v>
      </c>
      <c r="C1524" s="11" t="s">
        <v>55</v>
      </c>
      <c r="D1524" s="11" t="str">
        <f>VLOOKUP(VALUE(MID($C1524,13,2)), codigos!$A$2:$B$60, 2, 1) &amp; " " &amp; VLOOKUP(VALUE(MID($C1524,15,4)), codigos!$E$2:$F$102, 2, FALSE)</f>
        <v>POCILLO 5</v>
      </c>
      <c r="E1524" s="11" t="str">
        <f>VLOOKUP(VALUE(MID($C1524,19,2)),codigos!$H$2:$I$62,2,1) &amp; " " &amp; VLOOKUP(VALUE(MID($C1524,21,2)),codigos!$K$2:$L$12,2,FALSE)</f>
        <v>NEGRO MOTAS S/I</v>
      </c>
      <c r="F1524" s="11" t="s">
        <v>365</v>
      </c>
      <c r="G1524" s="11" t="s">
        <v>140</v>
      </c>
      <c r="H1524" s="52" t="s">
        <v>436</v>
      </c>
      <c r="I1524" s="14">
        <v>46105</v>
      </c>
      <c r="J1524" s="11">
        <v>96</v>
      </c>
      <c r="K1524" s="20">
        <v>96</v>
      </c>
      <c r="L1524" s="15">
        <f t="shared" si="147"/>
        <v>0</v>
      </c>
      <c r="M1524" s="131"/>
      <c r="N1524" s="11"/>
      <c r="O1524" s="15"/>
    </row>
    <row r="1525" spans="1:15" x14ac:dyDescent="0.25">
      <c r="A1525" s="11">
        <f t="shared" ca="1" si="144"/>
        <v>-16</v>
      </c>
      <c r="C1525" s="11" t="s">
        <v>1455</v>
      </c>
      <c r="D1525" s="11" t="str">
        <f>VLOOKUP(VALUE(MID($C1525,13,2)), codigos!$A$2:$B$60, 2, 1) &amp; " " &amp; VLOOKUP(VALUE(MID($C1525,15,4)), codigos!$E$2:$F$102, 2, FALSE)</f>
        <v>OLLA CONVEXA 14</v>
      </c>
      <c r="E1525" s="11" t="str">
        <f>VLOOKUP(VALUE(MID($C1525,19,2)),codigos!$H$2:$I$62,2,1) &amp; " " &amp; VLOOKUP(VALUE(MID($C1525,21,2)),codigos!$K$2:$L$12,2,FALSE)</f>
        <v>S/I S/I</v>
      </c>
      <c r="F1525" s="11" t="s">
        <v>570</v>
      </c>
      <c r="G1525" s="11" t="s">
        <v>11</v>
      </c>
      <c r="H1525" s="52" t="s">
        <v>1554</v>
      </c>
      <c r="I1525" s="20" t="s">
        <v>1555</v>
      </c>
      <c r="J1525" s="11">
        <v>144</v>
      </c>
      <c r="K1525" s="11">
        <f>0</f>
        <v>0</v>
      </c>
      <c r="L1525" s="11">
        <f t="shared" si="147"/>
        <v>144</v>
      </c>
      <c r="M1525" s="131">
        <f>(SUM(K1525:K1538))/(SUM(J1525:J1538))</f>
        <v>0.75210084033613445</v>
      </c>
      <c r="N1525" s="126">
        <v>46106</v>
      </c>
      <c r="O1525" s="15"/>
    </row>
    <row r="1526" spans="1:15" x14ac:dyDescent="0.25">
      <c r="A1526" s="11">
        <f t="shared" ca="1" si="144"/>
        <v>-16</v>
      </c>
      <c r="C1526" s="11" t="s">
        <v>1345</v>
      </c>
      <c r="D1526" s="11" t="str">
        <f>VLOOKUP(VALUE(MID($C1526,13,2)), codigos!$A$2:$B$60, 2, 1) &amp; " " &amp; VLOOKUP(VALUE(MID($C1526,15,4)), codigos!$E$2:$F$102, 2, FALSE)</f>
        <v>OLLA CONVEXA 16</v>
      </c>
      <c r="E1526" s="11" t="str">
        <f>VLOOKUP(VALUE(MID($C1526,19,2)),codigos!$H$2:$I$62,2,1) &amp; " " &amp; VLOOKUP(VALUE(MID($C1526,21,2)),codigos!$K$2:$L$12,2,FALSE)</f>
        <v>S/I S/I</v>
      </c>
      <c r="F1526" s="11" t="s">
        <v>570</v>
      </c>
      <c r="G1526" s="11" t="s">
        <v>11</v>
      </c>
      <c r="H1526" s="52" t="s">
        <v>1554</v>
      </c>
      <c r="I1526" s="20" t="s">
        <v>1555</v>
      </c>
      <c r="J1526" s="11">
        <v>96</v>
      </c>
      <c r="K1526" s="11">
        <f>0</f>
        <v>0</v>
      </c>
      <c r="L1526" s="11">
        <f t="shared" si="147"/>
        <v>96</v>
      </c>
      <c r="M1526" s="131"/>
      <c r="N1526" s="126">
        <v>46106</v>
      </c>
      <c r="O1526" s="15"/>
    </row>
    <row r="1527" spans="1:15" x14ac:dyDescent="0.25">
      <c r="A1527" s="11">
        <f t="shared" ca="1" si="144"/>
        <v>-16</v>
      </c>
      <c r="C1527" s="11" t="s">
        <v>1456</v>
      </c>
      <c r="D1527" s="11" t="str">
        <f>VLOOKUP(VALUE(MID($C1527,13,2)), codigos!$A$2:$B$60, 2, 1) &amp; " " &amp; VLOOKUP(VALUE(MID($C1527,15,4)), codigos!$E$2:$F$102, 2, FALSE)</f>
        <v>OLLA CONVEXA 18</v>
      </c>
      <c r="E1527" s="11" t="str">
        <f>VLOOKUP(VALUE(MID($C1527,19,2)),codigos!$H$2:$I$62,2,1) &amp; " " &amp; VLOOKUP(VALUE(MID($C1527,21,2)),codigos!$K$2:$L$12,2,FALSE)</f>
        <v>S/I S/I</v>
      </c>
      <c r="F1527" s="11" t="s">
        <v>570</v>
      </c>
      <c r="G1527" s="11" t="s">
        <v>11</v>
      </c>
      <c r="H1527" s="52" t="s">
        <v>1554</v>
      </c>
      <c r="I1527" s="20" t="s">
        <v>1555</v>
      </c>
      <c r="J1527" s="11">
        <v>96</v>
      </c>
      <c r="K1527" s="11">
        <f>96</f>
        <v>96</v>
      </c>
      <c r="L1527" s="11">
        <f t="shared" si="147"/>
        <v>0</v>
      </c>
      <c r="M1527" s="131"/>
      <c r="N1527" s="126">
        <v>46106</v>
      </c>
      <c r="O1527" s="15"/>
    </row>
    <row r="1528" spans="1:15" x14ac:dyDescent="0.25">
      <c r="A1528" s="11">
        <f t="shared" ref="A1528:A1591" ca="1" si="148">DAYS360($B$1,I1528)</f>
        <v>-16</v>
      </c>
      <c r="C1528" s="11" t="s">
        <v>1346</v>
      </c>
      <c r="D1528" s="11" t="str">
        <f>VLOOKUP(VALUE(MID($C1528,13,2)), codigos!$A$2:$B$60, 2, 1) &amp; " " &amp; VLOOKUP(VALUE(MID($C1528,15,4)), codigos!$E$2:$F$102, 2, FALSE)</f>
        <v>OLLA CONVEXA 20</v>
      </c>
      <c r="E1528" s="11" t="str">
        <f>VLOOKUP(VALUE(MID($C1528,19,2)),codigos!$H$2:$I$62,2,1) &amp; " " &amp; VLOOKUP(VALUE(MID($C1528,21,2)),codigos!$K$2:$L$12,2,FALSE)</f>
        <v>S/I S/I</v>
      </c>
      <c r="F1528" s="11" t="s">
        <v>570</v>
      </c>
      <c r="G1528" s="11" t="s">
        <v>11</v>
      </c>
      <c r="H1528" s="52" t="s">
        <v>1554</v>
      </c>
      <c r="I1528" s="20" t="s">
        <v>1555</v>
      </c>
      <c r="J1528" s="11">
        <v>60</v>
      </c>
      <c r="K1528" s="11">
        <f>60</f>
        <v>60</v>
      </c>
      <c r="L1528" s="11">
        <f t="shared" si="147"/>
        <v>0</v>
      </c>
      <c r="M1528" s="131"/>
      <c r="N1528" s="126">
        <v>46106</v>
      </c>
      <c r="O1528" s="15"/>
    </row>
    <row r="1529" spans="1:15" x14ac:dyDescent="0.25">
      <c r="A1529" s="11">
        <f t="shared" ca="1" si="148"/>
        <v>-16</v>
      </c>
      <c r="C1529" s="11" t="s">
        <v>1346</v>
      </c>
      <c r="D1529" s="11" t="str">
        <f>VLOOKUP(VALUE(MID($C1529,13,2)), codigos!$A$2:$B$60, 2, 1) &amp; " " &amp; VLOOKUP(VALUE(MID($C1529,15,4)), codigos!$E$2:$F$102, 2, FALSE)</f>
        <v>OLLA CONVEXA 20</v>
      </c>
      <c r="E1529" s="11" t="str">
        <f>VLOOKUP(VALUE(MID($C1529,19,2)),codigos!$H$2:$I$62,2,1) &amp; " " &amp; VLOOKUP(VALUE(MID($C1529,21,2)),codigos!$K$2:$L$12,2,FALSE)</f>
        <v>S/I S/I</v>
      </c>
      <c r="F1529" s="11" t="s">
        <v>570</v>
      </c>
      <c r="G1529" s="11" t="s">
        <v>11</v>
      </c>
      <c r="H1529" s="52" t="s">
        <v>1554</v>
      </c>
      <c r="I1529" s="20" t="s">
        <v>1555</v>
      </c>
      <c r="J1529" s="11">
        <v>96</v>
      </c>
      <c r="K1529" s="11">
        <f>96</f>
        <v>96</v>
      </c>
      <c r="L1529" s="11">
        <f t="shared" si="147"/>
        <v>0</v>
      </c>
      <c r="M1529" s="131"/>
      <c r="N1529" s="126">
        <v>46106</v>
      </c>
      <c r="O1529" s="15"/>
    </row>
    <row r="1530" spans="1:15" x14ac:dyDescent="0.25">
      <c r="A1530" s="11">
        <f t="shared" ca="1" si="148"/>
        <v>-16</v>
      </c>
      <c r="C1530" s="11" t="s">
        <v>1348</v>
      </c>
      <c r="D1530" s="11" t="str">
        <f>VLOOKUP(VALUE(MID($C1530,13,2)), codigos!$A$2:$B$60, 2, 1) &amp; " " &amp; VLOOKUP(VALUE(MID($C1530,15,4)), codigos!$E$2:$F$102, 2, FALSE)</f>
        <v>OLLA CONVEXA 24</v>
      </c>
      <c r="E1530" s="11" t="str">
        <f>VLOOKUP(VALUE(MID($C1530,19,2)),codigos!$H$2:$I$62,2,1) &amp; " " &amp; VLOOKUP(VALUE(MID($C1530,21,2)),codigos!$K$2:$L$12,2,FALSE)</f>
        <v>S/I S/I</v>
      </c>
      <c r="F1530" s="11" t="s">
        <v>570</v>
      </c>
      <c r="G1530" s="11" t="s">
        <v>11</v>
      </c>
      <c r="H1530" s="52" t="s">
        <v>1554</v>
      </c>
      <c r="I1530" s="20" t="s">
        <v>1555</v>
      </c>
      <c r="J1530" s="11">
        <v>60</v>
      </c>
      <c r="K1530" s="11">
        <f>42</f>
        <v>42</v>
      </c>
      <c r="L1530" s="11">
        <f t="shared" si="147"/>
        <v>18</v>
      </c>
      <c r="M1530" s="131"/>
      <c r="N1530" s="126">
        <v>46106</v>
      </c>
      <c r="O1530" s="15"/>
    </row>
    <row r="1531" spans="1:15" x14ac:dyDescent="0.25">
      <c r="A1531" s="11">
        <f t="shared" ca="1" si="148"/>
        <v>-16</v>
      </c>
      <c r="C1531" s="11" t="s">
        <v>1458</v>
      </c>
      <c r="D1531" s="11" t="str">
        <f>VLOOKUP(VALUE(MID($C1531,13,2)), codigos!$A$2:$B$60, 2, 1) &amp; " " &amp; VLOOKUP(VALUE(MID($C1531,15,4)), codigos!$E$2:$F$102, 2, FALSE)</f>
        <v>OLLA RECTA 14</v>
      </c>
      <c r="E1531" s="11" t="str">
        <f>VLOOKUP(VALUE(MID($C1531,19,2)),codigos!$H$2:$I$62,2,1) &amp; " " &amp; VLOOKUP(VALUE(MID($C1531,21,2)),codigos!$K$2:$L$12,2,FALSE)</f>
        <v>S/I S/I</v>
      </c>
      <c r="F1531" s="11" t="s">
        <v>570</v>
      </c>
      <c r="G1531" s="11" t="s">
        <v>11</v>
      </c>
      <c r="H1531" s="52" t="s">
        <v>1554</v>
      </c>
      <c r="I1531" s="20" t="s">
        <v>1555</v>
      </c>
      <c r="J1531" s="11">
        <v>144</v>
      </c>
      <c r="K1531" s="11">
        <f>144</f>
        <v>144</v>
      </c>
      <c r="L1531" s="11">
        <f t="shared" si="147"/>
        <v>0</v>
      </c>
      <c r="M1531" s="131"/>
      <c r="N1531" s="126">
        <v>46106</v>
      </c>
      <c r="O1531" s="15"/>
    </row>
    <row r="1532" spans="1:15" x14ac:dyDescent="0.25">
      <c r="A1532" s="11">
        <f t="shared" ca="1" si="148"/>
        <v>-16</v>
      </c>
      <c r="C1532" s="11" t="s">
        <v>1459</v>
      </c>
      <c r="D1532" s="11" t="str">
        <f>VLOOKUP(VALUE(MID($C1532,13,2)), codigos!$A$2:$B$60, 2, 1) &amp; " " &amp; VLOOKUP(VALUE(MID($C1532,15,4)), codigos!$E$2:$F$102, 2, FALSE)</f>
        <v>OLLA RECTA 16</v>
      </c>
      <c r="E1532" s="11" t="str">
        <f>VLOOKUP(VALUE(MID($C1532,19,2)),codigos!$H$2:$I$62,2,1) &amp; " " &amp; VLOOKUP(VALUE(MID($C1532,21,2)),codigos!$K$2:$L$12,2,FALSE)</f>
        <v>S/I S/I</v>
      </c>
      <c r="F1532" s="11" t="s">
        <v>570</v>
      </c>
      <c r="G1532" s="11" t="s">
        <v>11</v>
      </c>
      <c r="H1532" s="52" t="s">
        <v>1554</v>
      </c>
      <c r="I1532" s="20" t="s">
        <v>1555</v>
      </c>
      <c r="J1532" s="11">
        <v>96</v>
      </c>
      <c r="K1532" s="11">
        <f>96</f>
        <v>96</v>
      </c>
      <c r="L1532" s="11">
        <f t="shared" si="147"/>
        <v>0</v>
      </c>
      <c r="M1532" s="131"/>
      <c r="N1532" s="126">
        <v>46106</v>
      </c>
      <c r="O1532" s="15"/>
    </row>
    <row r="1533" spans="1:15" x14ac:dyDescent="0.25">
      <c r="A1533" s="11">
        <f t="shared" ca="1" si="148"/>
        <v>-16</v>
      </c>
      <c r="C1533" s="11" t="s">
        <v>1460</v>
      </c>
      <c r="D1533" s="11" t="str">
        <f>VLOOKUP(VALUE(MID($C1533,13,2)), codigos!$A$2:$B$60, 2, 1) &amp; " " &amp; VLOOKUP(VALUE(MID($C1533,15,4)), codigos!$E$2:$F$102, 2, FALSE)</f>
        <v>OLLA RECTA 18</v>
      </c>
      <c r="E1533" s="11" t="str">
        <f>VLOOKUP(VALUE(MID($C1533,19,2)),codigos!$H$2:$I$62,2,1) &amp; " " &amp; VLOOKUP(VALUE(MID($C1533,21,2)),codigos!$K$2:$L$12,2,FALSE)</f>
        <v>S/I S/I</v>
      </c>
      <c r="F1533" s="11" t="s">
        <v>570</v>
      </c>
      <c r="G1533" s="11" t="s">
        <v>11</v>
      </c>
      <c r="H1533" s="52" t="s">
        <v>1554</v>
      </c>
      <c r="I1533" s="20" t="s">
        <v>1555</v>
      </c>
      <c r="J1533" s="11">
        <v>96</v>
      </c>
      <c r="K1533" s="11">
        <f>0</f>
        <v>0</v>
      </c>
      <c r="L1533" s="11">
        <f t="shared" si="147"/>
        <v>96</v>
      </c>
      <c r="M1533" s="131"/>
      <c r="N1533" s="126">
        <v>46106</v>
      </c>
      <c r="O1533" s="15"/>
    </row>
    <row r="1534" spans="1:15" x14ac:dyDescent="0.25">
      <c r="A1534" s="11">
        <f t="shared" ca="1" si="148"/>
        <v>-16</v>
      </c>
      <c r="C1534" s="11" t="s">
        <v>1461</v>
      </c>
      <c r="D1534" s="11" t="str">
        <f>VLOOKUP(VALUE(MID($C1534,13,2)), codigos!$A$2:$B$60, 2, 1) &amp; " " &amp; VLOOKUP(VALUE(MID($C1534,15,4)), codigos!$E$2:$F$102, 2, FALSE)</f>
        <v>OLLA RECTA 20</v>
      </c>
      <c r="E1534" s="11" t="str">
        <f>VLOOKUP(VALUE(MID($C1534,19,2)),codigos!$H$2:$I$62,2,1) &amp; " " &amp; VLOOKUP(VALUE(MID($C1534,21,2)),codigos!$K$2:$L$12,2,FALSE)</f>
        <v>S/I S/I</v>
      </c>
      <c r="F1534" s="11" t="s">
        <v>570</v>
      </c>
      <c r="G1534" s="11" t="s">
        <v>11</v>
      </c>
      <c r="H1534" s="52" t="s">
        <v>1554</v>
      </c>
      <c r="I1534" s="20" t="s">
        <v>1555</v>
      </c>
      <c r="J1534" s="11">
        <v>60</v>
      </c>
      <c r="K1534" s="11">
        <f>60</f>
        <v>60</v>
      </c>
      <c r="L1534" s="11">
        <f t="shared" si="147"/>
        <v>0</v>
      </c>
      <c r="M1534" s="131"/>
      <c r="N1534" s="126">
        <v>46106</v>
      </c>
      <c r="O1534" s="15"/>
    </row>
    <row r="1535" spans="1:15" x14ac:dyDescent="0.25">
      <c r="A1535" s="11">
        <f t="shared" ca="1" si="148"/>
        <v>-16</v>
      </c>
      <c r="C1535" s="11" t="s">
        <v>1556</v>
      </c>
      <c r="D1535" s="11" t="str">
        <f>VLOOKUP(VALUE(MID($C1535,13,2)), codigos!$A$2:$B$60, 2, 1) &amp; " " &amp; VLOOKUP(VALUE(MID($C1535,15,4)), codigos!$E$2:$F$102, 2, FALSE)</f>
        <v>POCILLO 8</v>
      </c>
      <c r="E1535" s="11" t="str">
        <f>VLOOKUP(VALUE(MID($C1535,19,2)),codigos!$H$2:$I$62,2,1) &amp; " " &amp; VLOOKUP(VALUE(MID($C1535,21,2)),codigos!$K$2:$L$12,2,FALSE)</f>
        <v>S/I S/I</v>
      </c>
      <c r="F1535" s="11" t="s">
        <v>570</v>
      </c>
      <c r="G1535" s="11" t="s">
        <v>11</v>
      </c>
      <c r="H1535" s="52" t="s">
        <v>1554</v>
      </c>
      <c r="I1535" s="20" t="s">
        <v>1555</v>
      </c>
      <c r="J1535" s="11">
        <v>120</v>
      </c>
      <c r="K1535" s="11">
        <f>120</f>
        <v>120</v>
      </c>
      <c r="L1535" s="11">
        <f t="shared" si="147"/>
        <v>0</v>
      </c>
      <c r="M1535" s="131"/>
      <c r="N1535" s="126">
        <v>46106</v>
      </c>
      <c r="O1535" s="15"/>
    </row>
    <row r="1536" spans="1:15" x14ac:dyDescent="0.25">
      <c r="A1536" s="11">
        <f t="shared" ca="1" si="148"/>
        <v>-16</v>
      </c>
      <c r="C1536" s="11" t="s">
        <v>1557</v>
      </c>
      <c r="D1536" s="11" t="str">
        <f>VLOOKUP(VALUE(MID($C1536,13,2)), codigos!$A$2:$B$60, 2, 1) &amp; " " &amp; VLOOKUP(VALUE(MID($C1536,15,4)), codigos!$E$2:$F$102, 2, FALSE)</f>
        <v>POCILLO 12</v>
      </c>
      <c r="E1536" s="11" t="str">
        <f>VLOOKUP(VALUE(MID($C1536,19,2)),codigos!$H$2:$I$62,2,1) &amp; " " &amp; VLOOKUP(VALUE(MID($C1536,21,2)),codigos!$K$2:$L$12,2,FALSE)</f>
        <v>S/I S/I</v>
      </c>
      <c r="F1536" s="11" t="s">
        <v>570</v>
      </c>
      <c r="G1536" s="11" t="s">
        <v>11</v>
      </c>
      <c r="H1536" s="52" t="s">
        <v>1554</v>
      </c>
      <c r="I1536" s="20" t="s">
        <v>1555</v>
      </c>
      <c r="J1536" s="11">
        <v>120</v>
      </c>
      <c r="K1536" s="11">
        <f>120</f>
        <v>120</v>
      </c>
      <c r="L1536" s="11">
        <f t="shared" si="147"/>
        <v>0</v>
      </c>
      <c r="M1536" s="131"/>
      <c r="N1536" s="126">
        <v>46106</v>
      </c>
    </row>
    <row r="1537" spans="1:14" x14ac:dyDescent="0.25">
      <c r="A1537" s="11">
        <f t="shared" ca="1" si="148"/>
        <v>-16</v>
      </c>
      <c r="C1537" s="11" t="s">
        <v>1353</v>
      </c>
      <c r="D1537" s="11" t="str">
        <f>VLOOKUP(VALUE(MID($C1537,13,2)), codigos!$A$2:$B$60, 2, 1) &amp; " " &amp; VLOOKUP(VALUE(MID($C1537,15,4)), codigos!$E$2:$F$102, 2, FALSE)</f>
        <v>POCILLO 14</v>
      </c>
      <c r="E1537" s="11" t="str">
        <f>VLOOKUP(VALUE(MID($C1537,19,2)),codigos!$H$2:$I$62,2,1) &amp; " " &amp; VLOOKUP(VALUE(MID($C1537,21,2)),codigos!$K$2:$L$12,2,FALSE)</f>
        <v>A/T S/I</v>
      </c>
      <c r="F1537" s="11" t="s">
        <v>570</v>
      </c>
      <c r="G1537" s="11" t="s">
        <v>11</v>
      </c>
      <c r="H1537" s="52" t="s">
        <v>1554</v>
      </c>
      <c r="I1537" s="20" t="s">
        <v>1555</v>
      </c>
      <c r="J1537" s="11">
        <v>120</v>
      </c>
      <c r="K1537" s="11">
        <f>120</f>
        <v>120</v>
      </c>
      <c r="L1537" s="11">
        <f t="shared" si="147"/>
        <v>0</v>
      </c>
      <c r="M1537" s="131"/>
      <c r="N1537" s="126">
        <v>46106</v>
      </c>
    </row>
    <row r="1538" spans="1:14" x14ac:dyDescent="0.25">
      <c r="A1538" s="11">
        <f t="shared" ca="1" si="148"/>
        <v>-16</v>
      </c>
      <c r="C1538" s="11" t="s">
        <v>1558</v>
      </c>
      <c r="D1538" s="11" t="str">
        <f>VLOOKUP(VALUE(MID($C1538,13,2)), codigos!$A$2:$B$60, 2, 1) &amp; " " &amp; VLOOKUP(VALUE(MID($C1538,15,4)), codigos!$E$2:$F$102, 2, FALSE)</f>
        <v>POCILLO 14</v>
      </c>
      <c r="E1538" s="11" t="str">
        <f>VLOOKUP(VALUE(MID($C1538,19,2)),codigos!$H$2:$I$62,2,1) &amp; " " &amp; VLOOKUP(VALUE(MID($C1538,21,2)),codigos!$K$2:$L$12,2,FALSE)</f>
        <v>TRIGO/CREMA S/I</v>
      </c>
      <c r="F1538" s="11" t="s">
        <v>570</v>
      </c>
      <c r="G1538" s="11" t="s">
        <v>11</v>
      </c>
      <c r="H1538" s="52" t="s">
        <v>1554</v>
      </c>
      <c r="I1538" s="20" t="s">
        <v>1555</v>
      </c>
      <c r="J1538" s="11">
        <v>120</v>
      </c>
      <c r="K1538" s="11">
        <f>120</f>
        <v>120</v>
      </c>
      <c r="L1538" s="11">
        <f t="shared" si="147"/>
        <v>0</v>
      </c>
      <c r="M1538" s="131"/>
      <c r="N1538" s="126">
        <v>46106</v>
      </c>
    </row>
    <row r="1539" spans="1:14" x14ac:dyDescent="0.25">
      <c r="A1539" s="11">
        <f t="shared" ca="1" si="148"/>
        <v>-16</v>
      </c>
      <c r="C1539" s="11" t="s">
        <v>1455</v>
      </c>
      <c r="D1539" s="11" t="str">
        <f>VLOOKUP(VALUE(MID($C1539,13,2)), codigos!$A$2:$B$60, 2, 1) &amp; " " &amp; VLOOKUP(VALUE(MID($C1539,15,4)), codigos!$E$2:$F$102, 2, FALSE)</f>
        <v>OLLA CONVEXA 14</v>
      </c>
      <c r="E1539" s="11" t="str">
        <f>VLOOKUP(VALUE(MID($C1539,19,2)),codigos!$H$2:$I$62,2,1) &amp; " " &amp; VLOOKUP(VALUE(MID($C1539,21,2)),codigos!$K$2:$L$12,2,FALSE)</f>
        <v>S/I S/I</v>
      </c>
      <c r="F1539" s="11" t="s">
        <v>568</v>
      </c>
      <c r="G1539" s="11" t="s">
        <v>11</v>
      </c>
      <c r="H1539" s="52" t="s">
        <v>1559</v>
      </c>
      <c r="I1539" s="20" t="s">
        <v>1555</v>
      </c>
      <c r="J1539" s="11">
        <v>144</v>
      </c>
      <c r="K1539" s="11">
        <f>0</f>
        <v>0</v>
      </c>
      <c r="L1539" s="11">
        <f t="shared" si="147"/>
        <v>144</v>
      </c>
      <c r="M1539" s="131">
        <f>(SUM(K1539:K1552))/(SUM(J1539:J1552))</f>
        <v>0.61344537815126055</v>
      </c>
      <c r="N1539" s="126">
        <v>46106</v>
      </c>
    </row>
    <row r="1540" spans="1:14" x14ac:dyDescent="0.25">
      <c r="A1540" s="11">
        <f t="shared" ca="1" si="148"/>
        <v>-16</v>
      </c>
      <c r="C1540" s="11" t="s">
        <v>1345</v>
      </c>
      <c r="D1540" s="11" t="str">
        <f>VLOOKUP(VALUE(MID($C1540,13,2)), codigos!$A$2:$B$60, 2, 1) &amp; " " &amp; VLOOKUP(VALUE(MID($C1540,15,4)), codigos!$E$2:$F$102, 2, FALSE)</f>
        <v>OLLA CONVEXA 16</v>
      </c>
      <c r="E1540" s="11" t="str">
        <f>VLOOKUP(VALUE(MID($C1540,19,2)),codigos!$H$2:$I$62,2,1) &amp; " " &amp; VLOOKUP(VALUE(MID($C1540,21,2)),codigos!$K$2:$L$12,2,FALSE)</f>
        <v>S/I S/I</v>
      </c>
      <c r="F1540" s="11" t="s">
        <v>568</v>
      </c>
      <c r="G1540" s="11" t="s">
        <v>11</v>
      </c>
      <c r="H1540" s="52" t="s">
        <v>1559</v>
      </c>
      <c r="I1540" s="20" t="s">
        <v>1555</v>
      </c>
      <c r="J1540" s="11">
        <v>96</v>
      </c>
      <c r="K1540" s="11">
        <f>0</f>
        <v>0</v>
      </c>
      <c r="L1540" s="11">
        <f t="shared" si="147"/>
        <v>96</v>
      </c>
      <c r="M1540" s="131"/>
      <c r="N1540" s="126">
        <v>46106</v>
      </c>
    </row>
    <row r="1541" spans="1:14" x14ac:dyDescent="0.25">
      <c r="A1541" s="11">
        <f t="shared" ca="1" si="148"/>
        <v>-16</v>
      </c>
      <c r="C1541" s="11" t="s">
        <v>1456</v>
      </c>
      <c r="D1541" s="11" t="str">
        <f>VLOOKUP(VALUE(MID($C1541,13,2)), codigos!$A$2:$B$60, 2, 1) &amp; " " &amp; VLOOKUP(VALUE(MID($C1541,15,4)), codigos!$E$2:$F$102, 2, FALSE)</f>
        <v>OLLA CONVEXA 18</v>
      </c>
      <c r="E1541" s="11" t="str">
        <f>VLOOKUP(VALUE(MID($C1541,19,2)),codigos!$H$2:$I$62,2,1) &amp; " " &amp; VLOOKUP(VALUE(MID($C1541,21,2)),codigos!$K$2:$L$12,2,FALSE)</f>
        <v>S/I S/I</v>
      </c>
      <c r="F1541" s="11" t="s">
        <v>568</v>
      </c>
      <c r="G1541" s="11" t="s">
        <v>11</v>
      </c>
      <c r="H1541" s="52" t="s">
        <v>1559</v>
      </c>
      <c r="I1541" s="20" t="s">
        <v>1555</v>
      </c>
      <c r="J1541" s="11">
        <v>96</v>
      </c>
      <c r="K1541" s="11">
        <f>96</f>
        <v>96</v>
      </c>
      <c r="L1541" s="11">
        <f t="shared" si="147"/>
        <v>0</v>
      </c>
      <c r="M1541" s="131"/>
      <c r="N1541" s="126">
        <v>46106</v>
      </c>
    </row>
    <row r="1542" spans="1:14" x14ac:dyDescent="0.25">
      <c r="A1542" s="11">
        <f t="shared" ca="1" si="148"/>
        <v>-16</v>
      </c>
      <c r="C1542" s="11" t="s">
        <v>1346</v>
      </c>
      <c r="D1542" s="11" t="str">
        <f>VLOOKUP(VALUE(MID($C1542,13,2)), codigos!$A$2:$B$60, 2, 1) &amp; " " &amp; VLOOKUP(VALUE(MID($C1542,15,4)), codigos!$E$2:$F$102, 2, FALSE)</f>
        <v>OLLA CONVEXA 20</v>
      </c>
      <c r="E1542" s="11" t="str">
        <f>VLOOKUP(VALUE(MID($C1542,19,2)),codigos!$H$2:$I$62,2,1) &amp; " " &amp; VLOOKUP(VALUE(MID($C1542,21,2)),codigos!$K$2:$L$12,2,FALSE)</f>
        <v>S/I S/I</v>
      </c>
      <c r="F1542" s="11" t="s">
        <v>568</v>
      </c>
      <c r="G1542" s="11" t="s">
        <v>11</v>
      </c>
      <c r="H1542" s="52" t="s">
        <v>1559</v>
      </c>
      <c r="I1542" s="20" t="s">
        <v>1555</v>
      </c>
      <c r="J1542" s="11">
        <v>60</v>
      </c>
      <c r="K1542" s="11">
        <f>60</f>
        <v>60</v>
      </c>
      <c r="L1542" s="11">
        <f t="shared" si="147"/>
        <v>0</v>
      </c>
      <c r="M1542" s="131"/>
      <c r="N1542" s="126">
        <v>46106</v>
      </c>
    </row>
    <row r="1543" spans="1:14" x14ac:dyDescent="0.25">
      <c r="A1543" s="11">
        <f t="shared" ca="1" si="148"/>
        <v>-16</v>
      </c>
      <c r="C1543" s="11" t="s">
        <v>1346</v>
      </c>
      <c r="D1543" s="11" t="str">
        <f>VLOOKUP(VALUE(MID($C1543,13,2)), codigos!$A$2:$B$60, 2, 1) &amp; " " &amp; VLOOKUP(VALUE(MID($C1543,15,4)), codigos!$E$2:$F$102, 2, FALSE)</f>
        <v>OLLA CONVEXA 20</v>
      </c>
      <c r="E1543" s="11" t="str">
        <f>VLOOKUP(VALUE(MID($C1543,19,2)),codigos!$H$2:$I$62,2,1) &amp; " " &amp; VLOOKUP(VALUE(MID($C1543,21,2)),codigos!$K$2:$L$12,2,FALSE)</f>
        <v>S/I S/I</v>
      </c>
      <c r="F1543" s="11" t="s">
        <v>568</v>
      </c>
      <c r="G1543" s="11" t="s">
        <v>11</v>
      </c>
      <c r="H1543" s="52" t="s">
        <v>1559</v>
      </c>
      <c r="I1543" s="20" t="s">
        <v>1555</v>
      </c>
      <c r="J1543" s="11">
        <v>96</v>
      </c>
      <c r="K1543" s="11">
        <f>96</f>
        <v>96</v>
      </c>
      <c r="L1543" s="11">
        <f t="shared" si="147"/>
        <v>0</v>
      </c>
      <c r="M1543" s="131"/>
      <c r="N1543" s="126">
        <v>46106</v>
      </c>
    </row>
    <row r="1544" spans="1:14" x14ac:dyDescent="0.25">
      <c r="A1544" s="11">
        <f t="shared" ca="1" si="148"/>
        <v>-16</v>
      </c>
      <c r="C1544" s="11" t="s">
        <v>1348</v>
      </c>
      <c r="D1544" s="11" t="str">
        <f>VLOOKUP(VALUE(MID($C1544,13,2)), codigos!$A$2:$B$60, 2, 1) &amp; " " &amp; VLOOKUP(VALUE(MID($C1544,15,4)), codigos!$E$2:$F$102, 2, FALSE)</f>
        <v>OLLA CONVEXA 24</v>
      </c>
      <c r="E1544" s="11" t="str">
        <f>VLOOKUP(VALUE(MID($C1544,19,2)),codigos!$H$2:$I$62,2,1) &amp; " " &amp; VLOOKUP(VALUE(MID($C1544,21,2)),codigos!$K$2:$L$12,2,FALSE)</f>
        <v>S/I S/I</v>
      </c>
      <c r="F1544" s="11" t="s">
        <v>568</v>
      </c>
      <c r="G1544" s="11" t="s">
        <v>11</v>
      </c>
      <c r="H1544" s="52" t="s">
        <v>1559</v>
      </c>
      <c r="I1544" s="20" t="s">
        <v>1555</v>
      </c>
      <c r="J1544" s="11">
        <v>60</v>
      </c>
      <c r="K1544" s="11">
        <v>0</v>
      </c>
      <c r="L1544" s="11">
        <f t="shared" si="147"/>
        <v>60</v>
      </c>
      <c r="M1544" s="131"/>
      <c r="N1544" s="126">
        <v>46106</v>
      </c>
    </row>
    <row r="1545" spans="1:14" x14ac:dyDescent="0.25">
      <c r="A1545" s="11">
        <f t="shared" ca="1" si="148"/>
        <v>-16</v>
      </c>
      <c r="C1545" s="11" t="s">
        <v>1458</v>
      </c>
      <c r="D1545" s="11" t="str">
        <f>VLOOKUP(VALUE(MID($C1545,13,2)), codigos!$A$2:$B$60, 2, 1) &amp; " " &amp; VLOOKUP(VALUE(MID($C1545,15,4)), codigos!$E$2:$F$102, 2, FALSE)</f>
        <v>OLLA RECTA 14</v>
      </c>
      <c r="E1545" s="11" t="str">
        <f>VLOOKUP(VALUE(MID($C1545,19,2)),codigos!$H$2:$I$62,2,1) &amp; " " &amp; VLOOKUP(VALUE(MID($C1545,21,2)),codigos!$K$2:$L$12,2,FALSE)</f>
        <v>S/I S/I</v>
      </c>
      <c r="F1545" s="11" t="s">
        <v>568</v>
      </c>
      <c r="G1545" s="11" t="s">
        <v>11</v>
      </c>
      <c r="H1545" s="52" t="s">
        <v>1559</v>
      </c>
      <c r="I1545" s="20" t="s">
        <v>1555</v>
      </c>
      <c r="J1545" s="11">
        <v>144</v>
      </c>
      <c r="K1545" s="11">
        <f>144</f>
        <v>144</v>
      </c>
      <c r="L1545" s="11">
        <f t="shared" si="147"/>
        <v>0</v>
      </c>
      <c r="M1545" s="131"/>
      <c r="N1545" s="126">
        <v>46106</v>
      </c>
    </row>
    <row r="1546" spans="1:14" x14ac:dyDescent="0.25">
      <c r="A1546" s="11">
        <f t="shared" ca="1" si="148"/>
        <v>-16</v>
      </c>
      <c r="C1546" s="11" t="s">
        <v>1459</v>
      </c>
      <c r="D1546" s="11" t="str">
        <f>VLOOKUP(VALUE(MID($C1546,13,2)), codigos!$A$2:$B$60, 2, 1) &amp; " " &amp; VLOOKUP(VALUE(MID($C1546,15,4)), codigos!$E$2:$F$102, 2, FALSE)</f>
        <v>OLLA RECTA 16</v>
      </c>
      <c r="E1546" s="11" t="str">
        <f>VLOOKUP(VALUE(MID($C1546,19,2)),codigos!$H$2:$I$62,2,1) &amp; " " &amp; VLOOKUP(VALUE(MID($C1546,21,2)),codigos!$K$2:$L$12,2,FALSE)</f>
        <v>S/I S/I</v>
      </c>
      <c r="F1546" s="11" t="s">
        <v>568</v>
      </c>
      <c r="G1546" s="11" t="s">
        <v>11</v>
      </c>
      <c r="H1546" s="52" t="s">
        <v>1559</v>
      </c>
      <c r="I1546" s="20" t="s">
        <v>1555</v>
      </c>
      <c r="J1546" s="11">
        <v>96</v>
      </c>
      <c r="K1546" s="11">
        <f>60</f>
        <v>60</v>
      </c>
      <c r="L1546" s="11">
        <f t="shared" si="147"/>
        <v>36</v>
      </c>
      <c r="M1546" s="131"/>
      <c r="N1546" s="126">
        <v>46106</v>
      </c>
    </row>
    <row r="1547" spans="1:14" x14ac:dyDescent="0.25">
      <c r="A1547" s="11">
        <f t="shared" ca="1" si="148"/>
        <v>-16</v>
      </c>
      <c r="C1547" s="11" t="s">
        <v>1460</v>
      </c>
      <c r="D1547" s="11" t="str">
        <f>VLOOKUP(VALUE(MID($C1547,13,2)), codigos!$A$2:$B$60, 2, 1) &amp; " " &amp; VLOOKUP(VALUE(MID($C1547,15,4)), codigos!$E$2:$F$102, 2, FALSE)</f>
        <v>OLLA RECTA 18</v>
      </c>
      <c r="E1547" s="11" t="str">
        <f>VLOOKUP(VALUE(MID($C1547,19,2)),codigos!$H$2:$I$62,2,1) &amp; " " &amp; VLOOKUP(VALUE(MID($C1547,21,2)),codigos!$K$2:$L$12,2,FALSE)</f>
        <v>S/I S/I</v>
      </c>
      <c r="F1547" s="11" t="s">
        <v>568</v>
      </c>
      <c r="G1547" s="11" t="s">
        <v>11</v>
      </c>
      <c r="H1547" s="52" t="s">
        <v>1559</v>
      </c>
      <c r="I1547" s="20" t="s">
        <v>1555</v>
      </c>
      <c r="J1547" s="11">
        <v>96</v>
      </c>
      <c r="K1547" s="11">
        <f>72</f>
        <v>72</v>
      </c>
      <c r="L1547" s="11">
        <f t="shared" si="147"/>
        <v>24</v>
      </c>
      <c r="M1547" s="131"/>
      <c r="N1547" s="126">
        <v>46106</v>
      </c>
    </row>
    <row r="1548" spans="1:14" x14ac:dyDescent="0.25">
      <c r="A1548" s="11">
        <f t="shared" ca="1" si="148"/>
        <v>-16</v>
      </c>
      <c r="C1548" s="11" t="s">
        <v>1461</v>
      </c>
      <c r="D1548" s="11" t="str">
        <f>VLOOKUP(VALUE(MID($C1548,13,2)), codigos!$A$2:$B$60, 2, 1) &amp; " " &amp; VLOOKUP(VALUE(MID($C1548,15,4)), codigos!$E$2:$F$102, 2, FALSE)</f>
        <v>OLLA RECTA 20</v>
      </c>
      <c r="E1548" s="11" t="str">
        <f>VLOOKUP(VALUE(MID($C1548,19,2)),codigos!$H$2:$I$62,2,1) &amp; " " &amp; VLOOKUP(VALUE(MID($C1548,21,2)),codigos!$K$2:$L$12,2,FALSE)</f>
        <v>S/I S/I</v>
      </c>
      <c r="F1548" s="11" t="s">
        <v>568</v>
      </c>
      <c r="G1548" s="11" t="s">
        <v>11</v>
      </c>
      <c r="H1548" s="52" t="s">
        <v>1559</v>
      </c>
      <c r="I1548" s="20" t="s">
        <v>1555</v>
      </c>
      <c r="J1548" s="11">
        <v>60</v>
      </c>
      <c r="K1548" s="11">
        <f>60</f>
        <v>60</v>
      </c>
      <c r="L1548" s="11">
        <f t="shared" si="147"/>
        <v>0</v>
      </c>
      <c r="M1548" s="131"/>
      <c r="N1548" s="126">
        <v>46106</v>
      </c>
    </row>
    <row r="1549" spans="1:14" x14ac:dyDescent="0.25">
      <c r="A1549" s="11">
        <f t="shared" ca="1" si="148"/>
        <v>-16</v>
      </c>
      <c r="C1549" s="11" t="s">
        <v>1556</v>
      </c>
      <c r="D1549" s="11" t="str">
        <f>VLOOKUP(VALUE(MID($C1549,13,2)), codigos!$A$2:$B$60, 2, 1) &amp; " " &amp; VLOOKUP(VALUE(MID($C1549,15,4)), codigos!$E$2:$F$102, 2, FALSE)</f>
        <v>POCILLO 8</v>
      </c>
      <c r="E1549" s="11" t="str">
        <f>VLOOKUP(VALUE(MID($C1549,19,2)),codigos!$H$2:$I$62,2,1) &amp; " " &amp; VLOOKUP(VALUE(MID($C1549,21,2)),codigos!$K$2:$L$12,2,FALSE)</f>
        <v>S/I S/I</v>
      </c>
      <c r="F1549" s="11" t="s">
        <v>568</v>
      </c>
      <c r="G1549" s="11" t="s">
        <v>11</v>
      </c>
      <c r="H1549" s="52" t="s">
        <v>1559</v>
      </c>
      <c r="I1549" s="20" t="s">
        <v>1555</v>
      </c>
      <c r="J1549" s="11">
        <v>120</v>
      </c>
      <c r="K1549" s="11">
        <f>120</f>
        <v>120</v>
      </c>
      <c r="L1549" s="11">
        <f t="shared" si="147"/>
        <v>0</v>
      </c>
      <c r="M1549" s="131"/>
      <c r="N1549" s="126">
        <v>46106</v>
      </c>
    </row>
    <row r="1550" spans="1:14" x14ac:dyDescent="0.25">
      <c r="A1550" s="11">
        <f t="shared" ca="1" si="148"/>
        <v>-16</v>
      </c>
      <c r="C1550" s="11" t="s">
        <v>1557</v>
      </c>
      <c r="D1550" s="11" t="str">
        <f>VLOOKUP(VALUE(MID($C1550,13,2)), codigos!$A$2:$B$60, 2, 1) &amp; " " &amp; VLOOKUP(VALUE(MID($C1550,15,4)), codigos!$E$2:$F$102, 2, FALSE)</f>
        <v>POCILLO 12</v>
      </c>
      <c r="E1550" s="11" t="str">
        <f>VLOOKUP(VALUE(MID($C1550,19,2)),codigos!$H$2:$I$62,2,1) &amp; " " &amp; VLOOKUP(VALUE(MID($C1550,21,2)),codigos!$K$2:$L$12,2,FALSE)</f>
        <v>S/I S/I</v>
      </c>
      <c r="F1550" s="11" t="s">
        <v>568</v>
      </c>
      <c r="G1550" s="11" t="s">
        <v>11</v>
      </c>
      <c r="H1550" s="52" t="s">
        <v>1559</v>
      </c>
      <c r="I1550" s="20" t="s">
        <v>1555</v>
      </c>
      <c r="J1550" s="11">
        <v>120</v>
      </c>
      <c r="K1550" s="11">
        <f>120</f>
        <v>120</v>
      </c>
      <c r="L1550" s="11">
        <f t="shared" si="147"/>
        <v>0</v>
      </c>
      <c r="M1550" s="131"/>
      <c r="N1550" s="126">
        <v>46106</v>
      </c>
    </row>
    <row r="1551" spans="1:14" x14ac:dyDescent="0.25">
      <c r="A1551" s="11">
        <f t="shared" ca="1" si="148"/>
        <v>-16</v>
      </c>
      <c r="C1551" s="11" t="s">
        <v>1353</v>
      </c>
      <c r="D1551" s="11" t="str">
        <f>VLOOKUP(VALUE(MID($C1551,13,2)), codigos!$A$2:$B$60, 2, 1) &amp; " " &amp; VLOOKUP(VALUE(MID($C1551,15,4)), codigos!$E$2:$F$102, 2, FALSE)</f>
        <v>POCILLO 14</v>
      </c>
      <c r="E1551" s="11" t="str">
        <f>VLOOKUP(VALUE(MID($C1551,19,2)),codigos!$H$2:$I$62,2,1) &amp; " " &amp; VLOOKUP(VALUE(MID($C1551,21,2)),codigos!$K$2:$L$12,2,FALSE)</f>
        <v>A/T S/I</v>
      </c>
      <c r="F1551" s="11" t="s">
        <v>568</v>
      </c>
      <c r="G1551" s="11" t="s">
        <v>11</v>
      </c>
      <c r="H1551" s="52" t="s">
        <v>1559</v>
      </c>
      <c r="I1551" s="20" t="s">
        <v>1555</v>
      </c>
      <c r="J1551" s="11">
        <v>120</v>
      </c>
      <c r="K1551" s="11">
        <f>18</f>
        <v>18</v>
      </c>
      <c r="L1551" s="11">
        <f t="shared" si="147"/>
        <v>102</v>
      </c>
      <c r="M1551" s="131"/>
      <c r="N1551" s="126">
        <v>46106</v>
      </c>
    </row>
    <row r="1552" spans="1:14" x14ac:dyDescent="0.25">
      <c r="A1552" s="11">
        <f t="shared" ca="1" si="148"/>
        <v>-16</v>
      </c>
      <c r="C1552" s="11" t="s">
        <v>1558</v>
      </c>
      <c r="D1552" s="11" t="str">
        <f>VLOOKUP(VALUE(MID($C1552,13,2)), codigos!$A$2:$B$60, 2, 1) &amp; " " &amp; VLOOKUP(VALUE(MID($C1552,15,4)), codigos!$E$2:$F$102, 2, FALSE)</f>
        <v>POCILLO 14</v>
      </c>
      <c r="E1552" s="11" t="str">
        <f>VLOOKUP(VALUE(MID($C1552,19,2)),codigos!$H$2:$I$62,2,1) &amp; " " &amp; VLOOKUP(VALUE(MID($C1552,21,2)),codigos!$K$2:$L$12,2,FALSE)</f>
        <v>TRIGO/CREMA S/I</v>
      </c>
      <c r="F1552" s="11" t="s">
        <v>568</v>
      </c>
      <c r="G1552" s="11" t="s">
        <v>11</v>
      </c>
      <c r="H1552" s="52" t="s">
        <v>1559</v>
      </c>
      <c r="I1552" s="20" t="s">
        <v>1555</v>
      </c>
      <c r="J1552" s="11">
        <v>120</v>
      </c>
      <c r="K1552" s="11">
        <f>30</f>
        <v>30</v>
      </c>
      <c r="L1552" s="11">
        <f t="shared" si="147"/>
        <v>90</v>
      </c>
      <c r="M1552" s="131"/>
      <c r="N1552" s="126">
        <v>46106</v>
      </c>
    </row>
    <row r="1553" spans="1:15" x14ac:dyDescent="0.25">
      <c r="A1553" s="11">
        <f t="shared" ca="1" si="148"/>
        <v>-42</v>
      </c>
      <c r="C1553" s="11" t="s">
        <v>256</v>
      </c>
      <c r="D1553" s="11" t="str">
        <f>VLOOKUP(VALUE(MID($C1553,13,2)), codigos!$A$2:$B$60, 2, 1) &amp; " " &amp; VLOOKUP(VALUE(MID($C1553,15,4)), codigos!$E$2:$F$102, 2, FALSE)</f>
        <v>BUDINERA 14</v>
      </c>
      <c r="E1553" s="11" t="str">
        <f>VLOOKUP(VALUE(MID($C1553,19,2)),codigos!$H$2:$I$62,2,1) &amp; " " &amp; VLOOKUP(VALUE(MID($C1553,21,2)),codigos!$K$2:$L$12,2,FALSE)</f>
        <v>A/T S/I</v>
      </c>
      <c r="F1553" s="11" t="s">
        <v>539</v>
      </c>
      <c r="G1553" s="11" t="s">
        <v>11</v>
      </c>
      <c r="H1553" s="52" t="s">
        <v>1388</v>
      </c>
      <c r="I1553" s="20" t="s">
        <v>1387</v>
      </c>
      <c r="J1553" s="11">
        <v>36</v>
      </c>
      <c r="K1553" s="113">
        <f>1+8+27</f>
        <v>36</v>
      </c>
      <c r="L1553" s="11">
        <f t="shared" ref="L1553:L1598" si="149">J1553-K1553</f>
        <v>0</v>
      </c>
      <c r="M1553" s="131">
        <f>(SUM(K1553:K1587))/(SUM(J1553:J1587))</f>
        <v>0.53559547571523625</v>
      </c>
      <c r="N1553" s="18">
        <v>46107</v>
      </c>
      <c r="O1553" s="93">
        <v>46108</v>
      </c>
    </row>
    <row r="1554" spans="1:15" x14ac:dyDescent="0.25">
      <c r="A1554" s="11">
        <f t="shared" ca="1" si="148"/>
        <v>-42</v>
      </c>
      <c r="C1554" s="11" t="s">
        <v>214</v>
      </c>
      <c r="D1554" s="11" t="str">
        <f>VLOOKUP(VALUE(MID($C1554,13,2)), codigos!$A$2:$B$60, 2, 1) &amp; " " &amp; VLOOKUP(VALUE(MID($C1554,15,4)), codigos!$E$2:$F$102, 2, FALSE)</f>
        <v>BUDINERA 18</v>
      </c>
      <c r="E1554" s="11" t="str">
        <f>VLOOKUP(VALUE(MID($C1554,19,2)),codigos!$H$2:$I$62,2,1) &amp; " " &amp; VLOOKUP(VALUE(MID($C1554,21,2)),codigos!$K$2:$L$12,2,FALSE)</f>
        <v>A/T S/I</v>
      </c>
      <c r="F1554" s="11" t="s">
        <v>539</v>
      </c>
      <c r="G1554" s="11" t="s">
        <v>11</v>
      </c>
      <c r="H1554" s="52" t="s">
        <v>1388</v>
      </c>
      <c r="I1554" s="20" t="s">
        <v>1387</v>
      </c>
      <c r="J1554" s="11">
        <v>54</v>
      </c>
      <c r="K1554" s="113">
        <f>5+18+7+18+4+2</f>
        <v>54</v>
      </c>
      <c r="L1554" s="11">
        <f t="shared" si="149"/>
        <v>0</v>
      </c>
      <c r="M1554" s="131"/>
      <c r="N1554" s="18">
        <v>46107</v>
      </c>
      <c r="O1554" s="93">
        <v>46108</v>
      </c>
    </row>
    <row r="1555" spans="1:15" x14ac:dyDescent="0.25">
      <c r="A1555" s="11">
        <f t="shared" ca="1" si="148"/>
        <v>-42</v>
      </c>
      <c r="C1555" s="11" t="s">
        <v>215</v>
      </c>
      <c r="D1555" s="11" t="str">
        <f>VLOOKUP(VALUE(MID($C1555,13,2)), codigos!$A$2:$B$60, 2, 1) &amp; " " &amp; VLOOKUP(VALUE(MID($C1555,15,4)), codigos!$E$2:$F$102, 2, FALSE)</f>
        <v>BUDINERA 20</v>
      </c>
      <c r="E1555" s="11" t="str">
        <f>VLOOKUP(VALUE(MID($C1555,19,2)),codigos!$H$2:$I$62,2,1) &amp; " " &amp; VLOOKUP(VALUE(MID($C1555,21,2)),codigos!$K$2:$L$12,2,FALSE)</f>
        <v>A/T S/I</v>
      </c>
      <c r="F1555" s="11" t="s">
        <v>539</v>
      </c>
      <c r="G1555" s="11" t="s">
        <v>11</v>
      </c>
      <c r="H1555" s="52" t="s">
        <v>1388</v>
      </c>
      <c r="I1555" s="20" t="s">
        <v>1387</v>
      </c>
      <c r="J1555" s="11">
        <v>36</v>
      </c>
      <c r="K1555" s="113">
        <v>36</v>
      </c>
      <c r="L1555" s="11">
        <f t="shared" si="149"/>
        <v>0</v>
      </c>
      <c r="M1555" s="131"/>
      <c r="N1555" s="18">
        <v>46107</v>
      </c>
      <c r="O1555" s="93">
        <v>46108</v>
      </c>
    </row>
    <row r="1556" spans="1:15" x14ac:dyDescent="0.25">
      <c r="A1556" s="11">
        <f t="shared" ca="1" si="148"/>
        <v>-42</v>
      </c>
      <c r="C1556" s="11" t="s">
        <v>241</v>
      </c>
      <c r="D1556" s="11" t="str">
        <f>VLOOKUP(VALUE(MID($C1556,13,2)), codigos!$A$2:$B$60, 2, 1) &amp; " " &amp; VLOOKUP(VALUE(MID($C1556,15,4)), codigos!$E$2:$F$102, 2, FALSE)</f>
        <v>BUDINERA 22</v>
      </c>
      <c r="E1556" s="11" t="str">
        <f>VLOOKUP(VALUE(MID($C1556,19,2)),codigos!$H$2:$I$62,2,1) &amp; " " &amp; VLOOKUP(VALUE(MID($C1556,21,2)),codigos!$K$2:$L$12,2,FALSE)</f>
        <v>A/T S/I</v>
      </c>
      <c r="F1556" s="11" t="s">
        <v>539</v>
      </c>
      <c r="G1556" s="11" t="s">
        <v>11</v>
      </c>
      <c r="H1556" s="52" t="s">
        <v>1388</v>
      </c>
      <c r="I1556" s="20" t="s">
        <v>1387</v>
      </c>
      <c r="J1556" s="11">
        <v>24</v>
      </c>
      <c r="K1556" s="113">
        <v>24</v>
      </c>
      <c r="L1556" s="11">
        <f t="shared" si="149"/>
        <v>0</v>
      </c>
      <c r="M1556" s="131"/>
      <c r="N1556" s="18">
        <v>46107</v>
      </c>
      <c r="O1556" s="93">
        <v>46108</v>
      </c>
    </row>
    <row r="1557" spans="1:15" x14ac:dyDescent="0.25">
      <c r="A1557" s="11">
        <f t="shared" ca="1" si="148"/>
        <v>-42</v>
      </c>
      <c r="C1557" s="11" t="s">
        <v>143</v>
      </c>
      <c r="D1557" s="11" t="str">
        <f>VLOOKUP(VALUE(MID($C1557,13,2)), codigos!$A$2:$B$60, 2, 1) &amp; " " &amp; VLOOKUP(VALUE(MID($C1557,15,4)), codigos!$E$2:$F$102, 2, FALSE)</f>
        <v>BUDINERA 24</v>
      </c>
      <c r="E1557" s="11" t="str">
        <f>VLOOKUP(VALUE(MID($C1557,19,2)),codigos!$H$2:$I$62,2,1) &amp; " " &amp; VLOOKUP(VALUE(MID($C1557,21,2)),codigos!$K$2:$L$12,2,FALSE)</f>
        <v>A/T S/I</v>
      </c>
      <c r="F1557" s="11" t="s">
        <v>539</v>
      </c>
      <c r="G1557" s="11" t="s">
        <v>11</v>
      </c>
      <c r="H1557" s="52" t="s">
        <v>1388</v>
      </c>
      <c r="I1557" s="20" t="s">
        <v>1387</v>
      </c>
      <c r="J1557" s="11">
        <v>24</v>
      </c>
      <c r="K1557" s="113">
        <f>19+5</f>
        <v>24</v>
      </c>
      <c r="L1557" s="11">
        <f t="shared" si="149"/>
        <v>0</v>
      </c>
      <c r="M1557" s="131"/>
      <c r="N1557" s="18">
        <v>46107</v>
      </c>
      <c r="O1557" s="93">
        <v>46108</v>
      </c>
    </row>
    <row r="1558" spans="1:15" x14ac:dyDescent="0.25">
      <c r="A1558" s="11">
        <f t="shared" ca="1" si="148"/>
        <v>-42</v>
      </c>
      <c r="C1558" s="11" t="s">
        <v>148</v>
      </c>
      <c r="D1558" s="11" t="str">
        <f>VLOOKUP(VALUE(MID($C1558,13,2)), codigos!$A$2:$B$60, 2, 1) &amp; " " &amp; VLOOKUP(VALUE(MID($C1558,15,4)), codigos!$E$2:$F$102, 2, FALSE)</f>
        <v>BUDINERA 26</v>
      </c>
      <c r="E1558" s="11" t="str">
        <f>VLOOKUP(VALUE(MID($C1558,19,2)),codigos!$H$2:$I$62,2,1) &amp; " " &amp; VLOOKUP(VALUE(MID($C1558,21,2)),codigos!$K$2:$L$12,2,FALSE)</f>
        <v>A/T S/I</v>
      </c>
      <c r="F1558" s="11" t="s">
        <v>539</v>
      </c>
      <c r="G1558" s="11" t="s">
        <v>11</v>
      </c>
      <c r="H1558" s="52" t="s">
        <v>1388</v>
      </c>
      <c r="I1558" s="20" t="s">
        <v>1387</v>
      </c>
      <c r="J1558" s="11">
        <v>12</v>
      </c>
      <c r="K1558" s="129">
        <v>0</v>
      </c>
      <c r="L1558" s="11">
        <f t="shared" si="149"/>
        <v>12</v>
      </c>
      <c r="M1558" s="131"/>
      <c r="N1558" s="18">
        <v>46107</v>
      </c>
      <c r="O1558" s="93">
        <v>46108</v>
      </c>
    </row>
    <row r="1559" spans="1:15" x14ac:dyDescent="0.25">
      <c r="A1559" s="11">
        <f t="shared" ca="1" si="148"/>
        <v>-42</v>
      </c>
      <c r="C1559" s="11" t="s">
        <v>38</v>
      </c>
      <c r="D1559" s="11" t="str">
        <f>VLOOKUP(VALUE(MID($C1559,13,2)), codigos!$A$2:$B$60, 2, 1) &amp; " " &amp; VLOOKUP(VALUE(MID($C1559,15,4)), codigos!$E$2:$F$102, 2, FALSE)</f>
        <v>BUDINERA 42</v>
      </c>
      <c r="E1559" s="11" t="str">
        <f>VLOOKUP(VALUE(MID($C1559,19,2)),codigos!$H$2:$I$62,2,1) &amp; " " &amp; VLOOKUP(VALUE(MID($C1559,21,2)),codigos!$K$2:$L$12,2,FALSE)</f>
        <v>A/T S/I</v>
      </c>
      <c r="F1559" s="11" t="s">
        <v>539</v>
      </c>
      <c r="G1559" s="11" t="s">
        <v>11</v>
      </c>
      <c r="H1559" s="52" t="s">
        <v>1388</v>
      </c>
      <c r="I1559" s="20" t="s">
        <v>1387</v>
      </c>
      <c r="J1559" s="11">
        <v>8</v>
      </c>
      <c r="K1559" s="113">
        <f>8</f>
        <v>8</v>
      </c>
      <c r="L1559" s="11">
        <f t="shared" si="149"/>
        <v>0</v>
      </c>
      <c r="M1559" s="131"/>
      <c r="N1559" s="18">
        <v>46107</v>
      </c>
      <c r="O1559" s="93">
        <v>46108</v>
      </c>
    </row>
    <row r="1560" spans="1:15" x14ac:dyDescent="0.25">
      <c r="A1560" s="11">
        <f t="shared" ca="1" si="148"/>
        <v>-42</v>
      </c>
      <c r="C1560" s="11" t="s">
        <v>218</v>
      </c>
      <c r="D1560" s="11" t="str">
        <f>VLOOKUP(VALUE(MID($C1560,13,2)), codigos!$A$2:$B$60, 2, 1) &amp; " " &amp; VLOOKUP(VALUE(MID($C1560,15,4)), codigos!$E$2:$F$102, 2, FALSE)</f>
        <v>CAZO 14</v>
      </c>
      <c r="E1560" s="11" t="str">
        <f>VLOOKUP(VALUE(MID($C1560,19,2)),codigos!$H$2:$I$62,2,1) &amp; " " &amp; VLOOKUP(VALUE(MID($C1560,21,2)),codigos!$K$2:$L$12,2,FALSE)</f>
        <v>A/T S/I</v>
      </c>
      <c r="F1560" s="11" t="s">
        <v>539</v>
      </c>
      <c r="G1560" s="11" t="s">
        <v>11</v>
      </c>
      <c r="H1560" s="52" t="s">
        <v>1388</v>
      </c>
      <c r="I1560" s="20" t="s">
        <v>1387</v>
      </c>
      <c r="J1560" s="11">
        <v>24</v>
      </c>
      <c r="K1560" s="113">
        <v>24</v>
      </c>
      <c r="L1560" s="11">
        <f t="shared" si="149"/>
        <v>0</v>
      </c>
      <c r="M1560" s="131"/>
      <c r="N1560" s="18">
        <v>46107</v>
      </c>
      <c r="O1560" s="93">
        <v>46108</v>
      </c>
    </row>
    <row r="1561" spans="1:15" x14ac:dyDescent="0.25">
      <c r="A1561" s="11">
        <f t="shared" ca="1" si="148"/>
        <v>-42</v>
      </c>
      <c r="C1561" s="11" t="s">
        <v>242</v>
      </c>
      <c r="D1561" s="11" t="str">
        <f>VLOOKUP(VALUE(MID($C1561,13,2)), codigos!$A$2:$B$60, 2, 1) &amp; " " &amp; VLOOKUP(VALUE(MID($C1561,15,4)), codigos!$E$2:$F$102, 2, FALSE)</f>
        <v>COMAL 22</v>
      </c>
      <c r="E1561" s="11" t="str">
        <f>VLOOKUP(VALUE(MID($C1561,19,2)),codigos!$H$2:$I$62,2,1) &amp; " " &amp; VLOOKUP(VALUE(MID($C1561,21,2)),codigos!$K$2:$L$12,2,FALSE)</f>
        <v>NEGRO MOTAS S/I</v>
      </c>
      <c r="F1561" s="11" t="s">
        <v>539</v>
      </c>
      <c r="G1561" s="11" t="s">
        <v>11</v>
      </c>
      <c r="H1561" s="52" t="s">
        <v>1388</v>
      </c>
      <c r="I1561" s="20" t="s">
        <v>1387</v>
      </c>
      <c r="J1561" s="11">
        <v>360</v>
      </c>
      <c r="K1561" s="113">
        <v>360</v>
      </c>
      <c r="L1561" s="11">
        <f t="shared" si="149"/>
        <v>0</v>
      </c>
      <c r="M1561" s="131"/>
      <c r="N1561" s="18">
        <v>46107</v>
      </c>
      <c r="O1561" s="93">
        <v>46108</v>
      </c>
    </row>
    <row r="1562" spans="1:15" x14ac:dyDescent="0.25">
      <c r="A1562" s="11">
        <f t="shared" ca="1" si="148"/>
        <v>-42</v>
      </c>
      <c r="C1562" s="11" t="s">
        <v>149</v>
      </c>
      <c r="D1562" s="11" t="str">
        <f>VLOOKUP(VALUE(MID($C1562,13,2)), codigos!$A$2:$B$60, 2, 1) &amp; " " &amp; VLOOKUP(VALUE(MID($C1562,15,4)), codigos!$E$2:$F$102, 2, FALSE)</f>
        <v>COMAL 28</v>
      </c>
      <c r="E1562" s="11" t="str">
        <f>VLOOKUP(VALUE(MID($C1562,19,2)),codigos!$H$2:$I$62,2,1) &amp; " " &amp; VLOOKUP(VALUE(MID($C1562,21,2)),codigos!$K$2:$L$12,2,FALSE)</f>
        <v>NEGRO MOTAS S/I</v>
      </c>
      <c r="F1562" s="11" t="s">
        <v>539</v>
      </c>
      <c r="G1562" s="11" t="s">
        <v>11</v>
      </c>
      <c r="H1562" s="52" t="s">
        <v>1388</v>
      </c>
      <c r="I1562" s="20" t="s">
        <v>1387</v>
      </c>
      <c r="J1562" s="11">
        <v>1200</v>
      </c>
      <c r="K1562" s="129">
        <f>60</f>
        <v>60</v>
      </c>
      <c r="L1562" s="11">
        <f t="shared" si="149"/>
        <v>1140</v>
      </c>
      <c r="M1562" s="131"/>
      <c r="N1562" s="18">
        <v>46107</v>
      </c>
      <c r="O1562" s="93">
        <v>46108</v>
      </c>
    </row>
    <row r="1563" spans="1:15" x14ac:dyDescent="0.25">
      <c r="A1563" s="11">
        <f t="shared" ca="1" si="148"/>
        <v>-42</v>
      </c>
      <c r="C1563" s="11" t="s">
        <v>344</v>
      </c>
      <c r="D1563" s="11" t="str">
        <f>VLOOKUP(VALUE(MID($C1563,13,2)), codigos!$A$2:$B$60, 2, 1) &amp; " " &amp; VLOOKUP(VALUE(MID($C1563,15,4)), codigos!$E$2:$F$102, 2, FALSE)</f>
        <v>COMAL 36</v>
      </c>
      <c r="E1563" s="11" t="str">
        <f>VLOOKUP(VALUE(MID($C1563,19,2)),codigos!$H$2:$I$62,2,1) &amp; " " &amp; VLOOKUP(VALUE(MID($C1563,21,2)),codigos!$K$2:$L$12,2,FALSE)</f>
        <v>NEGRO MOTAS S/I</v>
      </c>
      <c r="F1563" s="11" t="s">
        <v>539</v>
      </c>
      <c r="G1563" s="11" t="s">
        <v>11</v>
      </c>
      <c r="H1563" s="52" t="s">
        <v>1388</v>
      </c>
      <c r="I1563" s="20" t="s">
        <v>1387</v>
      </c>
      <c r="J1563" s="11">
        <v>120</v>
      </c>
      <c r="K1563" s="129">
        <v>0</v>
      </c>
      <c r="L1563" s="11">
        <f t="shared" si="149"/>
        <v>120</v>
      </c>
      <c r="M1563" s="131"/>
      <c r="N1563" s="18">
        <v>46107</v>
      </c>
      <c r="O1563" s="93">
        <v>46108</v>
      </c>
    </row>
    <row r="1564" spans="1:15" x14ac:dyDescent="0.25">
      <c r="A1564" s="11">
        <f t="shared" ca="1" si="148"/>
        <v>-42</v>
      </c>
      <c r="C1564" s="11" t="s">
        <v>187</v>
      </c>
      <c r="D1564" s="11" t="str">
        <f>VLOOKUP(VALUE(MID($C1564,13,2)), codigos!$A$2:$B$60, 2, 1) &amp; " " &amp; VLOOKUP(VALUE(MID($C1564,15,4)), codigos!$E$2:$F$102, 2, FALSE)</f>
        <v>OLLA CONVEXA 12</v>
      </c>
      <c r="E1564" s="11" t="str">
        <f>VLOOKUP(VALUE(MID($C1564,19,2)),codigos!$H$2:$I$62,2,1) &amp; " " &amp; VLOOKUP(VALUE(MID($C1564,21,2)),codigos!$K$2:$L$12,2,FALSE)</f>
        <v>A/T S/I</v>
      </c>
      <c r="F1564" s="11" t="s">
        <v>539</v>
      </c>
      <c r="G1564" s="11" t="s">
        <v>11</v>
      </c>
      <c r="H1564" s="52" t="s">
        <v>1388</v>
      </c>
      <c r="I1564" s="20" t="s">
        <v>1387</v>
      </c>
      <c r="J1564" s="11">
        <v>36</v>
      </c>
      <c r="K1564" s="113">
        <f>36</f>
        <v>36</v>
      </c>
      <c r="L1564" s="11">
        <f t="shared" si="149"/>
        <v>0</v>
      </c>
      <c r="M1564" s="131"/>
      <c r="N1564" s="18">
        <v>46107</v>
      </c>
      <c r="O1564" s="93">
        <v>46108</v>
      </c>
    </row>
    <row r="1565" spans="1:15" x14ac:dyDescent="0.25">
      <c r="A1565" s="11">
        <f t="shared" ca="1" si="148"/>
        <v>-42</v>
      </c>
      <c r="C1565" s="11" t="s">
        <v>333</v>
      </c>
      <c r="D1565" s="11" t="str">
        <f>VLOOKUP(VALUE(MID($C1565,13,2)), codigos!$A$2:$B$60, 2, 1) &amp; " " &amp; VLOOKUP(VALUE(MID($C1565,15,4)), codigos!$E$2:$F$102, 2, FALSE)</f>
        <v>OLLA CONVEXA 14</v>
      </c>
      <c r="E1565" s="11" t="str">
        <f>VLOOKUP(VALUE(MID($C1565,19,2)),codigos!$H$2:$I$62,2,1) &amp; " " &amp; VLOOKUP(VALUE(MID($C1565,21,2)),codigos!$K$2:$L$12,2,FALSE)</f>
        <v>A/T S/I</v>
      </c>
      <c r="F1565" s="11" t="s">
        <v>539</v>
      </c>
      <c r="G1565" s="11" t="s">
        <v>11</v>
      </c>
      <c r="H1565" s="52" t="s">
        <v>1388</v>
      </c>
      <c r="I1565" s="20" t="s">
        <v>1387</v>
      </c>
      <c r="J1565" s="11">
        <v>36</v>
      </c>
      <c r="K1565" s="113">
        <v>36</v>
      </c>
      <c r="L1565" s="11">
        <f t="shared" si="149"/>
        <v>0</v>
      </c>
      <c r="M1565" s="131"/>
      <c r="N1565" s="18">
        <v>46107</v>
      </c>
      <c r="O1565" s="93">
        <v>46108</v>
      </c>
    </row>
    <row r="1566" spans="1:15" x14ac:dyDescent="0.25">
      <c r="A1566" s="11">
        <f t="shared" ca="1" si="148"/>
        <v>-42</v>
      </c>
      <c r="C1566" s="11" t="s">
        <v>150</v>
      </c>
      <c r="D1566" s="11" t="str">
        <f>VLOOKUP(VALUE(MID($C1566,13,2)), codigos!$A$2:$B$60, 2, 1) &amp; " " &amp; VLOOKUP(VALUE(MID($C1566,15,4)), codigos!$E$2:$F$102, 2, FALSE)</f>
        <v>OLLA CONVEXA 18</v>
      </c>
      <c r="E1566" s="11" t="str">
        <f>VLOOKUP(VALUE(MID($C1566,19,2)),codigos!$H$2:$I$62,2,1) &amp; " " &amp; VLOOKUP(VALUE(MID($C1566,21,2)),codigos!$K$2:$L$12,2,FALSE)</f>
        <v>A/T S/I</v>
      </c>
      <c r="F1566" s="11" t="s">
        <v>539</v>
      </c>
      <c r="G1566" s="11" t="s">
        <v>11</v>
      </c>
      <c r="H1566" s="52" t="s">
        <v>1388</v>
      </c>
      <c r="I1566" s="20" t="s">
        <v>1387</v>
      </c>
      <c r="J1566" s="11">
        <v>36</v>
      </c>
      <c r="K1566" s="113">
        <v>36</v>
      </c>
      <c r="L1566" s="11">
        <f t="shared" si="149"/>
        <v>0</v>
      </c>
      <c r="M1566" s="131"/>
      <c r="N1566" s="18">
        <v>46107</v>
      </c>
      <c r="O1566" s="93">
        <v>46108</v>
      </c>
    </row>
    <row r="1567" spans="1:15" x14ac:dyDescent="0.25">
      <c r="A1567" s="11">
        <f t="shared" ca="1" si="148"/>
        <v>-42</v>
      </c>
      <c r="C1567" s="11" t="s">
        <v>151</v>
      </c>
      <c r="D1567" s="11" t="str">
        <f>VLOOKUP(VALUE(MID($C1567,13,2)), codigos!$A$2:$B$60, 2, 1) &amp; " " &amp; VLOOKUP(VALUE(MID($C1567,15,4)), codigos!$E$2:$F$102, 2, FALSE)</f>
        <v>OLLA CONVEXA 20</v>
      </c>
      <c r="E1567" s="11" t="str">
        <f>VLOOKUP(VALUE(MID($C1567,19,2)),codigos!$H$2:$I$62,2,1) &amp; " " &amp; VLOOKUP(VALUE(MID($C1567,21,2)),codigos!$K$2:$L$12,2,FALSE)</f>
        <v>A/T S/I</v>
      </c>
      <c r="F1567" s="11" t="s">
        <v>539</v>
      </c>
      <c r="G1567" s="11" t="s">
        <v>11</v>
      </c>
      <c r="H1567" s="52" t="s">
        <v>1388</v>
      </c>
      <c r="I1567" s="20" t="s">
        <v>1387</v>
      </c>
      <c r="J1567" s="11">
        <v>36</v>
      </c>
      <c r="K1567" s="113">
        <f>36</f>
        <v>36</v>
      </c>
      <c r="L1567" s="11">
        <f t="shared" si="149"/>
        <v>0</v>
      </c>
      <c r="M1567" s="131"/>
      <c r="N1567" s="18">
        <v>46107</v>
      </c>
      <c r="O1567" s="93">
        <v>46108</v>
      </c>
    </row>
    <row r="1568" spans="1:15" x14ac:dyDescent="0.25">
      <c r="A1568" s="11">
        <f t="shared" ca="1" si="148"/>
        <v>-42</v>
      </c>
      <c r="C1568" s="11" t="s">
        <v>43</v>
      </c>
      <c r="D1568" s="11" t="str">
        <f>VLOOKUP(VALUE(MID($C1568,13,2)), codigos!$A$2:$B$60, 2, 1) &amp; " " &amp; VLOOKUP(VALUE(MID($C1568,15,4)), codigos!$E$2:$F$102, 2, FALSE)</f>
        <v>OLLA CONVEXA 22</v>
      </c>
      <c r="E1568" s="11" t="str">
        <f>VLOOKUP(VALUE(MID($C1568,19,2)),codigos!$H$2:$I$62,2,1) &amp; " " &amp; VLOOKUP(VALUE(MID($C1568,21,2)),codigos!$K$2:$L$12,2,FALSE)</f>
        <v>A/T S/I</v>
      </c>
      <c r="F1568" s="11" t="s">
        <v>539</v>
      </c>
      <c r="G1568" s="11" t="s">
        <v>11</v>
      </c>
      <c r="H1568" s="52" t="s">
        <v>1388</v>
      </c>
      <c r="I1568" s="20" t="s">
        <v>1387</v>
      </c>
      <c r="J1568" s="11">
        <v>18</v>
      </c>
      <c r="K1568" s="113">
        <f>12+6</f>
        <v>18</v>
      </c>
      <c r="L1568" s="11">
        <f t="shared" si="149"/>
        <v>0</v>
      </c>
      <c r="M1568" s="131"/>
      <c r="N1568" s="18">
        <v>46107</v>
      </c>
      <c r="O1568" s="93">
        <v>46108</v>
      </c>
    </row>
    <row r="1569" spans="1:15" x14ac:dyDescent="0.25">
      <c r="A1569" s="11">
        <f t="shared" ca="1" si="148"/>
        <v>-42</v>
      </c>
      <c r="C1569" s="11" t="s">
        <v>152</v>
      </c>
      <c r="D1569" s="11" t="str">
        <f>VLOOKUP(VALUE(MID($C1569,13,2)), codigos!$A$2:$B$60, 2, 1) &amp; " " &amp; VLOOKUP(VALUE(MID($C1569,15,4)), codigos!$E$2:$F$102, 2, FALSE)</f>
        <v>OLLA CONVEXA 24</v>
      </c>
      <c r="E1569" s="11" t="str">
        <f>VLOOKUP(VALUE(MID($C1569,19,2)),codigos!$H$2:$I$62,2,1) &amp; " " &amp; VLOOKUP(VALUE(MID($C1569,21,2)),codigos!$K$2:$L$12,2,FALSE)</f>
        <v>A/T S/I</v>
      </c>
      <c r="F1569" s="11" t="s">
        <v>539</v>
      </c>
      <c r="G1569" s="11" t="s">
        <v>11</v>
      </c>
      <c r="H1569" s="52" t="s">
        <v>1388</v>
      </c>
      <c r="I1569" s="20" t="s">
        <v>1387</v>
      </c>
      <c r="J1569" s="11">
        <v>12</v>
      </c>
      <c r="K1569" s="113">
        <f>12</f>
        <v>12</v>
      </c>
      <c r="L1569" s="11">
        <f t="shared" si="149"/>
        <v>0</v>
      </c>
      <c r="M1569" s="131"/>
      <c r="N1569" s="18">
        <v>46107</v>
      </c>
      <c r="O1569" s="93">
        <v>46108</v>
      </c>
    </row>
    <row r="1570" spans="1:15" x14ac:dyDescent="0.25">
      <c r="A1570" s="11">
        <f t="shared" ca="1" si="148"/>
        <v>-42</v>
      </c>
      <c r="C1570" s="11" t="s">
        <v>153</v>
      </c>
      <c r="D1570" s="11" t="str">
        <f>VLOOKUP(VALUE(MID($C1570,13,2)), codigos!$A$2:$B$60, 2, 1) &amp; " " &amp; VLOOKUP(VALUE(MID($C1570,15,4)), codigos!$E$2:$F$102, 2, FALSE)</f>
        <v>OLLA CONVEXA 26</v>
      </c>
      <c r="E1570" s="11" t="str">
        <f>VLOOKUP(VALUE(MID($C1570,19,2)),codigos!$H$2:$I$62,2,1) &amp; " " &amp; VLOOKUP(VALUE(MID($C1570,21,2)),codigos!$K$2:$L$12,2,FALSE)</f>
        <v>A/T S/I</v>
      </c>
      <c r="F1570" s="11" t="s">
        <v>539</v>
      </c>
      <c r="G1570" s="11" t="s">
        <v>11</v>
      </c>
      <c r="H1570" s="52" t="s">
        <v>1388</v>
      </c>
      <c r="I1570" s="20" t="s">
        <v>1387</v>
      </c>
      <c r="J1570" s="11">
        <v>12</v>
      </c>
      <c r="K1570" s="113">
        <f>9+3</f>
        <v>12</v>
      </c>
      <c r="L1570" s="11">
        <f t="shared" si="149"/>
        <v>0</v>
      </c>
      <c r="M1570" s="131"/>
      <c r="N1570" s="18">
        <v>46107</v>
      </c>
      <c r="O1570" s="93">
        <v>46108</v>
      </c>
    </row>
    <row r="1571" spans="1:15" x14ac:dyDescent="0.25">
      <c r="A1571" s="11">
        <f t="shared" ca="1" si="148"/>
        <v>-42</v>
      </c>
      <c r="C1571" s="11" t="s">
        <v>221</v>
      </c>
      <c r="D1571" s="11" t="str">
        <f>VLOOKUP(VALUE(MID($C1571,13,2)), codigos!$A$2:$B$60, 2, 1) &amp; " " &amp; VLOOKUP(VALUE(MID($C1571,15,4)), codigos!$E$2:$F$102, 2, FALSE)</f>
        <v>OLLA CONVEXA 34</v>
      </c>
      <c r="E1571" s="11" t="str">
        <f>VLOOKUP(VALUE(MID($C1571,19,2)),codigos!$H$2:$I$62,2,1) &amp; " " &amp; VLOOKUP(VALUE(MID($C1571,21,2)),codigos!$K$2:$L$12,2,FALSE)</f>
        <v>A/T S/I</v>
      </c>
      <c r="F1571" s="11" t="s">
        <v>539</v>
      </c>
      <c r="G1571" s="11" t="s">
        <v>11</v>
      </c>
      <c r="H1571" s="52" t="s">
        <v>1388</v>
      </c>
      <c r="I1571" s="20" t="s">
        <v>1387</v>
      </c>
      <c r="J1571" s="11">
        <v>4</v>
      </c>
      <c r="K1571" s="113">
        <v>4</v>
      </c>
      <c r="L1571" s="11">
        <f t="shared" si="149"/>
        <v>0</v>
      </c>
      <c r="M1571" s="131"/>
      <c r="N1571" s="18">
        <v>46107</v>
      </c>
      <c r="O1571" s="93">
        <v>46108</v>
      </c>
    </row>
    <row r="1572" spans="1:15" x14ac:dyDescent="0.25">
      <c r="A1572" s="11">
        <f t="shared" ca="1" si="148"/>
        <v>-42</v>
      </c>
      <c r="C1572" s="11" t="s">
        <v>222</v>
      </c>
      <c r="D1572" s="11" t="str">
        <f>VLOOKUP(VALUE(MID($C1572,13,2)), codigos!$A$2:$B$60, 2, 1) &amp; " " &amp; VLOOKUP(VALUE(MID($C1572,15,4)), codigos!$E$2:$F$102, 2, FALSE)</f>
        <v>OLLA RECTA 12</v>
      </c>
      <c r="E1572" s="11" t="str">
        <f>VLOOKUP(VALUE(MID($C1572,19,2)),codigos!$H$2:$I$62,2,1) &amp; " " &amp; VLOOKUP(VALUE(MID($C1572,21,2)),codigos!$K$2:$L$12,2,FALSE)</f>
        <v>A/T S/I</v>
      </c>
      <c r="F1572" s="11" t="s">
        <v>539</v>
      </c>
      <c r="G1572" s="11" t="s">
        <v>11</v>
      </c>
      <c r="H1572" s="52" t="s">
        <v>1388</v>
      </c>
      <c r="I1572" s="20" t="s">
        <v>1387</v>
      </c>
      <c r="J1572" s="11">
        <v>18</v>
      </c>
      <c r="K1572" s="113">
        <v>18</v>
      </c>
      <c r="L1572" s="11">
        <f t="shared" si="149"/>
        <v>0</v>
      </c>
      <c r="M1572" s="131"/>
      <c r="N1572" s="18">
        <v>46107</v>
      </c>
      <c r="O1572" s="93">
        <v>46108</v>
      </c>
    </row>
    <row r="1573" spans="1:15" x14ac:dyDescent="0.25">
      <c r="A1573" s="11">
        <f t="shared" ca="1" si="148"/>
        <v>-42</v>
      </c>
      <c r="C1573" s="11" t="s">
        <v>257</v>
      </c>
      <c r="D1573" s="11" t="str">
        <f>VLOOKUP(VALUE(MID($C1573,13,2)), codigos!$A$2:$B$60, 2, 1) &amp; " " &amp; VLOOKUP(VALUE(MID($C1573,15,4)), codigos!$E$2:$F$102, 2, FALSE)</f>
        <v>OLLA RECTA 14</v>
      </c>
      <c r="E1573" s="11" t="str">
        <f>VLOOKUP(VALUE(MID($C1573,19,2)),codigos!$H$2:$I$62,2,1) &amp; " " &amp; VLOOKUP(VALUE(MID($C1573,21,2)),codigos!$K$2:$L$12,2,FALSE)</f>
        <v>A/T S/I</v>
      </c>
      <c r="F1573" s="11" t="s">
        <v>539</v>
      </c>
      <c r="G1573" s="11" t="s">
        <v>11</v>
      </c>
      <c r="H1573" s="52" t="s">
        <v>1388</v>
      </c>
      <c r="I1573" s="20" t="s">
        <v>1387</v>
      </c>
      <c r="J1573" s="11">
        <v>18</v>
      </c>
      <c r="K1573" s="113">
        <v>18</v>
      </c>
      <c r="L1573" s="11">
        <f t="shared" si="149"/>
        <v>0</v>
      </c>
      <c r="M1573" s="131"/>
      <c r="N1573" s="18">
        <v>46107</v>
      </c>
      <c r="O1573" s="93">
        <v>46108</v>
      </c>
    </row>
    <row r="1574" spans="1:15" x14ac:dyDescent="0.25">
      <c r="A1574" s="11">
        <f t="shared" ca="1" si="148"/>
        <v>-42</v>
      </c>
      <c r="C1574" s="11" t="s">
        <v>258</v>
      </c>
      <c r="D1574" s="11" t="str">
        <f>VLOOKUP(VALUE(MID($C1574,13,2)), codigos!$A$2:$B$60, 2, 1) &amp; " " &amp; VLOOKUP(VALUE(MID($C1574,15,4)), codigos!$E$2:$F$102, 2, FALSE)</f>
        <v>OLLA RECTA 16</v>
      </c>
      <c r="E1574" s="11" t="str">
        <f>VLOOKUP(VALUE(MID($C1574,19,2)),codigos!$H$2:$I$62,2,1) &amp; " " &amp; VLOOKUP(VALUE(MID($C1574,21,2)),codigos!$K$2:$L$12,2,FALSE)</f>
        <v>A/T S/I</v>
      </c>
      <c r="F1574" s="11" t="s">
        <v>539</v>
      </c>
      <c r="G1574" s="11" t="s">
        <v>11</v>
      </c>
      <c r="H1574" s="52" t="s">
        <v>1388</v>
      </c>
      <c r="I1574" s="20" t="s">
        <v>1387</v>
      </c>
      <c r="J1574" s="11">
        <v>24</v>
      </c>
      <c r="K1574" s="113">
        <v>24</v>
      </c>
      <c r="L1574" s="11">
        <f t="shared" si="149"/>
        <v>0</v>
      </c>
      <c r="M1574" s="131"/>
      <c r="N1574" s="18">
        <v>46107</v>
      </c>
      <c r="O1574" s="93">
        <v>46108</v>
      </c>
    </row>
    <row r="1575" spans="1:15" x14ac:dyDescent="0.25">
      <c r="A1575" s="11">
        <f t="shared" ca="1" si="148"/>
        <v>-42</v>
      </c>
      <c r="C1575" s="11" t="s">
        <v>259</v>
      </c>
      <c r="D1575" s="11" t="str">
        <f>VLOOKUP(VALUE(MID($C1575,13,2)), codigos!$A$2:$B$60, 2, 1) &amp; " " &amp; VLOOKUP(VALUE(MID($C1575,15,4)), codigos!$E$2:$F$102, 2, FALSE)</f>
        <v>OLLA RECTA 18</v>
      </c>
      <c r="E1575" s="11" t="str">
        <f>VLOOKUP(VALUE(MID($C1575,19,2)),codigos!$H$2:$I$62,2,1) &amp; " " &amp; VLOOKUP(VALUE(MID($C1575,21,2)),codigos!$K$2:$L$12,2,FALSE)</f>
        <v>A/T S/I</v>
      </c>
      <c r="F1575" s="11" t="s">
        <v>539</v>
      </c>
      <c r="G1575" s="11" t="s">
        <v>11</v>
      </c>
      <c r="H1575" s="52" t="s">
        <v>1388</v>
      </c>
      <c r="I1575" s="20" t="s">
        <v>1387</v>
      </c>
      <c r="J1575" s="11">
        <v>24</v>
      </c>
      <c r="K1575" s="113">
        <v>24</v>
      </c>
      <c r="L1575" s="11">
        <f t="shared" si="149"/>
        <v>0</v>
      </c>
      <c r="M1575" s="131"/>
      <c r="N1575" s="18">
        <v>46107</v>
      </c>
      <c r="O1575" s="93">
        <v>46108</v>
      </c>
    </row>
    <row r="1576" spans="1:15" x14ac:dyDescent="0.25">
      <c r="A1576" s="11">
        <f t="shared" ca="1" si="148"/>
        <v>-42</v>
      </c>
      <c r="C1576" s="11" t="s">
        <v>260</v>
      </c>
      <c r="D1576" s="11" t="str">
        <f>VLOOKUP(VALUE(MID($C1576,13,2)), codigos!$A$2:$B$60, 2, 1) &amp; " " &amp; VLOOKUP(VALUE(MID($C1576,15,4)), codigos!$E$2:$F$102, 2, FALSE)</f>
        <v>OLLA RECTA 20</v>
      </c>
      <c r="E1576" s="11" t="str">
        <f>VLOOKUP(VALUE(MID($C1576,19,2)),codigos!$H$2:$I$62,2,1) &amp; " " &amp; VLOOKUP(VALUE(MID($C1576,21,2)),codigos!$K$2:$L$12,2,FALSE)</f>
        <v>A/T S/I</v>
      </c>
      <c r="F1576" s="11" t="s">
        <v>539</v>
      </c>
      <c r="G1576" s="11" t="s">
        <v>11</v>
      </c>
      <c r="H1576" s="52" t="s">
        <v>1388</v>
      </c>
      <c r="I1576" s="20" t="s">
        <v>1387</v>
      </c>
      <c r="J1576" s="11">
        <v>12</v>
      </c>
      <c r="K1576" s="113">
        <v>12</v>
      </c>
      <c r="L1576" s="11">
        <f t="shared" si="149"/>
        <v>0</v>
      </c>
      <c r="M1576" s="131"/>
      <c r="N1576" s="18">
        <v>46107</v>
      </c>
      <c r="O1576" s="93">
        <v>46108</v>
      </c>
    </row>
    <row r="1577" spans="1:15" x14ac:dyDescent="0.25">
      <c r="A1577" s="11">
        <f t="shared" ca="1" si="148"/>
        <v>-42</v>
      </c>
      <c r="C1577" s="11" t="s">
        <v>236</v>
      </c>
      <c r="D1577" s="11" t="str">
        <f>VLOOKUP(VALUE(MID($C1577,13,2)), codigos!$A$2:$B$60, 2, 1) &amp; " " &amp; VLOOKUP(VALUE(MID($C1577,15,4)), codigos!$E$2:$F$102, 2, FALSE)</f>
        <v>OLLA RECTA 22</v>
      </c>
      <c r="E1577" s="11" t="str">
        <f>VLOOKUP(VALUE(MID($C1577,19,2)),codigos!$H$2:$I$62,2,1) &amp; " " &amp; VLOOKUP(VALUE(MID($C1577,21,2)),codigos!$K$2:$L$12,2,FALSE)</f>
        <v>A/T S/I</v>
      </c>
      <c r="F1577" s="11" t="s">
        <v>539</v>
      </c>
      <c r="G1577" s="11" t="s">
        <v>11</v>
      </c>
      <c r="H1577" s="52" t="s">
        <v>1388</v>
      </c>
      <c r="I1577" s="20" t="s">
        <v>1387</v>
      </c>
      <c r="J1577" s="11">
        <v>12</v>
      </c>
      <c r="K1577" s="113">
        <f>3+9</f>
        <v>12</v>
      </c>
      <c r="L1577" s="11">
        <f t="shared" si="149"/>
        <v>0</v>
      </c>
      <c r="M1577" s="131"/>
      <c r="N1577" s="18">
        <v>46107</v>
      </c>
      <c r="O1577" s="93">
        <v>46108</v>
      </c>
    </row>
    <row r="1578" spans="1:15" x14ac:dyDescent="0.25">
      <c r="A1578" s="11">
        <f t="shared" ca="1" si="148"/>
        <v>-42</v>
      </c>
      <c r="C1578" s="11" t="s">
        <v>237</v>
      </c>
      <c r="D1578" s="11" t="str">
        <f>VLOOKUP(VALUE(MID($C1578,13,2)), codigos!$A$2:$B$60, 2, 1) &amp; " " &amp; VLOOKUP(VALUE(MID($C1578,15,4)), codigos!$E$2:$F$102, 2, FALSE)</f>
        <v>OLLA RECTA 24</v>
      </c>
      <c r="E1578" s="11" t="str">
        <f>VLOOKUP(VALUE(MID($C1578,19,2)),codigos!$H$2:$I$62,2,1) &amp; " " &amp; VLOOKUP(VALUE(MID($C1578,21,2)),codigos!$K$2:$L$12,2,FALSE)</f>
        <v>A/T S/I</v>
      </c>
      <c r="F1578" s="11" t="s">
        <v>539</v>
      </c>
      <c r="G1578" s="11" t="s">
        <v>11</v>
      </c>
      <c r="H1578" s="52" t="s">
        <v>1388</v>
      </c>
      <c r="I1578" s="20" t="s">
        <v>1387</v>
      </c>
      <c r="J1578" s="11">
        <v>12</v>
      </c>
      <c r="K1578" s="113">
        <f>2+6+4</f>
        <v>12</v>
      </c>
      <c r="L1578" s="11">
        <f t="shared" si="149"/>
        <v>0</v>
      </c>
      <c r="M1578" s="131"/>
      <c r="N1578" s="18">
        <v>46107</v>
      </c>
      <c r="O1578" s="93">
        <v>46108</v>
      </c>
    </row>
    <row r="1579" spans="1:15" x14ac:dyDescent="0.25">
      <c r="A1579" s="11">
        <f t="shared" ca="1" si="148"/>
        <v>-42</v>
      </c>
      <c r="C1579" s="11" t="s">
        <v>157</v>
      </c>
      <c r="D1579" s="11" t="str">
        <f>VLOOKUP(VALUE(MID($C1579,13,2)), codigos!$A$2:$B$60, 2, 1) &amp; " " &amp; VLOOKUP(VALUE(MID($C1579,15,4)), codigos!$E$2:$F$102, 2, FALSE)</f>
        <v>OLLA RECTA 42</v>
      </c>
      <c r="E1579" s="11" t="str">
        <f>VLOOKUP(VALUE(MID($C1579,19,2)),codigos!$H$2:$I$62,2,1) &amp; " " &amp; VLOOKUP(VALUE(MID($C1579,21,2)),codigos!$K$2:$L$12,2,FALSE)</f>
        <v>A/T S/I</v>
      </c>
      <c r="F1579" s="11" t="s">
        <v>539</v>
      </c>
      <c r="G1579" s="11" t="s">
        <v>11</v>
      </c>
      <c r="H1579" s="52" t="s">
        <v>1388</v>
      </c>
      <c r="I1579" s="20" t="s">
        <v>1387</v>
      </c>
      <c r="J1579" s="11">
        <v>2</v>
      </c>
      <c r="K1579" s="113">
        <f>2</f>
        <v>2</v>
      </c>
      <c r="L1579" s="11">
        <f t="shared" si="149"/>
        <v>0</v>
      </c>
      <c r="M1579" s="131"/>
      <c r="N1579" s="18">
        <v>46107</v>
      </c>
      <c r="O1579" s="93">
        <v>46108</v>
      </c>
    </row>
    <row r="1580" spans="1:15" x14ac:dyDescent="0.25">
      <c r="A1580" s="11">
        <f t="shared" ca="1" si="148"/>
        <v>-42</v>
      </c>
      <c r="C1580" s="11" t="s">
        <v>226</v>
      </c>
      <c r="D1580" s="11" t="str">
        <f>VLOOKUP(VALUE(MID($C1580,13,2)), codigos!$A$2:$B$60, 2, 1) &amp; " " &amp; VLOOKUP(VALUE(MID($C1580,15,4)), codigos!$E$2:$F$102, 2, FALSE)</f>
        <v>POCILLO 10</v>
      </c>
      <c r="E1580" s="11" t="str">
        <f>VLOOKUP(VALUE(MID($C1580,19,2)),codigos!$H$2:$I$62,2,1) &amp; " " &amp; VLOOKUP(VALUE(MID($C1580,21,2)),codigos!$K$2:$L$12,2,FALSE)</f>
        <v>A/T S/I</v>
      </c>
      <c r="F1580" s="11" t="s">
        <v>539</v>
      </c>
      <c r="G1580" s="11" t="s">
        <v>11</v>
      </c>
      <c r="H1580" s="52" t="s">
        <v>1388</v>
      </c>
      <c r="I1580" s="20" t="s">
        <v>1387</v>
      </c>
      <c r="J1580" s="11">
        <v>240</v>
      </c>
      <c r="K1580" s="113">
        <f>24+24+12+144+36</f>
        <v>240</v>
      </c>
      <c r="L1580" s="11">
        <f t="shared" si="149"/>
        <v>0</v>
      </c>
      <c r="M1580" s="131"/>
      <c r="N1580" s="18">
        <v>46107</v>
      </c>
      <c r="O1580" s="93">
        <v>46108</v>
      </c>
    </row>
    <row r="1581" spans="1:15" x14ac:dyDescent="0.25">
      <c r="A1581" s="11">
        <f t="shared" ca="1" si="148"/>
        <v>-42</v>
      </c>
      <c r="C1581" s="11" t="s">
        <v>180</v>
      </c>
      <c r="D1581" s="11" t="str">
        <f>VLOOKUP(VALUE(MID($C1581,13,2)), codigos!$A$2:$B$60, 2, 1) &amp; " " &amp; VLOOKUP(VALUE(MID($C1581,15,4)), codigos!$E$2:$F$102, 2, FALSE)</f>
        <v>POCILLO 12</v>
      </c>
      <c r="E1581" s="11" t="str">
        <f>VLOOKUP(VALUE(MID($C1581,19,2)),codigos!$H$2:$I$62,2,1) &amp; " " &amp; VLOOKUP(VALUE(MID($C1581,21,2)),codigos!$K$2:$L$12,2,FALSE)</f>
        <v>A/T S/I</v>
      </c>
      <c r="F1581" s="11" t="s">
        <v>539</v>
      </c>
      <c r="G1581" s="11" t="s">
        <v>11</v>
      </c>
      <c r="H1581" s="52" t="s">
        <v>1388</v>
      </c>
      <c r="I1581" s="20" t="s">
        <v>1387</v>
      </c>
      <c r="J1581" s="11">
        <v>180</v>
      </c>
      <c r="K1581" s="129">
        <f>72+36+9+3</f>
        <v>120</v>
      </c>
      <c r="L1581" s="11">
        <f t="shared" si="149"/>
        <v>60</v>
      </c>
      <c r="M1581" s="131"/>
      <c r="N1581" s="18">
        <v>46107</v>
      </c>
      <c r="O1581" s="93">
        <v>46108</v>
      </c>
    </row>
    <row r="1582" spans="1:15" x14ac:dyDescent="0.25">
      <c r="A1582" s="11">
        <f t="shared" ca="1" si="148"/>
        <v>-42</v>
      </c>
      <c r="C1582" s="11" t="s">
        <v>182</v>
      </c>
      <c r="D1582" s="11" t="str">
        <f>VLOOKUP(VALUE(MID($C1582,13,2)), codigos!$A$2:$B$60, 2, 1) &amp; " " &amp; VLOOKUP(VALUE(MID($C1582,15,4)), codigos!$E$2:$F$102, 2, FALSE)</f>
        <v>POCILLO 14</v>
      </c>
      <c r="E1582" s="11" t="str">
        <f>VLOOKUP(VALUE(MID($C1582,19,2)),codigos!$H$2:$I$62,2,1) &amp; " " &amp; VLOOKUP(VALUE(MID($C1582,21,2)),codigos!$K$2:$L$12,2,FALSE)</f>
        <v>A/T S/I</v>
      </c>
      <c r="F1582" s="11" t="s">
        <v>539</v>
      </c>
      <c r="G1582" s="11" t="s">
        <v>11</v>
      </c>
      <c r="H1582" s="52" t="s">
        <v>1388</v>
      </c>
      <c r="I1582" s="20" t="s">
        <v>1387</v>
      </c>
      <c r="J1582" s="11">
        <v>90</v>
      </c>
      <c r="K1582" s="113">
        <f>90</f>
        <v>90</v>
      </c>
      <c r="L1582" s="11">
        <f t="shared" si="149"/>
        <v>0</v>
      </c>
      <c r="M1582" s="131"/>
      <c r="N1582" s="18">
        <v>46107</v>
      </c>
      <c r="O1582" s="93">
        <v>46108</v>
      </c>
    </row>
    <row r="1583" spans="1:15" x14ac:dyDescent="0.25">
      <c r="A1583" s="11">
        <f t="shared" ca="1" si="148"/>
        <v>-42</v>
      </c>
      <c r="C1583" s="11" t="s">
        <v>129</v>
      </c>
      <c r="D1583" s="11" t="str">
        <f>VLOOKUP(VALUE(MID($C1583,13,2)), codigos!$A$2:$B$60, 2, 1) &amp; " " &amp; VLOOKUP(VALUE(MID($C1583,15,4)), codigos!$E$2:$F$102, 2, FALSE)</f>
        <v>POCILLO 14</v>
      </c>
      <c r="E1583" s="11" t="str">
        <f>VLOOKUP(VALUE(MID($C1583,19,2)),codigos!$H$2:$I$62,2,1) &amp; " " &amp; VLOOKUP(VALUE(MID($C1583,21,2)),codigos!$K$2:$L$12,2,FALSE)</f>
        <v>BICOLOR NARANJA S/I</v>
      </c>
      <c r="F1583" s="11" t="s">
        <v>539</v>
      </c>
      <c r="G1583" s="11" t="s">
        <v>11</v>
      </c>
      <c r="H1583" s="52" t="s">
        <v>1388</v>
      </c>
      <c r="I1583" s="20" t="s">
        <v>1387</v>
      </c>
      <c r="J1583" s="11">
        <v>30</v>
      </c>
      <c r="K1583" s="113">
        <f>6+18+1+5</f>
        <v>30</v>
      </c>
      <c r="L1583" s="11">
        <f t="shared" si="149"/>
        <v>0</v>
      </c>
      <c r="M1583" s="131"/>
      <c r="N1583" s="18">
        <v>46107</v>
      </c>
      <c r="O1583" s="93">
        <v>46108</v>
      </c>
    </row>
    <row r="1584" spans="1:15" x14ac:dyDescent="0.25">
      <c r="A1584" s="11">
        <f t="shared" ca="1" si="148"/>
        <v>-42</v>
      </c>
      <c r="C1584" s="11" t="s">
        <v>130</v>
      </c>
      <c r="D1584" s="11" t="str">
        <f>VLOOKUP(VALUE(MID($C1584,13,2)), codigos!$A$2:$B$60, 2, 1) &amp; " " &amp; VLOOKUP(VALUE(MID($C1584,15,4)), codigos!$E$2:$F$102, 2, FALSE)</f>
        <v>POCILLO 14</v>
      </c>
      <c r="E1584" s="11" t="str">
        <f>VLOOKUP(VALUE(MID($C1584,19,2)),codigos!$H$2:$I$62,2,1) &amp; " " &amp; VLOOKUP(VALUE(MID($C1584,21,2)),codigos!$K$2:$L$12,2,FALSE)</f>
        <v>BICOLOR ROJO S/I</v>
      </c>
      <c r="F1584" s="11" t="s">
        <v>539</v>
      </c>
      <c r="G1584" s="11" t="s">
        <v>11</v>
      </c>
      <c r="H1584" s="52" t="s">
        <v>1388</v>
      </c>
      <c r="I1584" s="20" t="s">
        <v>1387</v>
      </c>
      <c r="J1584" s="11">
        <v>36</v>
      </c>
      <c r="K1584" s="113">
        <f>6+4+5+12+4+5</f>
        <v>36</v>
      </c>
      <c r="L1584" s="11">
        <f t="shared" si="149"/>
        <v>0</v>
      </c>
      <c r="M1584" s="131"/>
      <c r="N1584" s="18">
        <v>46107</v>
      </c>
      <c r="O1584" s="93">
        <v>46108</v>
      </c>
    </row>
    <row r="1585" spans="1:15" x14ac:dyDescent="0.25">
      <c r="A1585" s="11">
        <f t="shared" ca="1" si="148"/>
        <v>-42</v>
      </c>
      <c r="C1585" s="11" t="s">
        <v>83</v>
      </c>
      <c r="D1585" s="11" t="str">
        <f>VLOOKUP(VALUE(MID($C1585,13,2)), codigos!$A$2:$B$60, 2, 1) &amp; " " &amp; VLOOKUP(VALUE(MID($C1585,15,4)), codigos!$E$2:$F$102, 2, FALSE)</f>
        <v>TAZON 15.5</v>
      </c>
      <c r="E1585" s="11" t="str">
        <f>VLOOKUP(VALUE(MID($C1585,19,2)),codigos!$H$2:$I$62,2,1) &amp; " " &amp; VLOOKUP(VALUE(MID($C1585,21,2)),codigos!$K$2:$L$12,2,FALSE)</f>
        <v>BLANCO  NEGRO</v>
      </c>
      <c r="F1585" s="11" t="s">
        <v>539</v>
      </c>
      <c r="G1585" s="11" t="s">
        <v>11</v>
      </c>
      <c r="H1585" s="52" t="s">
        <v>1388</v>
      </c>
      <c r="I1585" s="20" t="s">
        <v>1387</v>
      </c>
      <c r="J1585" s="11">
        <v>180</v>
      </c>
      <c r="K1585" s="129">
        <f>116</f>
        <v>116</v>
      </c>
      <c r="L1585" s="11">
        <f t="shared" si="149"/>
        <v>64</v>
      </c>
      <c r="M1585" s="131"/>
      <c r="N1585" s="18">
        <v>46107</v>
      </c>
      <c r="O1585" s="93">
        <v>46108</v>
      </c>
    </row>
    <row r="1586" spans="1:15" x14ac:dyDescent="0.25">
      <c r="A1586" s="11">
        <f t="shared" ca="1" si="148"/>
        <v>-47</v>
      </c>
      <c r="C1586" s="11" t="s">
        <v>203</v>
      </c>
      <c r="D1586" s="11" t="str">
        <f>VLOOKUP(VALUE(MID($C1586,13,2)), codigos!$A$2:$B$60, 2, 1) &amp; " " &amp; VLOOKUP(VALUE(MID($C1586,15,4)), codigos!$E$2:$F$102, 2, FALSE)</f>
        <v>CUBETA 10</v>
      </c>
      <c r="E1586" s="11" t="str">
        <f>VLOOKUP(VALUE(MID($C1586,19,2)),codigos!$H$2:$I$62,2,1) &amp; " " &amp; VLOOKUP(VALUE(MID($C1586,21,2)),codigos!$K$2:$L$12,2,FALSE)</f>
        <v>GALVANIZADO S/I</v>
      </c>
      <c r="F1586" s="11" t="s">
        <v>1379</v>
      </c>
      <c r="G1586" s="11" t="s">
        <v>11</v>
      </c>
      <c r="H1586" s="52" t="s">
        <v>1374</v>
      </c>
      <c r="I1586" s="20" t="s">
        <v>1373</v>
      </c>
      <c r="J1586" s="11">
        <v>20</v>
      </c>
      <c r="K1586" s="11">
        <v>20</v>
      </c>
      <c r="L1586" s="11">
        <f t="shared" si="149"/>
        <v>0</v>
      </c>
      <c r="M1586" s="131">
        <f>(SUM(K1586:K1590))/(SUM(J1586:J1590))</f>
        <v>1</v>
      </c>
      <c r="N1586" s="18">
        <v>46107</v>
      </c>
      <c r="O1586" s="117"/>
    </row>
    <row r="1587" spans="1:15" x14ac:dyDescent="0.25">
      <c r="A1587" s="11">
        <f t="shared" ca="1" si="148"/>
        <v>-47</v>
      </c>
      <c r="C1587" s="11" t="s">
        <v>50</v>
      </c>
      <c r="D1587" s="11" t="str">
        <f>VLOOKUP(VALUE(MID($C1587,13,2)), codigos!$A$2:$B$60, 2, 1) &amp; " " &amp; VLOOKUP(VALUE(MID($C1587,15,4)), codigos!$E$2:$F$102, 2, FALSE)</f>
        <v>CUBETA 12</v>
      </c>
      <c r="E1587" s="11" t="str">
        <f>VLOOKUP(VALUE(MID($C1587,19,2)),codigos!$H$2:$I$62,2,1) &amp; " " &amp; VLOOKUP(VALUE(MID($C1587,21,2)),codigos!$K$2:$L$12,2,FALSE)</f>
        <v>GALVANIZADO S/I</v>
      </c>
      <c r="F1587" s="11" t="s">
        <v>1379</v>
      </c>
      <c r="G1587" s="11" t="s">
        <v>11</v>
      </c>
      <c r="H1587" s="52" t="s">
        <v>1374</v>
      </c>
      <c r="I1587" s="20" t="s">
        <v>1373</v>
      </c>
      <c r="J1587" s="11">
        <v>20</v>
      </c>
      <c r="K1587" s="11">
        <v>20</v>
      </c>
      <c r="L1587" s="11">
        <f t="shared" si="149"/>
        <v>0</v>
      </c>
      <c r="M1587" s="131"/>
      <c r="N1587" s="18">
        <v>46107</v>
      </c>
      <c r="O1587" s="117"/>
    </row>
    <row r="1588" spans="1:15" x14ac:dyDescent="0.25">
      <c r="A1588" s="11">
        <f t="shared" ca="1" si="148"/>
        <v>-47</v>
      </c>
      <c r="C1588" s="11" t="s">
        <v>204</v>
      </c>
      <c r="D1588" s="11" t="str">
        <f>VLOOKUP(VALUE(MID($C1588,13,2)), codigos!$A$2:$B$60, 2, 1) &amp; " " &amp; VLOOKUP(VALUE(MID($C1588,15,4)), codigos!$E$2:$F$102, 2, FALSE)</f>
        <v>CUBETA 14</v>
      </c>
      <c r="E1588" s="11" t="str">
        <f>VLOOKUP(VALUE(MID($C1588,19,2)),codigos!$H$2:$I$62,2,1) &amp; " " &amp; VLOOKUP(VALUE(MID($C1588,21,2)),codigos!$K$2:$L$12,2,FALSE)</f>
        <v>GALVANIZADO S/I</v>
      </c>
      <c r="F1588" s="11" t="s">
        <v>1379</v>
      </c>
      <c r="G1588" s="11" t="s">
        <v>11</v>
      </c>
      <c r="H1588" s="52" t="s">
        <v>1374</v>
      </c>
      <c r="I1588" s="20" t="s">
        <v>1373</v>
      </c>
      <c r="J1588" s="11">
        <v>20</v>
      </c>
      <c r="K1588" s="11">
        <v>20</v>
      </c>
      <c r="L1588" s="11">
        <f t="shared" si="149"/>
        <v>0</v>
      </c>
      <c r="M1588" s="131"/>
      <c r="N1588" s="18">
        <v>46107</v>
      </c>
      <c r="O1588" s="117"/>
    </row>
    <row r="1589" spans="1:15" x14ac:dyDescent="0.25">
      <c r="A1589" s="11">
        <f t="shared" ca="1" si="148"/>
        <v>-47</v>
      </c>
      <c r="C1589" s="11" t="s">
        <v>205</v>
      </c>
      <c r="D1589" s="11" t="str">
        <f>VLOOKUP(VALUE(MID($C1589,13,2)), codigos!$A$2:$B$60, 2, 1) &amp; " " &amp; VLOOKUP(VALUE(MID($C1589,15,4)), codigos!$E$2:$F$102, 2, FALSE)</f>
        <v>CUBETA 16</v>
      </c>
      <c r="E1589" s="11" t="str">
        <f>VLOOKUP(VALUE(MID($C1589,19,2)),codigos!$H$2:$I$62,2,1) &amp; " " &amp; VLOOKUP(VALUE(MID($C1589,21,2)),codigos!$K$2:$L$12,2,FALSE)</f>
        <v>GALVANIZADO S/I</v>
      </c>
      <c r="F1589" s="11" t="s">
        <v>1379</v>
      </c>
      <c r="G1589" s="11" t="s">
        <v>11</v>
      </c>
      <c r="H1589" s="52" t="s">
        <v>1374</v>
      </c>
      <c r="I1589" s="20" t="s">
        <v>1373</v>
      </c>
      <c r="J1589" s="11">
        <v>20</v>
      </c>
      <c r="K1589" s="11">
        <v>20</v>
      </c>
      <c r="L1589" s="11">
        <f t="shared" si="149"/>
        <v>0</v>
      </c>
      <c r="M1589" s="131"/>
      <c r="N1589" s="18">
        <v>46107</v>
      </c>
      <c r="O1589" s="117"/>
    </row>
    <row r="1590" spans="1:15" x14ac:dyDescent="0.25">
      <c r="A1590" s="11">
        <f t="shared" ca="1" si="148"/>
        <v>-47</v>
      </c>
      <c r="C1590" s="11" t="s">
        <v>1375</v>
      </c>
      <c r="D1590" s="11" t="str">
        <f>VLOOKUP(VALUE(MID($C1590,13,2)), codigos!$A$2:$B$60, 2, 1) &amp; " " &amp; VLOOKUP(VALUE(MID($C1590,15,4)), codigos!$E$2:$F$102, 2, FALSE)</f>
        <v>CUBETA 20</v>
      </c>
      <c r="E1590" s="11" t="str">
        <f>VLOOKUP(VALUE(MID($C1590,19,2)),codigos!$H$2:$I$62,2,1) &amp; " " &amp; VLOOKUP(VALUE(MID($C1590,21,2)),codigos!$K$2:$L$12,2,FALSE)</f>
        <v>GALVANIZADO S/I</v>
      </c>
      <c r="F1590" s="11" t="s">
        <v>1379</v>
      </c>
      <c r="G1590" s="11" t="s">
        <v>11</v>
      </c>
      <c r="H1590" s="52" t="s">
        <v>1374</v>
      </c>
      <c r="I1590" s="20" t="s">
        <v>1373</v>
      </c>
      <c r="J1590" s="11">
        <v>20</v>
      </c>
      <c r="K1590" s="11">
        <v>20</v>
      </c>
      <c r="L1590" s="11">
        <f t="shared" si="149"/>
        <v>0</v>
      </c>
      <c r="M1590" s="131"/>
      <c r="N1590" s="18">
        <v>46107</v>
      </c>
      <c r="O1590" s="117"/>
    </row>
    <row r="1591" spans="1:15" x14ac:dyDescent="0.25">
      <c r="A1591" s="11">
        <f t="shared" ca="1" si="148"/>
        <v>-47</v>
      </c>
      <c r="C1591" s="11" t="s">
        <v>428</v>
      </c>
      <c r="D1591" s="11" t="str">
        <f>VLOOKUP(VALUE(MID($C1591,13,2)), codigos!$A$2:$B$60, 2, 1) &amp; " " &amp; VLOOKUP(VALUE(MID($C1591,15,4)), codigos!$E$2:$F$102, 2, FALSE)</f>
        <v>CUBETA 10</v>
      </c>
      <c r="E1591" s="11" t="str">
        <f>VLOOKUP(VALUE(MID($C1591,19,2)),codigos!$H$2:$I$62,2,1) &amp; " " &amp; VLOOKUP(VALUE(MID($C1591,21,2)),codigos!$K$2:$L$12,2,FALSE)</f>
        <v>GALVANIZADO S/I</v>
      </c>
      <c r="F1591" s="11" t="s">
        <v>1379</v>
      </c>
      <c r="G1591" s="11" t="s">
        <v>11</v>
      </c>
      <c r="H1591" s="52" t="s">
        <v>1377</v>
      </c>
      <c r="I1591" s="20" t="s">
        <v>1373</v>
      </c>
      <c r="J1591" s="11">
        <v>30</v>
      </c>
      <c r="K1591" s="11">
        <v>30</v>
      </c>
      <c r="L1591" s="11">
        <f t="shared" si="149"/>
        <v>0</v>
      </c>
      <c r="M1591" s="131">
        <f>(SUM(K1591:K1595))/(SUM(J1591:J1595))</f>
        <v>1</v>
      </c>
      <c r="N1591" s="18">
        <v>46107</v>
      </c>
      <c r="O1591" s="117"/>
    </row>
    <row r="1592" spans="1:15" x14ac:dyDescent="0.25">
      <c r="A1592" s="11">
        <f t="shared" ref="A1592:A1655" ca="1" si="150">DAYS360($B$1,I1592)</f>
        <v>-47</v>
      </c>
      <c r="C1592" s="11" t="s">
        <v>429</v>
      </c>
      <c r="D1592" s="11" t="str">
        <f>VLOOKUP(VALUE(MID($C1592,13,2)), codigos!$A$2:$B$60, 2, 1) &amp; " " &amp; VLOOKUP(VALUE(MID($C1592,15,4)), codigos!$E$2:$F$102, 2, FALSE)</f>
        <v>CUBETA 12</v>
      </c>
      <c r="E1592" s="11" t="str">
        <f>VLOOKUP(VALUE(MID($C1592,19,2)),codigos!$H$2:$I$62,2,1) &amp; " " &amp; VLOOKUP(VALUE(MID($C1592,21,2)),codigos!$K$2:$L$12,2,FALSE)</f>
        <v>GALVANIZADO S/I</v>
      </c>
      <c r="F1592" s="11" t="s">
        <v>1379</v>
      </c>
      <c r="G1592" s="11" t="s">
        <v>11</v>
      </c>
      <c r="H1592" s="52" t="s">
        <v>1377</v>
      </c>
      <c r="I1592" s="20" t="s">
        <v>1373</v>
      </c>
      <c r="J1592" s="11">
        <v>30</v>
      </c>
      <c r="K1592" s="11">
        <v>30</v>
      </c>
      <c r="L1592" s="11">
        <f t="shared" si="149"/>
        <v>0</v>
      </c>
      <c r="M1592" s="131"/>
      <c r="N1592" s="18">
        <v>46107</v>
      </c>
      <c r="O1592" s="117"/>
    </row>
    <row r="1593" spans="1:15" x14ac:dyDescent="0.25">
      <c r="A1593" s="11">
        <f t="shared" ca="1" si="150"/>
        <v>-47</v>
      </c>
      <c r="C1593" s="11" t="s">
        <v>430</v>
      </c>
      <c r="D1593" s="11" t="str">
        <f>VLOOKUP(VALUE(MID($C1593,13,2)), codigos!$A$2:$B$60, 2, 1) &amp; " " &amp; VLOOKUP(VALUE(MID($C1593,15,4)), codigos!$E$2:$F$102, 2, FALSE)</f>
        <v>CUBETA 14</v>
      </c>
      <c r="E1593" s="11" t="str">
        <f>VLOOKUP(VALUE(MID($C1593,19,2)),codigos!$H$2:$I$62,2,1) &amp; " " &amp; VLOOKUP(VALUE(MID($C1593,21,2)),codigos!$K$2:$L$12,2,FALSE)</f>
        <v>GALVANIZADO S/I</v>
      </c>
      <c r="F1593" s="11" t="s">
        <v>1379</v>
      </c>
      <c r="G1593" s="11" t="s">
        <v>11</v>
      </c>
      <c r="H1593" s="52" t="s">
        <v>1377</v>
      </c>
      <c r="I1593" s="20" t="s">
        <v>1373</v>
      </c>
      <c r="J1593" s="11">
        <v>30</v>
      </c>
      <c r="K1593" s="11">
        <v>30</v>
      </c>
      <c r="L1593" s="11">
        <f t="shared" si="149"/>
        <v>0</v>
      </c>
      <c r="M1593" s="131"/>
      <c r="N1593" s="18">
        <v>46107</v>
      </c>
      <c r="O1593" s="117"/>
    </row>
    <row r="1594" spans="1:15" x14ac:dyDescent="0.25">
      <c r="A1594" s="11">
        <f t="shared" ca="1" si="150"/>
        <v>-47</v>
      </c>
      <c r="C1594" s="11" t="s">
        <v>431</v>
      </c>
      <c r="D1594" s="11" t="str">
        <f>VLOOKUP(VALUE(MID($C1594,13,2)), codigos!$A$2:$B$60, 2, 1) &amp; " " &amp; VLOOKUP(VALUE(MID($C1594,15,4)), codigos!$E$2:$F$102, 2, FALSE)</f>
        <v>CUBETA 16</v>
      </c>
      <c r="E1594" s="11" t="str">
        <f>VLOOKUP(VALUE(MID($C1594,19,2)),codigos!$H$2:$I$62,2,1) &amp; " " &amp; VLOOKUP(VALUE(MID($C1594,21,2)),codigos!$K$2:$L$12,2,FALSE)</f>
        <v>GALVANIZADO S/I</v>
      </c>
      <c r="F1594" s="11" t="s">
        <v>1379</v>
      </c>
      <c r="G1594" s="11" t="s">
        <v>11</v>
      </c>
      <c r="H1594" s="52" t="s">
        <v>1377</v>
      </c>
      <c r="I1594" s="20" t="s">
        <v>1373</v>
      </c>
      <c r="J1594" s="11">
        <v>30</v>
      </c>
      <c r="K1594" s="11">
        <v>30</v>
      </c>
      <c r="L1594" s="11">
        <f t="shared" si="149"/>
        <v>0</v>
      </c>
      <c r="M1594" s="131"/>
      <c r="N1594" s="18">
        <v>46107</v>
      </c>
      <c r="O1594" s="117"/>
    </row>
    <row r="1595" spans="1:15" x14ac:dyDescent="0.25">
      <c r="A1595" s="11">
        <f t="shared" ca="1" si="150"/>
        <v>-47</v>
      </c>
      <c r="C1595" s="11" t="s">
        <v>433</v>
      </c>
      <c r="D1595" s="11" t="str">
        <f>VLOOKUP(VALUE(MID($C1595,13,2)), codigos!$A$2:$B$60, 2, 1) &amp; " " &amp; VLOOKUP(VALUE(MID($C1595,15,4)), codigos!$E$2:$F$102, 2, FALSE)</f>
        <v>CUBETA 20</v>
      </c>
      <c r="E1595" s="11" t="str">
        <f>VLOOKUP(VALUE(MID($C1595,19,2)),codigos!$H$2:$I$62,2,1) &amp; " " &amp; VLOOKUP(VALUE(MID($C1595,21,2)),codigos!$K$2:$L$12,2,FALSE)</f>
        <v>GALVANIZADO S/I</v>
      </c>
      <c r="F1595" s="11" t="s">
        <v>1379</v>
      </c>
      <c r="G1595" s="11" t="s">
        <v>11</v>
      </c>
      <c r="H1595" s="52" t="s">
        <v>1377</v>
      </c>
      <c r="I1595" s="20" t="s">
        <v>1373</v>
      </c>
      <c r="J1595" s="11">
        <v>30</v>
      </c>
      <c r="K1595" s="11">
        <f>30</f>
        <v>30</v>
      </c>
      <c r="L1595" s="11">
        <f t="shared" si="149"/>
        <v>0</v>
      </c>
      <c r="M1595" s="131"/>
      <c r="N1595" s="18">
        <v>46107</v>
      </c>
      <c r="O1595" s="117"/>
    </row>
    <row r="1596" spans="1:15" x14ac:dyDescent="0.25">
      <c r="A1596" s="11">
        <f t="shared" ca="1" si="150"/>
        <v>-47</v>
      </c>
      <c r="C1596" s="11" t="s">
        <v>242</v>
      </c>
      <c r="D1596" s="11" t="str">
        <f>VLOOKUP(VALUE(MID($C1596,13,2)), codigos!$A$2:$B$60, 2, 1) &amp; " " &amp; VLOOKUP(VALUE(MID($C1596,15,4)), codigos!$E$2:$F$102, 2, FALSE)</f>
        <v>COMAL 22</v>
      </c>
      <c r="E1596" s="11" t="str">
        <f>VLOOKUP(VALUE(MID($C1596,19,2)),codigos!$H$2:$I$62,2,1) &amp; " " &amp; VLOOKUP(VALUE(MID($C1596,21,2)),codigos!$K$2:$L$12,2,FALSE)</f>
        <v>NEGRO MOTAS S/I</v>
      </c>
      <c r="F1596" s="11" t="s">
        <v>1379</v>
      </c>
      <c r="G1596" s="11" t="s">
        <v>11</v>
      </c>
      <c r="H1596" s="52" t="s">
        <v>1378</v>
      </c>
      <c r="I1596" s="20" t="s">
        <v>1373</v>
      </c>
      <c r="J1596" s="11">
        <v>48</v>
      </c>
      <c r="K1596" s="11">
        <v>48</v>
      </c>
      <c r="L1596" s="11">
        <f t="shared" si="149"/>
        <v>0</v>
      </c>
      <c r="M1596" s="131">
        <f>(SUM(K1596:K1598))/(SUM(J1596:J1598))</f>
        <v>1</v>
      </c>
      <c r="N1596" s="18">
        <v>46107</v>
      </c>
      <c r="O1596" s="93">
        <v>46106</v>
      </c>
    </row>
    <row r="1597" spans="1:15" x14ac:dyDescent="0.25">
      <c r="A1597" s="11">
        <f t="shared" ca="1" si="150"/>
        <v>-47</v>
      </c>
      <c r="C1597" s="11" t="s">
        <v>149</v>
      </c>
      <c r="D1597" s="11" t="str">
        <f>VLOOKUP(VALUE(MID($C1597,13,2)), codigos!$A$2:$B$60, 2, 1) &amp; " " &amp; VLOOKUP(VALUE(MID($C1597,15,4)), codigos!$E$2:$F$102, 2, FALSE)</f>
        <v>COMAL 28</v>
      </c>
      <c r="E1597" s="11" t="str">
        <f>VLOOKUP(VALUE(MID($C1597,19,2)),codigos!$H$2:$I$62,2,1) &amp; " " &amp; VLOOKUP(VALUE(MID($C1597,21,2)),codigos!$K$2:$L$12,2,FALSE)</f>
        <v>NEGRO MOTAS S/I</v>
      </c>
      <c r="F1597" s="11" t="s">
        <v>1379</v>
      </c>
      <c r="G1597" s="11" t="s">
        <v>11</v>
      </c>
      <c r="H1597" s="52" t="s">
        <v>1378</v>
      </c>
      <c r="I1597" s="20" t="s">
        <v>1373</v>
      </c>
      <c r="J1597" s="11">
        <v>24</v>
      </c>
      <c r="K1597" s="11">
        <v>24</v>
      </c>
      <c r="L1597" s="11">
        <f t="shared" si="149"/>
        <v>0</v>
      </c>
      <c r="M1597" s="131"/>
      <c r="N1597" s="18">
        <v>46107</v>
      </c>
      <c r="O1597" s="93">
        <v>46106</v>
      </c>
    </row>
    <row r="1598" spans="1:15" x14ac:dyDescent="0.25">
      <c r="A1598" s="11">
        <f t="shared" ca="1" si="150"/>
        <v>-47</v>
      </c>
      <c r="C1598" s="11" t="s">
        <v>344</v>
      </c>
      <c r="D1598" s="11" t="str">
        <f>VLOOKUP(VALUE(MID($C1598,13,2)), codigos!$A$2:$B$60, 2, 1) &amp; " " &amp; VLOOKUP(VALUE(MID($C1598,15,4)), codigos!$E$2:$F$102, 2, FALSE)</f>
        <v>COMAL 36</v>
      </c>
      <c r="E1598" s="11" t="str">
        <f>VLOOKUP(VALUE(MID($C1598,19,2)),codigos!$H$2:$I$62,2,1) &amp; " " &amp; VLOOKUP(VALUE(MID($C1598,21,2)),codigos!$K$2:$L$12,2,FALSE)</f>
        <v>NEGRO MOTAS S/I</v>
      </c>
      <c r="F1598" s="11" t="s">
        <v>1379</v>
      </c>
      <c r="G1598" s="11" t="s">
        <v>11</v>
      </c>
      <c r="H1598" s="52" t="s">
        <v>1378</v>
      </c>
      <c r="I1598" s="20" t="s">
        <v>1373</v>
      </c>
      <c r="J1598" s="11">
        <v>24</v>
      </c>
      <c r="K1598" s="11">
        <f>24</f>
        <v>24</v>
      </c>
      <c r="L1598" s="11">
        <f t="shared" si="149"/>
        <v>0</v>
      </c>
      <c r="M1598" s="131"/>
      <c r="N1598" s="18">
        <v>46107</v>
      </c>
      <c r="O1598" s="93">
        <v>46106</v>
      </c>
    </row>
    <row r="1599" spans="1:15" x14ac:dyDescent="0.25">
      <c r="A1599" s="11">
        <f t="shared" ca="1" si="150"/>
        <v>-45</v>
      </c>
      <c r="C1599" s="11" t="s">
        <v>148</v>
      </c>
      <c r="D1599" s="11" t="str">
        <f>VLOOKUP(VALUE(MID($C1599,13,2)), codigos!$A$2:$B$60, 2, 1) &amp; " " &amp; VLOOKUP(VALUE(MID($C1599,15,4)), codigos!$E$2:$F$102, 2, FALSE)</f>
        <v>BUDINERA 26</v>
      </c>
      <c r="E1599" s="11" t="str">
        <f>VLOOKUP(VALUE(MID($C1599,19,2)),codigos!$H$2:$I$62,2,1) &amp; " " &amp; VLOOKUP(VALUE(MID($C1599,21,2)),codigos!$K$2:$L$12,2,FALSE)</f>
        <v>A/T S/I</v>
      </c>
      <c r="F1599" s="11" t="s">
        <v>991</v>
      </c>
      <c r="G1599" s="11" t="s">
        <v>34</v>
      </c>
      <c r="H1599" s="52" t="s">
        <v>1550</v>
      </c>
      <c r="I1599" s="20" t="s">
        <v>1381</v>
      </c>
      <c r="J1599" s="11">
        <v>204</v>
      </c>
      <c r="K1599" s="11">
        <v>156</v>
      </c>
      <c r="L1599" s="11">
        <f>J1599-K1599</f>
        <v>48</v>
      </c>
      <c r="M1599" s="131">
        <f>(SUM(K1599:K1600))/(SUM(J1599:J1600))</f>
        <v>0.55714285714285716</v>
      </c>
      <c r="N1599" s="18">
        <v>46107</v>
      </c>
      <c r="O1599" s="93">
        <v>46105</v>
      </c>
    </row>
    <row r="1600" spans="1:15" x14ac:dyDescent="0.25">
      <c r="A1600" s="11">
        <f t="shared" ca="1" si="150"/>
        <v>-45</v>
      </c>
      <c r="C1600" s="64" t="s">
        <v>173</v>
      </c>
      <c r="D1600" s="64" t="str">
        <f>VLOOKUP(VALUE(MID($C1600,13,2)), codigos!$A$2:$B$60, 2, 1) &amp; " " &amp; VLOOKUP(VALUE(MID($C1600,15,4)), codigos!$E$2:$F$102, 2, FALSE)</f>
        <v>BUDINERA 34</v>
      </c>
      <c r="E1600" s="64" t="str">
        <f>VLOOKUP(VALUE(MID($C1600,19,2)),codigos!$H$2:$I$62,2,1) &amp; " " &amp; VLOOKUP(VALUE(MID($C1600,21,2)),codigos!$K$2:$L$12,2,FALSE)</f>
        <v>A/T S/I</v>
      </c>
      <c r="F1600" s="64" t="s">
        <v>991</v>
      </c>
      <c r="G1600" s="64" t="s">
        <v>34</v>
      </c>
      <c r="H1600" s="66" t="s">
        <v>1550</v>
      </c>
      <c r="I1600" s="64" t="s">
        <v>1381</v>
      </c>
      <c r="J1600" s="64">
        <v>76</v>
      </c>
      <c r="K1600" s="64">
        <v>0</v>
      </c>
      <c r="L1600" s="64">
        <f>J1600-K1600</f>
        <v>76</v>
      </c>
      <c r="M1600" s="131"/>
      <c r="N1600" s="18">
        <v>46107</v>
      </c>
      <c r="O1600" s="93">
        <v>46105</v>
      </c>
    </row>
    <row r="1601" spans="1:16" x14ac:dyDescent="0.25">
      <c r="A1601" s="11">
        <f t="shared" ca="1" si="150"/>
        <v>-31</v>
      </c>
      <c r="C1601" s="11" t="s">
        <v>255</v>
      </c>
      <c r="D1601" s="11" t="str">
        <f>VLOOKUP(VALUE(MID($C1601,13,2)), codigos!$A$2:$B$60, 2, 1) &amp; " " &amp; VLOOKUP(VALUE(MID($C1601,15,4)), codigos!$E$2:$F$102, 2, FALSE)</f>
        <v>BUDINERA 12</v>
      </c>
      <c r="E1601" s="11" t="str">
        <f>VLOOKUP(VALUE(MID($C1601,19,2)),codigos!$H$2:$I$62,2,1) &amp; " " &amp; VLOOKUP(VALUE(MID($C1601,21,2)),codigos!$K$2:$L$12,2,FALSE)</f>
        <v>A/T S/I</v>
      </c>
      <c r="F1601" s="11" t="s">
        <v>991</v>
      </c>
      <c r="G1601" s="11" t="s">
        <v>11</v>
      </c>
      <c r="H1601" s="52" t="s">
        <v>1503</v>
      </c>
      <c r="I1601" s="20" t="s">
        <v>1445</v>
      </c>
      <c r="J1601" s="11">
        <v>90</v>
      </c>
      <c r="K1601" s="11">
        <f>90</f>
        <v>90</v>
      </c>
      <c r="L1601" s="11">
        <f t="shared" ref="L1601:L1615" si="151">J1601-K1601</f>
        <v>0</v>
      </c>
      <c r="M1601" s="131">
        <f>(SUM(K1601:K1615))/(SUM(J1601:J1615))</f>
        <v>0.98056537102473496</v>
      </c>
      <c r="N1601" s="18">
        <v>46107</v>
      </c>
      <c r="O1601" s="93">
        <v>46105</v>
      </c>
      <c r="P1601" s="18">
        <v>46106</v>
      </c>
    </row>
    <row r="1602" spans="1:16" x14ac:dyDescent="0.25">
      <c r="A1602" s="11">
        <f t="shared" ca="1" si="150"/>
        <v>-31</v>
      </c>
      <c r="C1602" s="11" t="s">
        <v>256</v>
      </c>
      <c r="D1602" s="11" t="str">
        <f>VLOOKUP(VALUE(MID($C1602,13,2)), codigos!$A$2:$B$60, 2, 1) &amp; " " &amp; VLOOKUP(VALUE(MID($C1602,15,4)), codigos!$E$2:$F$102, 2, FALSE)</f>
        <v>BUDINERA 14</v>
      </c>
      <c r="E1602" s="11" t="str">
        <f>VLOOKUP(VALUE(MID($C1602,19,2)),codigos!$H$2:$I$62,2,1) &amp; " " &amp; VLOOKUP(VALUE(MID($C1602,21,2)),codigos!$K$2:$L$12,2,FALSE)</f>
        <v>A/T S/I</v>
      </c>
      <c r="F1602" s="11" t="s">
        <v>991</v>
      </c>
      <c r="G1602" s="11" t="s">
        <v>11</v>
      </c>
      <c r="H1602" s="52" t="s">
        <v>1503</v>
      </c>
      <c r="I1602" s="20" t="s">
        <v>1445</v>
      </c>
      <c r="J1602" s="11">
        <v>144</v>
      </c>
      <c r="K1602" s="11">
        <f>24+54+54</f>
        <v>132</v>
      </c>
      <c r="L1602" s="11">
        <f t="shared" si="151"/>
        <v>12</v>
      </c>
      <c r="M1602" s="131"/>
      <c r="N1602" s="18">
        <v>46107</v>
      </c>
      <c r="O1602" s="93">
        <v>46105</v>
      </c>
      <c r="P1602" s="18">
        <v>46106</v>
      </c>
    </row>
    <row r="1603" spans="1:16" x14ac:dyDescent="0.25">
      <c r="A1603" s="11">
        <f t="shared" ca="1" si="150"/>
        <v>-31</v>
      </c>
      <c r="C1603" s="11" t="s">
        <v>214</v>
      </c>
      <c r="D1603" s="11" t="str">
        <f>VLOOKUP(VALUE(MID($C1603,13,2)), codigos!$A$2:$B$60, 2, 1) &amp; " " &amp; VLOOKUP(VALUE(MID($C1603,15,4)), codigos!$E$2:$F$102, 2, FALSE)</f>
        <v>BUDINERA 18</v>
      </c>
      <c r="E1603" s="11" t="str">
        <f>VLOOKUP(VALUE(MID($C1603,19,2)),codigos!$H$2:$I$62,2,1) &amp; " " &amp; VLOOKUP(VALUE(MID($C1603,21,2)),codigos!$K$2:$L$12,2,FALSE)</f>
        <v>A/T S/I</v>
      </c>
      <c r="F1603" s="11" t="s">
        <v>991</v>
      </c>
      <c r="G1603" s="11" t="s">
        <v>11</v>
      </c>
      <c r="H1603" s="52" t="s">
        <v>1503</v>
      </c>
      <c r="I1603" s="20" t="s">
        <v>1445</v>
      </c>
      <c r="J1603" s="11">
        <v>198</v>
      </c>
      <c r="K1603" s="11">
        <f>35+36+4+54+69</f>
        <v>198</v>
      </c>
      <c r="L1603" s="11">
        <f t="shared" si="151"/>
        <v>0</v>
      </c>
      <c r="M1603" s="131"/>
      <c r="N1603" s="18">
        <v>46107</v>
      </c>
      <c r="O1603" s="93">
        <v>46105</v>
      </c>
      <c r="P1603" s="18">
        <v>46106</v>
      </c>
    </row>
    <row r="1604" spans="1:16" x14ac:dyDescent="0.25">
      <c r="A1604" s="11">
        <f t="shared" ca="1" si="150"/>
        <v>-31</v>
      </c>
      <c r="C1604" s="11" t="s">
        <v>215</v>
      </c>
      <c r="D1604" s="11" t="str">
        <f>VLOOKUP(VALUE(MID($C1604,13,2)), codigos!$A$2:$B$60, 2, 1) &amp; " " &amp; VLOOKUP(VALUE(MID($C1604,15,4)), codigos!$E$2:$F$102, 2, FALSE)</f>
        <v>BUDINERA 20</v>
      </c>
      <c r="E1604" s="11" t="str">
        <f>VLOOKUP(VALUE(MID($C1604,19,2)),codigos!$H$2:$I$62,2,1) &amp; " " &amp; VLOOKUP(VALUE(MID($C1604,21,2)),codigos!$K$2:$L$12,2,FALSE)</f>
        <v>A/T S/I</v>
      </c>
      <c r="F1604" s="11" t="s">
        <v>991</v>
      </c>
      <c r="G1604" s="11" t="s">
        <v>11</v>
      </c>
      <c r="H1604" s="52" t="s">
        <v>1503</v>
      </c>
      <c r="I1604" s="20" t="s">
        <v>1445</v>
      </c>
      <c r="J1604" s="11">
        <v>144</v>
      </c>
      <c r="K1604" s="11">
        <f>14+130</f>
        <v>144</v>
      </c>
      <c r="L1604" s="11">
        <f t="shared" si="151"/>
        <v>0</v>
      </c>
      <c r="M1604" s="131"/>
      <c r="N1604" s="18">
        <v>46107</v>
      </c>
      <c r="O1604" s="93">
        <v>46105</v>
      </c>
      <c r="P1604" s="18">
        <v>46106</v>
      </c>
    </row>
    <row r="1605" spans="1:16" x14ac:dyDescent="0.25">
      <c r="A1605" s="11">
        <f t="shared" ca="1" si="150"/>
        <v>-31</v>
      </c>
      <c r="C1605" s="11" t="s">
        <v>241</v>
      </c>
      <c r="D1605" s="11" t="str">
        <f>VLOOKUP(VALUE(MID($C1605,13,2)), codigos!$A$2:$B$60, 2, 1) &amp; " " &amp; VLOOKUP(VALUE(MID($C1605,15,4)), codigos!$E$2:$F$102, 2, FALSE)</f>
        <v>BUDINERA 22</v>
      </c>
      <c r="E1605" s="11" t="str">
        <f>VLOOKUP(VALUE(MID($C1605,19,2)),codigos!$H$2:$I$62,2,1) &amp; " " &amp; VLOOKUP(VALUE(MID($C1605,21,2)),codigos!$K$2:$L$12,2,FALSE)</f>
        <v>A/T S/I</v>
      </c>
      <c r="F1605" s="11" t="s">
        <v>991</v>
      </c>
      <c r="G1605" s="11" t="s">
        <v>11</v>
      </c>
      <c r="H1605" s="52" t="s">
        <v>1503</v>
      </c>
      <c r="I1605" s="20" t="s">
        <v>1445</v>
      </c>
      <c r="J1605" s="11">
        <v>12</v>
      </c>
      <c r="K1605" s="11">
        <f>12</f>
        <v>12</v>
      </c>
      <c r="L1605" s="11">
        <f t="shared" si="151"/>
        <v>0</v>
      </c>
      <c r="M1605" s="131"/>
      <c r="N1605" s="18">
        <v>46107</v>
      </c>
      <c r="O1605" s="93">
        <v>46105</v>
      </c>
      <c r="P1605" s="18">
        <v>46106</v>
      </c>
    </row>
    <row r="1606" spans="1:16" x14ac:dyDescent="0.25">
      <c r="A1606" s="11">
        <f t="shared" ca="1" si="150"/>
        <v>-31</v>
      </c>
      <c r="C1606" s="64" t="s">
        <v>173</v>
      </c>
      <c r="D1606" s="64" t="str">
        <f>VLOOKUP(VALUE(MID($C1606,13,2)), codigos!$A$2:$B$60, 2, 1) &amp; " " &amp; VLOOKUP(VALUE(MID($C1606,15,4)), codigos!$E$2:$F$102, 2, FALSE)</f>
        <v>BUDINERA 34</v>
      </c>
      <c r="E1606" s="64" t="str">
        <f>VLOOKUP(VALUE(MID($C1606,19,2)),codigos!$H$2:$I$62,2,1) &amp; " " &amp; VLOOKUP(VALUE(MID($C1606,21,2)),codigos!$K$2:$L$12,2,FALSE)</f>
        <v>A/T S/I</v>
      </c>
      <c r="F1606" s="64" t="s">
        <v>991</v>
      </c>
      <c r="G1606" s="64" t="s">
        <v>11</v>
      </c>
      <c r="H1606" s="66" t="s">
        <v>1503</v>
      </c>
      <c r="I1606" s="64" t="s">
        <v>1445</v>
      </c>
      <c r="J1606" s="64">
        <v>32</v>
      </c>
      <c r="K1606" s="64">
        <v>0</v>
      </c>
      <c r="L1606" s="64">
        <f t="shared" si="151"/>
        <v>32</v>
      </c>
      <c r="M1606" s="131"/>
      <c r="N1606" s="18">
        <v>46107</v>
      </c>
      <c r="O1606" s="93">
        <v>46105</v>
      </c>
      <c r="P1606" s="18">
        <v>46106</v>
      </c>
    </row>
    <row r="1607" spans="1:16" x14ac:dyDescent="0.25">
      <c r="A1607" s="11">
        <f t="shared" ca="1" si="150"/>
        <v>-31</v>
      </c>
      <c r="C1607" s="11" t="s">
        <v>242</v>
      </c>
      <c r="D1607" s="11" t="str">
        <f>VLOOKUP(VALUE(MID($C1607,13,2)), codigos!$A$2:$B$60, 2, 1) &amp; " " &amp; VLOOKUP(VALUE(MID($C1607,15,4)), codigos!$E$2:$F$102, 2, FALSE)</f>
        <v>COMAL 22</v>
      </c>
      <c r="E1607" s="11" t="str">
        <f>VLOOKUP(VALUE(MID($C1607,19,2)),codigos!$H$2:$I$62,2,1) &amp; " " &amp; VLOOKUP(VALUE(MID($C1607,21,2)),codigos!$K$2:$L$12,2,FALSE)</f>
        <v>NEGRO MOTAS S/I</v>
      </c>
      <c r="F1607" s="11" t="s">
        <v>991</v>
      </c>
      <c r="G1607" s="11" t="s">
        <v>11</v>
      </c>
      <c r="H1607" s="52" t="s">
        <v>1503</v>
      </c>
      <c r="I1607" s="20" t="s">
        <v>1445</v>
      </c>
      <c r="J1607" s="11">
        <v>264</v>
      </c>
      <c r="K1607" s="11">
        <f>38+226</f>
        <v>264</v>
      </c>
      <c r="L1607" s="11">
        <f t="shared" si="151"/>
        <v>0</v>
      </c>
      <c r="M1607" s="131"/>
      <c r="N1607" s="18">
        <v>46107</v>
      </c>
      <c r="O1607" s="93">
        <v>46105</v>
      </c>
      <c r="P1607" s="18">
        <v>46106</v>
      </c>
    </row>
    <row r="1608" spans="1:16" x14ac:dyDescent="0.25">
      <c r="A1608" s="11">
        <f t="shared" ca="1" si="150"/>
        <v>-31</v>
      </c>
      <c r="C1608" s="11" t="s">
        <v>149</v>
      </c>
      <c r="D1608" s="11" t="str">
        <f>VLOOKUP(VALUE(MID($C1608,13,2)), codigos!$A$2:$B$60, 2, 1) &amp; " " &amp; VLOOKUP(VALUE(MID($C1608,15,4)), codigos!$E$2:$F$102, 2, FALSE)</f>
        <v>COMAL 28</v>
      </c>
      <c r="E1608" s="11" t="str">
        <f>VLOOKUP(VALUE(MID($C1608,19,2)),codigos!$H$2:$I$62,2,1) &amp; " " &amp; VLOOKUP(VALUE(MID($C1608,21,2)),codigos!$K$2:$L$12,2,FALSE)</f>
        <v>NEGRO MOTAS S/I</v>
      </c>
      <c r="F1608" s="11" t="s">
        <v>991</v>
      </c>
      <c r="G1608" s="11" t="s">
        <v>11</v>
      </c>
      <c r="H1608" s="52" t="s">
        <v>1503</v>
      </c>
      <c r="I1608" s="20" t="s">
        <v>1445</v>
      </c>
      <c r="J1608" s="11">
        <v>528</v>
      </c>
      <c r="K1608" s="11">
        <f>216+312</f>
        <v>528</v>
      </c>
      <c r="L1608" s="11">
        <f t="shared" si="151"/>
        <v>0</v>
      </c>
      <c r="M1608" s="131"/>
      <c r="N1608" s="18">
        <v>46107</v>
      </c>
      <c r="O1608" s="93">
        <v>46105</v>
      </c>
      <c r="P1608" s="18">
        <v>46106</v>
      </c>
    </row>
    <row r="1609" spans="1:16" x14ac:dyDescent="0.25">
      <c r="A1609" s="11">
        <f t="shared" ca="1" si="150"/>
        <v>-31</v>
      </c>
      <c r="C1609" s="11" t="s">
        <v>187</v>
      </c>
      <c r="D1609" s="11" t="str">
        <f>VLOOKUP(VALUE(MID($C1609,13,2)), codigos!$A$2:$B$60, 2, 1) &amp; " " &amp; VLOOKUP(VALUE(MID($C1609,15,4)), codigos!$E$2:$F$102, 2, FALSE)</f>
        <v>OLLA CONVEXA 12</v>
      </c>
      <c r="E1609" s="11" t="str">
        <f>VLOOKUP(VALUE(MID($C1609,19,2)),codigos!$H$2:$I$62,2,1) &amp; " " &amp; VLOOKUP(VALUE(MID($C1609,21,2)),codigos!$K$2:$L$12,2,FALSE)</f>
        <v>A/T S/I</v>
      </c>
      <c r="F1609" s="11" t="s">
        <v>991</v>
      </c>
      <c r="G1609" s="11" t="s">
        <v>11</v>
      </c>
      <c r="H1609" s="52" t="s">
        <v>1503</v>
      </c>
      <c r="I1609" s="20" t="s">
        <v>1445</v>
      </c>
      <c r="J1609" s="11">
        <v>108</v>
      </c>
      <c r="K1609" s="11">
        <f>72+18+18</f>
        <v>108</v>
      </c>
      <c r="L1609" s="11">
        <f t="shared" si="151"/>
        <v>0</v>
      </c>
      <c r="M1609" s="131"/>
      <c r="N1609" s="18">
        <v>46107</v>
      </c>
      <c r="O1609" s="93">
        <v>46105</v>
      </c>
      <c r="P1609" s="18">
        <v>46106</v>
      </c>
    </row>
    <row r="1610" spans="1:16" x14ac:dyDescent="0.25">
      <c r="A1610" s="11">
        <f t="shared" ca="1" si="150"/>
        <v>-31</v>
      </c>
      <c r="C1610" s="11" t="s">
        <v>150</v>
      </c>
      <c r="D1610" s="11" t="str">
        <f>VLOOKUP(VALUE(MID($C1610,13,2)), codigos!$A$2:$B$60, 2, 1) &amp; " " &amp; VLOOKUP(VALUE(MID($C1610,15,4)), codigos!$E$2:$F$102, 2, FALSE)</f>
        <v>OLLA CONVEXA 18</v>
      </c>
      <c r="E1610" s="11" t="str">
        <f>VLOOKUP(VALUE(MID($C1610,19,2)),codigos!$H$2:$I$62,2,1) &amp; " " &amp; VLOOKUP(VALUE(MID($C1610,21,2)),codigos!$K$2:$L$12,2,FALSE)</f>
        <v>A/T S/I</v>
      </c>
      <c r="F1610" s="11" t="s">
        <v>991</v>
      </c>
      <c r="G1610" s="11" t="s">
        <v>11</v>
      </c>
      <c r="H1610" s="52" t="s">
        <v>1503</v>
      </c>
      <c r="I1610" s="20" t="s">
        <v>1445</v>
      </c>
      <c r="J1610" s="11">
        <v>24</v>
      </c>
      <c r="K1610" s="11">
        <f>10+14</f>
        <v>24</v>
      </c>
      <c r="L1610" s="11">
        <f t="shared" si="151"/>
        <v>0</v>
      </c>
      <c r="M1610" s="131"/>
      <c r="N1610" s="18">
        <v>46107</v>
      </c>
      <c r="O1610" s="93">
        <v>46105</v>
      </c>
      <c r="P1610" s="18">
        <v>46106</v>
      </c>
    </row>
    <row r="1611" spans="1:16" x14ac:dyDescent="0.25">
      <c r="A1611" s="11">
        <f t="shared" ca="1" si="150"/>
        <v>-31</v>
      </c>
      <c r="C1611" s="11" t="s">
        <v>222</v>
      </c>
      <c r="D1611" s="11" t="str">
        <f>VLOOKUP(VALUE(MID($C1611,13,2)), codigos!$A$2:$B$60, 2, 1) &amp; " " &amp; VLOOKUP(VALUE(MID($C1611,15,4)), codigos!$E$2:$F$102, 2, FALSE)</f>
        <v>OLLA RECTA 12</v>
      </c>
      <c r="E1611" s="11" t="str">
        <f>VLOOKUP(VALUE(MID($C1611,19,2)),codigos!$H$2:$I$62,2,1) &amp; " " &amp; VLOOKUP(VALUE(MID($C1611,21,2)),codigos!$K$2:$L$12,2,FALSE)</f>
        <v>A/T S/I</v>
      </c>
      <c r="F1611" s="11" t="s">
        <v>991</v>
      </c>
      <c r="G1611" s="11" t="s">
        <v>11</v>
      </c>
      <c r="H1611" s="52" t="s">
        <v>1503</v>
      </c>
      <c r="I1611" s="20" t="s">
        <v>1445</v>
      </c>
      <c r="J1611" s="11">
        <v>144</v>
      </c>
      <c r="K1611" s="11">
        <f>18+18+11+18+38+6+35</f>
        <v>144</v>
      </c>
      <c r="L1611" s="11">
        <f t="shared" si="151"/>
        <v>0</v>
      </c>
      <c r="M1611" s="131"/>
      <c r="N1611" s="18">
        <v>46107</v>
      </c>
      <c r="O1611" s="93">
        <v>46105</v>
      </c>
      <c r="P1611" s="18">
        <v>46106</v>
      </c>
    </row>
    <row r="1612" spans="1:16" x14ac:dyDescent="0.25">
      <c r="A1612" s="11">
        <f t="shared" ca="1" si="150"/>
        <v>-31</v>
      </c>
      <c r="C1612" s="11" t="s">
        <v>257</v>
      </c>
      <c r="D1612" s="11" t="str">
        <f>VLOOKUP(VALUE(MID($C1612,13,2)), codigos!$A$2:$B$60, 2, 1) &amp; " " &amp; VLOOKUP(VALUE(MID($C1612,15,4)), codigos!$E$2:$F$102, 2, FALSE)</f>
        <v>OLLA RECTA 14</v>
      </c>
      <c r="E1612" s="11" t="str">
        <f>VLOOKUP(VALUE(MID($C1612,19,2)),codigos!$H$2:$I$62,2,1) &amp; " " &amp; VLOOKUP(VALUE(MID($C1612,21,2)),codigos!$K$2:$L$12,2,FALSE)</f>
        <v>A/T S/I</v>
      </c>
      <c r="F1612" s="11" t="s">
        <v>991</v>
      </c>
      <c r="G1612" s="11" t="s">
        <v>11</v>
      </c>
      <c r="H1612" s="52" t="s">
        <v>1503</v>
      </c>
      <c r="I1612" s="20" t="s">
        <v>1445</v>
      </c>
      <c r="J1612" s="11">
        <v>144</v>
      </c>
      <c r="K1612" s="11">
        <v>144</v>
      </c>
      <c r="L1612" s="11">
        <f t="shared" si="151"/>
        <v>0</v>
      </c>
      <c r="M1612" s="131"/>
      <c r="N1612" s="18">
        <v>46107</v>
      </c>
      <c r="O1612" s="93">
        <v>46105</v>
      </c>
      <c r="P1612" s="18">
        <v>46106</v>
      </c>
    </row>
    <row r="1613" spans="1:16" x14ac:dyDescent="0.25">
      <c r="A1613" s="11">
        <f t="shared" ca="1" si="150"/>
        <v>-31</v>
      </c>
      <c r="C1613" s="11" t="s">
        <v>180</v>
      </c>
      <c r="D1613" s="11" t="str">
        <f>VLOOKUP(VALUE(MID($C1613,13,2)), codigos!$A$2:$B$60, 2, 1) &amp; " " &amp; VLOOKUP(VALUE(MID($C1613,15,4)), codigos!$E$2:$F$102, 2, FALSE)</f>
        <v>POCILLO 12</v>
      </c>
      <c r="E1613" s="11" t="str">
        <f>VLOOKUP(VALUE(MID($C1613,19,2)),codigos!$H$2:$I$62,2,1) &amp; " " &amp; VLOOKUP(VALUE(MID($C1613,21,2)),codigos!$K$2:$L$12,2,FALSE)</f>
        <v>A/T S/I</v>
      </c>
      <c r="F1613" s="11" t="s">
        <v>991</v>
      </c>
      <c r="G1613" s="11" t="s">
        <v>11</v>
      </c>
      <c r="H1613" s="52" t="s">
        <v>1503</v>
      </c>
      <c r="I1613" s="20" t="s">
        <v>1445</v>
      </c>
      <c r="J1613" s="11">
        <v>180</v>
      </c>
      <c r="K1613" s="11">
        <f>180</f>
        <v>180</v>
      </c>
      <c r="L1613" s="11">
        <f t="shared" si="151"/>
        <v>0</v>
      </c>
      <c r="M1613" s="131"/>
      <c r="N1613" s="18">
        <v>46107</v>
      </c>
      <c r="O1613" s="93">
        <v>46105</v>
      </c>
      <c r="P1613" s="18">
        <v>46106</v>
      </c>
    </row>
    <row r="1614" spans="1:16" x14ac:dyDescent="0.25">
      <c r="A1614" s="11">
        <f t="shared" ca="1" si="150"/>
        <v>-31</v>
      </c>
      <c r="C1614" s="11" t="s">
        <v>182</v>
      </c>
      <c r="D1614" s="11" t="str">
        <f>VLOOKUP(VALUE(MID($C1614,13,2)), codigos!$A$2:$B$60, 2, 1) &amp; " " &amp; VLOOKUP(VALUE(MID($C1614,15,4)), codigos!$E$2:$F$102, 2, FALSE)</f>
        <v>POCILLO 14</v>
      </c>
      <c r="E1614" s="11" t="str">
        <f>VLOOKUP(VALUE(MID($C1614,19,2)),codigos!$H$2:$I$62,2,1) &amp; " " &amp; VLOOKUP(VALUE(MID($C1614,21,2)),codigos!$K$2:$L$12,2,FALSE)</f>
        <v>A/T S/I</v>
      </c>
      <c r="F1614" s="11" t="s">
        <v>991</v>
      </c>
      <c r="G1614" s="11" t="s">
        <v>11</v>
      </c>
      <c r="H1614" s="52" t="s">
        <v>1503</v>
      </c>
      <c r="I1614" s="20" t="s">
        <v>1445</v>
      </c>
      <c r="J1614" s="11">
        <v>126</v>
      </c>
      <c r="K1614" s="11">
        <f>126</f>
        <v>126</v>
      </c>
      <c r="L1614" s="11">
        <f t="shared" si="151"/>
        <v>0</v>
      </c>
      <c r="M1614" s="131"/>
      <c r="N1614" s="18">
        <v>46107</v>
      </c>
      <c r="O1614" s="93">
        <v>46105</v>
      </c>
      <c r="P1614" s="18">
        <v>46106</v>
      </c>
    </row>
    <row r="1615" spans="1:16" x14ac:dyDescent="0.25">
      <c r="A1615" s="11">
        <f t="shared" ca="1" si="150"/>
        <v>-31</v>
      </c>
      <c r="C1615" s="11" t="s">
        <v>188</v>
      </c>
      <c r="D1615" s="11" t="str">
        <f>VLOOKUP(VALUE(MID($C1615,13,2)), codigos!$A$2:$B$60, 2, 1) &amp; " " &amp; VLOOKUP(VALUE(MID($C1615,15,4)), codigos!$E$2:$F$102, 2, FALSE)</f>
        <v>POCILLO 14</v>
      </c>
      <c r="E1615" s="11" t="str">
        <f>VLOOKUP(VALUE(MID($C1615,19,2)),codigos!$H$2:$I$62,2,1) &amp; " " &amp; VLOOKUP(VALUE(MID($C1615,21,2)),codigos!$K$2:$L$12,2,FALSE)</f>
        <v>S/I S/I</v>
      </c>
      <c r="F1615" s="11" t="s">
        <v>991</v>
      </c>
      <c r="G1615" s="11" t="s">
        <v>11</v>
      </c>
      <c r="H1615" s="52" t="s">
        <v>1503</v>
      </c>
      <c r="I1615" s="20" t="s">
        <v>1445</v>
      </c>
      <c r="J1615" s="11">
        <v>126</v>
      </c>
      <c r="K1615" s="11">
        <v>126</v>
      </c>
      <c r="L1615" s="11">
        <f t="shared" si="151"/>
        <v>0</v>
      </c>
      <c r="M1615" s="131"/>
      <c r="N1615" s="18">
        <v>46107</v>
      </c>
      <c r="O1615" s="93">
        <v>46105</v>
      </c>
      <c r="P1615" s="18">
        <v>46106</v>
      </c>
    </row>
    <row r="1616" spans="1:16" x14ac:dyDescent="0.25">
      <c r="A1616" s="11">
        <f t="shared" ca="1" si="150"/>
        <v>-17</v>
      </c>
      <c r="C1616" s="11" t="s">
        <v>572</v>
      </c>
      <c r="D1616" s="11" t="s">
        <v>1539</v>
      </c>
      <c r="E1616" s="11" t="s">
        <v>896</v>
      </c>
      <c r="F1616" s="11" t="s">
        <v>573</v>
      </c>
      <c r="G1616" s="11" t="s">
        <v>11</v>
      </c>
      <c r="H1616" s="52" t="s">
        <v>1545</v>
      </c>
      <c r="I1616" s="20" t="s">
        <v>1543</v>
      </c>
      <c r="J1616" s="11">
        <v>4</v>
      </c>
      <c r="K1616" s="11">
        <v>4</v>
      </c>
      <c r="L1616" s="11">
        <v>0</v>
      </c>
      <c r="M1616" s="131">
        <v>1</v>
      </c>
      <c r="N1616" s="18">
        <v>46107</v>
      </c>
      <c r="O1616" s="93">
        <v>46105</v>
      </c>
      <c r="P1616" s="18">
        <v>46106</v>
      </c>
    </row>
    <row r="1617" spans="1:16" x14ac:dyDescent="0.25">
      <c r="A1617" s="11">
        <f t="shared" ca="1" si="150"/>
        <v>-17</v>
      </c>
      <c r="C1617" s="11" t="s">
        <v>576</v>
      </c>
      <c r="D1617" s="11" t="s">
        <v>1595</v>
      </c>
      <c r="E1617" s="11" t="s">
        <v>896</v>
      </c>
      <c r="F1617" s="11" t="s">
        <v>573</v>
      </c>
      <c r="G1617" s="11" t="s">
        <v>11</v>
      </c>
      <c r="H1617" s="52" t="s">
        <v>1545</v>
      </c>
      <c r="I1617" s="20" t="s">
        <v>1543</v>
      </c>
      <c r="J1617" s="11">
        <v>4</v>
      </c>
      <c r="K1617" s="11">
        <v>4</v>
      </c>
      <c r="L1617" s="11">
        <v>0</v>
      </c>
      <c r="M1617" s="131"/>
      <c r="N1617" s="18">
        <v>46107</v>
      </c>
      <c r="O1617" s="93">
        <v>46105</v>
      </c>
      <c r="P1617" s="18">
        <v>46106</v>
      </c>
    </row>
    <row r="1618" spans="1:16" x14ac:dyDescent="0.25">
      <c r="A1618" s="11">
        <f t="shared" ca="1" si="150"/>
        <v>-17</v>
      </c>
      <c r="C1618" s="11" t="s">
        <v>577</v>
      </c>
      <c r="D1618" s="11" t="s">
        <v>1595</v>
      </c>
      <c r="E1618" s="11" t="s">
        <v>907</v>
      </c>
      <c r="F1618" s="11" t="s">
        <v>573</v>
      </c>
      <c r="G1618" s="11" t="s">
        <v>11</v>
      </c>
      <c r="H1618" s="52" t="s">
        <v>1545</v>
      </c>
      <c r="I1618" s="20" t="s">
        <v>1543</v>
      </c>
      <c r="J1618" s="11">
        <v>1</v>
      </c>
      <c r="K1618" s="11">
        <v>1</v>
      </c>
      <c r="L1618" s="11">
        <v>0</v>
      </c>
      <c r="M1618" s="131"/>
      <c r="N1618" s="18">
        <v>46107</v>
      </c>
      <c r="O1618" s="93">
        <v>46105</v>
      </c>
      <c r="P1618" s="18">
        <v>46106</v>
      </c>
    </row>
    <row r="1619" spans="1:16" x14ac:dyDescent="0.25">
      <c r="A1619" s="11">
        <f t="shared" ca="1" si="150"/>
        <v>-17</v>
      </c>
      <c r="C1619" s="11" t="s">
        <v>1036</v>
      </c>
      <c r="D1619" s="11" t="s">
        <v>1595</v>
      </c>
      <c r="E1619" s="11" t="s">
        <v>891</v>
      </c>
      <c r="F1619" s="11" t="s">
        <v>573</v>
      </c>
      <c r="G1619" s="11" t="s">
        <v>11</v>
      </c>
      <c r="H1619" s="52" t="s">
        <v>1545</v>
      </c>
      <c r="I1619" s="20" t="s">
        <v>1543</v>
      </c>
      <c r="J1619" s="11">
        <v>1</v>
      </c>
      <c r="K1619" s="11">
        <v>1</v>
      </c>
      <c r="L1619" s="11">
        <v>0</v>
      </c>
      <c r="M1619" s="131"/>
      <c r="N1619" s="18">
        <v>46107</v>
      </c>
      <c r="O1619" s="93">
        <v>46105</v>
      </c>
      <c r="P1619" s="18">
        <v>46106</v>
      </c>
    </row>
    <row r="1620" spans="1:16" x14ac:dyDescent="0.25">
      <c r="A1620" s="11">
        <f t="shared" ca="1" si="150"/>
        <v>-17</v>
      </c>
      <c r="C1620" s="11" t="s">
        <v>579</v>
      </c>
      <c r="D1620" s="11" t="s">
        <v>1118</v>
      </c>
      <c r="E1620" s="11" t="s">
        <v>896</v>
      </c>
      <c r="F1620" s="11" t="s">
        <v>573</v>
      </c>
      <c r="G1620" s="11" t="s">
        <v>11</v>
      </c>
      <c r="H1620" s="52" t="s">
        <v>1545</v>
      </c>
      <c r="I1620" s="20" t="s">
        <v>1543</v>
      </c>
      <c r="J1620" s="11">
        <v>1</v>
      </c>
      <c r="K1620" s="11">
        <v>1</v>
      </c>
      <c r="L1620" s="11">
        <v>0</v>
      </c>
      <c r="M1620" s="131"/>
      <c r="N1620" s="18">
        <v>46107</v>
      </c>
      <c r="O1620" s="93">
        <v>46105</v>
      </c>
      <c r="P1620" s="18">
        <v>46106</v>
      </c>
    </row>
    <row r="1621" spans="1:16" x14ac:dyDescent="0.25">
      <c r="A1621" s="11">
        <f t="shared" ca="1" si="150"/>
        <v>-17</v>
      </c>
      <c r="C1621" s="11" t="s">
        <v>580</v>
      </c>
      <c r="D1621" s="11" t="s">
        <v>1119</v>
      </c>
      <c r="E1621" s="11" t="s">
        <v>896</v>
      </c>
      <c r="F1621" s="11" t="s">
        <v>573</v>
      </c>
      <c r="G1621" s="11" t="s">
        <v>11</v>
      </c>
      <c r="H1621" s="52" t="s">
        <v>1545</v>
      </c>
      <c r="I1621" s="20" t="s">
        <v>1543</v>
      </c>
      <c r="J1621" s="11">
        <v>2</v>
      </c>
      <c r="K1621" s="11">
        <v>2</v>
      </c>
      <c r="L1621" s="11">
        <v>0</v>
      </c>
      <c r="M1621" s="131"/>
      <c r="N1621" s="18">
        <v>46107</v>
      </c>
      <c r="O1621" s="93">
        <v>46105</v>
      </c>
      <c r="P1621" s="18">
        <v>46106</v>
      </c>
    </row>
    <row r="1622" spans="1:16" x14ac:dyDescent="0.25">
      <c r="A1622" s="11">
        <f t="shared" ca="1" si="150"/>
        <v>-17</v>
      </c>
      <c r="C1622" s="11" t="s">
        <v>581</v>
      </c>
      <c r="D1622" s="11" t="s">
        <v>904</v>
      </c>
      <c r="E1622" s="11" t="s">
        <v>896</v>
      </c>
      <c r="F1622" s="11" t="s">
        <v>573</v>
      </c>
      <c r="G1622" s="11" t="s">
        <v>11</v>
      </c>
      <c r="H1622" s="52" t="s">
        <v>1545</v>
      </c>
      <c r="I1622" s="20" t="s">
        <v>1543</v>
      </c>
      <c r="J1622" s="11">
        <v>2</v>
      </c>
      <c r="K1622" s="11">
        <v>2</v>
      </c>
      <c r="L1622" s="11">
        <v>0</v>
      </c>
      <c r="M1622" s="131"/>
      <c r="N1622" s="18">
        <v>46107</v>
      </c>
      <c r="O1622" s="93">
        <v>46105</v>
      </c>
      <c r="P1622" s="18">
        <v>46106</v>
      </c>
    </row>
    <row r="1623" spans="1:16" x14ac:dyDescent="0.25">
      <c r="A1623" s="11">
        <f t="shared" ca="1" si="150"/>
        <v>-17</v>
      </c>
      <c r="C1623" s="11" t="s">
        <v>582</v>
      </c>
      <c r="D1623" s="11" t="s">
        <v>904</v>
      </c>
      <c r="E1623" s="11" t="s">
        <v>1011</v>
      </c>
      <c r="F1623" s="11" t="s">
        <v>573</v>
      </c>
      <c r="G1623" s="11" t="s">
        <v>11</v>
      </c>
      <c r="H1623" s="52" t="s">
        <v>1545</v>
      </c>
      <c r="I1623" s="20" t="s">
        <v>1543</v>
      </c>
      <c r="J1623" s="11">
        <v>2</v>
      </c>
      <c r="K1623" s="11">
        <v>2</v>
      </c>
      <c r="L1623" s="11">
        <v>0</v>
      </c>
      <c r="M1623" s="131"/>
      <c r="N1623" s="18">
        <v>46107</v>
      </c>
      <c r="O1623" s="93">
        <v>46105</v>
      </c>
      <c r="P1623" s="18">
        <v>46106</v>
      </c>
    </row>
    <row r="1624" spans="1:16" x14ac:dyDescent="0.25">
      <c r="A1624" s="11">
        <f t="shared" ca="1" si="150"/>
        <v>-17</v>
      </c>
      <c r="C1624" s="11" t="s">
        <v>583</v>
      </c>
      <c r="D1624" s="11" t="s">
        <v>904</v>
      </c>
      <c r="E1624" s="11" t="s">
        <v>907</v>
      </c>
      <c r="F1624" s="11" t="s">
        <v>573</v>
      </c>
      <c r="G1624" s="11" t="s">
        <v>11</v>
      </c>
      <c r="H1624" s="52" t="s">
        <v>1545</v>
      </c>
      <c r="I1624" s="20" t="s">
        <v>1543</v>
      </c>
      <c r="J1624" s="11">
        <v>2</v>
      </c>
      <c r="K1624" s="11">
        <v>2</v>
      </c>
      <c r="L1624" s="11">
        <v>0</v>
      </c>
      <c r="M1624" s="131"/>
      <c r="N1624" s="18">
        <v>46107</v>
      </c>
      <c r="O1624" s="93">
        <v>46105</v>
      </c>
      <c r="P1624" s="18">
        <v>46106</v>
      </c>
    </row>
    <row r="1625" spans="1:16" x14ac:dyDescent="0.25">
      <c r="A1625" s="11">
        <f t="shared" ca="1" si="150"/>
        <v>-17</v>
      </c>
      <c r="C1625" s="11" t="s">
        <v>584</v>
      </c>
      <c r="D1625" s="11" t="s">
        <v>904</v>
      </c>
      <c r="E1625" s="11" t="s">
        <v>891</v>
      </c>
      <c r="F1625" s="11" t="s">
        <v>573</v>
      </c>
      <c r="G1625" s="11" t="s">
        <v>11</v>
      </c>
      <c r="H1625" s="52" t="s">
        <v>1545</v>
      </c>
      <c r="I1625" s="20" t="s">
        <v>1543</v>
      </c>
      <c r="J1625" s="11">
        <v>2</v>
      </c>
      <c r="K1625" s="11">
        <v>2</v>
      </c>
      <c r="L1625" s="11">
        <v>0</v>
      </c>
      <c r="M1625" s="131"/>
      <c r="N1625" s="18">
        <v>46107</v>
      </c>
      <c r="O1625" s="93">
        <v>46105</v>
      </c>
      <c r="P1625" s="18">
        <v>46106</v>
      </c>
    </row>
    <row r="1626" spans="1:16" x14ac:dyDescent="0.25">
      <c r="A1626" s="11">
        <f t="shared" ca="1" si="150"/>
        <v>-17</v>
      </c>
      <c r="C1626" s="11" t="s">
        <v>585</v>
      </c>
      <c r="D1626" s="11" t="s">
        <v>938</v>
      </c>
      <c r="E1626" s="11" t="s">
        <v>1011</v>
      </c>
      <c r="F1626" s="11" t="s">
        <v>573</v>
      </c>
      <c r="G1626" s="11" t="s">
        <v>11</v>
      </c>
      <c r="H1626" s="52" t="s">
        <v>1545</v>
      </c>
      <c r="I1626" s="20" t="s">
        <v>1543</v>
      </c>
      <c r="J1626" s="11">
        <v>3</v>
      </c>
      <c r="K1626" s="11">
        <v>3</v>
      </c>
      <c r="L1626" s="11">
        <v>0</v>
      </c>
      <c r="M1626" s="131"/>
      <c r="N1626" s="18">
        <v>46107</v>
      </c>
      <c r="O1626" s="93">
        <v>46105</v>
      </c>
      <c r="P1626" s="18">
        <v>46106</v>
      </c>
    </row>
    <row r="1627" spans="1:16" x14ac:dyDescent="0.25">
      <c r="A1627" s="11">
        <f t="shared" ca="1" si="150"/>
        <v>-17</v>
      </c>
      <c r="C1627" s="11" t="s">
        <v>588</v>
      </c>
      <c r="D1627" s="11" t="s">
        <v>1120</v>
      </c>
      <c r="E1627" s="11" t="s">
        <v>896</v>
      </c>
      <c r="F1627" s="11" t="s">
        <v>573</v>
      </c>
      <c r="G1627" s="11" t="s">
        <v>11</v>
      </c>
      <c r="H1627" s="52" t="s">
        <v>1545</v>
      </c>
      <c r="I1627" s="20" t="s">
        <v>1543</v>
      </c>
      <c r="J1627" s="11">
        <v>5</v>
      </c>
      <c r="K1627" s="11">
        <v>5</v>
      </c>
      <c r="L1627" s="11">
        <v>0</v>
      </c>
      <c r="M1627" s="131"/>
      <c r="N1627" s="18">
        <v>46107</v>
      </c>
      <c r="O1627" s="93">
        <v>46105</v>
      </c>
      <c r="P1627" s="18">
        <v>46106</v>
      </c>
    </row>
    <row r="1628" spans="1:16" x14ac:dyDescent="0.25">
      <c r="A1628" s="11">
        <f t="shared" ca="1" si="150"/>
        <v>-15</v>
      </c>
      <c r="C1628" s="11" t="s">
        <v>572</v>
      </c>
      <c r="D1628" s="11" t="s">
        <v>1539</v>
      </c>
      <c r="E1628" s="11" t="s">
        <v>896</v>
      </c>
      <c r="F1628" s="11" t="s">
        <v>573</v>
      </c>
      <c r="G1628" s="11" t="s">
        <v>11</v>
      </c>
      <c r="H1628" s="52" t="s">
        <v>1560</v>
      </c>
      <c r="I1628" s="20" t="s">
        <v>1561</v>
      </c>
      <c r="J1628" s="11">
        <v>5</v>
      </c>
      <c r="K1628" s="11">
        <v>5</v>
      </c>
      <c r="L1628" s="11">
        <v>0</v>
      </c>
      <c r="M1628" s="131">
        <v>1</v>
      </c>
      <c r="N1628" s="18">
        <v>46107</v>
      </c>
      <c r="O1628" s="93">
        <v>46105</v>
      </c>
      <c r="P1628" s="18">
        <v>46106</v>
      </c>
    </row>
    <row r="1629" spans="1:16" x14ac:dyDescent="0.25">
      <c r="A1629" s="11">
        <f t="shared" ca="1" si="150"/>
        <v>-15</v>
      </c>
      <c r="C1629" s="11" t="s">
        <v>576</v>
      </c>
      <c r="D1629" s="11" t="s">
        <v>1595</v>
      </c>
      <c r="E1629" s="11" t="s">
        <v>896</v>
      </c>
      <c r="F1629" s="11" t="s">
        <v>573</v>
      </c>
      <c r="G1629" s="11" t="s">
        <v>11</v>
      </c>
      <c r="H1629" s="52" t="s">
        <v>1560</v>
      </c>
      <c r="I1629" s="20" t="s">
        <v>1561</v>
      </c>
      <c r="J1629" s="11">
        <v>4</v>
      </c>
      <c r="K1629" s="11">
        <v>4</v>
      </c>
      <c r="L1629" s="11">
        <v>0</v>
      </c>
      <c r="M1629" s="131"/>
      <c r="N1629" s="18">
        <v>46107</v>
      </c>
      <c r="O1629" s="93">
        <v>46105</v>
      </c>
      <c r="P1629" s="18">
        <v>46106</v>
      </c>
    </row>
    <row r="1630" spans="1:16" x14ac:dyDescent="0.25">
      <c r="A1630" s="11">
        <f t="shared" ca="1" si="150"/>
        <v>-15</v>
      </c>
      <c r="C1630" s="11" t="s">
        <v>946</v>
      </c>
      <c r="D1630" s="11" t="s">
        <v>1595</v>
      </c>
      <c r="E1630" s="11" t="s">
        <v>1011</v>
      </c>
      <c r="F1630" s="11" t="s">
        <v>573</v>
      </c>
      <c r="G1630" s="11" t="s">
        <v>11</v>
      </c>
      <c r="H1630" s="52" t="s">
        <v>1560</v>
      </c>
      <c r="I1630" s="20" t="s">
        <v>1561</v>
      </c>
      <c r="J1630" s="11">
        <v>1</v>
      </c>
      <c r="K1630" s="11">
        <v>1</v>
      </c>
      <c r="L1630" s="11">
        <v>0</v>
      </c>
      <c r="M1630" s="131"/>
      <c r="N1630" s="18">
        <v>46107</v>
      </c>
      <c r="O1630" s="93">
        <v>46105</v>
      </c>
      <c r="P1630" s="18">
        <v>46106</v>
      </c>
    </row>
    <row r="1631" spans="1:16" x14ac:dyDescent="0.25">
      <c r="A1631" s="11">
        <f t="shared" ca="1" si="150"/>
        <v>-15</v>
      </c>
      <c r="C1631" s="11" t="s">
        <v>577</v>
      </c>
      <c r="D1631" s="11" t="s">
        <v>1595</v>
      </c>
      <c r="E1631" s="11" t="s">
        <v>907</v>
      </c>
      <c r="F1631" s="11" t="s">
        <v>573</v>
      </c>
      <c r="G1631" s="11" t="s">
        <v>11</v>
      </c>
      <c r="H1631" s="52" t="s">
        <v>1560</v>
      </c>
      <c r="I1631" s="20" t="s">
        <v>1561</v>
      </c>
      <c r="J1631" s="11">
        <v>1</v>
      </c>
      <c r="K1631" s="11">
        <v>1</v>
      </c>
      <c r="L1631" s="11">
        <v>0</v>
      </c>
      <c r="M1631" s="131"/>
      <c r="N1631" s="18">
        <v>46107</v>
      </c>
      <c r="O1631" s="93">
        <v>46105</v>
      </c>
      <c r="P1631" s="18">
        <v>46106</v>
      </c>
    </row>
    <row r="1632" spans="1:16" x14ac:dyDescent="0.25">
      <c r="A1632" s="11">
        <f t="shared" ca="1" si="150"/>
        <v>-15</v>
      </c>
      <c r="C1632" s="11" t="s">
        <v>1036</v>
      </c>
      <c r="D1632" s="11" t="s">
        <v>1595</v>
      </c>
      <c r="E1632" s="11" t="s">
        <v>891</v>
      </c>
      <c r="F1632" s="11" t="s">
        <v>573</v>
      </c>
      <c r="G1632" s="11" t="s">
        <v>11</v>
      </c>
      <c r="H1632" s="52" t="s">
        <v>1560</v>
      </c>
      <c r="I1632" s="20" t="s">
        <v>1561</v>
      </c>
      <c r="J1632" s="11">
        <v>1</v>
      </c>
      <c r="K1632" s="11">
        <v>1</v>
      </c>
      <c r="L1632" s="11">
        <v>0</v>
      </c>
      <c r="M1632" s="131"/>
      <c r="N1632" s="18">
        <v>46107</v>
      </c>
      <c r="O1632" s="93">
        <v>46105</v>
      </c>
      <c r="P1632" s="18">
        <v>46106</v>
      </c>
    </row>
    <row r="1633" spans="1:16" x14ac:dyDescent="0.25">
      <c r="A1633" s="11">
        <f t="shared" ca="1" si="150"/>
        <v>-15</v>
      </c>
      <c r="C1633" s="11" t="s">
        <v>578</v>
      </c>
      <c r="D1633" s="11" t="s">
        <v>1117</v>
      </c>
      <c r="E1633" s="11" t="s">
        <v>919</v>
      </c>
      <c r="F1633" s="11" t="s">
        <v>573</v>
      </c>
      <c r="G1633" s="11" t="s">
        <v>11</v>
      </c>
      <c r="H1633" s="52" t="s">
        <v>1560</v>
      </c>
      <c r="I1633" s="20" t="s">
        <v>1561</v>
      </c>
      <c r="J1633" s="11">
        <v>6</v>
      </c>
      <c r="K1633" s="11">
        <v>6</v>
      </c>
      <c r="L1633" s="11">
        <v>0</v>
      </c>
      <c r="M1633" s="131"/>
      <c r="N1633" s="18">
        <v>46107</v>
      </c>
      <c r="O1633" s="93">
        <v>46105</v>
      </c>
      <c r="P1633" s="18">
        <v>46106</v>
      </c>
    </row>
    <row r="1634" spans="1:16" x14ac:dyDescent="0.25">
      <c r="A1634" s="11">
        <f t="shared" ca="1" si="150"/>
        <v>-15</v>
      </c>
      <c r="C1634" s="11" t="s">
        <v>579</v>
      </c>
      <c r="D1634" s="11" t="s">
        <v>1118</v>
      </c>
      <c r="E1634" s="11" t="s">
        <v>896</v>
      </c>
      <c r="F1634" s="11" t="s">
        <v>573</v>
      </c>
      <c r="G1634" s="11" t="s">
        <v>11</v>
      </c>
      <c r="H1634" s="52" t="s">
        <v>1560</v>
      </c>
      <c r="I1634" s="20" t="s">
        <v>1561</v>
      </c>
      <c r="J1634" s="11">
        <v>1</v>
      </c>
      <c r="K1634" s="11">
        <v>1</v>
      </c>
      <c r="L1634" s="11">
        <v>0</v>
      </c>
      <c r="M1634" s="131"/>
      <c r="N1634" s="18">
        <v>46107</v>
      </c>
      <c r="O1634" s="93">
        <v>46105</v>
      </c>
      <c r="P1634" s="18">
        <v>46106</v>
      </c>
    </row>
    <row r="1635" spans="1:16" x14ac:dyDescent="0.25">
      <c r="A1635" s="11">
        <f t="shared" ca="1" si="150"/>
        <v>-15</v>
      </c>
      <c r="C1635" s="11" t="s">
        <v>580</v>
      </c>
      <c r="D1635" s="11" t="s">
        <v>1119</v>
      </c>
      <c r="E1635" s="11" t="s">
        <v>896</v>
      </c>
      <c r="F1635" s="11" t="s">
        <v>573</v>
      </c>
      <c r="G1635" s="11" t="s">
        <v>11</v>
      </c>
      <c r="H1635" s="52" t="s">
        <v>1560</v>
      </c>
      <c r="I1635" s="20" t="s">
        <v>1561</v>
      </c>
      <c r="J1635" s="11">
        <v>3</v>
      </c>
      <c r="K1635" s="11">
        <v>3</v>
      </c>
      <c r="L1635" s="11">
        <v>0</v>
      </c>
      <c r="M1635" s="131"/>
      <c r="N1635" s="18">
        <v>46107</v>
      </c>
      <c r="O1635" s="93">
        <v>46105</v>
      </c>
      <c r="P1635" s="18">
        <v>46106</v>
      </c>
    </row>
    <row r="1636" spans="1:16" x14ac:dyDescent="0.25">
      <c r="A1636" s="11">
        <f t="shared" ca="1" si="150"/>
        <v>-15</v>
      </c>
      <c r="C1636" s="11" t="s">
        <v>581</v>
      </c>
      <c r="D1636" s="11" t="s">
        <v>904</v>
      </c>
      <c r="E1636" s="11" t="s">
        <v>896</v>
      </c>
      <c r="F1636" s="11" t="s">
        <v>573</v>
      </c>
      <c r="G1636" s="11" t="s">
        <v>11</v>
      </c>
      <c r="H1636" s="52" t="s">
        <v>1560</v>
      </c>
      <c r="I1636" s="20" t="s">
        <v>1561</v>
      </c>
      <c r="J1636" s="11">
        <v>2</v>
      </c>
      <c r="K1636" s="11">
        <v>2</v>
      </c>
      <c r="L1636" s="11">
        <v>0</v>
      </c>
      <c r="M1636" s="131"/>
      <c r="N1636" s="18">
        <v>46107</v>
      </c>
      <c r="O1636" s="93">
        <v>46105</v>
      </c>
      <c r="P1636" s="18">
        <v>46106</v>
      </c>
    </row>
    <row r="1637" spans="1:16" x14ac:dyDescent="0.25">
      <c r="A1637" s="11">
        <f t="shared" ca="1" si="150"/>
        <v>-15</v>
      </c>
      <c r="C1637" s="11" t="s">
        <v>582</v>
      </c>
      <c r="D1637" s="11" t="s">
        <v>904</v>
      </c>
      <c r="E1637" s="11" t="s">
        <v>1011</v>
      </c>
      <c r="F1637" s="11" t="s">
        <v>573</v>
      </c>
      <c r="G1637" s="11" t="s">
        <v>11</v>
      </c>
      <c r="H1637" s="52" t="s">
        <v>1560</v>
      </c>
      <c r="I1637" s="20" t="s">
        <v>1561</v>
      </c>
      <c r="J1637" s="11">
        <v>2</v>
      </c>
      <c r="K1637" s="11">
        <v>2</v>
      </c>
      <c r="L1637" s="11">
        <v>0</v>
      </c>
      <c r="M1637" s="131"/>
      <c r="N1637" s="18">
        <v>46107</v>
      </c>
      <c r="O1637" s="93">
        <v>46105</v>
      </c>
      <c r="P1637" s="18">
        <v>46106</v>
      </c>
    </row>
    <row r="1638" spans="1:16" x14ac:dyDescent="0.25">
      <c r="A1638" s="11">
        <f t="shared" ca="1" si="150"/>
        <v>-15</v>
      </c>
      <c r="C1638" s="11" t="s">
        <v>584</v>
      </c>
      <c r="D1638" s="11" t="s">
        <v>904</v>
      </c>
      <c r="E1638" s="11" t="s">
        <v>891</v>
      </c>
      <c r="F1638" s="11" t="s">
        <v>573</v>
      </c>
      <c r="G1638" s="11" t="s">
        <v>11</v>
      </c>
      <c r="H1638" s="52" t="s">
        <v>1560</v>
      </c>
      <c r="I1638" s="20" t="s">
        <v>1561</v>
      </c>
      <c r="J1638" s="11">
        <v>4</v>
      </c>
      <c r="K1638" s="11">
        <v>4</v>
      </c>
      <c r="L1638" s="11">
        <v>0</v>
      </c>
      <c r="M1638" s="131"/>
      <c r="N1638" s="18">
        <v>46107</v>
      </c>
      <c r="O1638" s="93">
        <v>46105</v>
      </c>
      <c r="P1638" s="18">
        <v>46106</v>
      </c>
    </row>
    <row r="1639" spans="1:16" x14ac:dyDescent="0.25">
      <c r="A1639" s="11">
        <f t="shared" ca="1" si="150"/>
        <v>-15</v>
      </c>
      <c r="C1639" s="11" t="s">
        <v>585</v>
      </c>
      <c r="D1639" s="11" t="s">
        <v>938</v>
      </c>
      <c r="E1639" s="11" t="s">
        <v>1011</v>
      </c>
      <c r="F1639" s="11" t="s">
        <v>573</v>
      </c>
      <c r="G1639" s="11" t="s">
        <v>11</v>
      </c>
      <c r="H1639" s="52" t="s">
        <v>1560</v>
      </c>
      <c r="I1639" s="20" t="s">
        <v>1561</v>
      </c>
      <c r="J1639" s="11">
        <v>6</v>
      </c>
      <c r="K1639" s="11">
        <v>6</v>
      </c>
      <c r="L1639" s="11">
        <v>0</v>
      </c>
      <c r="M1639" s="131"/>
      <c r="N1639" s="18">
        <v>46107</v>
      </c>
      <c r="O1639" s="93">
        <v>46105</v>
      </c>
      <c r="P1639" s="18">
        <v>46106</v>
      </c>
    </row>
    <row r="1640" spans="1:16" x14ac:dyDescent="0.25">
      <c r="A1640" s="11">
        <f t="shared" ca="1" si="150"/>
        <v>-15</v>
      </c>
      <c r="C1640" s="11" t="s">
        <v>588</v>
      </c>
      <c r="D1640" s="11" t="s">
        <v>1120</v>
      </c>
      <c r="E1640" s="11" t="s">
        <v>896</v>
      </c>
      <c r="F1640" s="11" t="s">
        <v>573</v>
      </c>
      <c r="G1640" s="11" t="s">
        <v>11</v>
      </c>
      <c r="H1640" s="52" t="s">
        <v>1560</v>
      </c>
      <c r="I1640" s="20" t="s">
        <v>1561</v>
      </c>
      <c r="J1640" s="11">
        <v>12</v>
      </c>
      <c r="K1640" s="11">
        <v>12</v>
      </c>
      <c r="L1640" s="11">
        <v>0</v>
      </c>
      <c r="M1640" s="131"/>
      <c r="N1640" s="18">
        <v>46107</v>
      </c>
      <c r="O1640" s="93">
        <v>46105</v>
      </c>
      <c r="P1640" s="18">
        <v>46106</v>
      </c>
    </row>
    <row r="1641" spans="1:16" x14ac:dyDescent="0.25">
      <c r="A1641" s="11">
        <f t="shared" ca="1" si="150"/>
        <v>-15</v>
      </c>
      <c r="C1641" s="11" t="s">
        <v>589</v>
      </c>
      <c r="D1641" s="11" t="s">
        <v>905</v>
      </c>
      <c r="E1641" s="11" t="s">
        <v>899</v>
      </c>
      <c r="F1641" s="11" t="s">
        <v>573</v>
      </c>
      <c r="G1641" s="11" t="s">
        <v>11</v>
      </c>
      <c r="H1641" s="52" t="s">
        <v>1560</v>
      </c>
      <c r="I1641" s="20" t="s">
        <v>1561</v>
      </c>
      <c r="J1641" s="11">
        <v>3</v>
      </c>
      <c r="K1641" s="11">
        <v>3</v>
      </c>
      <c r="L1641" s="11">
        <v>0</v>
      </c>
      <c r="M1641" s="131"/>
      <c r="N1641" s="18">
        <v>46107</v>
      </c>
      <c r="O1641" s="93">
        <v>46105</v>
      </c>
      <c r="P1641" s="18">
        <v>46106</v>
      </c>
    </row>
    <row r="1642" spans="1:16" x14ac:dyDescent="0.25">
      <c r="A1642" s="11">
        <f t="shared" ca="1" si="150"/>
        <v>-15</v>
      </c>
      <c r="C1642" s="11" t="s">
        <v>590</v>
      </c>
      <c r="D1642" s="11" t="s">
        <v>905</v>
      </c>
      <c r="E1642" s="11" t="s">
        <v>896</v>
      </c>
      <c r="F1642" s="11" t="s">
        <v>573</v>
      </c>
      <c r="G1642" s="11" t="s">
        <v>11</v>
      </c>
      <c r="H1642" s="52" t="s">
        <v>1560</v>
      </c>
      <c r="I1642" s="20" t="s">
        <v>1561</v>
      </c>
      <c r="J1642" s="11">
        <v>7</v>
      </c>
      <c r="K1642" s="11">
        <v>7</v>
      </c>
      <c r="L1642" s="11">
        <v>0</v>
      </c>
      <c r="M1642" s="131"/>
      <c r="N1642" s="18">
        <v>46107</v>
      </c>
      <c r="O1642" s="93">
        <v>46105</v>
      </c>
      <c r="P1642" s="18">
        <v>46106</v>
      </c>
    </row>
    <row r="1643" spans="1:16" x14ac:dyDescent="0.25">
      <c r="A1643" s="11">
        <f t="shared" ca="1" si="150"/>
        <v>-15</v>
      </c>
      <c r="C1643" s="11" t="s">
        <v>591</v>
      </c>
      <c r="D1643" s="11" t="s">
        <v>905</v>
      </c>
      <c r="E1643" s="11" t="s">
        <v>1011</v>
      </c>
      <c r="F1643" s="11" t="s">
        <v>573</v>
      </c>
      <c r="G1643" s="11" t="s">
        <v>11</v>
      </c>
      <c r="H1643" s="52" t="s">
        <v>1560</v>
      </c>
      <c r="I1643" s="20" t="s">
        <v>1561</v>
      </c>
      <c r="J1643" s="11">
        <v>6</v>
      </c>
      <c r="K1643" s="11">
        <v>6</v>
      </c>
      <c r="L1643" s="11">
        <v>0</v>
      </c>
      <c r="M1643" s="131"/>
      <c r="N1643" s="18">
        <v>46107</v>
      </c>
      <c r="O1643" s="93">
        <v>46105</v>
      </c>
      <c r="P1643" s="18">
        <v>46106</v>
      </c>
    </row>
    <row r="1644" spans="1:16" x14ac:dyDescent="0.25">
      <c r="A1644" s="11">
        <f t="shared" ca="1" si="150"/>
        <v>-15</v>
      </c>
      <c r="C1644" s="11" t="s">
        <v>592</v>
      </c>
      <c r="D1644" s="11" t="s">
        <v>905</v>
      </c>
      <c r="E1644" s="11" t="s">
        <v>907</v>
      </c>
      <c r="F1644" s="11" t="s">
        <v>573</v>
      </c>
      <c r="G1644" s="11" t="s">
        <v>11</v>
      </c>
      <c r="H1644" s="52" t="s">
        <v>1560</v>
      </c>
      <c r="I1644" s="20" t="s">
        <v>1561</v>
      </c>
      <c r="J1644" s="11">
        <v>3</v>
      </c>
      <c r="K1644" s="11">
        <v>3</v>
      </c>
      <c r="L1644" s="11">
        <v>0</v>
      </c>
      <c r="M1644" s="131"/>
      <c r="N1644" s="18">
        <v>46107</v>
      </c>
      <c r="O1644" s="93">
        <v>46105</v>
      </c>
      <c r="P1644" s="18">
        <v>46106</v>
      </c>
    </row>
    <row r="1645" spans="1:16" x14ac:dyDescent="0.25">
      <c r="A1645" s="11">
        <f t="shared" ca="1" si="150"/>
        <v>-15</v>
      </c>
      <c r="C1645" s="11" t="s">
        <v>593</v>
      </c>
      <c r="D1645" s="11" t="s">
        <v>905</v>
      </c>
      <c r="E1645" s="11" t="s">
        <v>891</v>
      </c>
      <c r="F1645" s="11" t="s">
        <v>573</v>
      </c>
      <c r="G1645" s="11" t="s">
        <v>11</v>
      </c>
      <c r="H1645" s="52" t="s">
        <v>1560</v>
      </c>
      <c r="I1645" s="20" t="s">
        <v>1561</v>
      </c>
      <c r="J1645" s="11">
        <v>5</v>
      </c>
      <c r="K1645" s="11">
        <v>5</v>
      </c>
      <c r="L1645" s="11">
        <v>0</v>
      </c>
      <c r="M1645" s="131"/>
      <c r="N1645" s="18">
        <v>46107</v>
      </c>
      <c r="O1645" s="93">
        <v>46105</v>
      </c>
      <c r="P1645" s="18">
        <v>46106</v>
      </c>
    </row>
    <row r="1646" spans="1:16" x14ac:dyDescent="0.25">
      <c r="A1646" s="11">
        <f t="shared" ca="1" si="150"/>
        <v>-17</v>
      </c>
      <c r="C1646" s="11" t="s">
        <v>552</v>
      </c>
      <c r="D1646" s="11" t="str">
        <f>VLOOKUP(VALUE(MID($C1646,13,2)), codigos!$A$2:$B$60, 2, 1) &amp; " " &amp; VLOOKUP(VALUE(MID($C1646,15,4)), codigos!$E$2:$F$102, 2, FALSE)</f>
        <v>TAZON 8</v>
      </c>
      <c r="E1646" s="11" t="str">
        <f>VLOOKUP(VALUE(MID($C1646,19,2)),codigos!$H$2:$I$62,2,1) &amp; " " &amp; VLOOKUP(VALUE(MID($C1646,21,2)),codigos!$K$2:$L$12,2,FALSE)</f>
        <v>NEGRO MOTAS S/I</v>
      </c>
      <c r="F1646" s="11" t="s">
        <v>553</v>
      </c>
      <c r="G1646" s="11" t="s">
        <v>16</v>
      </c>
      <c r="H1646" s="52" t="s">
        <v>1547</v>
      </c>
      <c r="I1646" s="20" t="s">
        <v>1543</v>
      </c>
      <c r="J1646" s="11">
        <v>1</v>
      </c>
      <c r="K1646" s="11">
        <f>1</f>
        <v>1</v>
      </c>
      <c r="L1646" s="11">
        <f t="shared" ref="L1646:L1653" si="152">+J1646-K1646</f>
        <v>0</v>
      </c>
      <c r="M1646" s="132">
        <f>(SUM(K1646:K1649))/(SUM(J1646:J1649))</f>
        <v>1</v>
      </c>
      <c r="N1646" s="18">
        <v>46107</v>
      </c>
    </row>
    <row r="1647" spans="1:16" x14ac:dyDescent="0.25">
      <c r="A1647" s="11">
        <f t="shared" ca="1" si="150"/>
        <v>-17</v>
      </c>
      <c r="C1647" s="11" t="s">
        <v>963</v>
      </c>
      <c r="D1647" s="11" t="str">
        <f>VLOOKUP(VALUE(MID($C1647,13,2)), codigos!$A$2:$B$60, 2, 1) &amp; " " &amp; VLOOKUP(VALUE(MID($C1647,15,4)), codigos!$E$2:$F$102, 2, FALSE)</f>
        <v>TORTILLERO  18</v>
      </c>
      <c r="E1647" s="11" t="str">
        <f>VLOOKUP(VALUE(MID($C1647,19,2)),codigos!$H$2:$I$62,2,1) &amp; " " &amp; VLOOKUP(VALUE(MID($C1647,21,2)),codigos!$K$2:$L$12,2,FALSE)</f>
        <v>GRIS S/I</v>
      </c>
      <c r="F1647" s="11" t="s">
        <v>553</v>
      </c>
      <c r="G1647" s="11" t="s">
        <v>16</v>
      </c>
      <c r="H1647" s="52" t="s">
        <v>1547</v>
      </c>
      <c r="I1647" s="20" t="s">
        <v>1543</v>
      </c>
      <c r="J1647" s="11">
        <v>1</v>
      </c>
      <c r="K1647" s="11">
        <f>1</f>
        <v>1</v>
      </c>
      <c r="L1647" s="11">
        <f t="shared" si="152"/>
        <v>0</v>
      </c>
      <c r="M1647" s="133"/>
      <c r="N1647" s="18">
        <v>46107</v>
      </c>
    </row>
    <row r="1648" spans="1:16" x14ac:dyDescent="0.25">
      <c r="A1648" s="11">
        <f t="shared" ca="1" si="150"/>
        <v>-17</v>
      </c>
      <c r="C1648" s="11" t="s">
        <v>557</v>
      </c>
      <c r="D1648" s="11" t="str">
        <f>VLOOKUP(VALUE(MID($C1648,13,2)), codigos!$A$2:$B$60, 2, 1) &amp; " " &amp; VLOOKUP(VALUE(MID($C1648,15,4)), codigos!$E$2:$F$102, 2, FALSE)</f>
        <v>TORTILLERO  18</v>
      </c>
      <c r="E1648" s="11" t="str">
        <f>VLOOKUP(VALUE(MID($C1648,19,2)),codigos!$H$2:$I$62,2,1) &amp; " " &amp; VLOOKUP(VALUE(MID($C1648,21,2)),codigos!$K$2:$L$12,2,FALSE)</f>
        <v>NEGRO MOTAS S/I</v>
      </c>
      <c r="F1648" s="11" t="s">
        <v>553</v>
      </c>
      <c r="G1648" s="11" t="s">
        <v>16</v>
      </c>
      <c r="H1648" s="52" t="s">
        <v>1547</v>
      </c>
      <c r="I1648" s="20" t="s">
        <v>1543</v>
      </c>
      <c r="J1648" s="11">
        <v>1</v>
      </c>
      <c r="K1648" s="11">
        <f>1</f>
        <v>1</v>
      </c>
      <c r="L1648" s="11">
        <f t="shared" si="152"/>
        <v>0</v>
      </c>
      <c r="M1648" s="133"/>
      <c r="N1648" s="18">
        <v>46107</v>
      </c>
    </row>
    <row r="1649" spans="1:15" x14ac:dyDescent="0.25">
      <c r="A1649" s="11">
        <f t="shared" ca="1" si="150"/>
        <v>-17</v>
      </c>
      <c r="C1649" s="11" t="s">
        <v>555</v>
      </c>
      <c r="D1649" s="11" t="str">
        <f>VLOOKUP(VALUE(MID($C1649,13,2)), codigos!$A$2:$B$60, 2, 1) &amp; " " &amp; VLOOKUP(VALUE(MID($C1649,15,4)), codigos!$E$2:$F$102, 2, FALSE)</f>
        <v>COMAL 28</v>
      </c>
      <c r="E1649" s="11" t="str">
        <f>VLOOKUP(VALUE(MID($C1649,19,2)),codigos!$H$2:$I$62,2,1) &amp; " " &amp; VLOOKUP(VALUE(MID($C1649,21,2)),codigos!$K$2:$L$12,2,FALSE)</f>
        <v>NEGRO MOTAS S/I</v>
      </c>
      <c r="F1649" s="11" t="s">
        <v>553</v>
      </c>
      <c r="G1649" s="11" t="s">
        <v>16</v>
      </c>
      <c r="H1649" s="52" t="s">
        <v>1547</v>
      </c>
      <c r="I1649" s="20" t="s">
        <v>1543</v>
      </c>
      <c r="J1649" s="11">
        <v>5</v>
      </c>
      <c r="K1649" s="11">
        <f>4+1</f>
        <v>5</v>
      </c>
      <c r="L1649" s="11">
        <f t="shared" si="152"/>
        <v>0</v>
      </c>
      <c r="M1649" s="130"/>
      <c r="N1649" s="18">
        <v>46107</v>
      </c>
    </row>
    <row r="1650" spans="1:15" x14ac:dyDescent="0.25">
      <c r="A1650" s="11">
        <f t="shared" ca="1" si="150"/>
        <v>-17</v>
      </c>
      <c r="C1650" s="11" t="s">
        <v>558</v>
      </c>
      <c r="D1650" s="11" t="str">
        <f>VLOOKUP(VALUE(MID($C1650,13,2)), codigos!$A$2:$B$60, 2, 1) &amp; " " &amp; VLOOKUP(VALUE(MID($C1650,15,4)), codigos!$E$2:$F$102, 2, FALSE)</f>
        <v>PLATO LISO 12</v>
      </c>
      <c r="E1650" s="11" t="str">
        <f>VLOOKUP(VALUE(MID($C1650,19,2)),codigos!$H$2:$I$62,2,1) &amp; " " &amp; VLOOKUP(VALUE(MID($C1650,21,2)),codigos!$K$2:$L$12,2,FALSE)</f>
        <v>BLANCO  NEGRO</v>
      </c>
      <c r="F1650" s="11" t="s">
        <v>553</v>
      </c>
      <c r="G1650" s="11" t="s">
        <v>16</v>
      </c>
      <c r="H1650" s="52" t="s">
        <v>1548</v>
      </c>
      <c r="I1650" s="20" t="s">
        <v>1543</v>
      </c>
      <c r="J1650" s="11">
        <v>1</v>
      </c>
      <c r="K1650" s="11">
        <f>1</f>
        <v>1</v>
      </c>
      <c r="L1650" s="11">
        <f t="shared" si="152"/>
        <v>0</v>
      </c>
      <c r="M1650" s="131">
        <f>(SUM(K1650:K1653))/(SUM(J1650:J1653))</f>
        <v>1</v>
      </c>
      <c r="N1650" s="18">
        <v>46107</v>
      </c>
    </row>
    <row r="1651" spans="1:15" x14ac:dyDescent="0.25">
      <c r="A1651" s="11">
        <f t="shared" ca="1" si="150"/>
        <v>-17</v>
      </c>
      <c r="C1651" s="11" t="s">
        <v>968</v>
      </c>
      <c r="D1651" s="11" t="str">
        <f>VLOOKUP(VALUE(MID($C1651,13,2)), codigos!$A$2:$B$60, 2, 1) &amp; " " &amp; VLOOKUP(VALUE(MID($C1651,15,4)), codigos!$E$2:$F$102, 2, FALSE)</f>
        <v>POCILLO 8</v>
      </c>
      <c r="E1651" s="11" t="str">
        <f>VLOOKUP(VALUE(MID($C1651,19,2)),codigos!$H$2:$I$62,2,1) &amp; " " &amp; VLOOKUP(VALUE(MID($C1651,21,2)),codigos!$K$2:$L$12,2,FALSE)</f>
        <v>BLANCO  NEGRO</v>
      </c>
      <c r="F1651" s="11" t="s">
        <v>553</v>
      </c>
      <c r="G1651" s="11" t="s">
        <v>16</v>
      </c>
      <c r="H1651" s="52" t="s">
        <v>1548</v>
      </c>
      <c r="I1651" s="20" t="s">
        <v>1543</v>
      </c>
      <c r="J1651" s="11">
        <v>1</v>
      </c>
      <c r="K1651" s="11">
        <f>1</f>
        <v>1</v>
      </c>
      <c r="L1651" s="11">
        <f t="shared" si="152"/>
        <v>0</v>
      </c>
      <c r="M1651" s="131"/>
      <c r="N1651" s="18">
        <v>46107</v>
      </c>
    </row>
    <row r="1652" spans="1:15" x14ac:dyDescent="0.25">
      <c r="A1652" s="11">
        <f t="shared" ca="1" si="150"/>
        <v>-17</v>
      </c>
      <c r="C1652" s="11" t="s">
        <v>555</v>
      </c>
      <c r="D1652" s="11" t="str">
        <f>VLOOKUP(VALUE(MID($C1652,13,2)), codigos!$A$2:$B$60, 2, 1) &amp; " " &amp; VLOOKUP(VALUE(MID($C1652,15,4)), codigos!$E$2:$F$102, 2, FALSE)</f>
        <v>COMAL 28</v>
      </c>
      <c r="E1652" s="11" t="str">
        <f>VLOOKUP(VALUE(MID($C1652,19,2)),codigos!$H$2:$I$62,2,1) &amp; " " &amp; VLOOKUP(VALUE(MID($C1652,21,2)),codigos!$K$2:$L$12,2,FALSE)</f>
        <v>NEGRO MOTAS S/I</v>
      </c>
      <c r="F1652" s="11" t="s">
        <v>553</v>
      </c>
      <c r="G1652" s="11" t="s">
        <v>16</v>
      </c>
      <c r="H1652" s="52" t="s">
        <v>1548</v>
      </c>
      <c r="I1652" s="20" t="s">
        <v>1543</v>
      </c>
      <c r="J1652" s="11">
        <v>1</v>
      </c>
      <c r="K1652" s="11">
        <f>1</f>
        <v>1</v>
      </c>
      <c r="L1652" s="11">
        <f t="shared" si="152"/>
        <v>0</v>
      </c>
      <c r="M1652" s="131"/>
      <c r="N1652" s="18">
        <v>46107</v>
      </c>
    </row>
    <row r="1653" spans="1:15" x14ac:dyDescent="0.25">
      <c r="A1653" s="11">
        <f t="shared" ca="1" si="150"/>
        <v>-17</v>
      </c>
      <c r="C1653" s="11" t="s">
        <v>566</v>
      </c>
      <c r="D1653" s="11" t="str">
        <f>VLOOKUP(VALUE(MID($C1653,13,2)), codigos!$A$2:$B$60, 2, 1) &amp; " " &amp; VLOOKUP(VALUE(MID($C1653,15,4)), codigos!$E$2:$F$102, 2, FALSE)</f>
        <v>PLATO LISO 16</v>
      </c>
      <c r="E1653" s="11" t="str">
        <f>VLOOKUP(VALUE(MID($C1653,19,2)),codigos!$H$2:$I$62,2,1) &amp; " " &amp; VLOOKUP(VALUE(MID($C1653,21,2)),codigos!$K$2:$L$12,2,FALSE)</f>
        <v>NEGRO MOTAS S/I</v>
      </c>
      <c r="F1653" s="11" t="s">
        <v>553</v>
      </c>
      <c r="G1653" s="11" t="s">
        <v>16</v>
      </c>
      <c r="H1653" s="52" t="s">
        <v>1548</v>
      </c>
      <c r="I1653" s="20" t="s">
        <v>1543</v>
      </c>
      <c r="J1653" s="11">
        <v>1</v>
      </c>
      <c r="K1653" s="11">
        <f>1</f>
        <v>1</v>
      </c>
      <c r="L1653" s="11">
        <f t="shared" si="152"/>
        <v>0</v>
      </c>
      <c r="M1653" s="131"/>
      <c r="N1653" s="18">
        <v>46107</v>
      </c>
    </row>
    <row r="1654" spans="1:15" x14ac:dyDescent="0.25">
      <c r="A1654" s="11">
        <f t="shared" ca="1" si="150"/>
        <v>-2</v>
      </c>
      <c r="C1654" s="11" t="s">
        <v>1576</v>
      </c>
      <c r="D1654" s="11" t="str">
        <f>VLOOKUP(VALUE(MID($C1654,13,2)), codigos!$A$2:$B$60, 2, 1) &amp; " " &amp; VLOOKUP(VALUE(MID($C1654,15,4)), codigos!$E$2:$F$102, 2, FALSE)</f>
        <v>VAJILLA CERRADO MARINO</v>
      </c>
      <c r="E1654" s="11" t="str">
        <f>VLOOKUP(VALUE(MID($C1654,19,2)),codigos!$H$2:$I$62,2,1) &amp; " " &amp; VLOOKUP(VALUE(MID($C1654,21,2)),codigos!$K$2:$L$12,2,FALSE)</f>
        <v>S/I S/I</v>
      </c>
      <c r="F1654" s="11" t="s">
        <v>1222</v>
      </c>
      <c r="G1654" s="11" t="s">
        <v>140</v>
      </c>
      <c r="H1654" s="52" t="s">
        <v>500</v>
      </c>
      <c r="I1654" s="20" t="s">
        <v>1596</v>
      </c>
      <c r="J1654" s="11">
        <v>1</v>
      </c>
      <c r="K1654" s="11">
        <v>1</v>
      </c>
      <c r="L1654" s="11">
        <v>1</v>
      </c>
      <c r="M1654" s="125">
        <v>1</v>
      </c>
      <c r="N1654" s="18">
        <v>46108</v>
      </c>
    </row>
    <row r="1655" spans="1:15" x14ac:dyDescent="0.25">
      <c r="A1655" s="11">
        <f t="shared" ca="1" si="150"/>
        <v>-2</v>
      </c>
      <c r="C1655" s="11" t="s">
        <v>99</v>
      </c>
      <c r="D1655" s="11" t="s">
        <v>1597</v>
      </c>
      <c r="E1655" s="11" t="s">
        <v>926</v>
      </c>
      <c r="F1655" s="11" t="s">
        <v>365</v>
      </c>
      <c r="G1655" s="11" t="s">
        <v>140</v>
      </c>
      <c r="H1655" s="23" t="s">
        <v>498</v>
      </c>
      <c r="I1655" s="20" t="s">
        <v>1596</v>
      </c>
      <c r="J1655" s="11">
        <v>30</v>
      </c>
      <c r="K1655" s="11">
        <v>0</v>
      </c>
      <c r="L1655" s="11">
        <f>+J1655-K1655</f>
        <v>30</v>
      </c>
      <c r="M1655" s="132">
        <f>(SUM(K1655:K1656))/(SUM(J1655:J1656))</f>
        <v>0</v>
      </c>
      <c r="N1655" s="18">
        <v>46107</v>
      </c>
    </row>
    <row r="1656" spans="1:15" x14ac:dyDescent="0.25">
      <c r="A1656" s="11">
        <f t="shared" ref="A1656:A1718" ca="1" si="153">DAYS360($B$1,I1656)</f>
        <v>-2</v>
      </c>
      <c r="C1656" s="11" t="s">
        <v>251</v>
      </c>
      <c r="D1656" s="11" t="s">
        <v>1598</v>
      </c>
      <c r="E1656" s="11" t="s">
        <v>926</v>
      </c>
      <c r="F1656" s="11" t="s">
        <v>365</v>
      </c>
      <c r="G1656" s="11" t="s">
        <v>140</v>
      </c>
      <c r="H1656" s="23" t="s">
        <v>498</v>
      </c>
      <c r="I1656" s="20" t="s">
        <v>1596</v>
      </c>
      <c r="J1656" s="11">
        <v>30</v>
      </c>
      <c r="K1656" s="11">
        <v>0</v>
      </c>
      <c r="L1656" s="11">
        <f>+J1656-K1656</f>
        <v>30</v>
      </c>
      <c r="M1656" s="130"/>
      <c r="N1656" s="18">
        <v>46107</v>
      </c>
    </row>
    <row r="1657" spans="1:15" x14ac:dyDescent="0.25">
      <c r="A1657" s="11">
        <f t="shared" ca="1" si="153"/>
        <v>-42</v>
      </c>
      <c r="C1657" s="11" t="s">
        <v>214</v>
      </c>
      <c r="D1657" s="11" t="s">
        <v>1539</v>
      </c>
      <c r="E1657" s="11" t="s">
        <v>896</v>
      </c>
      <c r="F1657" s="11" t="s">
        <v>841</v>
      </c>
      <c r="G1657" s="11" t="s">
        <v>11</v>
      </c>
      <c r="H1657" s="52" t="s">
        <v>1391</v>
      </c>
      <c r="I1657" s="20" t="s">
        <v>1387</v>
      </c>
      <c r="J1657" s="11">
        <v>180</v>
      </c>
      <c r="K1657" s="11">
        <v>180</v>
      </c>
      <c r="L1657" s="11">
        <v>0</v>
      </c>
      <c r="M1657" s="131">
        <v>0.93068391866913125</v>
      </c>
      <c r="N1657" s="18">
        <v>46107</v>
      </c>
      <c r="O1657" s="93">
        <v>46106</v>
      </c>
    </row>
    <row r="1658" spans="1:15" x14ac:dyDescent="0.25">
      <c r="A1658" s="11">
        <f t="shared" ca="1" si="153"/>
        <v>-42</v>
      </c>
      <c r="C1658" s="11" t="s">
        <v>215</v>
      </c>
      <c r="D1658" s="11" t="s">
        <v>1599</v>
      </c>
      <c r="E1658" s="11" t="s">
        <v>896</v>
      </c>
      <c r="F1658" s="11" t="s">
        <v>841</v>
      </c>
      <c r="G1658" s="11" t="s">
        <v>11</v>
      </c>
      <c r="H1658" s="52" t="s">
        <v>1391</v>
      </c>
      <c r="I1658" s="20" t="s">
        <v>1387</v>
      </c>
      <c r="J1658" s="11">
        <v>180</v>
      </c>
      <c r="K1658" s="11">
        <v>180</v>
      </c>
      <c r="L1658" s="11">
        <v>0</v>
      </c>
      <c r="M1658" s="131"/>
      <c r="N1658" s="18">
        <v>46107</v>
      </c>
      <c r="O1658" s="93">
        <v>46106</v>
      </c>
    </row>
    <row r="1659" spans="1:15" x14ac:dyDescent="0.25">
      <c r="A1659" s="11">
        <f t="shared" ca="1" si="153"/>
        <v>-42</v>
      </c>
      <c r="C1659" s="11" t="s">
        <v>143</v>
      </c>
      <c r="D1659" s="11" t="s">
        <v>1595</v>
      </c>
      <c r="E1659" s="11" t="s">
        <v>896</v>
      </c>
      <c r="F1659" s="11" t="s">
        <v>841</v>
      </c>
      <c r="G1659" s="11" t="s">
        <v>11</v>
      </c>
      <c r="H1659" s="52" t="s">
        <v>1391</v>
      </c>
      <c r="I1659" s="20" t="s">
        <v>1387</v>
      </c>
      <c r="J1659" s="11">
        <v>180</v>
      </c>
      <c r="K1659" s="11">
        <v>180</v>
      </c>
      <c r="L1659" s="11">
        <v>0</v>
      </c>
      <c r="M1659" s="131"/>
      <c r="N1659" s="18">
        <v>46107</v>
      </c>
      <c r="O1659" s="93">
        <v>46106</v>
      </c>
    </row>
    <row r="1660" spans="1:15" x14ac:dyDescent="0.25">
      <c r="A1660" s="11">
        <f t="shared" ca="1" si="153"/>
        <v>-42</v>
      </c>
      <c r="C1660" s="11" t="s">
        <v>169</v>
      </c>
      <c r="D1660" s="11" t="s">
        <v>1600</v>
      </c>
      <c r="E1660" s="11" t="s">
        <v>896</v>
      </c>
      <c r="F1660" s="11" t="s">
        <v>841</v>
      </c>
      <c r="G1660" s="11" t="s">
        <v>11</v>
      </c>
      <c r="H1660" s="52" t="s">
        <v>1391</v>
      </c>
      <c r="I1660" s="20" t="s">
        <v>1387</v>
      </c>
      <c r="J1660" s="11">
        <v>192</v>
      </c>
      <c r="K1660" s="113">
        <v>192</v>
      </c>
      <c r="L1660" s="11">
        <v>0</v>
      </c>
      <c r="M1660" s="131"/>
      <c r="N1660" s="18">
        <v>46107</v>
      </c>
      <c r="O1660" s="93">
        <v>46106</v>
      </c>
    </row>
    <row r="1661" spans="1:15" x14ac:dyDescent="0.25">
      <c r="A1661" s="11">
        <f t="shared" ca="1" si="153"/>
        <v>-42</v>
      </c>
      <c r="C1661" s="11" t="s">
        <v>151</v>
      </c>
      <c r="D1661" s="11" t="s">
        <v>1332</v>
      </c>
      <c r="E1661" s="11" t="s">
        <v>896</v>
      </c>
      <c r="F1661" s="11" t="s">
        <v>841</v>
      </c>
      <c r="G1661" s="11" t="s">
        <v>11</v>
      </c>
      <c r="H1661" s="52" t="s">
        <v>1391</v>
      </c>
      <c r="I1661" s="20" t="s">
        <v>1387</v>
      </c>
      <c r="J1661" s="11">
        <v>240</v>
      </c>
      <c r="K1661" s="11">
        <v>240</v>
      </c>
      <c r="L1661" s="11">
        <v>0</v>
      </c>
      <c r="M1661" s="131"/>
      <c r="N1661" s="18">
        <v>46107</v>
      </c>
      <c r="O1661" s="93">
        <v>46106</v>
      </c>
    </row>
    <row r="1662" spans="1:15" x14ac:dyDescent="0.25">
      <c r="A1662" s="11">
        <f t="shared" ca="1" si="153"/>
        <v>-42</v>
      </c>
      <c r="C1662" s="11" t="s">
        <v>152</v>
      </c>
      <c r="D1662" s="11" t="s">
        <v>1402</v>
      </c>
      <c r="E1662" s="11" t="s">
        <v>896</v>
      </c>
      <c r="F1662" s="11" t="s">
        <v>841</v>
      </c>
      <c r="G1662" s="11" t="s">
        <v>11</v>
      </c>
      <c r="H1662" s="52" t="s">
        <v>1391</v>
      </c>
      <c r="I1662" s="20" t="s">
        <v>1387</v>
      </c>
      <c r="J1662" s="11">
        <v>180</v>
      </c>
      <c r="K1662" s="11">
        <v>180</v>
      </c>
      <c r="L1662" s="11">
        <v>0</v>
      </c>
      <c r="M1662" s="131"/>
      <c r="N1662" s="18">
        <v>46107</v>
      </c>
      <c r="O1662" s="93">
        <v>46106</v>
      </c>
    </row>
    <row r="1663" spans="1:15" x14ac:dyDescent="0.25">
      <c r="A1663" s="11">
        <f t="shared" ca="1" si="153"/>
        <v>-42</v>
      </c>
      <c r="C1663" s="11" t="s">
        <v>154</v>
      </c>
      <c r="D1663" s="11" t="s">
        <v>903</v>
      </c>
      <c r="E1663" s="11" t="s">
        <v>896</v>
      </c>
      <c r="F1663" s="11" t="s">
        <v>841</v>
      </c>
      <c r="G1663" s="11" t="s">
        <v>11</v>
      </c>
      <c r="H1663" s="52" t="s">
        <v>1391</v>
      </c>
      <c r="I1663" s="20" t="s">
        <v>1387</v>
      </c>
      <c r="J1663" s="11">
        <v>140</v>
      </c>
      <c r="K1663" s="11">
        <v>140</v>
      </c>
      <c r="L1663" s="11">
        <v>0</v>
      </c>
      <c r="M1663" s="131"/>
      <c r="N1663" s="18">
        <v>46107</v>
      </c>
      <c r="O1663" s="93">
        <v>46106</v>
      </c>
    </row>
    <row r="1664" spans="1:15" x14ac:dyDescent="0.25">
      <c r="A1664" s="11">
        <f t="shared" ca="1" si="153"/>
        <v>-42</v>
      </c>
      <c r="C1664" s="11" t="s">
        <v>258</v>
      </c>
      <c r="D1664" s="11" t="s">
        <v>1403</v>
      </c>
      <c r="E1664" s="11" t="s">
        <v>896</v>
      </c>
      <c r="F1664" s="11" t="s">
        <v>841</v>
      </c>
      <c r="G1664" s="11" t="s">
        <v>11</v>
      </c>
      <c r="H1664" s="52" t="s">
        <v>1391</v>
      </c>
      <c r="I1664" s="20" t="s">
        <v>1387</v>
      </c>
      <c r="J1664" s="11">
        <v>96</v>
      </c>
      <c r="K1664" s="11">
        <v>96</v>
      </c>
      <c r="L1664" s="11">
        <v>0</v>
      </c>
      <c r="M1664" s="131"/>
      <c r="N1664" s="18">
        <v>46107</v>
      </c>
      <c r="O1664" s="93">
        <v>46106</v>
      </c>
    </row>
    <row r="1665" spans="1:15" x14ac:dyDescent="0.25">
      <c r="A1665" s="11">
        <f t="shared" ca="1" si="153"/>
        <v>-42</v>
      </c>
      <c r="C1665" s="11" t="s">
        <v>260</v>
      </c>
      <c r="D1665" s="11" t="s">
        <v>904</v>
      </c>
      <c r="E1665" s="11" t="s">
        <v>896</v>
      </c>
      <c r="F1665" s="11" t="s">
        <v>841</v>
      </c>
      <c r="G1665" s="11" t="s">
        <v>11</v>
      </c>
      <c r="H1665" s="52" t="s">
        <v>1602</v>
      </c>
      <c r="I1665" s="20" t="s">
        <v>1387</v>
      </c>
      <c r="J1665" s="11">
        <v>180</v>
      </c>
      <c r="K1665" s="11">
        <v>180</v>
      </c>
      <c r="L1665" s="11">
        <v>0</v>
      </c>
      <c r="M1665" s="131"/>
      <c r="N1665" s="18">
        <v>46107</v>
      </c>
      <c r="O1665" s="93">
        <v>46106</v>
      </c>
    </row>
    <row r="1666" spans="1:15" x14ac:dyDescent="0.25">
      <c r="A1666" s="11">
        <f t="shared" ca="1" si="153"/>
        <v>-42</v>
      </c>
      <c r="C1666" s="11" t="s">
        <v>237</v>
      </c>
      <c r="D1666" s="11" t="s">
        <v>938</v>
      </c>
      <c r="E1666" s="11" t="s">
        <v>896</v>
      </c>
      <c r="F1666" s="11" t="s">
        <v>841</v>
      </c>
      <c r="G1666" s="11" t="s">
        <v>11</v>
      </c>
      <c r="H1666" s="52" t="s">
        <v>1602</v>
      </c>
      <c r="I1666" s="20" t="s">
        <v>1387</v>
      </c>
      <c r="J1666" s="11">
        <v>180</v>
      </c>
      <c r="K1666" s="11">
        <v>180</v>
      </c>
      <c r="L1666" s="11">
        <v>0</v>
      </c>
      <c r="M1666" s="131"/>
      <c r="N1666" s="18">
        <v>46107</v>
      </c>
      <c r="O1666" s="93">
        <v>46106</v>
      </c>
    </row>
    <row r="1667" spans="1:15" x14ac:dyDescent="0.25">
      <c r="A1667" s="11">
        <f t="shared" ca="1" si="153"/>
        <v>-42</v>
      </c>
      <c r="C1667" s="11" t="s">
        <v>336</v>
      </c>
      <c r="D1667" s="11" t="s">
        <v>1120</v>
      </c>
      <c r="E1667" s="11" t="s">
        <v>896</v>
      </c>
      <c r="F1667" s="11" t="s">
        <v>841</v>
      </c>
      <c r="G1667" s="11" t="s">
        <v>11</v>
      </c>
      <c r="H1667" s="52" t="s">
        <v>1602</v>
      </c>
      <c r="I1667" s="20" t="s">
        <v>1387</v>
      </c>
      <c r="J1667" s="11">
        <v>180</v>
      </c>
      <c r="K1667" s="11">
        <v>180</v>
      </c>
      <c r="L1667" s="11">
        <v>0</v>
      </c>
      <c r="M1667" s="131"/>
      <c r="N1667" s="18">
        <v>46107</v>
      </c>
      <c r="O1667" s="93">
        <v>46106</v>
      </c>
    </row>
    <row r="1668" spans="1:15" x14ac:dyDescent="0.25">
      <c r="A1668" s="11">
        <f t="shared" ca="1" si="153"/>
        <v>-42</v>
      </c>
      <c r="C1668" s="11" t="s">
        <v>225</v>
      </c>
      <c r="D1668" s="11" t="s">
        <v>796</v>
      </c>
      <c r="E1668" s="11" t="s">
        <v>896</v>
      </c>
      <c r="F1668" s="11" t="s">
        <v>841</v>
      </c>
      <c r="G1668" s="11" t="s">
        <v>11</v>
      </c>
      <c r="H1668" s="52" t="s">
        <v>1602</v>
      </c>
      <c r="I1668" s="20" t="s">
        <v>1387</v>
      </c>
      <c r="J1668" s="11">
        <v>240</v>
      </c>
      <c r="K1668" s="11">
        <v>240</v>
      </c>
      <c r="L1668" s="11">
        <v>0</v>
      </c>
      <c r="M1668" s="131"/>
      <c r="N1668" s="18">
        <v>46107</v>
      </c>
      <c r="O1668" s="93">
        <v>46106</v>
      </c>
    </row>
    <row r="1669" spans="1:15" x14ac:dyDescent="0.25">
      <c r="A1669" s="11">
        <f t="shared" ca="1" si="153"/>
        <v>-42</v>
      </c>
      <c r="C1669" s="11" t="s">
        <v>226</v>
      </c>
      <c r="D1669" s="11" t="s">
        <v>1405</v>
      </c>
      <c r="E1669" s="11" t="s">
        <v>896</v>
      </c>
      <c r="F1669" s="11" t="s">
        <v>841</v>
      </c>
      <c r="G1669" s="11" t="s">
        <v>11</v>
      </c>
      <c r="H1669" s="52" t="s">
        <v>1602</v>
      </c>
      <c r="I1669" s="20" t="s">
        <v>1387</v>
      </c>
      <c r="J1669" s="11">
        <v>240</v>
      </c>
      <c r="K1669" s="11">
        <v>240</v>
      </c>
      <c r="L1669" s="11">
        <v>0</v>
      </c>
      <c r="M1669" s="131"/>
      <c r="N1669" s="18">
        <v>46107</v>
      </c>
      <c r="O1669" s="93">
        <v>46106</v>
      </c>
    </row>
    <row r="1670" spans="1:15" x14ac:dyDescent="0.25">
      <c r="A1670" s="11">
        <f t="shared" ca="1" si="153"/>
        <v>-42</v>
      </c>
      <c r="C1670" s="11" t="s">
        <v>180</v>
      </c>
      <c r="D1670" s="11" t="s">
        <v>1136</v>
      </c>
      <c r="E1670" s="11" t="s">
        <v>896</v>
      </c>
      <c r="F1670" s="11" t="s">
        <v>841</v>
      </c>
      <c r="G1670" s="11" t="s">
        <v>11</v>
      </c>
      <c r="H1670" s="52" t="s">
        <v>1602</v>
      </c>
      <c r="I1670" s="20" t="s">
        <v>1387</v>
      </c>
      <c r="J1670" s="11">
        <v>240</v>
      </c>
      <c r="K1670" s="11">
        <v>240</v>
      </c>
      <c r="L1670" s="11">
        <v>0</v>
      </c>
      <c r="M1670" s="131"/>
      <c r="N1670" s="18">
        <v>46107</v>
      </c>
      <c r="O1670" s="93">
        <v>46106</v>
      </c>
    </row>
    <row r="1671" spans="1:15" x14ac:dyDescent="0.25">
      <c r="A1671" s="11">
        <f t="shared" ca="1" si="153"/>
        <v>-42</v>
      </c>
      <c r="C1671" s="11" t="s">
        <v>182</v>
      </c>
      <c r="D1671" s="11" t="s">
        <v>905</v>
      </c>
      <c r="E1671" s="11" t="s">
        <v>896</v>
      </c>
      <c r="F1671" s="11" t="s">
        <v>841</v>
      </c>
      <c r="G1671" s="11" t="s">
        <v>11</v>
      </c>
      <c r="H1671" s="52" t="s">
        <v>1602</v>
      </c>
      <c r="I1671" s="20" t="s">
        <v>1387</v>
      </c>
      <c r="J1671" s="11">
        <v>480</v>
      </c>
      <c r="K1671" s="11">
        <v>480</v>
      </c>
      <c r="L1671" s="11">
        <v>0</v>
      </c>
      <c r="M1671" s="131"/>
      <c r="N1671" s="18">
        <v>46107</v>
      </c>
      <c r="O1671" s="93">
        <v>46106</v>
      </c>
    </row>
    <row r="1672" spans="1:15" x14ac:dyDescent="0.25">
      <c r="A1672" s="11">
        <f t="shared" ca="1" si="153"/>
        <v>-42</v>
      </c>
      <c r="C1672" s="64" t="s">
        <v>85</v>
      </c>
      <c r="D1672" s="11" t="s">
        <v>1423</v>
      </c>
      <c r="E1672" s="11" t="s">
        <v>896</v>
      </c>
      <c r="F1672" s="11" t="s">
        <v>841</v>
      </c>
      <c r="G1672" s="11" t="s">
        <v>11</v>
      </c>
      <c r="H1672" s="52" t="s">
        <v>1602</v>
      </c>
      <c r="I1672" s="20" t="s">
        <v>1387</v>
      </c>
      <c r="J1672" s="11">
        <v>600</v>
      </c>
      <c r="K1672" s="113">
        <v>300</v>
      </c>
      <c r="L1672" s="11">
        <v>300</v>
      </c>
      <c r="M1672" s="131"/>
      <c r="N1672" s="18">
        <v>46107</v>
      </c>
      <c r="O1672" s="93">
        <v>46106</v>
      </c>
    </row>
    <row r="1673" spans="1:15" x14ac:dyDescent="0.25">
      <c r="A1673" s="11">
        <f t="shared" ca="1" si="153"/>
        <v>-42</v>
      </c>
      <c r="C1673" s="11" t="s">
        <v>1313</v>
      </c>
      <c r="D1673" s="11" t="s">
        <v>1601</v>
      </c>
      <c r="E1673" s="11" t="s">
        <v>896</v>
      </c>
      <c r="F1673" s="11" t="s">
        <v>841</v>
      </c>
      <c r="G1673" s="11" t="s">
        <v>11</v>
      </c>
      <c r="H1673" s="52" t="s">
        <v>1602</v>
      </c>
      <c r="I1673" s="20" t="s">
        <v>1387</v>
      </c>
      <c r="J1673" s="11">
        <v>120</v>
      </c>
      <c r="K1673" s="11">
        <v>120</v>
      </c>
      <c r="L1673" s="11">
        <v>0</v>
      </c>
      <c r="M1673" s="131"/>
      <c r="N1673" s="18">
        <v>46107</v>
      </c>
      <c r="O1673" s="93">
        <v>46106</v>
      </c>
    </row>
    <row r="1674" spans="1:15" x14ac:dyDescent="0.25">
      <c r="A1674" s="11">
        <f t="shared" ca="1" si="153"/>
        <v>-42</v>
      </c>
      <c r="C1674" s="11" t="s">
        <v>1588</v>
      </c>
      <c r="D1674" s="11" t="s">
        <v>905</v>
      </c>
      <c r="E1674" s="11" t="s">
        <v>899</v>
      </c>
      <c r="F1674" s="11" t="s">
        <v>841</v>
      </c>
      <c r="G1674" s="11" t="s">
        <v>11</v>
      </c>
      <c r="H1674" s="52" t="s">
        <v>1602</v>
      </c>
      <c r="I1674" s="20" t="s">
        <v>1387</v>
      </c>
      <c r="J1674" s="11">
        <v>480</v>
      </c>
      <c r="K1674" s="11">
        <v>480</v>
      </c>
      <c r="L1674" s="11">
        <v>0</v>
      </c>
      <c r="M1674" s="131"/>
      <c r="N1674" s="18">
        <v>46107</v>
      </c>
      <c r="O1674" s="93">
        <v>46106</v>
      </c>
    </row>
    <row r="1675" spans="1:15" x14ac:dyDescent="0.25">
      <c r="A1675" s="11">
        <f t="shared" ca="1" si="153"/>
        <v>-52</v>
      </c>
      <c r="C1675" s="11" t="s">
        <v>151</v>
      </c>
      <c r="D1675" s="11" t="s">
        <v>1332</v>
      </c>
      <c r="E1675" s="11" t="s">
        <v>896</v>
      </c>
      <c r="F1675" s="11" t="s">
        <v>841</v>
      </c>
      <c r="G1675" s="11" t="s">
        <v>34</v>
      </c>
      <c r="H1675" s="52" t="s">
        <v>1510</v>
      </c>
      <c r="I1675" s="20" t="s">
        <v>1327</v>
      </c>
      <c r="J1675" s="11">
        <v>120</v>
      </c>
      <c r="K1675" s="11">
        <v>120</v>
      </c>
      <c r="L1675" s="11">
        <v>0</v>
      </c>
      <c r="M1675" s="131">
        <v>1</v>
      </c>
      <c r="N1675" s="18">
        <v>46107</v>
      </c>
      <c r="O1675" s="93">
        <v>46106</v>
      </c>
    </row>
    <row r="1676" spans="1:15" x14ac:dyDescent="0.25">
      <c r="A1676" s="11">
        <f t="shared" ca="1" si="153"/>
        <v>-52</v>
      </c>
      <c r="C1676" s="11" t="s">
        <v>258</v>
      </c>
      <c r="D1676" s="11" t="s">
        <v>1403</v>
      </c>
      <c r="E1676" s="11" t="s">
        <v>896</v>
      </c>
      <c r="F1676" s="11" t="s">
        <v>841</v>
      </c>
      <c r="G1676" s="11" t="s">
        <v>34</v>
      </c>
      <c r="H1676" s="52" t="s">
        <v>1510</v>
      </c>
      <c r="I1676" s="20" t="s">
        <v>1327</v>
      </c>
      <c r="J1676" s="11">
        <v>60</v>
      </c>
      <c r="K1676" s="11">
        <v>60</v>
      </c>
      <c r="L1676" s="11">
        <v>0</v>
      </c>
      <c r="M1676" s="131"/>
      <c r="N1676" s="18">
        <v>46107</v>
      </c>
      <c r="O1676" s="93">
        <v>46106</v>
      </c>
    </row>
    <row r="1677" spans="1:15" x14ac:dyDescent="0.25">
      <c r="A1677" s="11">
        <f t="shared" ca="1" si="153"/>
        <v>-99</v>
      </c>
      <c r="C1677" s="11" t="s">
        <v>189</v>
      </c>
      <c r="D1677" s="11" t="str">
        <f>VLOOKUP(VALUE(MID($C1677,13,2)), codigos!$A$2:$B$60, 2, 1) &amp; " " &amp; VLOOKUP(VALUE(MID($C1677,15,4)), codigos!$E$2:$F$102, 2, FALSE)</f>
        <v>BUDINERA 16</v>
      </c>
      <c r="E1677" s="11" t="str">
        <f>VLOOKUP(VALUE(MID($C1677,19,2)),codigos!$H$2:$I$62,2,1) &amp; " " &amp; VLOOKUP(VALUE(MID($C1677,21,2)),codigos!$K$2:$L$12,2,FALSE)</f>
        <v>A/T S/I</v>
      </c>
      <c r="F1677" s="11" t="s">
        <v>951</v>
      </c>
      <c r="G1677" s="11" t="s">
        <v>34</v>
      </c>
      <c r="H1677" s="52" t="s">
        <v>1364</v>
      </c>
      <c r="I1677" s="20" t="s">
        <v>949</v>
      </c>
      <c r="J1677" s="11">
        <v>18</v>
      </c>
      <c r="K1677" s="11">
        <v>18</v>
      </c>
      <c r="L1677" s="11">
        <f t="shared" ref="L1677:L1696" si="154">J1677-K1677</f>
        <v>0</v>
      </c>
      <c r="M1677" s="134">
        <f>(SUM(K1677:K1682))/(SUM(J1677:J1682))</f>
        <v>1</v>
      </c>
      <c r="N1677" s="18">
        <v>46108</v>
      </c>
      <c r="O1677" s="93">
        <v>46106</v>
      </c>
    </row>
    <row r="1678" spans="1:15" x14ac:dyDescent="0.25">
      <c r="A1678" s="11">
        <f t="shared" ca="1" si="153"/>
        <v>-99</v>
      </c>
      <c r="C1678" s="11" t="s">
        <v>484</v>
      </c>
      <c r="D1678" s="11" t="str">
        <f>VLOOKUP(VALUE(MID($C1678,13,2)), codigos!$A$2:$B$60, 2, 1) &amp; " " &amp; VLOOKUP(VALUE(MID($C1678,15,4)), codigos!$E$2:$F$102, 2, FALSE)</f>
        <v>BUDINERA 20</v>
      </c>
      <c r="E1678" s="11" t="str">
        <f>VLOOKUP(VALUE(MID($C1678,19,2)),codigos!$H$2:$I$62,2,1) &amp; " " &amp; VLOOKUP(VALUE(MID($C1678,21,2)),codigos!$K$2:$L$12,2,FALSE)</f>
        <v>BICOLOR NARANJA S/I</v>
      </c>
      <c r="F1678" s="11" t="s">
        <v>951</v>
      </c>
      <c r="G1678" s="11" t="s">
        <v>34</v>
      </c>
      <c r="H1678" s="52" t="s">
        <v>1364</v>
      </c>
      <c r="I1678" s="20" t="s">
        <v>949</v>
      </c>
      <c r="J1678" s="11">
        <v>18</v>
      </c>
      <c r="K1678" s="11">
        <v>18</v>
      </c>
      <c r="L1678" s="11">
        <f t="shared" si="154"/>
        <v>0</v>
      </c>
      <c r="M1678" s="134"/>
      <c r="N1678" s="18">
        <v>46108</v>
      </c>
      <c r="O1678" s="93">
        <v>46106</v>
      </c>
    </row>
    <row r="1679" spans="1:15" x14ac:dyDescent="0.25">
      <c r="A1679" s="11">
        <f t="shared" ca="1" si="153"/>
        <v>-99</v>
      </c>
      <c r="C1679" s="11" t="s">
        <v>38</v>
      </c>
      <c r="D1679" s="11" t="str">
        <f>VLOOKUP(VALUE(MID($C1679,13,2)), codigos!$A$2:$B$60, 2, 1) &amp; " " &amp; VLOOKUP(VALUE(MID($C1679,15,4)), codigos!$E$2:$F$102, 2, FALSE)</f>
        <v>BUDINERA 42</v>
      </c>
      <c r="E1679" s="11" t="str">
        <f>VLOOKUP(VALUE(MID($C1679,19,2)),codigos!$H$2:$I$62,2,1) &amp; " " &amp; VLOOKUP(VALUE(MID($C1679,21,2)),codigos!$K$2:$L$12,2,FALSE)</f>
        <v>A/T S/I</v>
      </c>
      <c r="F1679" s="11" t="s">
        <v>951</v>
      </c>
      <c r="G1679" s="11" t="s">
        <v>34</v>
      </c>
      <c r="H1679" s="52" t="s">
        <v>1364</v>
      </c>
      <c r="I1679" s="20" t="s">
        <v>949</v>
      </c>
      <c r="J1679" s="11">
        <v>2</v>
      </c>
      <c r="K1679" s="11">
        <v>2</v>
      </c>
      <c r="L1679" s="11">
        <f t="shared" si="154"/>
        <v>0</v>
      </c>
      <c r="M1679" s="134"/>
      <c r="N1679" s="18">
        <v>46108</v>
      </c>
      <c r="O1679" s="93">
        <v>46106</v>
      </c>
    </row>
    <row r="1680" spans="1:15" x14ac:dyDescent="0.25">
      <c r="A1680" s="11">
        <f t="shared" ca="1" si="153"/>
        <v>-99</v>
      </c>
      <c r="C1680" s="11" t="s">
        <v>333</v>
      </c>
      <c r="D1680" s="11" t="str">
        <f>VLOOKUP(VALUE(MID($C1680,13,2)), codigos!$A$2:$B$60, 2, 1) &amp; " " &amp; VLOOKUP(VALUE(MID($C1680,15,4)), codigos!$E$2:$F$102, 2, FALSE)</f>
        <v>OLLA CONVEXA 14</v>
      </c>
      <c r="E1680" s="11" t="str">
        <f>VLOOKUP(VALUE(MID($C1680,19,2)),codigos!$H$2:$I$62,2,1) &amp; " " &amp; VLOOKUP(VALUE(MID($C1680,21,2)),codigos!$K$2:$L$12,2,FALSE)</f>
        <v>A/T S/I</v>
      </c>
      <c r="F1680" s="11" t="s">
        <v>951</v>
      </c>
      <c r="G1680" s="11" t="s">
        <v>34</v>
      </c>
      <c r="H1680" s="52" t="s">
        <v>1364</v>
      </c>
      <c r="I1680" s="20" t="s">
        <v>949</v>
      </c>
      <c r="J1680" s="11">
        <v>18</v>
      </c>
      <c r="K1680" s="11">
        <v>18</v>
      </c>
      <c r="L1680" s="11">
        <f t="shared" si="154"/>
        <v>0</v>
      </c>
      <c r="M1680" s="134"/>
      <c r="N1680" s="18">
        <v>46108</v>
      </c>
      <c r="O1680" s="93">
        <v>46106</v>
      </c>
    </row>
    <row r="1681" spans="1:15" x14ac:dyDescent="0.25">
      <c r="A1681" s="11">
        <f t="shared" ca="1" si="153"/>
        <v>-99</v>
      </c>
      <c r="C1681" s="11" t="s">
        <v>220</v>
      </c>
      <c r="D1681" s="11" t="str">
        <f>VLOOKUP(VALUE(MID($C1681,13,2)), codigos!$A$2:$B$60, 2, 1) &amp; " " &amp; VLOOKUP(VALUE(MID($C1681,15,4)), codigos!$E$2:$F$102, 2, FALSE)</f>
        <v>OLLA CONVEXA 16</v>
      </c>
      <c r="E1681" s="11" t="str">
        <f>VLOOKUP(VALUE(MID($C1681,19,2)),codigos!$H$2:$I$62,2,1) &amp; " " &amp; VLOOKUP(VALUE(MID($C1681,21,2)),codigos!$K$2:$L$12,2,FALSE)</f>
        <v>A/T S/I</v>
      </c>
      <c r="F1681" s="11" t="s">
        <v>951</v>
      </c>
      <c r="G1681" s="11" t="s">
        <v>34</v>
      </c>
      <c r="H1681" s="52" t="s">
        <v>1364</v>
      </c>
      <c r="I1681" s="20" t="s">
        <v>949</v>
      </c>
      <c r="J1681" s="11">
        <v>12</v>
      </c>
      <c r="K1681" s="11">
        <v>12</v>
      </c>
      <c r="L1681" s="11">
        <f t="shared" si="154"/>
        <v>0</v>
      </c>
      <c r="M1681" s="134"/>
      <c r="N1681" s="18">
        <v>46108</v>
      </c>
      <c r="O1681" s="93">
        <v>46106</v>
      </c>
    </row>
    <row r="1682" spans="1:15" x14ac:dyDescent="0.25">
      <c r="A1682" s="11">
        <f t="shared" ca="1" si="153"/>
        <v>-99</v>
      </c>
      <c r="C1682" s="11" t="s">
        <v>151</v>
      </c>
      <c r="D1682" s="11" t="str">
        <f>VLOOKUP(VALUE(MID($C1682,13,2)), codigos!$A$2:$B$60, 2, 1) &amp; " " &amp; VLOOKUP(VALUE(MID($C1682,15,4)), codigos!$E$2:$F$102, 2, FALSE)</f>
        <v>OLLA CONVEXA 20</v>
      </c>
      <c r="E1682" s="11" t="str">
        <f>VLOOKUP(VALUE(MID($C1682,19,2)),codigos!$H$2:$I$62,2,1) &amp; " " &amp; VLOOKUP(VALUE(MID($C1682,21,2)),codigos!$K$2:$L$12,2,FALSE)</f>
        <v>A/T S/I</v>
      </c>
      <c r="F1682" s="11" t="s">
        <v>951</v>
      </c>
      <c r="G1682" s="11" t="s">
        <v>34</v>
      </c>
      <c r="H1682" s="52" t="s">
        <v>1364</v>
      </c>
      <c r="I1682" s="20" t="s">
        <v>949</v>
      </c>
      <c r="J1682" s="11">
        <v>12</v>
      </c>
      <c r="K1682" s="11">
        <f>12</f>
        <v>12</v>
      </c>
      <c r="L1682" s="11">
        <f t="shared" si="154"/>
        <v>0</v>
      </c>
      <c r="M1682" s="144"/>
      <c r="N1682" s="18">
        <v>46108</v>
      </c>
      <c r="O1682" s="93">
        <v>46106</v>
      </c>
    </row>
    <row r="1683" spans="1:15" x14ac:dyDescent="0.25">
      <c r="A1683" s="11">
        <f t="shared" ca="1" si="153"/>
        <v>-42</v>
      </c>
      <c r="C1683" s="64" t="s">
        <v>229</v>
      </c>
      <c r="D1683" s="64" t="str">
        <f>VLOOKUP(VALUE(MID($C1683,13,2)), codigos!$A$2:$B$60, 2, 1) &amp; " " &amp; VLOOKUP(VALUE(MID($C1683,15,4)), codigos!$E$2:$F$102, 2, FALSE)</f>
        <v>BATERIA ALASKA</v>
      </c>
      <c r="E1683" s="64" t="str">
        <f>VLOOKUP(VALUE(MID($C1683,19,2)),codigos!$H$2:$I$62,2,1) &amp; " " &amp; VLOOKUP(VALUE(MID($C1683,21,2)),codigos!$K$2:$L$12,2,FALSE)</f>
        <v>S/I S/I</v>
      </c>
      <c r="F1683" s="64" t="s">
        <v>982</v>
      </c>
      <c r="G1683" s="64" t="s">
        <v>11</v>
      </c>
      <c r="H1683" s="66" t="s">
        <v>1386</v>
      </c>
      <c r="I1683" s="64" t="s">
        <v>1387</v>
      </c>
      <c r="J1683" s="64">
        <v>30</v>
      </c>
      <c r="K1683" s="64">
        <v>0</v>
      </c>
      <c r="L1683" s="64">
        <f t="shared" si="154"/>
        <v>30</v>
      </c>
      <c r="M1683" s="131">
        <f>(SUM(K1683:K1696))/(SUM(J1683:J1696))</f>
        <v>0.94687232219365891</v>
      </c>
      <c r="N1683" s="18">
        <v>46108</v>
      </c>
      <c r="O1683" s="93">
        <v>46106</v>
      </c>
    </row>
    <row r="1684" spans="1:15" x14ac:dyDescent="0.25">
      <c r="A1684" s="11">
        <f t="shared" ca="1" si="153"/>
        <v>-42</v>
      </c>
      <c r="C1684" s="11" t="s">
        <v>234</v>
      </c>
      <c r="D1684" s="11" t="str">
        <f>VLOOKUP(VALUE(MID($C1684,13,2)), codigos!$A$2:$B$60, 2, 1) &amp; " " &amp; VLOOKUP(VALUE(MID($C1684,15,4)), codigos!$E$2:$F$102, 2, FALSE)</f>
        <v>BATERIA CAMPESTRE</v>
      </c>
      <c r="E1684" s="11" t="str">
        <f>VLOOKUP(VALUE(MID($C1684,19,2)),codigos!$H$2:$I$62,2,1) &amp; " " &amp; VLOOKUP(VALUE(MID($C1684,21,2)),codigos!$K$2:$L$12,2,FALSE)</f>
        <v>S/I S/I</v>
      </c>
      <c r="F1684" s="11" t="s">
        <v>982</v>
      </c>
      <c r="G1684" s="11" t="s">
        <v>11</v>
      </c>
      <c r="H1684" s="52" t="s">
        <v>1386</v>
      </c>
      <c r="I1684" s="20" t="s">
        <v>1387</v>
      </c>
      <c r="J1684" s="11">
        <v>15</v>
      </c>
      <c r="K1684" s="11">
        <f>15</f>
        <v>15</v>
      </c>
      <c r="L1684" s="11">
        <f t="shared" si="154"/>
        <v>0</v>
      </c>
      <c r="M1684" s="131"/>
      <c r="N1684" s="18">
        <v>46108</v>
      </c>
      <c r="O1684" s="93">
        <v>46106</v>
      </c>
    </row>
    <row r="1685" spans="1:15" x14ac:dyDescent="0.25">
      <c r="A1685" s="11">
        <f t="shared" ca="1" si="153"/>
        <v>-42</v>
      </c>
      <c r="C1685" s="11" t="s">
        <v>215</v>
      </c>
      <c r="D1685" s="11" t="str">
        <f>VLOOKUP(VALUE(MID($C1685,13,2)), codigos!$A$2:$B$60, 2, 1) &amp; " " &amp; VLOOKUP(VALUE(MID($C1685,15,4)), codigos!$E$2:$F$102, 2, FALSE)</f>
        <v>BUDINERA 20</v>
      </c>
      <c r="E1685" s="11" t="str">
        <f>VLOOKUP(VALUE(MID($C1685,19,2)),codigos!$H$2:$I$62,2,1) &amp; " " &amp; VLOOKUP(VALUE(MID($C1685,21,2)),codigos!$K$2:$L$12,2,FALSE)</f>
        <v>A/T S/I</v>
      </c>
      <c r="F1685" s="11" t="s">
        <v>982</v>
      </c>
      <c r="G1685" s="11" t="s">
        <v>11</v>
      </c>
      <c r="H1685" s="52" t="s">
        <v>1386</v>
      </c>
      <c r="I1685" s="20" t="s">
        <v>1387</v>
      </c>
      <c r="J1685" s="11">
        <v>108</v>
      </c>
      <c r="K1685" s="11">
        <f>45+36+27</f>
        <v>108</v>
      </c>
      <c r="L1685" s="11">
        <f t="shared" si="154"/>
        <v>0</v>
      </c>
      <c r="M1685" s="131"/>
      <c r="N1685" s="18">
        <v>46108</v>
      </c>
      <c r="O1685" s="93">
        <v>46106</v>
      </c>
    </row>
    <row r="1686" spans="1:15" x14ac:dyDescent="0.25">
      <c r="A1686" s="11">
        <f t="shared" ca="1" si="153"/>
        <v>-42</v>
      </c>
      <c r="C1686" s="11" t="s">
        <v>143</v>
      </c>
      <c r="D1686" s="11" t="str">
        <f>VLOOKUP(VALUE(MID($C1686,13,2)), codigos!$A$2:$B$60, 2, 1) &amp; " " &amp; VLOOKUP(VALUE(MID($C1686,15,4)), codigos!$E$2:$F$102, 2, FALSE)</f>
        <v>BUDINERA 24</v>
      </c>
      <c r="E1686" s="11" t="str">
        <f>VLOOKUP(VALUE(MID($C1686,19,2)),codigos!$H$2:$I$62,2,1) &amp; " " &amp; VLOOKUP(VALUE(MID($C1686,21,2)),codigos!$K$2:$L$12,2,FALSE)</f>
        <v>A/T S/I</v>
      </c>
      <c r="F1686" s="11" t="s">
        <v>982</v>
      </c>
      <c r="G1686" s="11" t="s">
        <v>11</v>
      </c>
      <c r="H1686" s="52" t="s">
        <v>1386</v>
      </c>
      <c r="I1686" s="20" t="s">
        <v>1387</v>
      </c>
      <c r="J1686" s="11">
        <v>60</v>
      </c>
      <c r="K1686" s="11">
        <f>60</f>
        <v>60</v>
      </c>
      <c r="L1686" s="11">
        <f t="shared" si="154"/>
        <v>0</v>
      </c>
      <c r="M1686" s="131"/>
      <c r="N1686" s="18">
        <v>46108</v>
      </c>
      <c r="O1686" s="93">
        <v>46106</v>
      </c>
    </row>
    <row r="1687" spans="1:15" x14ac:dyDescent="0.25">
      <c r="A1687" s="11">
        <f t="shared" ca="1" si="153"/>
        <v>-42</v>
      </c>
      <c r="C1687" s="64" t="s">
        <v>173</v>
      </c>
      <c r="D1687" s="64" t="str">
        <f>VLOOKUP(VALUE(MID($C1687,13,2)), codigos!$A$2:$B$60, 2, 1) &amp; " " &amp; VLOOKUP(VALUE(MID($C1687,15,4)), codigos!$E$2:$F$102, 2, FALSE)</f>
        <v>BUDINERA 34</v>
      </c>
      <c r="E1687" s="64" t="str">
        <f>VLOOKUP(VALUE(MID($C1687,19,2)),codigos!$H$2:$I$62,2,1) &amp; " " &amp; VLOOKUP(VALUE(MID($C1687,21,2)),codigos!$K$2:$L$12,2,FALSE)</f>
        <v>A/T S/I</v>
      </c>
      <c r="F1687" s="64" t="s">
        <v>982</v>
      </c>
      <c r="G1687" s="64" t="s">
        <v>11</v>
      </c>
      <c r="H1687" s="66" t="s">
        <v>1386</v>
      </c>
      <c r="I1687" s="64" t="s">
        <v>1387</v>
      </c>
      <c r="J1687" s="64">
        <v>32</v>
      </c>
      <c r="K1687" s="64">
        <v>0</v>
      </c>
      <c r="L1687" s="64">
        <f t="shared" si="154"/>
        <v>32</v>
      </c>
      <c r="M1687" s="131"/>
      <c r="N1687" s="18">
        <v>46108</v>
      </c>
      <c r="O1687" s="93">
        <v>46106</v>
      </c>
    </row>
    <row r="1688" spans="1:15" x14ac:dyDescent="0.25">
      <c r="A1688" s="11">
        <f t="shared" ca="1" si="153"/>
        <v>-42</v>
      </c>
      <c r="C1688" s="11" t="s">
        <v>38</v>
      </c>
      <c r="D1688" s="11" t="str">
        <f>VLOOKUP(VALUE(MID($C1688,13,2)), codigos!$A$2:$B$60, 2, 1) &amp; " " &amp; VLOOKUP(VALUE(MID($C1688,15,4)), codigos!$E$2:$F$102, 2, FALSE)</f>
        <v>BUDINERA 42</v>
      </c>
      <c r="E1688" s="11" t="str">
        <f>VLOOKUP(VALUE(MID($C1688,19,2)),codigos!$H$2:$I$62,2,1) &amp; " " &amp; VLOOKUP(VALUE(MID($C1688,21,2)),codigos!$K$2:$L$12,2,FALSE)</f>
        <v>A/T S/I</v>
      </c>
      <c r="F1688" s="11" t="s">
        <v>982</v>
      </c>
      <c r="G1688" s="11" t="s">
        <v>11</v>
      </c>
      <c r="H1688" s="52" t="s">
        <v>1386</v>
      </c>
      <c r="I1688" s="20" t="s">
        <v>1387</v>
      </c>
      <c r="J1688" s="11">
        <v>20</v>
      </c>
      <c r="K1688" s="11">
        <f>20</f>
        <v>20</v>
      </c>
      <c r="L1688" s="11">
        <f t="shared" si="154"/>
        <v>0</v>
      </c>
      <c r="M1688" s="131"/>
      <c r="N1688" s="18">
        <v>46108</v>
      </c>
      <c r="O1688" s="93">
        <v>46106</v>
      </c>
    </row>
    <row r="1689" spans="1:15" x14ac:dyDescent="0.25">
      <c r="A1689" s="11">
        <f t="shared" ca="1" si="153"/>
        <v>-42</v>
      </c>
      <c r="C1689" s="11" t="s">
        <v>151</v>
      </c>
      <c r="D1689" s="11" t="str">
        <f>VLOOKUP(VALUE(MID($C1689,13,2)), codigos!$A$2:$B$60, 2, 1) &amp; " " &amp; VLOOKUP(VALUE(MID($C1689,15,4)), codigos!$E$2:$F$102, 2, FALSE)</f>
        <v>OLLA CONVEXA 20</v>
      </c>
      <c r="E1689" s="11" t="str">
        <f>VLOOKUP(VALUE(MID($C1689,19,2)),codigos!$H$2:$I$62,2,1) &amp; " " &amp; VLOOKUP(VALUE(MID($C1689,21,2)),codigos!$K$2:$L$12,2,FALSE)</f>
        <v>A/T S/I</v>
      </c>
      <c r="F1689" s="11" t="s">
        <v>982</v>
      </c>
      <c r="G1689" s="11" t="s">
        <v>11</v>
      </c>
      <c r="H1689" s="52" t="s">
        <v>1386</v>
      </c>
      <c r="I1689" s="20" t="s">
        <v>1387</v>
      </c>
      <c r="J1689" s="11">
        <v>60</v>
      </c>
      <c r="K1689" s="11">
        <f>53-5+12</f>
        <v>60</v>
      </c>
      <c r="L1689" s="11">
        <f t="shared" si="154"/>
        <v>0</v>
      </c>
      <c r="M1689" s="131"/>
      <c r="N1689" s="18">
        <v>46108</v>
      </c>
      <c r="O1689" s="93">
        <v>46106</v>
      </c>
    </row>
    <row r="1690" spans="1:15" x14ac:dyDescent="0.25">
      <c r="A1690" s="11">
        <f t="shared" ca="1" si="153"/>
        <v>-42</v>
      </c>
      <c r="C1690" s="11" t="s">
        <v>153</v>
      </c>
      <c r="D1690" s="11" t="str">
        <f>VLOOKUP(VALUE(MID($C1690,13,2)), codigos!$A$2:$B$60, 2, 1) &amp; " " &amp; VLOOKUP(VALUE(MID($C1690,15,4)), codigos!$E$2:$F$102, 2, FALSE)</f>
        <v>OLLA CONVEXA 26</v>
      </c>
      <c r="E1690" s="11" t="str">
        <f>VLOOKUP(VALUE(MID($C1690,19,2)),codigos!$H$2:$I$62,2,1) &amp; " " &amp; VLOOKUP(VALUE(MID($C1690,21,2)),codigos!$K$2:$L$12,2,FALSE)</f>
        <v>A/T S/I</v>
      </c>
      <c r="F1690" s="11" t="s">
        <v>982</v>
      </c>
      <c r="G1690" s="11" t="s">
        <v>11</v>
      </c>
      <c r="H1690" s="52" t="s">
        <v>1386</v>
      </c>
      <c r="I1690" s="20" t="s">
        <v>1387</v>
      </c>
      <c r="J1690" s="11">
        <v>30</v>
      </c>
      <c r="K1690" s="11">
        <f>4+26</f>
        <v>30</v>
      </c>
      <c r="L1690" s="11">
        <f t="shared" si="154"/>
        <v>0</v>
      </c>
      <c r="M1690" s="131"/>
      <c r="N1690" s="18">
        <v>46108</v>
      </c>
      <c r="O1690" s="93">
        <v>46106</v>
      </c>
    </row>
    <row r="1691" spans="1:15" x14ac:dyDescent="0.25">
      <c r="A1691" s="11">
        <f t="shared" ca="1" si="153"/>
        <v>-42</v>
      </c>
      <c r="C1691" s="11" t="s">
        <v>226</v>
      </c>
      <c r="D1691" s="11" t="str">
        <f>VLOOKUP(VALUE(MID($C1691,13,2)), codigos!$A$2:$B$60, 2, 1) &amp; " " &amp; VLOOKUP(VALUE(MID($C1691,15,4)), codigos!$E$2:$F$102, 2, FALSE)</f>
        <v>POCILLO 10</v>
      </c>
      <c r="E1691" s="11" t="str">
        <f>VLOOKUP(VALUE(MID($C1691,19,2)),codigos!$H$2:$I$62,2,1) &amp; " " &amp; VLOOKUP(VALUE(MID($C1691,21,2)),codigos!$K$2:$L$12,2,FALSE)</f>
        <v>A/T S/I</v>
      </c>
      <c r="F1691" s="11" t="s">
        <v>982</v>
      </c>
      <c r="G1691" s="11" t="s">
        <v>11</v>
      </c>
      <c r="H1691" s="52" t="s">
        <v>1386</v>
      </c>
      <c r="I1691" s="20" t="s">
        <v>1387</v>
      </c>
      <c r="J1691" s="11">
        <v>192</v>
      </c>
      <c r="K1691" s="11">
        <f>72+15+48+48+9</f>
        <v>192</v>
      </c>
      <c r="L1691" s="11">
        <f t="shared" si="154"/>
        <v>0</v>
      </c>
      <c r="M1691" s="131"/>
      <c r="N1691" s="18">
        <v>46108</v>
      </c>
      <c r="O1691" s="93">
        <v>46106</v>
      </c>
    </row>
    <row r="1692" spans="1:15" x14ac:dyDescent="0.25">
      <c r="A1692" s="11">
        <f t="shared" ca="1" si="153"/>
        <v>-42</v>
      </c>
      <c r="C1692" s="11" t="s">
        <v>182</v>
      </c>
      <c r="D1692" s="11" t="str">
        <f>VLOOKUP(VALUE(MID($C1692,13,2)), codigos!$A$2:$B$60, 2, 1) &amp; " " &amp; VLOOKUP(VALUE(MID($C1692,15,4)), codigos!$E$2:$F$102, 2, FALSE)</f>
        <v>POCILLO 14</v>
      </c>
      <c r="E1692" s="11" t="str">
        <f>VLOOKUP(VALUE(MID($C1692,19,2)),codigos!$H$2:$I$62,2,1) &amp; " " &amp; VLOOKUP(VALUE(MID($C1692,21,2)),codigos!$K$2:$L$12,2,FALSE)</f>
        <v>A/T S/I</v>
      </c>
      <c r="F1692" s="11" t="s">
        <v>982</v>
      </c>
      <c r="G1692" s="11" t="s">
        <v>11</v>
      </c>
      <c r="H1692" s="52" t="s">
        <v>1386</v>
      </c>
      <c r="I1692" s="20" t="s">
        <v>1387</v>
      </c>
      <c r="J1692" s="11">
        <v>180</v>
      </c>
      <c r="K1692" s="11">
        <f>3+177</f>
        <v>180</v>
      </c>
      <c r="L1692" s="11">
        <f t="shared" si="154"/>
        <v>0</v>
      </c>
      <c r="M1692" s="131"/>
      <c r="N1692" s="18">
        <v>46108</v>
      </c>
      <c r="O1692" s="93">
        <v>46106</v>
      </c>
    </row>
    <row r="1693" spans="1:15" x14ac:dyDescent="0.25">
      <c r="A1693" s="11">
        <f t="shared" ca="1" si="153"/>
        <v>-42</v>
      </c>
      <c r="C1693" s="11" t="s">
        <v>1312</v>
      </c>
      <c r="D1693" s="11" t="str">
        <f>VLOOKUP(VALUE(MID($C1693,13,2)), codigos!$A$2:$B$60, 2, 1) &amp; " " &amp; VLOOKUP(VALUE(MID($C1693,15,4)), codigos!$E$2:$F$102, 2, FALSE)</f>
        <v>VASO RECTO CON ASA</v>
      </c>
      <c r="E1693" s="11" t="str">
        <f>VLOOKUP(VALUE(MID($C1693,19,2)),codigos!$H$2:$I$62,2,1) &amp; " " &amp; VLOOKUP(VALUE(MID($C1693,21,2)),codigos!$K$2:$L$12,2,FALSE)</f>
        <v>A/T S/I</v>
      </c>
      <c r="F1693" s="11" t="s">
        <v>982</v>
      </c>
      <c r="G1693" s="11" t="s">
        <v>11</v>
      </c>
      <c r="H1693" s="52" t="s">
        <v>1386</v>
      </c>
      <c r="I1693" s="20" t="s">
        <v>1387</v>
      </c>
      <c r="J1693" s="11">
        <v>240</v>
      </c>
      <c r="K1693" s="11">
        <f>12+12+138-157+235</f>
        <v>240</v>
      </c>
      <c r="L1693" s="11">
        <f t="shared" si="154"/>
        <v>0</v>
      </c>
      <c r="M1693" s="131"/>
      <c r="N1693" s="18">
        <v>46108</v>
      </c>
      <c r="O1693" s="93">
        <v>46106</v>
      </c>
    </row>
    <row r="1694" spans="1:15" x14ac:dyDescent="0.25">
      <c r="A1694" s="11">
        <f t="shared" ca="1" si="153"/>
        <v>-42</v>
      </c>
      <c r="C1694" s="11" t="s">
        <v>1313</v>
      </c>
      <c r="D1694" s="11" t="str">
        <f>VLOOKUP(VALUE(MID($C1694,13,2)), codigos!$A$2:$B$60, 2, 1) &amp; " " &amp; VLOOKUP(VALUE(MID($C1694,15,4)), codigos!$E$2:$F$102, 2, FALSE)</f>
        <v>VASO RECTO CON TAPA</v>
      </c>
      <c r="E1694" s="11" t="str">
        <f>VLOOKUP(VALUE(MID($C1694,19,2)),codigos!$H$2:$I$62,2,1) &amp; " " &amp; VLOOKUP(VALUE(MID($C1694,21,2)),codigos!$K$2:$L$12,2,FALSE)</f>
        <v>A/T S/I</v>
      </c>
      <c r="F1694" s="11" t="s">
        <v>982</v>
      </c>
      <c r="G1694" s="11" t="s">
        <v>11</v>
      </c>
      <c r="H1694" s="52" t="s">
        <v>1386</v>
      </c>
      <c r="I1694" s="20" t="s">
        <v>1387</v>
      </c>
      <c r="J1694" s="11">
        <v>180</v>
      </c>
      <c r="K1694" s="11">
        <f>9+48+60+2+48+12+1</f>
        <v>180</v>
      </c>
      <c r="L1694" s="11">
        <f t="shared" si="154"/>
        <v>0</v>
      </c>
      <c r="M1694" s="131"/>
      <c r="N1694" s="18">
        <v>46108</v>
      </c>
      <c r="O1694" s="93">
        <v>46106</v>
      </c>
    </row>
    <row r="1695" spans="1:15" x14ac:dyDescent="0.25">
      <c r="A1695" s="11">
        <f t="shared" ca="1" si="153"/>
        <v>-42</v>
      </c>
      <c r="C1695" s="11" t="s">
        <v>396</v>
      </c>
      <c r="D1695" s="11" t="str">
        <f>VLOOKUP(VALUE(MID($C1695,13,2)), codigos!$A$2:$B$60, 2, 1) &amp; " " &amp; VLOOKUP(VALUE(MID($C1695,15,4)), codigos!$E$2:$F$102, 2, FALSE)</f>
        <v>JUEGO MARIMAR</v>
      </c>
      <c r="E1695" s="11" t="str">
        <f>VLOOKUP(VALUE(MID($C1695,19,2)),codigos!$H$2:$I$62,2,1) &amp; " " &amp; VLOOKUP(VALUE(MID($C1695,21,2)),codigos!$K$2:$L$12,2,FALSE)</f>
        <v>S/I S/I</v>
      </c>
      <c r="F1695" s="11" t="s">
        <v>982</v>
      </c>
      <c r="G1695" s="11" t="s">
        <v>11</v>
      </c>
      <c r="H1695" s="52" t="s">
        <v>1386</v>
      </c>
      <c r="I1695" s="20" t="s">
        <v>1387</v>
      </c>
      <c r="J1695" s="11">
        <v>10</v>
      </c>
      <c r="K1695" s="11">
        <f>10</f>
        <v>10</v>
      </c>
      <c r="L1695" s="11">
        <f t="shared" si="154"/>
        <v>0</v>
      </c>
      <c r="M1695" s="131"/>
      <c r="N1695" s="18">
        <v>46108</v>
      </c>
      <c r="O1695" s="93">
        <v>46106</v>
      </c>
    </row>
    <row r="1696" spans="1:15" x14ac:dyDescent="0.25">
      <c r="A1696" s="11">
        <f t="shared" ca="1" si="153"/>
        <v>-42</v>
      </c>
      <c r="C1696" s="11" t="s">
        <v>228</v>
      </c>
      <c r="D1696" s="11" t="str">
        <f>VLOOKUP(VALUE(MID($C1696,13,2)), codigos!$A$2:$B$60, 2, 1) &amp; " " &amp; VLOOKUP(VALUE(MID($C1696,15,4)), codigos!$E$2:$F$102, 2, FALSE)</f>
        <v>PAVERA OVAL 18"</v>
      </c>
      <c r="E1696" s="11" t="str">
        <f>VLOOKUP(VALUE(MID($C1696,19,2)),codigos!$H$2:$I$62,2,1) &amp; " " &amp; VLOOKUP(VALUE(MID($C1696,21,2)),codigos!$K$2:$L$12,2,FALSE)</f>
        <v>NEGRO MOTAS S/I</v>
      </c>
      <c r="F1696" s="11" t="s">
        <v>982</v>
      </c>
      <c r="G1696" s="11" t="s">
        <v>11</v>
      </c>
      <c r="H1696" s="52" t="s">
        <v>1386</v>
      </c>
      <c r="I1696" s="20" t="s">
        <v>1387</v>
      </c>
      <c r="J1696" s="11">
        <v>10</v>
      </c>
      <c r="K1696" s="11">
        <v>10</v>
      </c>
      <c r="L1696" s="11">
        <f t="shared" si="154"/>
        <v>0</v>
      </c>
      <c r="M1696" s="131"/>
      <c r="N1696" s="18">
        <v>46108</v>
      </c>
      <c r="O1696" s="93">
        <v>46106</v>
      </c>
    </row>
    <row r="1697" spans="1:15" x14ac:dyDescent="0.25">
      <c r="A1697" s="11">
        <f t="shared" ca="1" si="153"/>
        <v>-82</v>
      </c>
      <c r="C1697" s="64" t="s">
        <v>157</v>
      </c>
      <c r="D1697" s="11" t="s">
        <v>1434</v>
      </c>
      <c r="E1697" s="11" t="s">
        <v>896</v>
      </c>
      <c r="F1697" s="64" t="s">
        <v>489</v>
      </c>
      <c r="G1697" s="64" t="s">
        <v>16</v>
      </c>
      <c r="H1697" s="66" t="s">
        <v>1023</v>
      </c>
      <c r="I1697" s="64" t="s">
        <v>995</v>
      </c>
      <c r="J1697" s="64">
        <v>15</v>
      </c>
      <c r="K1697" s="64">
        <v>0</v>
      </c>
      <c r="L1697" s="64">
        <v>15</v>
      </c>
      <c r="M1697" s="95">
        <v>0</v>
      </c>
      <c r="N1697" s="18">
        <v>46108</v>
      </c>
      <c r="O1697" s="93">
        <v>46108</v>
      </c>
    </row>
    <row r="1698" spans="1:15" x14ac:dyDescent="0.25">
      <c r="A1698" s="11">
        <f t="shared" ca="1" si="153"/>
        <v>-23</v>
      </c>
      <c r="C1698" s="11" t="s">
        <v>1312</v>
      </c>
      <c r="D1698" s="11" t="s">
        <v>1607</v>
      </c>
      <c r="E1698" s="11" t="s">
        <v>896</v>
      </c>
      <c r="F1698" s="11" t="s">
        <v>489</v>
      </c>
      <c r="G1698" s="11" t="s">
        <v>16</v>
      </c>
      <c r="H1698" s="11" t="s">
        <v>1516</v>
      </c>
      <c r="I1698" s="11" t="s">
        <v>1517</v>
      </c>
      <c r="J1698" s="11">
        <v>36</v>
      </c>
      <c r="K1698" s="11">
        <v>36</v>
      </c>
      <c r="L1698" s="11">
        <v>0</v>
      </c>
      <c r="M1698" s="88">
        <v>1</v>
      </c>
      <c r="N1698" s="18">
        <v>46108</v>
      </c>
      <c r="O1698" s="93">
        <v>46127</v>
      </c>
    </row>
    <row r="1699" spans="1:15" x14ac:dyDescent="0.25">
      <c r="A1699" s="11">
        <f t="shared" ca="1" si="153"/>
        <v>-23</v>
      </c>
      <c r="C1699" s="11" t="s">
        <v>214</v>
      </c>
      <c r="D1699" s="11" t="s">
        <v>1539</v>
      </c>
      <c r="E1699" s="11" t="s">
        <v>896</v>
      </c>
      <c r="F1699" s="11" t="s">
        <v>489</v>
      </c>
      <c r="G1699" s="11" t="s">
        <v>16</v>
      </c>
      <c r="H1699" s="52" t="s">
        <v>1518</v>
      </c>
      <c r="I1699" s="20" t="s">
        <v>1517</v>
      </c>
      <c r="J1699" s="11">
        <v>36</v>
      </c>
      <c r="K1699" s="11">
        <v>36</v>
      </c>
      <c r="L1699" s="11">
        <v>0</v>
      </c>
      <c r="M1699" s="131">
        <v>0.95454545454545459</v>
      </c>
      <c r="N1699" s="18">
        <v>46108</v>
      </c>
      <c r="O1699" s="93">
        <v>46127</v>
      </c>
    </row>
    <row r="1700" spans="1:15" x14ac:dyDescent="0.25">
      <c r="A1700" s="11">
        <f t="shared" ca="1" si="153"/>
        <v>-23</v>
      </c>
      <c r="C1700" s="11" t="s">
        <v>215</v>
      </c>
      <c r="D1700" s="11" t="s">
        <v>1599</v>
      </c>
      <c r="E1700" s="11" t="s">
        <v>896</v>
      </c>
      <c r="F1700" s="11" t="s">
        <v>489</v>
      </c>
      <c r="G1700" s="11" t="s">
        <v>16</v>
      </c>
      <c r="H1700" s="52" t="s">
        <v>1518</v>
      </c>
      <c r="I1700" s="20" t="s">
        <v>1517</v>
      </c>
      <c r="J1700" s="11">
        <v>54</v>
      </c>
      <c r="K1700" s="11">
        <v>54</v>
      </c>
      <c r="L1700" s="11">
        <v>0</v>
      </c>
      <c r="M1700" s="131"/>
      <c r="N1700" s="18">
        <v>46108</v>
      </c>
      <c r="O1700" s="93">
        <v>46127</v>
      </c>
    </row>
    <row r="1701" spans="1:15" x14ac:dyDescent="0.25">
      <c r="A1701" s="11">
        <f t="shared" ca="1" si="153"/>
        <v>-23</v>
      </c>
      <c r="C1701" s="11" t="s">
        <v>219</v>
      </c>
      <c r="D1701" s="11" t="s">
        <v>1400</v>
      </c>
      <c r="E1701" s="11" t="s">
        <v>896</v>
      </c>
      <c r="F1701" s="11" t="s">
        <v>489</v>
      </c>
      <c r="G1701" s="11" t="s">
        <v>16</v>
      </c>
      <c r="H1701" s="52" t="s">
        <v>1518</v>
      </c>
      <c r="I1701" s="20" t="s">
        <v>1517</v>
      </c>
      <c r="J1701" s="11">
        <v>24</v>
      </c>
      <c r="K1701" s="11">
        <v>12</v>
      </c>
      <c r="L1701" s="11">
        <v>12</v>
      </c>
      <c r="M1701" s="131"/>
      <c r="N1701" s="18">
        <v>46108</v>
      </c>
      <c r="O1701" s="93">
        <v>46127</v>
      </c>
    </row>
    <row r="1702" spans="1:15" x14ac:dyDescent="0.25">
      <c r="A1702" s="11">
        <f t="shared" ca="1" si="153"/>
        <v>-23</v>
      </c>
      <c r="C1702" s="11" t="s">
        <v>187</v>
      </c>
      <c r="D1702" s="11" t="s">
        <v>1429</v>
      </c>
      <c r="E1702" s="11" t="s">
        <v>896</v>
      </c>
      <c r="F1702" s="11" t="s">
        <v>489</v>
      </c>
      <c r="G1702" s="11" t="s">
        <v>16</v>
      </c>
      <c r="H1702" s="52" t="s">
        <v>1518</v>
      </c>
      <c r="I1702" s="20" t="s">
        <v>1517</v>
      </c>
      <c r="J1702" s="11">
        <v>18</v>
      </c>
      <c r="K1702" s="11">
        <v>18</v>
      </c>
      <c r="L1702" s="11">
        <v>0</v>
      </c>
      <c r="M1702" s="131"/>
      <c r="N1702" s="18">
        <v>46108</v>
      </c>
      <c r="O1702" s="93">
        <v>46127</v>
      </c>
    </row>
    <row r="1703" spans="1:15" x14ac:dyDescent="0.25">
      <c r="A1703" s="11">
        <f t="shared" ca="1" si="153"/>
        <v>-23</v>
      </c>
      <c r="C1703" s="11" t="s">
        <v>151</v>
      </c>
      <c r="D1703" s="11" t="s">
        <v>1332</v>
      </c>
      <c r="E1703" s="11" t="s">
        <v>896</v>
      </c>
      <c r="F1703" s="11" t="s">
        <v>489</v>
      </c>
      <c r="G1703" s="11" t="s">
        <v>16</v>
      </c>
      <c r="H1703" s="52" t="s">
        <v>1518</v>
      </c>
      <c r="I1703" s="20" t="s">
        <v>1517</v>
      </c>
      <c r="J1703" s="11">
        <v>12</v>
      </c>
      <c r="K1703" s="11">
        <v>12</v>
      </c>
      <c r="L1703" s="11">
        <v>0</v>
      </c>
      <c r="M1703" s="131"/>
      <c r="N1703" s="18">
        <v>46108</v>
      </c>
      <c r="O1703" s="93">
        <v>46127</v>
      </c>
    </row>
    <row r="1704" spans="1:15" x14ac:dyDescent="0.25">
      <c r="A1704" s="11">
        <f t="shared" ca="1" si="153"/>
        <v>-23</v>
      </c>
      <c r="C1704" s="11" t="s">
        <v>226</v>
      </c>
      <c r="D1704" s="11" t="s">
        <v>1405</v>
      </c>
      <c r="E1704" s="11" t="s">
        <v>896</v>
      </c>
      <c r="F1704" s="11" t="s">
        <v>489</v>
      </c>
      <c r="G1704" s="11" t="s">
        <v>16</v>
      </c>
      <c r="H1704" s="52" t="s">
        <v>1518</v>
      </c>
      <c r="I1704" s="20" t="s">
        <v>1517</v>
      </c>
      <c r="J1704" s="11">
        <v>120</v>
      </c>
      <c r="K1704" s="11">
        <v>120</v>
      </c>
      <c r="L1704" s="11">
        <v>0</v>
      </c>
      <c r="M1704" s="131"/>
      <c r="N1704" s="18">
        <v>46108</v>
      </c>
      <c r="O1704" s="93">
        <v>46127</v>
      </c>
    </row>
    <row r="1705" spans="1:15" x14ac:dyDescent="0.25">
      <c r="A1705" s="11">
        <f t="shared" ca="1" si="153"/>
        <v>-23</v>
      </c>
      <c r="C1705" s="11" t="s">
        <v>1519</v>
      </c>
      <c r="D1705" s="11" t="s">
        <v>1608</v>
      </c>
      <c r="E1705" s="11" t="s">
        <v>896</v>
      </c>
      <c r="F1705" s="11" t="s">
        <v>489</v>
      </c>
      <c r="G1705" s="11" t="s">
        <v>16</v>
      </c>
      <c r="H1705" s="52" t="s">
        <v>1520</v>
      </c>
      <c r="I1705" s="20" t="s">
        <v>1517</v>
      </c>
      <c r="J1705" s="11">
        <v>48</v>
      </c>
      <c r="K1705" s="11">
        <v>48</v>
      </c>
      <c r="L1705" s="11">
        <v>0</v>
      </c>
      <c r="M1705" s="131">
        <v>1</v>
      </c>
      <c r="N1705" s="18">
        <v>46108</v>
      </c>
      <c r="O1705" s="93">
        <v>46127</v>
      </c>
    </row>
    <row r="1706" spans="1:15" x14ac:dyDescent="0.25">
      <c r="A1706" s="11">
        <f t="shared" ca="1" si="153"/>
        <v>-23</v>
      </c>
      <c r="C1706" s="11" t="s">
        <v>225</v>
      </c>
      <c r="D1706" s="11" t="s">
        <v>796</v>
      </c>
      <c r="E1706" s="11" t="s">
        <v>896</v>
      </c>
      <c r="F1706" s="11" t="s">
        <v>489</v>
      </c>
      <c r="G1706" s="11" t="s">
        <v>16</v>
      </c>
      <c r="H1706" s="52" t="s">
        <v>1520</v>
      </c>
      <c r="I1706" s="20" t="s">
        <v>1517</v>
      </c>
      <c r="J1706" s="11">
        <v>96</v>
      </c>
      <c r="K1706" s="11">
        <v>96</v>
      </c>
      <c r="L1706" s="11">
        <v>0</v>
      </c>
      <c r="M1706" s="131"/>
      <c r="N1706" s="18">
        <v>46108</v>
      </c>
      <c r="O1706" s="93">
        <v>46127</v>
      </c>
    </row>
    <row r="1707" spans="1:15" x14ac:dyDescent="0.25">
      <c r="A1707" s="11">
        <f t="shared" ca="1" si="153"/>
        <v>-23</v>
      </c>
      <c r="C1707" s="11" t="s">
        <v>182</v>
      </c>
      <c r="D1707" s="11" t="s">
        <v>905</v>
      </c>
      <c r="E1707" s="11" t="s">
        <v>896</v>
      </c>
      <c r="F1707" s="11" t="s">
        <v>489</v>
      </c>
      <c r="G1707" s="11" t="s">
        <v>16</v>
      </c>
      <c r="H1707" s="52" t="s">
        <v>1520</v>
      </c>
      <c r="I1707" s="20" t="s">
        <v>1517</v>
      </c>
      <c r="J1707" s="11">
        <v>300</v>
      </c>
      <c r="K1707" s="11">
        <v>300</v>
      </c>
      <c r="L1707" s="11">
        <v>0</v>
      </c>
      <c r="M1707" s="131"/>
      <c r="N1707" s="18">
        <v>46108</v>
      </c>
      <c r="O1707" s="93">
        <v>46127</v>
      </c>
    </row>
    <row r="1708" spans="1:15" x14ac:dyDescent="0.25">
      <c r="A1708" s="11">
        <f t="shared" ca="1" si="153"/>
        <v>-23</v>
      </c>
      <c r="C1708" s="11" t="s">
        <v>220</v>
      </c>
      <c r="D1708" s="11" t="s">
        <v>1401</v>
      </c>
      <c r="E1708" s="11" t="s">
        <v>896</v>
      </c>
      <c r="F1708" s="11" t="s">
        <v>489</v>
      </c>
      <c r="G1708" s="11" t="s">
        <v>16</v>
      </c>
      <c r="H1708" s="52" t="s">
        <v>1521</v>
      </c>
      <c r="I1708" s="20" t="s">
        <v>1517</v>
      </c>
      <c r="J1708" s="11">
        <v>12</v>
      </c>
      <c r="K1708" s="11">
        <v>12</v>
      </c>
      <c r="L1708" s="11">
        <v>0</v>
      </c>
      <c r="M1708" s="131">
        <v>1</v>
      </c>
      <c r="N1708" s="18">
        <v>46108</v>
      </c>
      <c r="O1708" s="93">
        <v>46108</v>
      </c>
    </row>
    <row r="1709" spans="1:15" x14ac:dyDescent="0.25">
      <c r="A1709" s="11">
        <f t="shared" ca="1" si="153"/>
        <v>-23</v>
      </c>
      <c r="C1709" s="11" t="s">
        <v>151</v>
      </c>
      <c r="D1709" s="11" t="s">
        <v>1332</v>
      </c>
      <c r="E1709" s="11" t="s">
        <v>896</v>
      </c>
      <c r="F1709" s="11" t="s">
        <v>489</v>
      </c>
      <c r="G1709" s="11" t="s">
        <v>16</v>
      </c>
      <c r="H1709" s="52" t="s">
        <v>1521</v>
      </c>
      <c r="I1709" s="20" t="s">
        <v>1517</v>
      </c>
      <c r="J1709" s="11">
        <v>24</v>
      </c>
      <c r="K1709" s="11">
        <v>24</v>
      </c>
      <c r="L1709" s="11">
        <v>0</v>
      </c>
      <c r="M1709" s="131"/>
      <c r="N1709" s="18">
        <v>46108</v>
      </c>
      <c r="O1709" s="93">
        <v>46108</v>
      </c>
    </row>
    <row r="1710" spans="1:15" x14ac:dyDescent="0.25">
      <c r="A1710" s="11">
        <f t="shared" ca="1" si="153"/>
        <v>-23</v>
      </c>
      <c r="C1710" s="11" t="s">
        <v>152</v>
      </c>
      <c r="D1710" s="11" t="s">
        <v>1402</v>
      </c>
      <c r="E1710" s="11" t="s">
        <v>896</v>
      </c>
      <c r="F1710" s="11" t="s">
        <v>489</v>
      </c>
      <c r="G1710" s="11" t="s">
        <v>16</v>
      </c>
      <c r="H1710" s="52" t="s">
        <v>1521</v>
      </c>
      <c r="I1710" s="20" t="s">
        <v>1517</v>
      </c>
      <c r="J1710" s="11">
        <v>12</v>
      </c>
      <c r="K1710" s="11">
        <v>12</v>
      </c>
      <c r="L1710" s="11">
        <v>0</v>
      </c>
      <c r="M1710" s="131"/>
      <c r="N1710" s="18">
        <v>46108</v>
      </c>
      <c r="O1710" s="93">
        <v>46108</v>
      </c>
    </row>
    <row r="1711" spans="1:15" x14ac:dyDescent="0.25">
      <c r="A1711" s="11">
        <f t="shared" ca="1" si="153"/>
        <v>-23</v>
      </c>
      <c r="C1711" s="11" t="s">
        <v>155</v>
      </c>
      <c r="D1711" s="11" t="s">
        <v>913</v>
      </c>
      <c r="E1711" s="11" t="s">
        <v>896</v>
      </c>
      <c r="F1711" s="11" t="s">
        <v>489</v>
      </c>
      <c r="G1711" s="11" t="s">
        <v>16</v>
      </c>
      <c r="H1711" s="52" t="s">
        <v>1521</v>
      </c>
      <c r="I1711" s="20" t="s">
        <v>1517</v>
      </c>
      <c r="J1711" s="11">
        <v>4</v>
      </c>
      <c r="K1711" s="11">
        <v>4</v>
      </c>
      <c r="L1711" s="11">
        <v>0</v>
      </c>
      <c r="M1711" s="131"/>
      <c r="N1711" s="18">
        <v>46108</v>
      </c>
      <c r="O1711" s="93">
        <v>46108</v>
      </c>
    </row>
    <row r="1712" spans="1:15" x14ac:dyDescent="0.25">
      <c r="A1712" s="11">
        <f t="shared" ca="1" si="153"/>
        <v>-23</v>
      </c>
      <c r="C1712" s="11" t="s">
        <v>156</v>
      </c>
      <c r="D1712" s="11" t="s">
        <v>1433</v>
      </c>
      <c r="E1712" s="11" t="s">
        <v>896</v>
      </c>
      <c r="F1712" s="11" t="s">
        <v>489</v>
      </c>
      <c r="G1712" s="11" t="s">
        <v>16</v>
      </c>
      <c r="H1712" s="52" t="s">
        <v>1521</v>
      </c>
      <c r="I1712" s="20" t="s">
        <v>1517</v>
      </c>
      <c r="J1712" s="11">
        <v>6</v>
      </c>
      <c r="K1712" s="11">
        <v>6</v>
      </c>
      <c r="L1712" s="11">
        <v>0</v>
      </c>
      <c r="M1712" s="131"/>
      <c r="N1712" s="18">
        <v>46108</v>
      </c>
      <c r="O1712" s="93">
        <v>46108</v>
      </c>
    </row>
    <row r="1713" spans="1:15" x14ac:dyDescent="0.25">
      <c r="A1713" s="11">
        <f t="shared" ca="1" si="153"/>
        <v>-62</v>
      </c>
      <c r="C1713" s="11" t="s">
        <v>283</v>
      </c>
      <c r="D1713" s="11" t="str">
        <f>VLOOKUP(VALUE(MID($C1713,13,2)), codigos!$A$2:$B$60, 2, 1) &amp; " " &amp; VLOOKUP(VALUE(MID($C1713,15,4)), codigos!$E$2:$F$102, 2, FALSE)</f>
        <v>PLATO AVENERO 20</v>
      </c>
      <c r="E1713" s="11" t="str">
        <f>VLOOKUP(VALUE(MID($C1713,19,2)),codigos!$H$2:$I$62,2,1) &amp; " " &amp; VLOOKUP(VALUE(MID($C1713,21,2)),codigos!$K$2:$L$12,2,FALSE)</f>
        <v>BLANCO  NEGRO</v>
      </c>
      <c r="F1713" s="11" t="s">
        <v>1196</v>
      </c>
      <c r="G1713" s="11" t="s">
        <v>16</v>
      </c>
      <c r="H1713" s="52" t="s">
        <v>1279</v>
      </c>
      <c r="I1713" s="20" t="s">
        <v>1280</v>
      </c>
      <c r="J1713" s="11">
        <v>152</v>
      </c>
      <c r="K1713" s="11">
        <f>152</f>
        <v>152</v>
      </c>
      <c r="L1713" s="11">
        <f>J1713-K1713</f>
        <v>0</v>
      </c>
      <c r="M1713" s="128"/>
      <c r="N1713" s="18">
        <v>46108</v>
      </c>
      <c r="O1713" s="93">
        <v>46108</v>
      </c>
    </row>
    <row r="1714" spans="1:15" x14ac:dyDescent="0.25">
      <c r="A1714" s="11">
        <f t="shared" ca="1" si="153"/>
        <v>-62</v>
      </c>
      <c r="C1714" s="11" t="s">
        <v>69</v>
      </c>
      <c r="D1714" s="11" t="str">
        <f>VLOOKUP(VALUE(MID($C1714,13,2)), codigos!$A$2:$B$60, 2, 1) &amp; " " &amp; VLOOKUP(VALUE(MID($C1714,15,4)), codigos!$E$2:$F$102, 2, FALSE)</f>
        <v>PLATO LISO 24</v>
      </c>
      <c r="E1714" s="11" t="str">
        <f>VLOOKUP(VALUE(MID($C1714,19,2)),codigos!$H$2:$I$62,2,1) &amp; " " &amp; VLOOKUP(VALUE(MID($C1714,21,2)),codigos!$K$2:$L$12,2,FALSE)</f>
        <v>BLANCO  NEGRO</v>
      </c>
      <c r="F1714" s="11" t="s">
        <v>1196</v>
      </c>
      <c r="G1714" s="11" t="s">
        <v>16</v>
      </c>
      <c r="H1714" s="52" t="s">
        <v>1279</v>
      </c>
      <c r="I1714" s="20" t="s">
        <v>1280</v>
      </c>
      <c r="J1714" s="11">
        <v>240</v>
      </c>
      <c r="K1714" s="11">
        <f>150+90</f>
        <v>240</v>
      </c>
      <c r="L1714" s="11">
        <f>J1714-K1714</f>
        <v>0</v>
      </c>
      <c r="M1714" s="128"/>
      <c r="N1714" s="18">
        <v>46108</v>
      </c>
      <c r="O1714" s="93">
        <v>46108</v>
      </c>
    </row>
    <row r="1715" spans="1:15" x14ac:dyDescent="0.25">
      <c r="A1715" s="11">
        <f t="shared" ca="1" si="153"/>
        <v>-62</v>
      </c>
      <c r="C1715" s="11" t="s">
        <v>295</v>
      </c>
      <c r="D1715" s="11" t="str">
        <f>VLOOKUP(VALUE(MID($C1715,13,2)), codigos!$A$2:$B$60, 2, 1) &amp; " " &amp; VLOOKUP(VALUE(MID($C1715,15,4)), codigos!$E$2:$F$102, 2, FALSE)</f>
        <v>PLATO LISO 32</v>
      </c>
      <c r="E1715" s="11" t="str">
        <f>VLOOKUP(VALUE(MID($C1715,19,2)),codigos!$H$2:$I$62,2,1) &amp; " " &amp; VLOOKUP(VALUE(MID($C1715,21,2)),codigos!$K$2:$L$12,2,FALSE)</f>
        <v>BLANCO  NEGRO</v>
      </c>
      <c r="F1715" s="11" t="s">
        <v>1196</v>
      </c>
      <c r="G1715" s="11" t="s">
        <v>16</v>
      </c>
      <c r="H1715" s="52" t="s">
        <v>1279</v>
      </c>
      <c r="I1715" s="20" t="s">
        <v>1280</v>
      </c>
      <c r="J1715" s="11">
        <v>12</v>
      </c>
      <c r="K1715" s="11">
        <f>12</f>
        <v>12</v>
      </c>
      <c r="L1715" s="11">
        <f>J1715-K1715</f>
        <v>0</v>
      </c>
      <c r="M1715" s="128">
        <v>1</v>
      </c>
      <c r="N1715" s="18">
        <v>46108</v>
      </c>
      <c r="O1715" s="93">
        <v>46108</v>
      </c>
    </row>
    <row r="1716" spans="1:15" x14ac:dyDescent="0.25">
      <c r="A1716" s="11">
        <f t="shared" ca="1" si="153"/>
        <v>-62</v>
      </c>
      <c r="C1716" s="11" t="s">
        <v>302</v>
      </c>
      <c r="D1716" s="11" t="str">
        <f>VLOOKUP(VALUE(MID($C1716,13,2)), codigos!$A$2:$B$60, 2, 1) &amp; " " &amp; VLOOKUP(VALUE(MID($C1716,15,4)), codigos!$E$2:$F$102, 2, FALSE)</f>
        <v>TAZON 8</v>
      </c>
      <c r="E1716" s="11" t="str">
        <f>VLOOKUP(VALUE(MID($C1716,19,2)),codigos!$H$2:$I$62,2,1) &amp; " " &amp; VLOOKUP(VALUE(MID($C1716,21,2)),codigos!$K$2:$L$12,2,FALSE)</f>
        <v>BLANCO  NEGRO</v>
      </c>
      <c r="F1716" s="11" t="s">
        <v>1196</v>
      </c>
      <c r="G1716" s="11" t="s">
        <v>16</v>
      </c>
      <c r="H1716" s="52" t="s">
        <v>1279</v>
      </c>
      <c r="I1716" s="20" t="s">
        <v>1280</v>
      </c>
      <c r="J1716" s="11">
        <v>144</v>
      </c>
      <c r="K1716" s="11">
        <f>144</f>
        <v>144</v>
      </c>
      <c r="L1716" s="11">
        <f>J1716-K1716</f>
        <v>0</v>
      </c>
      <c r="M1716" s="128"/>
      <c r="N1716" s="18">
        <v>46108</v>
      </c>
      <c r="O1716" s="93">
        <v>46108</v>
      </c>
    </row>
    <row r="1717" spans="1:15" x14ac:dyDescent="0.25">
      <c r="A1717" s="11">
        <f t="shared" ca="1" si="153"/>
        <v>-39</v>
      </c>
      <c r="C1717" s="11" t="s">
        <v>149</v>
      </c>
      <c r="D1717" s="11" t="str">
        <f>VLOOKUP(VALUE(MID($C1717,13,2)), codigos!$A$2:$B$60, 2, 1) &amp; " " &amp; VLOOKUP(VALUE(MID($C1717,15,4)), codigos!$E$2:$F$102, 2, FALSE)</f>
        <v>COMAL 28</v>
      </c>
      <c r="E1717" s="11" t="str">
        <f>VLOOKUP(VALUE(MID($C1717,19,2)),codigos!$H$2:$I$62,2,1) &amp; " " &amp; VLOOKUP(VALUE(MID($C1717,21,2)),codigos!$K$2:$L$12,2,FALSE)</f>
        <v>NEGRO MOTAS S/I</v>
      </c>
      <c r="F1717" s="11" t="s">
        <v>1191</v>
      </c>
      <c r="G1717" s="11" t="s">
        <v>114</v>
      </c>
      <c r="H1717" s="52" t="s">
        <v>1505</v>
      </c>
      <c r="I1717" s="20" t="s">
        <v>1506</v>
      </c>
      <c r="J1717" s="11">
        <v>120</v>
      </c>
      <c r="K1717" s="11">
        <f>120</f>
        <v>120</v>
      </c>
      <c r="L1717" s="11">
        <f t="shared" ref="L1717:L1718" si="155">J1717-K1717</f>
        <v>0</v>
      </c>
      <c r="M1717" s="131">
        <f>(SUM(K1717:K1718))/(SUM(J1717:J1718))</f>
        <v>1</v>
      </c>
      <c r="N1717" s="18">
        <v>46108</v>
      </c>
      <c r="O1717" s="93">
        <v>46108</v>
      </c>
    </row>
    <row r="1718" spans="1:15" x14ac:dyDescent="0.25">
      <c r="A1718" s="11">
        <f t="shared" ca="1" si="153"/>
        <v>-39</v>
      </c>
      <c r="C1718" s="11" t="s">
        <v>344</v>
      </c>
      <c r="D1718" s="11" t="str">
        <f>VLOOKUP(VALUE(MID($C1718,13,2)), codigos!$A$2:$B$60, 2, 1) &amp; " " &amp; VLOOKUP(VALUE(MID($C1718,15,4)), codigos!$E$2:$F$102, 2, FALSE)</f>
        <v>COMAL 36</v>
      </c>
      <c r="E1718" s="11" t="str">
        <f>VLOOKUP(VALUE(MID($C1718,19,2)),codigos!$H$2:$I$62,2,1) &amp; " " &amp; VLOOKUP(VALUE(MID($C1718,21,2)),codigos!$K$2:$L$12,2,FALSE)</f>
        <v>NEGRO MOTAS S/I</v>
      </c>
      <c r="F1718" s="11" t="s">
        <v>1191</v>
      </c>
      <c r="G1718" s="11" t="s">
        <v>114</v>
      </c>
      <c r="H1718" s="52" t="s">
        <v>1505</v>
      </c>
      <c r="I1718" s="20" t="s">
        <v>1506</v>
      </c>
      <c r="J1718" s="11">
        <v>120</v>
      </c>
      <c r="K1718" s="11">
        <f>96+24</f>
        <v>120</v>
      </c>
      <c r="L1718" s="11">
        <f t="shared" si="155"/>
        <v>0</v>
      </c>
      <c r="M1718" s="131"/>
      <c r="N1718" s="18">
        <v>46108</v>
      </c>
      <c r="O1718" s="93">
        <v>46108</v>
      </c>
    </row>
  </sheetData>
  <sheetProtection algorithmName="SHA-512" hashValue="Iu+Xg1xP18ydQ/UOkdQ24MehGUt96GDb6x2b2H/lQmWHrfUDdjU+xR8ANpAdb7YFPkg1tWRM8BNUP/l0YO4SqA==" saltValue="i3luiNs1mR1m14+fTiUe/w==" spinCount="100000" sheet="1" autoFilter="0"/>
  <autoFilter ref="A1:N1552" xr:uid="{00000000-0009-0000-0000-000003000000}"/>
  <mergeCells count="140">
    <mergeCell ref="M1677:M1682"/>
    <mergeCell ref="M1683:M1696"/>
    <mergeCell ref="M1699:M1704"/>
    <mergeCell ref="M1705:M1707"/>
    <mergeCell ref="M1708:M1712"/>
    <mergeCell ref="M1717:M1718"/>
    <mergeCell ref="M1601:M1615"/>
    <mergeCell ref="M1220:M1225"/>
    <mergeCell ref="M1226:M1228"/>
    <mergeCell ref="M1229:M1248"/>
    <mergeCell ref="M1249:M1254"/>
    <mergeCell ref="M1525:M1538"/>
    <mergeCell ref="M1539:M1552"/>
    <mergeCell ref="M1522:M1524"/>
    <mergeCell ref="M1498:M1499"/>
    <mergeCell ref="M1383:M1384"/>
    <mergeCell ref="M1386:M1388"/>
    <mergeCell ref="M1390:M1424"/>
    <mergeCell ref="M1425:M1426"/>
    <mergeCell ref="M1427:M1462"/>
    <mergeCell ref="M1519:M1520"/>
    <mergeCell ref="M1500:M1518"/>
    <mergeCell ref="M1553:M1585"/>
    <mergeCell ref="M1586:M1590"/>
    <mergeCell ref="M1591:M1595"/>
    <mergeCell ref="M593:M612"/>
    <mergeCell ref="M1144:M1162"/>
    <mergeCell ref="M1139:M1140"/>
    <mergeCell ref="M1141:M1143"/>
    <mergeCell ref="M1486:M1496"/>
    <mergeCell ref="M1163:M1164"/>
    <mergeCell ref="M1079:M1138"/>
    <mergeCell ref="M1038:M1060"/>
    <mergeCell ref="M1061:M1078"/>
    <mergeCell ref="M648:M659"/>
    <mergeCell ref="M613:M621"/>
    <mergeCell ref="M622:M641"/>
    <mergeCell ref="M642:M647"/>
    <mergeCell ref="M698:M719"/>
    <mergeCell ref="M976:M977"/>
    <mergeCell ref="M979:M1021"/>
    <mergeCell ref="M1022:M1028"/>
    <mergeCell ref="M1029:M1037"/>
    <mergeCell ref="M956:M975"/>
    <mergeCell ref="M788:M808"/>
    <mergeCell ref="M809:M814"/>
    <mergeCell ref="M815:M831"/>
    <mergeCell ref="M1317:M1347"/>
    <mergeCell ref="M1348:M1351"/>
    <mergeCell ref="M353:M356"/>
    <mergeCell ref="M1190:M1201"/>
    <mergeCell ref="M1463:M1466"/>
    <mergeCell ref="M1467:M1473"/>
    <mergeCell ref="M1474:M1485"/>
    <mergeCell ref="M765:M787"/>
    <mergeCell ref="M660:M667"/>
    <mergeCell ref="M668:M675"/>
    <mergeCell ref="M677:M697"/>
    <mergeCell ref="M735:M764"/>
    <mergeCell ref="M720:M728"/>
    <mergeCell ref="M729:M734"/>
    <mergeCell ref="M553:M562"/>
    <mergeCell ref="M563:M565"/>
    <mergeCell ref="M566:M592"/>
    <mergeCell ref="M1301:M1307"/>
    <mergeCell ref="M1283:M1300"/>
    <mergeCell ref="M1179:M1189"/>
    <mergeCell ref="M1165:M1178"/>
    <mergeCell ref="M1255:M1282"/>
    <mergeCell ref="M456:M477"/>
    <mergeCell ref="M478:M479"/>
    <mergeCell ref="M480:M487"/>
    <mergeCell ref="M488:M522"/>
    <mergeCell ref="M546:M552"/>
    <mergeCell ref="M526:M545"/>
    <mergeCell ref="M523:M525"/>
    <mergeCell ref="M452:M455"/>
    <mergeCell ref="M357:M383"/>
    <mergeCell ref="M384:M391"/>
    <mergeCell ref="M392:M419"/>
    <mergeCell ref="M421:M430"/>
    <mergeCell ref="M431:M432"/>
    <mergeCell ref="M433:M436"/>
    <mergeCell ref="M437:M443"/>
    <mergeCell ref="M444:M445"/>
    <mergeCell ref="M446:M447"/>
    <mergeCell ref="M4:M9"/>
    <mergeCell ref="M76:M82"/>
    <mergeCell ref="M83:M88"/>
    <mergeCell ref="M89:M99"/>
    <mergeCell ref="M100:M118"/>
    <mergeCell ref="M119:M121"/>
    <mergeCell ref="M124:M126"/>
    <mergeCell ref="M127:M129"/>
    <mergeCell ref="M142:M151"/>
    <mergeCell ref="M130:M141"/>
    <mergeCell ref="M162:M181"/>
    <mergeCell ref="M153:M155"/>
    <mergeCell ref="M182:M198"/>
    <mergeCell ref="M223:M224"/>
    <mergeCell ref="M156:M157"/>
    <mergeCell ref="M199:M201"/>
    <mergeCell ref="M350:M352"/>
    <mergeCell ref="M254:M272"/>
    <mergeCell ref="M273:M289"/>
    <mergeCell ref="M307:M308"/>
    <mergeCell ref="M290:M300"/>
    <mergeCell ref="M205:M208"/>
    <mergeCell ref="M159:M161"/>
    <mergeCell ref="M334:M347"/>
    <mergeCell ref="M324:M333"/>
    <mergeCell ref="M312:M322"/>
    <mergeCell ref="M209:M222"/>
    <mergeCell ref="M301:M306"/>
    <mergeCell ref="M225:M245"/>
    <mergeCell ref="M246:M250"/>
    <mergeCell ref="M1655:M1656"/>
    <mergeCell ref="M1657:M1674"/>
    <mergeCell ref="M1675:M1676"/>
    <mergeCell ref="M1203:M1219"/>
    <mergeCell ref="M832:M847"/>
    <mergeCell ref="M848:M850"/>
    <mergeCell ref="M851:M852"/>
    <mergeCell ref="M853:M875"/>
    <mergeCell ref="M876:M889"/>
    <mergeCell ref="M890:M899"/>
    <mergeCell ref="M900:M915"/>
    <mergeCell ref="M954:M955"/>
    <mergeCell ref="M933:M952"/>
    <mergeCell ref="M916:M929"/>
    <mergeCell ref="M930:M932"/>
    <mergeCell ref="M1596:M1598"/>
    <mergeCell ref="M1371:M1380"/>
    <mergeCell ref="M1308:M1316"/>
    <mergeCell ref="M1352:M1370"/>
    <mergeCell ref="M1616:M1627"/>
    <mergeCell ref="M1628:M1645"/>
    <mergeCell ref="M1646:M1649"/>
    <mergeCell ref="M1650:M1653"/>
    <mergeCell ref="M1599:M1600"/>
  </mergeCells>
  <phoneticPr fontId="7" type="noConversion"/>
  <conditionalFormatting sqref="C2:C3 L2:L3">
    <cfRule type="expression" dxfId="1647" priority="2087">
      <formula>$L2:$L167&lt;=0</formula>
    </cfRule>
  </conditionalFormatting>
  <conditionalFormatting sqref="C4:C9 F4:F9 I4:K9 D437:E445 C699:C705 F699:F705 I699:K705 H737:H739 C739:C740 F739:G740 I739:L740 C742:C756 F742:G756 I742:I756 L742:L756 J742:K759 I782 C888 I888:K888">
    <cfRule type="expression" dxfId="1646" priority="2090">
      <formula>$L4:$L63&lt;=0</formula>
    </cfRule>
  </conditionalFormatting>
  <conditionalFormatting sqref="C4:C9 H4:J9 H592">
    <cfRule type="expression" dxfId="1645" priority="2091">
      <formula>$L4:$L359&lt;=0</formula>
    </cfRule>
  </conditionalFormatting>
  <conditionalFormatting sqref="C10:C14 F10:I14 L10:L14">
    <cfRule type="expression" dxfId="1644" priority="2081">
      <formula>$L10:$L170&lt;=0</formula>
    </cfRule>
  </conditionalFormatting>
  <conditionalFormatting sqref="C15:C16 F15:I16 L15:L16 C31 F31:I31 L31 H900">
    <cfRule type="expression" dxfId="1643" priority="2080">
      <formula>$L15:$L168&lt;=0</formula>
    </cfRule>
  </conditionalFormatting>
  <conditionalFormatting sqref="C17:C22 F17:I22 L17:L22 H638:H641">
    <cfRule type="expression" dxfId="1642" priority="2079">
      <formula>$L17:$L168&lt;=0</formula>
    </cfRule>
  </conditionalFormatting>
  <conditionalFormatting sqref="C23 F23:I23 L23">
    <cfRule type="expression" dxfId="1641" priority="2078">
      <formula>$L23:$L169&lt;=0</formula>
    </cfRule>
  </conditionalFormatting>
  <conditionalFormatting sqref="C24 F24:I24 L24 H313:H322 H334">
    <cfRule type="expression" dxfId="1640" priority="2077">
      <formula>$L24:$L169&lt;=0</formula>
    </cfRule>
  </conditionalFormatting>
  <conditionalFormatting sqref="C25:C26 F25:I26 L25:L26 C47 F47:I47 L47 H335 H593:H620">
    <cfRule type="expression" dxfId="1639" priority="2076">
      <formula>$L25:$L169&lt;=0</formula>
    </cfRule>
  </conditionalFormatting>
  <conditionalFormatting sqref="C27 F27:I27 L27 I288:I289 H336:H337 H471:H474 H566:H591 H621 H765:H768">
    <cfRule type="expression" dxfId="1638" priority="2075">
      <formula>$L27:$L170&lt;=0</formula>
    </cfRule>
  </conditionalFormatting>
  <conditionalFormatting sqref="C28 F28:I28 L28">
    <cfRule type="expression" dxfId="1637" priority="2074">
      <formula>$L28:$L191&lt;=0</formula>
    </cfRule>
  </conditionalFormatting>
  <conditionalFormatting sqref="C29 F29:I29 L29 L290:L291 H338:H345 H851">
    <cfRule type="expression" dxfId="1636" priority="2073">
      <formula>$L29:$L170&lt;=0</formula>
    </cfRule>
  </conditionalFormatting>
  <conditionalFormatting sqref="C30">
    <cfRule type="expression" dxfId="1635" priority="2072">
      <formula>$L30:$L191&lt;=0</formula>
    </cfRule>
  </conditionalFormatting>
  <conditionalFormatting sqref="C32 H901:H915">
    <cfRule type="expression" dxfId="1634" priority="2071">
      <formula>$L32:$L184&lt;=0</formula>
    </cfRule>
  </conditionalFormatting>
  <conditionalFormatting sqref="C33:C34 F33:I34 L33:L34 H295:H300 L321:L322 H769:H779 H781:H787 H854">
    <cfRule type="expression" dxfId="1633" priority="2070">
      <formula>$L33:$L170&lt;=0</formula>
    </cfRule>
  </conditionalFormatting>
  <conditionalFormatting sqref="C35:C37 F35:I37 L35:L37 C39:C40 F39:I40 L39:L40 H815:H816 H855">
    <cfRule type="expression" dxfId="1632" priority="2069">
      <formula>$L35:$L171&lt;=0</formula>
    </cfRule>
  </conditionalFormatting>
  <conditionalFormatting sqref="C38 F38:I38 L38 C42:C46 F42:I46 L42:L46 C48:C49 F48:I49 L48:L49 H856:H857">
    <cfRule type="expression" dxfId="1631" priority="2083">
      <formula>$L38:$L173&lt;=0</formula>
    </cfRule>
  </conditionalFormatting>
  <conditionalFormatting sqref="C41 F41:I41 L41 H421:H430">
    <cfRule type="expression" dxfId="1630" priority="2068">
      <formula>$L41:$L191&lt;=0</formula>
    </cfRule>
  </conditionalFormatting>
  <conditionalFormatting sqref="C50:C52 F50:I52 L50:L52 C57 F57:I57 L57 H346:H347">
    <cfRule type="expression" dxfId="1629" priority="2067">
      <formula>$L50:$L184&lt;=0</formula>
    </cfRule>
  </conditionalFormatting>
  <conditionalFormatting sqref="C58:C65 F58:I65 L58:L65 H433:H434">
    <cfRule type="expression" dxfId="1628" priority="2066">
      <formula>$L58:$L184&lt;=0</formula>
    </cfRule>
  </conditionalFormatting>
  <conditionalFormatting sqref="C71:C72 F71:I72 L71:L72 I312:I316 C623:C624 F623:G624 I623:I624 L623:L624 H675 H767">
    <cfRule type="expression" dxfId="1627" priority="2065">
      <formula>$L71:$L185&lt;=0</formula>
    </cfRule>
  </conditionalFormatting>
  <conditionalFormatting sqref="C73:C74 F73:I74 L73:L74 I317:I321 C625:C641 F625:G641 I625:I641 L625:L641 H768:H770">
    <cfRule type="expression" dxfId="1626" priority="2064">
      <formula>$L73:$L186&lt;=0</formula>
    </cfRule>
  </conditionalFormatting>
  <conditionalFormatting sqref="C75 F75:I75 L75 C357:C367 F357:G367 I357:I367 L357:L367 H900:H904">
    <cfRule type="expression" dxfId="1625" priority="2063">
      <formula>$L75:$L187&lt;=0</formula>
    </cfRule>
  </conditionalFormatting>
  <conditionalFormatting sqref="C76 F76:I76 L76 D325:E333 H452:H455 J632:K641 J720:K724 H724">
    <cfRule type="expression" dxfId="1624" priority="2044">
      <formula>$L76:$L182&lt;=0</formula>
    </cfRule>
  </conditionalFormatting>
  <conditionalFormatting sqref="C77 L77 I273:I282 L307:L308">
    <cfRule type="expression" dxfId="1623" priority="2043">
      <formula>$L77:$L225&lt;=0</formula>
    </cfRule>
  </conditionalFormatting>
  <conditionalFormatting sqref="C78 F78:I78 L78 J375:K383 J726:K727 C729:C732 F729:G732 I729:I732 L729:L732">
    <cfRule type="expression" dxfId="1622" priority="2042">
      <formula>$L78:$L182&lt;=0</formula>
    </cfRule>
  </conditionalFormatting>
  <conditionalFormatting sqref="C83 I83:J83 C127:C129 I127:J129">
    <cfRule type="expression" dxfId="1621" priority="2024">
      <formula>$L83:$L417&lt;=0</formula>
    </cfRule>
  </conditionalFormatting>
  <conditionalFormatting sqref="C84 F84 I84:K84 D707:E713 I865 H876:H879 H898 D900:E915">
    <cfRule type="expression" dxfId="1620" priority="2034">
      <formula>$L84:$L135&lt;=0</formula>
    </cfRule>
  </conditionalFormatting>
  <conditionalFormatting sqref="C84:C86 I84:J86">
    <cfRule type="expression" dxfId="1619" priority="2017">
      <formula>$L84:$L419&lt;=0</formula>
    </cfRule>
  </conditionalFormatting>
  <conditionalFormatting sqref="C87 I87:J87">
    <cfRule type="expression" dxfId="1618" priority="2022">
      <formula>$L87:$L425&lt;=0</formula>
    </cfRule>
  </conditionalFormatting>
  <conditionalFormatting sqref="C88 I88:J88">
    <cfRule type="expression" dxfId="1617" priority="2023">
      <formula>$L88:$L427&lt;=0</formula>
    </cfRule>
  </conditionalFormatting>
  <conditionalFormatting sqref="C89:C99">
    <cfRule type="expression" dxfId="1616" priority="2008">
      <formula>$L89:$L317&lt;=0</formula>
    </cfRule>
  </conditionalFormatting>
  <conditionalFormatting sqref="C100:C108 F100:F108 I100:K108 H108:H118 I109:J118 C430 F430 I430:K430 L648:L649 L651:L653 D740:E748 I869">
    <cfRule type="expression" dxfId="1615" priority="1991">
      <formula>$L100:$L149&lt;=0</formula>
    </cfRule>
  </conditionalFormatting>
  <conditionalFormatting sqref="C100:C118 H100:J118">
    <cfRule type="expression" dxfId="1614" priority="89683">
      <formula>$L100:$L440&lt;=0</formula>
    </cfRule>
  </conditionalFormatting>
  <conditionalFormatting sqref="C124:C125 F124:G125 I124:K125 D129:E129 H129:J129 C437:C445 F437:G445 I437:I445 L437:L445 J629:K629">
    <cfRule type="expression" dxfId="1613" priority="1963">
      <formula>$L124:$L232&lt;=0</formula>
    </cfRule>
  </conditionalFormatting>
  <conditionalFormatting sqref="C126 F126:G126 I126:K126 D323:E324 J622:K627 J630:K631 H720:H723 H777:H778">
    <cfRule type="expression" dxfId="1612" priority="1971">
      <formula>$L126:$L233&lt;=0</formula>
    </cfRule>
  </conditionalFormatting>
  <conditionalFormatting sqref="C127:C128 F127:G128 I127:K128">
    <cfRule type="expression" dxfId="1611" priority="1970">
      <formula>$L127:$L233&lt;=0</formula>
    </cfRule>
  </conditionalFormatting>
  <conditionalFormatting sqref="C129 F129:G129 I129:K129 H353:H354 J357:K374 F684:F694 F696:F697 J725:K725 H725:H728 H779:H780">
    <cfRule type="expression" dxfId="1610" priority="1969">
      <formula>$L129:$L234&lt;=0</formula>
    </cfRule>
  </conditionalFormatting>
  <conditionalFormatting sqref="C130:C152 F130:F152 I130:K152 H852:H853">
    <cfRule type="expression" dxfId="1609" priority="1953">
      <formula>$L130:$L269&lt;=0</formula>
    </cfRule>
  </conditionalFormatting>
  <conditionalFormatting sqref="C153:C155 F153:F155 I153:K155 I323:I324 H437:H438 H636 H863:H865">
    <cfRule type="expression" dxfId="1608" priority="1945">
      <formula>$L153:$L281&lt;=0</formula>
    </cfRule>
  </conditionalFormatting>
  <conditionalFormatting sqref="C156:C157 F156:F157 I156:K157">
    <cfRule type="expression" dxfId="1607" priority="1936">
      <formula>$L156:$L295&lt;=0</formula>
    </cfRule>
  </conditionalFormatting>
  <conditionalFormatting sqref="C158:C181 F158:F181 I158:K181 H293:H294 L313:L320">
    <cfRule type="expression" dxfId="1606" priority="1929">
      <formula>$L158:$L296&lt;=0</formula>
    </cfRule>
  </conditionalFormatting>
  <conditionalFormatting sqref="C182:C198 F182:F198 I182:K198 C334:C338 F334:F338 I334:K338 J433:K436 L455:L477 L596 L598 C734 F734:G734 I734 L734">
    <cfRule type="expression" dxfId="1605" priority="1920">
      <formula>$L182:$L284&lt;=0</formula>
    </cfRule>
  </conditionalFormatting>
  <conditionalFormatting sqref="C199:C222 F199:F222 I199:K222">
    <cfRule type="expression" dxfId="1604" priority="1904">
      <formula>$L199:$L338&lt;=0</formula>
    </cfRule>
  </conditionalFormatting>
  <conditionalFormatting sqref="C223:C224 F223:F224 I223:K224">
    <cfRule type="expression" dxfId="1603" priority="1896">
      <formula>$L223:$L325&lt;=0</formula>
    </cfRule>
  </conditionalFormatting>
  <conditionalFormatting sqref="C225 L225 C227 L227 C229 L229 C231 L231 C233 L233 C235 L235 C237 L237 C239 L239 C241 L241 C243 L243 C245 L245 C247 L247 C249 L249 C251 L251 H441:H442">
    <cfRule type="expression" dxfId="1602" priority="1886">
      <formula>$L225:$L350&lt;=0</formula>
    </cfRule>
  </conditionalFormatting>
  <conditionalFormatting sqref="C226 L226 C228 L228 C230 L230 C232 L232 C234 L234 C236 L236 C238 L238 C240 L240 C242 L242 C244 L244 C246 L246 C248 L248 C250 L250 C252 L252 D452:E455 I719 C851:C855 F851:F855 I851:K855">
    <cfRule type="expression" dxfId="1601" priority="1885">
      <formula>$L226:$L296&lt;=0</formula>
    </cfRule>
  </conditionalFormatting>
  <conditionalFormatting sqref="C253 F253 I253:K253">
    <cfRule type="expression" dxfId="1600" priority="1879">
      <formula>$L253:$L365&lt;=0</formula>
    </cfRule>
  </conditionalFormatting>
  <conditionalFormatting sqref="C254:C272 F254:F272 I254:K272 H635 H862">
    <cfRule type="expression" dxfId="1599" priority="1862">
      <formula>$L254:$L383&lt;=0</formula>
    </cfRule>
  </conditionalFormatting>
  <conditionalFormatting sqref="C273:C289 F273:F289 I273:K289">
    <cfRule type="expression" dxfId="1598" priority="1858">
      <formula>$L273:$L412&lt;=0</formula>
    </cfRule>
  </conditionalFormatting>
  <conditionalFormatting sqref="C290:C296 F290:F296 I290:K296 C326:C333 F326:F333 I326:K333 H872:H874">
    <cfRule type="expression" dxfId="1597" priority="1843">
      <formula>$L290:$L409&lt;=0</formula>
    </cfRule>
  </conditionalFormatting>
  <conditionalFormatting sqref="C297:C300 F297:F300 I297:K300">
    <cfRule type="expression" dxfId="1596" priority="1842">
      <formula>$L297:$L405&lt;=0</formula>
    </cfRule>
  </conditionalFormatting>
  <conditionalFormatting sqref="C301:C304 F301:F304 I301:K304 D353:E356 C397:C420 F397:F420 I397:K420 I474 H864:H865">
    <cfRule type="expression" dxfId="1595" priority="1831">
      <formula>$L301:$L384&lt;=0</formula>
    </cfRule>
  </conditionalFormatting>
  <conditionalFormatting sqref="C305:C306 F305:F306 I305:K306 D475:E477 I616 I618 C707:C715 F707:F715 I707:K715 D720:E728">
    <cfRule type="expression" dxfId="1594" priority="1825">
      <formula>$L305:$L387&lt;=0</formula>
    </cfRule>
  </conditionalFormatting>
  <conditionalFormatting sqref="C309:C310 F309:F310 I309:K310 L392:L412 H473:H477 H817:H831">
    <cfRule type="expression" dxfId="1593" priority="89688">
      <formula>$L309:$L431&lt;=0</formula>
    </cfRule>
  </conditionalFormatting>
  <conditionalFormatting sqref="C311 F311:G311 I311 L311">
    <cfRule type="expression" dxfId="1592" priority="1811">
      <formula>$L311:$L430&lt;=0</formula>
    </cfRule>
  </conditionalFormatting>
  <conditionalFormatting sqref="C312:C322 F312:F322 I312:K322">
    <cfRule type="expression" dxfId="1591" priority="1780">
      <formula>$L312:$L417&lt;=0</formula>
    </cfRule>
  </conditionalFormatting>
  <conditionalFormatting sqref="C323:C325 F323:F325 I323:K325">
    <cfRule type="expression" dxfId="1590" priority="1759">
      <formula>$L323:$L443&lt;=0</formula>
    </cfRule>
  </conditionalFormatting>
  <conditionalFormatting sqref="C339:C342 F339:F342 I339:K342 H421:H427">
    <cfRule type="expression" dxfId="1589" priority="89702">
      <formula>$L339:$L432&lt;=0</formula>
    </cfRule>
  </conditionalFormatting>
  <conditionalFormatting sqref="C348:C349 F348:F349 I348:K349 C681:C697 I681:K697 H698 L831:L850 L852:L875">
    <cfRule type="expression" dxfId="1588" priority="1732">
      <formula>$L348:$L414&lt;=0</formula>
    </cfRule>
  </conditionalFormatting>
  <conditionalFormatting sqref="C350:C352 F350:F352 I350:K352 I620:I621 I642:I647 I867">
    <cfRule type="expression" dxfId="1587" priority="1649">
      <formula>$L350:$L430&lt;=0</formula>
    </cfRule>
  </conditionalFormatting>
  <conditionalFormatting sqref="C353:C354 F353:F354 I353:K354 J384:K391 C461:C465 F461:F465 I461:K465 L851">
    <cfRule type="expression" dxfId="1586" priority="89714">
      <formula>$L353:$L449&lt;=0</formula>
    </cfRule>
  </conditionalFormatting>
  <conditionalFormatting sqref="C377:C391 F377:G391 I377:I391 L377:L391 C733 F733:G733 I733 L733 H781:H782">
    <cfRule type="expression" dxfId="1585" priority="1185">
      <formula>$L377:$L480&lt;=0</formula>
    </cfRule>
  </conditionalFormatting>
  <conditionalFormatting sqref="C392:C396 F392:F396 I392:K396 F677 L677 J728:K728">
    <cfRule type="expression" dxfId="1584" priority="1530">
      <formula>$L392:$L479&lt;=0</formula>
    </cfRule>
  </conditionalFormatting>
  <conditionalFormatting sqref="C425:C429 F425:F429 I425:K429 C446:C447 F446:G447 I446:I447 L446:L447 D870:E875 H891:H892">
    <cfRule type="expression" dxfId="1583" priority="1671">
      <formula>$L425:$L480&lt;=0</formula>
    </cfRule>
  </conditionalFormatting>
  <conditionalFormatting sqref="C433:C436 F433:G436 I433:I436 L433:L436 H802">
    <cfRule type="expression" dxfId="1582" priority="1150">
      <formula>$L433:$L542&lt;=0</formula>
    </cfRule>
  </conditionalFormatting>
  <conditionalFormatting sqref="C448 F448 I448:K448 I448:I449 F885 F887:F889">
    <cfRule type="expression" dxfId="1581" priority="1608">
      <formula>$L448:$L479&lt;=0</formula>
    </cfRule>
  </conditionalFormatting>
  <conditionalFormatting sqref="C449:C450 F449:F450 I449:K450 C886 I886:K886 H888:H889">
    <cfRule type="expression" dxfId="1580" priority="1032">
      <formula>$L449:$L479&lt;=0</formula>
    </cfRule>
  </conditionalFormatting>
  <conditionalFormatting sqref="C451 F451 I451:K451">
    <cfRule type="expression" dxfId="1579" priority="1599">
      <formula>$L451:$L518&lt;=0</formula>
    </cfRule>
  </conditionalFormatting>
  <conditionalFormatting sqref="C452:C455 F452:F455 I452:K455 I476:I477 D601:E602 C612:C617 F612:F617 I612:K617 I866 H867:H875">
    <cfRule type="expression" dxfId="1578" priority="1362">
      <formula>$L452:$L533&lt;=0</formula>
    </cfRule>
  </conditionalFormatting>
  <conditionalFormatting sqref="C456:C459 F456:F459 I456:K459 I691:I697 H729:H734">
    <cfRule type="expression" dxfId="1577" priority="1575">
      <formula>$L456:$L554&lt;=0</formula>
    </cfRule>
  </conditionalFormatting>
  <conditionalFormatting sqref="C460 F460 I460:K460 I461:I469">
    <cfRule type="expression" dxfId="1576" priority="1579">
      <formula>$L460:$L557&lt;=0</formula>
    </cfRule>
  </conditionalFormatting>
  <conditionalFormatting sqref="C466 F466 I466:K466 C596:C597 F596:F597 I596:K597 I602 H667:H673">
    <cfRule type="expression" dxfId="1575" priority="1360">
      <formula>$L466:$L557&lt;=0</formula>
    </cfRule>
  </conditionalFormatting>
  <conditionalFormatting sqref="C468 F468 I468:K468 C600:C602 F600:F602 I600:K602 H700:H710 H712:H719">
    <cfRule type="expression" dxfId="1574" priority="1384">
      <formula>$L468:$L557&lt;=0</formula>
    </cfRule>
  </conditionalFormatting>
  <conditionalFormatting sqref="C478:C479 F478:F479 I478:K479 C676 F676 I676:K676 D855:E860 D862:E869 H890">
    <cfRule type="expression" dxfId="1573" priority="1279">
      <formula>$L478:$L534&lt;=0</formula>
    </cfRule>
  </conditionalFormatting>
  <conditionalFormatting sqref="C480:C487 F480:F487 I480:K487">
    <cfRule type="expression" dxfId="1572" priority="1511">
      <formula>$L480:$L550&lt;=0</formula>
    </cfRule>
  </conditionalFormatting>
  <conditionalFormatting sqref="C488:C490 F488:F490 I488:K490">
    <cfRule type="expression" dxfId="1571" priority="1500">
      <formula>$L488:$L543&lt;=0</formula>
    </cfRule>
  </conditionalFormatting>
  <conditionalFormatting sqref="C496:C505 F496:F505 I496:K505 I506:I525">
    <cfRule type="expression" dxfId="1570" priority="1503">
      <formula>$L496:$L547&lt;=0</formula>
    </cfRule>
  </conditionalFormatting>
  <conditionalFormatting sqref="C526:C532 F526:F532 I526:K532">
    <cfRule type="expression" dxfId="1569" priority="1476">
      <formula>$L526:$L619&lt;=0</formula>
    </cfRule>
  </conditionalFormatting>
  <conditionalFormatting sqref="C546:C551 F546:G551 I546:I551 L546:L551 H875">
    <cfRule type="expression" dxfId="1568" priority="1462">
      <formula>$L546:$L662&lt;=0</formula>
    </cfRule>
  </conditionalFormatting>
  <conditionalFormatting sqref="C552 F552:G552 I552 L552">
    <cfRule type="expression" dxfId="1567" priority="1459">
      <formula>$L552:$L669&lt;=0</formula>
    </cfRule>
  </conditionalFormatting>
  <conditionalFormatting sqref="C563 G563 I563 L571:L573">
    <cfRule type="expression" dxfId="1566" priority="1424">
      <formula>$L563:$L681&lt;=0</formula>
    </cfRule>
  </conditionalFormatting>
  <conditionalFormatting sqref="C564 G564 I564">
    <cfRule type="expression" dxfId="1565" priority="1423">
      <formula>$L564:$L681&lt;=0</formula>
    </cfRule>
  </conditionalFormatting>
  <conditionalFormatting sqref="C565 G565 I565">
    <cfRule type="expression" dxfId="1564" priority="1436">
      <formula>$L565:$L681&lt;=0</formula>
    </cfRule>
  </conditionalFormatting>
  <conditionalFormatting sqref="C581 F581 I581:K581 I587:I588">
    <cfRule type="expression" dxfId="1563" priority="1413">
      <formula>$L581:$L681&lt;=0</formula>
    </cfRule>
  </conditionalFormatting>
  <conditionalFormatting sqref="C582:C583 F582:F583 I582:K583 I589:I590">
    <cfRule type="expression" dxfId="1562" priority="1414">
      <formula>$L582:$L681&lt;=0</formula>
    </cfRule>
  </conditionalFormatting>
  <conditionalFormatting sqref="C584:C585 F584:F585 I584:K585">
    <cfRule type="expression" dxfId="1561" priority="1435">
      <formula>$L584:$L681&lt;=0</formula>
    </cfRule>
  </conditionalFormatting>
  <conditionalFormatting sqref="C586 F586 I586:K586">
    <cfRule type="expression" dxfId="1560" priority="1434">
      <formula>$L586:$L682&lt;=0</formula>
    </cfRule>
  </conditionalFormatting>
  <conditionalFormatting sqref="C587:C588 F587:F588 I587:K588">
    <cfRule type="expression" dxfId="1559" priority="1433">
      <formula>$L587:$L682&lt;=0</formula>
    </cfRule>
  </conditionalFormatting>
  <conditionalFormatting sqref="C589:C591 F589:F591 I589:K591 C721:C728 F721:G728 I721:I728 L721:L728">
    <cfRule type="expression" dxfId="1558" priority="1426">
      <formula>$L589:$L683&lt;=0</formula>
    </cfRule>
  </conditionalFormatting>
  <conditionalFormatting sqref="C592:C593 F592:F593 I592:K593">
    <cfRule type="expression" dxfId="1557" priority="1394">
      <formula>$L592:$L685&lt;=0</formula>
    </cfRule>
  </conditionalFormatting>
  <conditionalFormatting sqref="C594:C595 F594:F595 I594:K595 I600:I601">
    <cfRule type="expression" dxfId="1556" priority="1398">
      <formula>$L594:$L686&lt;=0</formula>
    </cfRule>
  </conditionalFormatting>
  <conditionalFormatting sqref="C598:C599 F598:F599 I598:K599 I603:I608">
    <cfRule type="expression" dxfId="1555" priority="1359">
      <formula>$L598:$L688&lt;=0</formula>
    </cfRule>
  </conditionalFormatting>
  <conditionalFormatting sqref="C642:C647 F642:F647 I642:K647 C677 I677:K677">
    <cfRule type="expression" dxfId="1554" priority="1339">
      <formula>$L642:$L713&lt;=0</formula>
    </cfRule>
  </conditionalFormatting>
  <conditionalFormatting sqref="C648:C650 F648:F650 I648:K650">
    <cfRule type="expression" dxfId="1553" priority="1329">
      <formula>$L648:$L693&lt;=0</formula>
    </cfRule>
  </conditionalFormatting>
  <conditionalFormatting sqref="C660 F660 I660:K660">
    <cfRule type="expression" dxfId="1552" priority="1312">
      <formula>$L660:$L688&lt;=0</formula>
    </cfRule>
  </conditionalFormatting>
  <conditionalFormatting sqref="C661 F661 I661:K661">
    <cfRule type="expression" dxfId="1551" priority="1328">
      <formula>$L661:$L688&lt;=0</formula>
    </cfRule>
  </conditionalFormatting>
  <conditionalFormatting sqref="C662 F662 I662:K662">
    <cfRule type="expression" dxfId="1550" priority="1291">
      <formula>$L662:$L688&lt;=0</formula>
    </cfRule>
  </conditionalFormatting>
  <conditionalFormatting sqref="C663:C664 F663:F664 I663:K664 D739:E739">
    <cfRule type="expression" dxfId="1549" priority="1327">
      <formula>$L663:$L688&lt;=0</formula>
    </cfRule>
  </conditionalFormatting>
  <conditionalFormatting sqref="C673:C674 F673:F674 I673:K674 G911:G912">
    <cfRule type="expression" dxfId="1548" priority="1326">
      <formula>$L673:$L688&lt;=0</formula>
    </cfRule>
  </conditionalFormatting>
  <conditionalFormatting sqref="C719 F719 I719:K719 C757:C759 F757:G759 I757:I759 L757:L759 J760:K760 J762:K763 D765:E787">
    <cfRule type="expression" dxfId="1547" priority="1247">
      <formula>$L719:$L758&lt;=0</formula>
    </cfRule>
  </conditionalFormatting>
  <conditionalFormatting sqref="C735 F735:L735 I777:I779 F886">
    <cfRule type="expression" dxfId="1546" priority="1213">
      <formula>$L735:$L796&lt;=0</formula>
    </cfRule>
  </conditionalFormatting>
  <conditionalFormatting sqref="C765:C785 F765:F785 I765:K785 H893:H896">
    <cfRule type="expression" dxfId="1545" priority="1180">
      <formula>$L765:$L818&lt;=0</formula>
    </cfRule>
  </conditionalFormatting>
  <conditionalFormatting sqref="C788:C800 F788:F800 I788:K800">
    <cfRule type="expression" dxfId="1544" priority="1172">
      <formula>$L788:$L839&lt;=0</formula>
    </cfRule>
  </conditionalFormatting>
  <conditionalFormatting sqref="C801:C806 F801:F806 I801:K806">
    <cfRule type="expression" dxfId="1543" priority="1171">
      <formula>$L801:$L851&lt;=0</formula>
    </cfRule>
  </conditionalFormatting>
  <conditionalFormatting sqref="C807:C808 F807:F808 I807:K808">
    <cfRule type="expression" dxfId="1542" priority="1162">
      <formula>$L807:$L851&lt;=0</formula>
    </cfRule>
  </conditionalFormatting>
  <conditionalFormatting sqref="C809:C814 F809:F814 I809:K814 D810:E812 G913">
    <cfRule type="expression" dxfId="1541" priority="1137">
      <formula>$L809:$L823&lt;=0</formula>
    </cfRule>
  </conditionalFormatting>
  <conditionalFormatting sqref="C815:C827 F815:F827 I815:K827">
    <cfRule type="expression" dxfId="1540" priority="1123">
      <formula>$L815:$L880&lt;=0</formula>
    </cfRule>
  </conditionalFormatting>
  <conditionalFormatting sqref="C848:C850 F848:F850 I848:K850 G906:G907">
    <cfRule type="expression" dxfId="1539" priority="1093">
      <formula>$L848:$L865&lt;=0</formula>
    </cfRule>
  </conditionalFormatting>
  <conditionalFormatting sqref="C864:C865 F864:F865 I864:K865 I872:I873 H899">
    <cfRule type="expression" dxfId="1538" priority="1071">
      <formula>$L864:$L911&lt;=0</formula>
    </cfRule>
  </conditionalFormatting>
  <conditionalFormatting sqref="C867:C868 F867:F868 I867:K868">
    <cfRule type="expression" dxfId="1537" priority="1080">
      <formula>$L867:$L912&lt;=0</formula>
    </cfRule>
  </conditionalFormatting>
  <conditionalFormatting sqref="C869:C870 F869:F870 I869:K870">
    <cfRule type="expression" dxfId="1536" priority="1079">
      <formula>$L869:$L913&lt;=0</formula>
    </cfRule>
  </conditionalFormatting>
  <conditionalFormatting sqref="C871:C873 F871:F873 I871:K873 C890:C899 F890:G899 I890:I899 L890:L899">
    <cfRule type="expression" dxfId="1535" priority="1083">
      <formula>$L871:$L914&lt;=0</formula>
    </cfRule>
  </conditionalFormatting>
  <conditionalFormatting sqref="C877:C885 I877:K885">
    <cfRule type="expression" dxfId="1534" priority="1034">
      <formula>$L877:$L908&lt;=0</formula>
    </cfRule>
  </conditionalFormatting>
  <conditionalFormatting sqref="C916:C932 F916:F932 I916:K932">
    <cfRule type="expression" dxfId="1533" priority="971">
      <formula>$L916:$L975&lt;=0</formula>
    </cfRule>
  </conditionalFormatting>
  <conditionalFormatting sqref="C933:C952 F933:F952 I933:K952">
    <cfRule type="expression" dxfId="1532" priority="959">
      <formula>$L933:$L982&lt;=0</formula>
    </cfRule>
  </conditionalFormatting>
  <conditionalFormatting sqref="C953 F953 H953:K953">
    <cfRule type="expression" dxfId="1531" priority="944">
      <formula>$L953:$L982&lt;=0</formula>
    </cfRule>
  </conditionalFormatting>
  <conditionalFormatting sqref="C954:C955 F954:G955 I954:K955">
    <cfRule type="expression" dxfId="1530" priority="939">
      <formula>$L954:$L1007&lt;=0</formula>
    </cfRule>
  </conditionalFormatting>
  <conditionalFormatting sqref="C956:C975 I956:K975">
    <cfRule type="expression" dxfId="1529" priority="928">
      <formula>$L956:$L1015&lt;=0</formula>
    </cfRule>
  </conditionalFormatting>
  <conditionalFormatting sqref="C976 F976 I976:K976">
    <cfRule type="expression" dxfId="1528" priority="926">
      <formula>$L976:$L1003&lt;=0</formula>
    </cfRule>
  </conditionalFormatting>
  <conditionalFormatting sqref="C977:C978 F977:F978 I977:K978">
    <cfRule type="expression" dxfId="1527" priority="922">
      <formula>$L977:$L1003&lt;=0</formula>
    </cfRule>
  </conditionalFormatting>
  <conditionalFormatting sqref="C979:C1028 F979:F1028 I979:K1028">
    <cfRule type="expression" dxfId="1526" priority="916">
      <formula>$L979:$L1048&lt;=0</formula>
    </cfRule>
  </conditionalFormatting>
  <conditionalFormatting sqref="C1029:C1032 F1029:G1032 I1029:I1032 H1035">
    <cfRule type="expression" dxfId="1525" priority="893">
      <formula>$L1029:$L1072&lt;=0</formula>
    </cfRule>
  </conditionalFormatting>
  <conditionalFormatting sqref="C1033 F1033:G1033 I1033 H1036:H1038">
    <cfRule type="expression" dxfId="1524" priority="906">
      <formula>$L1033:$L1075&lt;=0</formula>
    </cfRule>
  </conditionalFormatting>
  <conditionalFormatting sqref="C1034:C1037 F1034:G1037 I1034:I1037 H1039">
    <cfRule type="expression" dxfId="1523" priority="905">
      <formula>$L1034:$L1075&lt;=0</formula>
    </cfRule>
  </conditionalFormatting>
  <conditionalFormatting sqref="C1038 F1038:G1038 I1038">
    <cfRule type="expression" dxfId="1522" priority="904">
      <formula>$L1038:$L1078&lt;=0</formula>
    </cfRule>
  </conditionalFormatting>
  <conditionalFormatting sqref="C1039 F1039:G1039 I1039">
    <cfRule type="expression" dxfId="1521" priority="903">
      <formula>$L1039:$L1078&lt;=0</formula>
    </cfRule>
  </conditionalFormatting>
  <conditionalFormatting sqref="C1046 F1046:G1046 I1046:K1046">
    <cfRule type="expression" dxfId="1520" priority="901">
      <formula>$L1046:$L1078&lt;=0</formula>
    </cfRule>
  </conditionalFormatting>
  <conditionalFormatting sqref="C1047 F1047:G1047 I1047">
    <cfRule type="expression" dxfId="1519" priority="900">
      <formula>$L1047:$L1078&lt;=0</formula>
    </cfRule>
  </conditionalFormatting>
  <conditionalFormatting sqref="C1053 F1053:G1053 I1053:K1053">
    <cfRule type="expression" dxfId="1518" priority="891">
      <formula>$L1053:$L1078&lt;=0</formula>
    </cfRule>
  </conditionalFormatting>
  <conditionalFormatting sqref="C1054 F1054:G1054 I1054:K1054">
    <cfRule type="expression" dxfId="1517" priority="890">
      <formula>$L1054:$L1078&lt;=0</formula>
    </cfRule>
  </conditionalFormatting>
  <conditionalFormatting sqref="C1055 F1055:G1055 I1055">
    <cfRule type="expression" dxfId="1516" priority="889">
      <formula>$L1055:$L1078&lt;=0</formula>
    </cfRule>
  </conditionalFormatting>
  <conditionalFormatting sqref="C1061 I1061:K1061 F1061:F1078">
    <cfRule type="expression" dxfId="1515" priority="858">
      <formula>$L1061:$L1123&lt;=0</formula>
    </cfRule>
  </conditionalFormatting>
  <conditionalFormatting sqref="C1077:C1078 I1077:K1078">
    <cfRule type="expression" dxfId="1514" priority="869">
      <formula>$L1077:$L1126&lt;=0</formula>
    </cfRule>
  </conditionalFormatting>
  <conditionalFormatting sqref="C1079:C1124 F1079:F1124 H1079:K1124">
    <cfRule type="expression" dxfId="1513" priority="849">
      <formula>$L1079:$L1148&lt;=0</formula>
    </cfRule>
  </conditionalFormatting>
  <conditionalFormatting sqref="C1125:C1138 F1125:F1138 H1125:K1138">
    <cfRule type="expression" dxfId="1512" priority="848">
      <formula>$L1125:$L1193&lt;=0</formula>
    </cfRule>
  </conditionalFormatting>
  <conditionalFormatting sqref="C1144:C1145 F1144:F1145 I1144:I1145 L1144:L1145">
    <cfRule type="expression" dxfId="1511" priority="811">
      <formula>$L1144:$L1182&lt;=0</formula>
    </cfRule>
  </conditionalFormatting>
  <conditionalFormatting sqref="C1146:C1147 F1146:F1147 I1146:I1147 L1146:L1147">
    <cfRule type="expression" dxfId="1510" priority="821">
      <formula>$L1146:$L1182&lt;=0</formula>
    </cfRule>
  </conditionalFormatting>
  <conditionalFormatting sqref="C1148 F1148 I1148 L1148">
    <cfRule type="expression" dxfId="1509" priority="807">
      <formula>$L1148:$L1182&lt;=0</formula>
    </cfRule>
  </conditionalFormatting>
  <conditionalFormatting sqref="C1162 F1162 I1162:L1162">
    <cfRule type="expression" dxfId="1508" priority="818">
      <formula>$L1162:$L1182&lt;=0</formula>
    </cfRule>
  </conditionalFormatting>
  <conditionalFormatting sqref="C1163:C1164 F1163:F1164 I1163:K1164 J1522:J1524">
    <cfRule type="expression" dxfId="1507" priority="793">
      <formula>$L1163:$L1174&lt;=0</formula>
    </cfRule>
  </conditionalFormatting>
  <conditionalFormatting sqref="C1165 F1165 I1165:L1165">
    <cfRule type="expression" dxfId="1506" priority="782">
      <formula>$L1165:$L1185&lt;=0</formula>
    </cfRule>
  </conditionalFormatting>
  <conditionalFormatting sqref="C1166 F1166 I1166 L1166 J1166:K1168">
    <cfRule type="expression" dxfId="1505" priority="785">
      <formula>$L1166:$L1184&lt;=0</formula>
    </cfRule>
  </conditionalFormatting>
  <conditionalFormatting sqref="C1167 F1167 I1167 L1167 D1167:E1168">
    <cfRule type="expression" dxfId="1504" priority="784">
      <formula>$L1167:$L1184&lt;=0</formula>
    </cfRule>
  </conditionalFormatting>
  <conditionalFormatting sqref="C1168:C1169 F1168:F1169 I1168:I1169 L1168:L1169">
    <cfRule type="expression" dxfId="1503" priority="781">
      <formula>$L1168:$L1184&lt;=0</formula>
    </cfRule>
  </conditionalFormatting>
  <conditionalFormatting sqref="C1170:C1173 F1170:F1173 I1170:I1173 L1170:L1173">
    <cfRule type="expression" dxfId="1502" priority="779">
      <formula>$L1170:$L1184&lt;=0</formula>
    </cfRule>
  </conditionalFormatting>
  <conditionalFormatting sqref="C1184 F1184 I1184:K1184">
    <cfRule type="expression" dxfId="1501" priority="761">
      <formula>$L1184:$L1201&lt;=0</formula>
    </cfRule>
  </conditionalFormatting>
  <conditionalFormatting sqref="C1203:C1205 F1203:F1205 H1203:K1205">
    <cfRule type="expression" dxfId="1500" priority="684">
      <formula>$L1203:$L1271&lt;=0</formula>
    </cfRule>
  </conditionalFormatting>
  <conditionalFormatting sqref="C1206:C1225 F1206:F1225 H1206:K1225">
    <cfRule type="expression" dxfId="1499" priority="683">
      <formula>$L1206:$L1256&lt;=0</formula>
    </cfRule>
  </conditionalFormatting>
  <conditionalFormatting sqref="C1226:C1228 F1226:F1228 I1226:K1228">
    <cfRule type="expression" dxfId="1498" priority="678">
      <formula>$L1226:$L1243&lt;=0</formula>
    </cfRule>
  </conditionalFormatting>
  <conditionalFormatting sqref="C1229:C1235 F1229:G1235 I1229:I1235 L1229:L1235 J1229:K1242">
    <cfRule type="expression" dxfId="1497" priority="670">
      <formula>$L1229:$L1250&lt;=0</formula>
    </cfRule>
  </conditionalFormatting>
  <conditionalFormatting sqref="C1236 F1236:G1236 I1236 L1236">
    <cfRule type="expression" dxfId="1496" priority="664">
      <formula>$L1236:$L1248&lt;=0</formula>
    </cfRule>
  </conditionalFormatting>
  <conditionalFormatting sqref="C1237 F1237:G1237 I1237 L1237">
    <cfRule type="expression" dxfId="1495" priority="661">
      <formula>$L1237:$L1248&lt;=0</formula>
    </cfRule>
  </conditionalFormatting>
  <conditionalFormatting sqref="C1238:C1244 F1238:G1244 I1238:I1244 L1238:L1244">
    <cfRule type="expression" dxfId="1494" priority="660">
      <formula>$L1238:$L1248&lt;=0</formula>
    </cfRule>
  </conditionalFormatting>
  <conditionalFormatting sqref="C1245 F1245:G1245 I1245 L1245 J1245:K1248">
    <cfRule type="expression" dxfId="1493" priority="662">
      <formula>$L1245:$L1248&lt;=0</formula>
    </cfRule>
  </conditionalFormatting>
  <conditionalFormatting sqref="C1246:C1248 F1246:G1248 I1246:I1248 L1246:L1248">
    <cfRule type="expression" dxfId="1492" priority="666">
      <formula>$L1246:$L1248&lt;=0</formula>
    </cfRule>
  </conditionalFormatting>
  <conditionalFormatting sqref="C1249 F1249 I1249:K1249">
    <cfRule type="expression" dxfId="1491" priority="647">
      <formula>$L1249:$L1256&lt;=0</formula>
    </cfRule>
  </conditionalFormatting>
  <conditionalFormatting sqref="C1250:C1253 F1250:F1253 I1250:K1253">
    <cfRule type="expression" dxfId="1490" priority="657">
      <formula>$L1250:$L1256&lt;=0</formula>
    </cfRule>
  </conditionalFormatting>
  <conditionalFormatting sqref="C1255:C1272 F1255:F1272 I1255:K1272">
    <cfRule type="expression" dxfId="1489" priority="620">
      <formula>$L1255:$L1301&lt;=0</formula>
    </cfRule>
  </conditionalFormatting>
  <conditionalFormatting sqref="C1273 F1273 I1273:K1273 H1273:H1282">
    <cfRule type="expression" dxfId="1488" priority="644">
      <formula>$L1273:$L1318&lt;=0</formula>
    </cfRule>
  </conditionalFormatting>
  <conditionalFormatting sqref="C1283:C1300 I1283:K1300">
    <cfRule type="expression" dxfId="1487" priority="611">
      <formula>$L1283:$L1342&lt;=0</formula>
    </cfRule>
  </conditionalFormatting>
  <conditionalFormatting sqref="C1301:C1303 I1301:I1303">
    <cfRule type="expression" dxfId="1486" priority="581">
      <formula>$L1301:$L1353&lt;=0</formula>
    </cfRule>
  </conditionalFormatting>
  <conditionalFormatting sqref="C1305:C1312 I1305:I1312 C1314:C1316 I1314:I1316">
    <cfRule type="expression" dxfId="1485" priority="541">
      <formula>$L1305:$L1356&lt;=0</formula>
    </cfRule>
  </conditionalFormatting>
  <conditionalFormatting sqref="C1313 F1313 H1313:I1313">
    <cfRule type="expression" dxfId="1484" priority="554">
      <formula>$L1313:$L1376&lt;=0</formula>
    </cfRule>
  </conditionalFormatting>
  <conditionalFormatting sqref="C1317:C1323 I1317:K1323 D1317:E1337 F1317:F1347">
    <cfRule type="expression" dxfId="1483" priority="532">
      <formula>$L1317:$L1347&lt;=0</formula>
    </cfRule>
  </conditionalFormatting>
  <conditionalFormatting sqref="C1324:C1347 I1324:K1347">
    <cfRule type="expression" dxfId="1482" priority="535">
      <formula>$L1324:$L1348&lt;=0</formula>
    </cfRule>
  </conditionalFormatting>
  <conditionalFormatting sqref="C1348 F1348 I1348:L1348">
    <cfRule type="expression" dxfId="1481" priority="513">
      <formula>$L1348:$L1362&lt;=0</formula>
    </cfRule>
  </conditionalFormatting>
  <conditionalFormatting sqref="C1352:C1362 F1352:F1362 H1352:K1362 H1363">
    <cfRule type="expression" dxfId="1480" priority="495">
      <formula>$L1352:$L1402&lt;=0</formula>
    </cfRule>
  </conditionalFormatting>
  <conditionalFormatting sqref="C1363:C1364 F1363:F1364 H1363:K1364">
    <cfRule type="expression" dxfId="1479" priority="498">
      <formula>$L1363:$L1412&lt;=0</formula>
    </cfRule>
  </conditionalFormatting>
  <conditionalFormatting sqref="C1365 F1365 H1365:K1365 H1366">
    <cfRule type="expression" dxfId="1478" priority="488">
      <formula>$L1365:$L1413&lt;=0</formula>
    </cfRule>
  </conditionalFormatting>
  <conditionalFormatting sqref="C1366 F1366 H1366:K1366">
    <cfRule type="expression" dxfId="1477" priority="487">
      <formula>$L1366:$L1413&lt;=0</formula>
    </cfRule>
  </conditionalFormatting>
  <conditionalFormatting sqref="C1367 F1367 H1367:K1367 H1368:H1370">
    <cfRule type="expression" dxfId="1476" priority="489">
      <formula>$L1367:$L1413&lt;=0</formula>
    </cfRule>
  </conditionalFormatting>
  <conditionalFormatting sqref="C1368:C1369 F1368:F1369 H1368:K1369">
    <cfRule type="expression" dxfId="1475" priority="497">
      <formula>$L1368:$L1413&lt;=0</formula>
    </cfRule>
  </conditionalFormatting>
  <conditionalFormatting sqref="C1370 F1370 H1370:K1370">
    <cfRule type="expression" dxfId="1474" priority="502">
      <formula>$L1370:$L1413&lt;=0</formula>
    </cfRule>
  </conditionalFormatting>
  <conditionalFormatting sqref="C1371:C1381 F1371:F1381 H1371:K1381">
    <cfRule type="expression" dxfId="1473" priority="478">
      <formula>$L1371:$L1402&lt;=0</formula>
    </cfRule>
  </conditionalFormatting>
  <conditionalFormatting sqref="C1390:C1391 F1390:F1391 I1390:K1391">
    <cfRule type="expression" dxfId="1472" priority="437">
      <formula>$L1390:$L1407&lt;=0</formula>
    </cfRule>
  </conditionalFormatting>
  <conditionalFormatting sqref="C1390:C1395 F1390:F1395 I1390:K1395">
    <cfRule type="expression" dxfId="1471" priority="447">
      <formula>$L1390:$L1404&lt;=0</formula>
    </cfRule>
  </conditionalFormatting>
  <conditionalFormatting sqref="C1394 I1394:K1394">
    <cfRule type="expression" dxfId="1470" priority="419">
      <formula>$L1394:$L1446&lt;=0</formula>
    </cfRule>
  </conditionalFormatting>
  <conditionalFormatting sqref="C1410 I1410:K1410">
    <cfRule type="expression" dxfId="1469" priority="448">
      <formula>$L1410:$L1462&lt;=0</formula>
    </cfRule>
  </conditionalFormatting>
  <conditionalFormatting sqref="C1498:C1499 F1498:F1499 I1498:K1499">
    <cfRule type="expression" dxfId="1468" priority="285">
      <formula>$L1498:$L1506&lt;=0</formula>
    </cfRule>
  </conditionalFormatting>
  <conditionalFormatting sqref="C1511:C1517 F1511:F1517 I1511:K1517">
    <cfRule type="expression" dxfId="1467" priority="282">
      <formula>$L1511:$L1532&lt;=0</formula>
    </cfRule>
  </conditionalFormatting>
  <conditionalFormatting sqref="C1518 F1518 I1518:K1518">
    <cfRule type="expression" dxfId="1466" priority="281">
      <formula>$L1518:$L1685&lt;=0</formula>
    </cfRule>
  </conditionalFormatting>
  <conditionalFormatting sqref="C1522">
    <cfRule type="expression" dxfId="1465" priority="260">
      <formula>$L1522:$L1557&lt;=0</formula>
    </cfRule>
  </conditionalFormatting>
  <conditionalFormatting sqref="C1523:C1524">
    <cfRule type="expression" dxfId="1464" priority="259">
      <formula>$L1523:$L1582&lt;=0</formula>
    </cfRule>
  </conditionalFormatting>
  <conditionalFormatting sqref="C1525:C1552 F1525:F1552 H1525:K1552">
    <cfRule type="expression" dxfId="1463" priority="257">
      <formula>$L1525:$L1568&lt;=0</formula>
    </cfRule>
  </conditionalFormatting>
  <conditionalFormatting sqref="C1553:C1583 I1553:I1583 G1583">
    <cfRule type="expression" dxfId="1462" priority="249">
      <formula>$L1553:$L1612&lt;=0</formula>
    </cfRule>
  </conditionalFormatting>
  <conditionalFormatting sqref="C1584 I1584 G1584:G1585">
    <cfRule type="expression" dxfId="1461" priority="248">
      <formula>$L1584:$L1642&lt;=0</formula>
    </cfRule>
  </conditionalFormatting>
  <conditionalFormatting sqref="C1585 I1585">
    <cfRule type="expression" dxfId="1460" priority="247">
      <formula>$L1585:$L1642&lt;=0</formula>
    </cfRule>
  </conditionalFormatting>
  <conditionalFormatting sqref="C1586:C1597 F1586:F1597 I1586:K1597">
    <cfRule type="expression" dxfId="1459" priority="219">
      <formula>$L1586:$L1607&lt;=0</formula>
    </cfRule>
  </conditionalFormatting>
  <conditionalFormatting sqref="C1598:C1600 F1598:F1600 I1599:I1600">
    <cfRule type="expression" dxfId="1458" priority="205">
      <formula>$L1598:$L1618&lt;=0</formula>
    </cfRule>
  </conditionalFormatting>
  <conditionalFormatting sqref="C1601 F1601 H1601:K1601">
    <cfRule type="expression" dxfId="1457" priority="176">
      <formula>$L1601:$L1646&lt;=0</formula>
    </cfRule>
  </conditionalFormatting>
  <conditionalFormatting sqref="C1616:C1627 F1616:F1627 I1616:I1627">
    <cfRule type="expression" dxfId="1456" priority="169">
      <formula>$L1616:$L1637&lt;=0</formula>
    </cfRule>
  </conditionalFormatting>
  <conditionalFormatting sqref="C1628:C1645 F1628:F1645 H1628:K1645">
    <cfRule type="expression" dxfId="1455" priority="154">
      <formula>$L1628:$L1671&lt;=0</formula>
    </cfRule>
  </conditionalFormatting>
  <conditionalFormatting sqref="C1655:C1656 I1655:I1656">
    <cfRule type="expression" dxfId="1454" priority="133">
      <formula>$L1655:$L1712&lt;=0</formula>
    </cfRule>
  </conditionalFormatting>
  <conditionalFormatting sqref="C1657:C1665 I1657:K1665">
    <cfRule type="expression" dxfId="1453" priority="122">
      <formula>$L1657:$L1682&lt;=0</formula>
    </cfRule>
  </conditionalFormatting>
  <conditionalFormatting sqref="C1666">
    <cfRule type="expression" dxfId="1452" priority="103">
      <formula>$L1666:$L1718&lt;=0</formula>
    </cfRule>
  </conditionalFormatting>
  <conditionalFormatting sqref="C1667:C1674 I1667:K1674">
    <cfRule type="expression" dxfId="1451" priority="110">
      <formula>$L1667:$L1681&lt;=0</formula>
    </cfRule>
  </conditionalFormatting>
  <conditionalFormatting sqref="C1675 F1675 I1675">
    <cfRule type="expression" dxfId="1450" priority="100">
      <formula>$L1675:$L1696&lt;=0</formula>
    </cfRule>
  </conditionalFormatting>
  <conditionalFormatting sqref="C1677 F1677:G1677 I1677:K1677 L1677:L1678">
    <cfRule type="expression" dxfId="1449" priority="88">
      <formula>$L1677:$L1682&lt;=0</formula>
    </cfRule>
  </conditionalFormatting>
  <conditionalFormatting sqref="C1678 F1678 G1678:G1679 I1678:K1679">
    <cfRule type="expression" dxfId="1448" priority="86">
      <formula>$L1678:$L1682&lt;=0</formula>
    </cfRule>
  </conditionalFormatting>
  <conditionalFormatting sqref="C1679 F1679">
    <cfRule type="expression" dxfId="1447" priority="83">
      <formula>$L1679:$L1682&lt;=0</formula>
    </cfRule>
  </conditionalFormatting>
  <conditionalFormatting sqref="C1680 F1680 I1680:K1680 G1680:G1682">
    <cfRule type="expression" dxfId="1446" priority="82">
      <formula>$L1680:$L1682&lt;=0</formula>
    </cfRule>
  </conditionalFormatting>
  <conditionalFormatting sqref="C1681:C1682 F1681:F1682 I1681:K1682">
    <cfRule type="expression" dxfId="1445" priority="76">
      <formula>$L1681:$L1682&lt;=0</formula>
    </cfRule>
  </conditionalFormatting>
  <conditionalFormatting sqref="C1683:C1696 I1683:K1696">
    <cfRule type="expression" dxfId="1444" priority="66">
      <formula>$L1683:$L1709&lt;=0</formula>
    </cfRule>
  </conditionalFormatting>
  <conditionalFormatting sqref="C1697 F1697 H1697:L1697 G1703:G1712">
    <cfRule type="expression" dxfId="1443" priority="52">
      <formula>$L1697:$L1702&lt;=0</formula>
    </cfRule>
  </conditionalFormatting>
  <conditionalFormatting sqref="C1699:C1700 F1699:F1700 I1699:K1700">
    <cfRule type="expression" dxfId="1442" priority="31">
      <formula>$L1699:$L1713&lt;=0</formula>
    </cfRule>
  </conditionalFormatting>
  <conditionalFormatting sqref="C1701 F1701 I1701:K1701">
    <cfRule type="expression" dxfId="1441" priority="37">
      <formula>$L1701:$L1714&lt;=0</formula>
    </cfRule>
  </conditionalFormatting>
  <conditionalFormatting sqref="C1703:C1710 F1703:F1710 I1703:I1710 D1710:E1712 H1710:H1712">
    <cfRule type="expression" dxfId="1440" priority="49">
      <formula>$L1703:$L1724&lt;=0</formula>
    </cfRule>
  </conditionalFormatting>
  <conditionalFormatting sqref="C1713:C1716 F1713:F1716 H1713:K1716">
    <cfRule type="expression" dxfId="1439" priority="20">
      <formula>$L1713:$L1754&lt;=0</formula>
    </cfRule>
  </conditionalFormatting>
  <conditionalFormatting sqref="C1717:C1718 F1717:F1718">
    <cfRule type="expression" dxfId="1438" priority="2">
      <formula>$L1717:$L1744&lt;=0</formula>
    </cfRule>
  </conditionalFormatting>
  <conditionalFormatting sqref="C678:E678 I678:K680 C679:C680 I879">
    <cfRule type="expression" dxfId="1437" priority="1264">
      <formula>$L678:$L746&lt;=0</formula>
    </cfRule>
  </conditionalFormatting>
  <conditionalFormatting sqref="C83:F83 I83:K83 H648:H650 D695:E697 D706:E706">
    <cfRule type="expression" dxfId="1436" priority="2033">
      <formula>$L83:$L135&lt;=0</formula>
    </cfRule>
  </conditionalFormatting>
  <conditionalFormatting sqref="C126:F126 H126:K126 C368:C376 F368:G376 I368:I376 L368:L376 L678:L679 F678:F683 C720 F720:G720 I720 L720 H771:H772 H905:H915">
    <cfRule type="expression" dxfId="1435" priority="1964">
      <formula>$L126:$L237&lt;=0</formula>
    </cfRule>
  </conditionalFormatting>
  <conditionalFormatting sqref="C431:F432 I431:K432 C553:C562 F553:F562 I553:K562 I870:I871">
    <cfRule type="expression" dxfId="1434" priority="1446">
      <formula>$L431:$L479&lt;=0</formula>
    </cfRule>
  </conditionalFormatting>
  <conditionalFormatting sqref="C675:F675 I675:K675 G914">
    <cfRule type="expression" dxfId="1433" priority="1325">
      <formula>$L675:$L688&lt;=0</formula>
    </cfRule>
  </conditionalFormatting>
  <conditionalFormatting sqref="C1178:F1178 I1178 L1178">
    <cfRule type="expression" dxfId="1432" priority="770">
      <formula>$L1178:$L1184&lt;=0</formula>
    </cfRule>
  </conditionalFormatting>
  <conditionalFormatting sqref="C1190:F1190 I1190:K1190 H1196:H1197">
    <cfRule type="expression" dxfId="1431" priority="730">
      <formula>$L1190:$L1210&lt;=0</formula>
    </cfRule>
  </conditionalFormatting>
  <conditionalFormatting sqref="C1191:F1191 I1191:K1191 H1197">
    <cfRule type="expression" dxfId="1430" priority="709">
      <formula>$L1191:$L1210&lt;=0</formula>
    </cfRule>
  </conditionalFormatting>
  <conditionalFormatting sqref="C1192:F1192 I1192:K1192 I1193:I1194 H1198:H1199">
    <cfRule type="expression" dxfId="1429" priority="732">
      <formula>$L1192:$L1210&lt;=0</formula>
    </cfRule>
  </conditionalFormatting>
  <conditionalFormatting sqref="C1195:F1195 I1195:K1195 I1198:I1199 I1201">
    <cfRule type="expression" dxfId="1428" priority="728">
      <formula>$L1195:$L1210&lt;=0</formula>
    </cfRule>
  </conditionalFormatting>
  <conditionalFormatting sqref="C1196:F1196 I1196:K1197 C1197 F1197">
    <cfRule type="expression" dxfId="1427" priority="727">
      <formula>$L1196:$L1210&lt;=0</formula>
    </cfRule>
  </conditionalFormatting>
  <conditionalFormatting sqref="C1202:F1202 I1202:K1202">
    <cfRule type="expression" dxfId="1426" priority="697">
      <formula>$L1202:$L1202&lt;=0</formula>
    </cfRule>
  </conditionalFormatting>
  <conditionalFormatting sqref="C1382:F1382 I1382:L1382">
    <cfRule type="expression" dxfId="1425" priority="474">
      <formula>$L1382:$L1392&lt;=0</formula>
    </cfRule>
  </conditionalFormatting>
  <conditionalFormatting sqref="C1427:F1427 I1427:L1427">
    <cfRule type="expression" dxfId="1424" priority="401">
      <formula>$L1427:$L1462&lt;=0</formula>
    </cfRule>
  </conditionalFormatting>
  <conditionalFormatting sqref="C1428:F1428 I1428:L1428 H1438:H1459">
    <cfRule type="expression" dxfId="1423" priority="400">
      <formula>$L1428:$L1462&lt;=0</formula>
    </cfRule>
  </conditionalFormatting>
  <conditionalFormatting sqref="C1429:F1429 I1429:K1429 L1429:L1431 H1460:H1462">
    <cfRule type="expression" dxfId="1422" priority="363">
      <formula>$L1429:$L1462&lt;=0</formula>
    </cfRule>
  </conditionalFormatting>
  <conditionalFormatting sqref="C1430:F1430 I1430:K1430">
    <cfRule type="expression" dxfId="1421" priority="383">
      <formula>$L1430:$L1462&lt;=0</formula>
    </cfRule>
  </conditionalFormatting>
  <conditionalFormatting sqref="C1431:F1431 I1431:K1431">
    <cfRule type="expression" dxfId="1420" priority="382">
      <formula>$L1431:$L1462&lt;=0</formula>
    </cfRule>
  </conditionalFormatting>
  <conditionalFormatting sqref="C1432:F1432 I1432:K1432 L1432:L1434">
    <cfRule type="expression" dxfId="1419" priority="381">
      <formula>$L1432:$L1462&lt;=0</formula>
    </cfRule>
  </conditionalFormatting>
  <conditionalFormatting sqref="C1433:F1433 I1433:K1433">
    <cfRule type="expression" dxfId="1418" priority="362">
      <formula>$L1433:$L1462&lt;=0</formula>
    </cfRule>
  </conditionalFormatting>
  <conditionalFormatting sqref="C1434:F1434 I1434:K1434">
    <cfRule type="expression" dxfId="1417" priority="361">
      <formula>$L1434:$L1462&lt;=0</formula>
    </cfRule>
  </conditionalFormatting>
  <conditionalFormatting sqref="C1435:F1435 I1435:L1435">
    <cfRule type="expression" dxfId="1416" priority="380">
      <formula>$L1435:$L1462&lt;=0</formula>
    </cfRule>
  </conditionalFormatting>
  <conditionalFormatting sqref="C1436:F1436 I1436:L1436">
    <cfRule type="expression" dxfId="1415" priority="379">
      <formula>$L1436:$L1462&lt;=0</formula>
    </cfRule>
  </conditionalFormatting>
  <conditionalFormatting sqref="C1437:F1437 I1437:K1437 L1437:L1439">
    <cfRule type="expression" dxfId="1414" priority="377">
      <formula>$L1437:$L1462&lt;=0</formula>
    </cfRule>
  </conditionalFormatting>
  <conditionalFormatting sqref="C1438:F1438 I1438:K1438 H1442:H1455">
    <cfRule type="expression" dxfId="1413" priority="399">
      <formula>$L1438:$L1462&lt;=0</formula>
    </cfRule>
  </conditionalFormatting>
  <conditionalFormatting sqref="C1439:F1439 I1439:K1439">
    <cfRule type="expression" dxfId="1412" priority="398">
      <formula>$L1439:$L1462&lt;=0</formula>
    </cfRule>
  </conditionalFormatting>
  <conditionalFormatting sqref="C1440:F1440 I1440:L1440 L1441:L1444">
    <cfRule type="expression" dxfId="1411" priority="393">
      <formula>$L1440:$L1462&lt;=0</formula>
    </cfRule>
  </conditionalFormatting>
  <conditionalFormatting sqref="C1441:F1441 I1441:K1441 I1442:I1443 L1445">
    <cfRule type="expression" dxfId="1410" priority="394">
      <formula>$L1441:$L1462&lt;=0</formula>
    </cfRule>
  </conditionalFormatting>
  <conditionalFormatting sqref="C1442:F1442 I1442:K1442 L1446:L1452">
    <cfRule type="expression" dxfId="1409" priority="365">
      <formula>$L1442:$L1462&lt;=0</formula>
    </cfRule>
  </conditionalFormatting>
  <conditionalFormatting sqref="C1443:F1443">
    <cfRule type="expression" dxfId="1408" priority="397">
      <formula>$L1443:$L1462&lt;=0</formula>
    </cfRule>
  </conditionalFormatting>
  <conditionalFormatting sqref="C1444:F1444 I1444:K1444 I1445:I1448">
    <cfRule type="expression" dxfId="1407" priority="396">
      <formula>$L1444:$L1462&lt;=0</formula>
    </cfRule>
  </conditionalFormatting>
  <conditionalFormatting sqref="C1445:F1445 I1445:K1445 I1449">
    <cfRule type="expression" dxfId="1406" priority="376">
      <formula>$L1445:$L1462&lt;=0</formula>
    </cfRule>
  </conditionalFormatting>
  <conditionalFormatting sqref="C1446:F1446 I1446:K1446 I1450:I1454">
    <cfRule type="expression" dxfId="1405" priority="378">
      <formula>$L1446:$L1462&lt;=0</formula>
    </cfRule>
  </conditionalFormatting>
  <conditionalFormatting sqref="C1447:F1447 I1447:K1447">
    <cfRule type="expression" dxfId="1404" priority="366">
      <formula>$L1447:$L1462&lt;=0</formula>
    </cfRule>
  </conditionalFormatting>
  <conditionalFormatting sqref="C1448:F1448 I1448:K1448">
    <cfRule type="expression" dxfId="1403" priority="392">
      <formula>$L1448:$L1462&lt;=0</formula>
    </cfRule>
  </conditionalFormatting>
  <conditionalFormatting sqref="C1449:F1449 I1449:K1449">
    <cfRule type="expression" dxfId="1402" priority="395">
      <formula>$L1449:$L1462&lt;=0</formula>
    </cfRule>
  </conditionalFormatting>
  <conditionalFormatting sqref="C1463:F1463 I1463:L1463">
    <cfRule type="expression" dxfId="1401" priority="355">
      <formula>$L1463:$L1473&lt;=0</formula>
    </cfRule>
  </conditionalFormatting>
  <conditionalFormatting sqref="C1389:G1389 I1389:K1389">
    <cfRule type="expression" dxfId="1400" priority="454">
      <formula>$L1389:$L1400&lt;=0</formula>
    </cfRule>
  </conditionalFormatting>
  <conditionalFormatting sqref="C1453:G1453 I1453:L1453 C1454:C1457 F1454:F1457 I1454:K1457 H1459">
    <cfRule type="expression" dxfId="1399" priority="390">
      <formula>$L1453:$L1462&lt;=0</formula>
    </cfRule>
  </conditionalFormatting>
  <conditionalFormatting sqref="C1464:G1497 I1464:K1497">
    <cfRule type="expression" dxfId="1398" priority="292">
      <formula>$L1464:$L1475&lt;=0</formula>
    </cfRule>
  </conditionalFormatting>
  <conditionalFormatting sqref="D2:E3 J2:K3">
    <cfRule type="expression" dxfId="1397" priority="2086">
      <formula>$L2:$L140&lt;=0</formula>
    </cfRule>
  </conditionalFormatting>
  <conditionalFormatting sqref="D4:E9">
    <cfRule type="expression" dxfId="1396" priority="2096">
      <formula>$L4:$L61&lt;=0</formula>
    </cfRule>
    <cfRule type="expression" dxfId="1395" priority="2095">
      <formula>$L4:$L62&lt;=0</formula>
    </cfRule>
  </conditionalFormatting>
  <conditionalFormatting sqref="D14:E37">
    <cfRule type="expression" dxfId="1394" priority="2062">
      <formula>$L14:$L142&lt;=0</formula>
    </cfRule>
  </conditionalFormatting>
  <conditionalFormatting sqref="D38:E48">
    <cfRule type="expression" dxfId="1393" priority="2085">
      <formula>$L38:$L143&lt;=0</formula>
    </cfRule>
  </conditionalFormatting>
  <conditionalFormatting sqref="D49:E50">
    <cfRule type="expression" dxfId="1392" priority="2084">
      <formula>$L49:$L153&lt;=0</formula>
    </cfRule>
  </conditionalFormatting>
  <conditionalFormatting sqref="D51:E51">
    <cfRule type="expression" dxfId="1391" priority="2061">
      <formula>$L51:$L142&lt;=0</formula>
    </cfRule>
  </conditionalFormatting>
  <conditionalFormatting sqref="D52:E55 D341:E341">
    <cfRule type="expression" dxfId="1390" priority="2060">
      <formula>$L52:$L142&lt;=0</formula>
    </cfRule>
  </conditionalFormatting>
  <conditionalFormatting sqref="D56:E56">
    <cfRule type="expression" dxfId="1389" priority="2059">
      <formula>$L56:$L142&lt;=0</formula>
    </cfRule>
  </conditionalFormatting>
  <conditionalFormatting sqref="D57:E75">
    <cfRule type="expression" dxfId="1388" priority="2058">
      <formula>$L57:$L142&lt;=0</formula>
    </cfRule>
  </conditionalFormatting>
  <conditionalFormatting sqref="D76:E80">
    <cfRule type="expression" dxfId="1387" priority="2041">
      <formula>$L76:$L142&lt;=0</formula>
    </cfRule>
  </conditionalFormatting>
  <conditionalFormatting sqref="D81:E81">
    <cfRule type="expression" dxfId="1386" priority="2040">
      <formula>$L81:$L179&lt;=0</formula>
    </cfRule>
  </conditionalFormatting>
  <conditionalFormatting sqref="D82:E82 D686:E687 C698 F698 I698:K698 L698:L700 C736:C738 F736:G738 I736:L738 I780:I781">
    <cfRule type="expression" dxfId="1385" priority="2039">
      <formula>$L82:$L142&lt;=0</formula>
    </cfRule>
  </conditionalFormatting>
  <conditionalFormatting sqref="D83:E85 C85 F85 I85:K85 H85:H86 I86:J86 D714:E714">
    <cfRule type="expression" dxfId="1384" priority="2031">
      <formula>$L83:$L133&lt;=0</formula>
    </cfRule>
  </conditionalFormatting>
  <conditionalFormatting sqref="D84:E85 C86:C87 F86:F87 I86:K87 H87">
    <cfRule type="expression" dxfId="1383" priority="2032">
      <formula>$L84:$L133&lt;=0</formula>
    </cfRule>
  </conditionalFormatting>
  <conditionalFormatting sqref="D86:E86 C88 F88 H88:K88">
    <cfRule type="expression" dxfId="1382" priority="2030">
      <formula>$L86:$L134&lt;=0</formula>
    </cfRule>
  </conditionalFormatting>
  <conditionalFormatting sqref="D86:E88 I711:I717">
    <cfRule type="expression" dxfId="1381" priority="2029">
      <formula>$L86:$L133&lt;=0</formula>
    </cfRule>
  </conditionalFormatting>
  <conditionalFormatting sqref="D87:E88 I718 I874:I875">
    <cfRule type="expression" dxfId="1380" priority="2028">
      <formula>$L87:$L133&lt;=0</formula>
    </cfRule>
  </conditionalFormatting>
  <conditionalFormatting sqref="D89:E89">
    <cfRule type="expression" dxfId="1379" priority="2007">
      <formula>$L89:$L190&lt;=0</formula>
    </cfRule>
  </conditionalFormatting>
  <conditionalFormatting sqref="D90:E91">
    <cfRule type="expression" dxfId="1378" priority="2006">
      <formula>$L90:$L190&lt;=0</formula>
    </cfRule>
  </conditionalFormatting>
  <conditionalFormatting sqref="D92:E94">
    <cfRule type="expression" dxfId="1377" priority="1997">
      <formula>$L92:$L190&lt;=0</formula>
    </cfRule>
  </conditionalFormatting>
  <conditionalFormatting sqref="D95:E97 D334:E335 C355:C356 F355:F356 I355:K356">
    <cfRule type="expression" dxfId="1376" priority="1996">
      <formula>$L95:$L190&lt;=0</formula>
    </cfRule>
  </conditionalFormatting>
  <conditionalFormatting sqref="D98:E99 C343:C347 F343:F347 I343:K347">
    <cfRule type="expression" dxfId="1375" priority="2005">
      <formula>$L98:$L190&lt;=0</formula>
    </cfRule>
  </conditionalFormatting>
  <conditionalFormatting sqref="D100:E109 C109:C118 F109:F118 I109:K118">
    <cfRule type="expression" dxfId="1374" priority="1989">
      <formula>$L100:$L148&lt;=0</formula>
    </cfRule>
  </conditionalFormatting>
  <conditionalFormatting sqref="D100:E118">
    <cfRule type="expression" dxfId="1373" priority="1988">
      <formula>$L100:$L147&lt;=0</formula>
    </cfRule>
  </conditionalFormatting>
  <conditionalFormatting sqref="D111:E118">
    <cfRule type="expression" dxfId="1372" priority="1994">
      <formula>$L111:$L157&lt;=0</formula>
    </cfRule>
  </conditionalFormatting>
  <conditionalFormatting sqref="D119:E120 H637">
    <cfRule type="expression" dxfId="1371" priority="1982">
      <formula>$L119:$L246&lt;=0</formula>
    </cfRule>
  </conditionalFormatting>
  <conditionalFormatting sqref="D121:E123">
    <cfRule type="expression" dxfId="1370" priority="1981">
      <formula>$L121:$L247&lt;=0</formula>
    </cfRule>
  </conditionalFormatting>
  <conditionalFormatting sqref="D124:E125">
    <cfRule type="expression" dxfId="1369" priority="1965">
      <formula>$L124:$L237&lt;=0</formula>
    </cfRule>
  </conditionalFormatting>
  <conditionalFormatting sqref="D130:E152">
    <cfRule type="expression" dxfId="1368" priority="1952">
      <formula>$L130:$L255&lt;=0</formula>
    </cfRule>
  </conditionalFormatting>
  <conditionalFormatting sqref="D153:E155">
    <cfRule type="expression" dxfId="1367" priority="1944">
      <formula>$L153:$L267&lt;=0</formula>
    </cfRule>
  </conditionalFormatting>
  <conditionalFormatting sqref="D156:E157">
    <cfRule type="expression" dxfId="1366" priority="1937">
      <formula>$L156:$L281&lt;=0</formula>
    </cfRule>
  </conditionalFormatting>
  <conditionalFormatting sqref="D158:E181 H867">
    <cfRule type="expression" dxfId="1365" priority="1928">
      <formula>$L158:$L282&lt;=0</formula>
    </cfRule>
  </conditionalFormatting>
  <conditionalFormatting sqref="D182:E188 D342:E346">
    <cfRule type="expression" dxfId="1364" priority="1919">
      <formula>$L182:$L271&lt;=0</formula>
    </cfRule>
  </conditionalFormatting>
  <conditionalFormatting sqref="D189:E198 C469:C477 F469:F477 I469:K477">
    <cfRule type="expression" dxfId="1363" priority="1918">
      <formula>$L189:$L277&lt;=0</formula>
    </cfRule>
  </conditionalFormatting>
  <conditionalFormatting sqref="D199:E222">
    <cfRule type="expression" dxfId="1362" priority="1903">
      <formula>$L199:$L324&lt;=0</formula>
    </cfRule>
  </conditionalFormatting>
  <conditionalFormatting sqref="D223:E224">
    <cfRule type="expression" dxfId="1361" priority="1895">
      <formula>$L223:$L311&lt;=0</formula>
    </cfRule>
  </conditionalFormatting>
  <conditionalFormatting sqref="D225:E252 G226 J226:K226 G228 J228:K228 G230 J230:K230 G232 J232:K232 G234 J234:K234 G236 J236:K236 G238 J238:K238 G240 J240:K240 G242 J242:K242 G244 J244:K244 G246 J246:K246 G248 J248:K248 G250 J250:K250 G252 J252:K252">
    <cfRule type="expression" dxfId="1360" priority="1887">
      <formula>$L225:$L344&lt;=0</formula>
    </cfRule>
  </conditionalFormatting>
  <conditionalFormatting sqref="D253:E253">
    <cfRule type="expression" dxfId="1359" priority="1878">
      <formula>$L253:$L351&lt;=0</formula>
    </cfRule>
  </conditionalFormatting>
  <conditionalFormatting sqref="D254:E272 I331:I333 C622 F622:G622 I622 L622">
    <cfRule type="expression" dxfId="1358" priority="1869">
      <formula>$L254:$L369&lt;=0</formula>
    </cfRule>
  </conditionalFormatting>
  <conditionalFormatting sqref="D273:E289">
    <cfRule type="expression" dxfId="1357" priority="1857">
      <formula>$L273:$L398&lt;=0</formula>
    </cfRule>
  </conditionalFormatting>
  <conditionalFormatting sqref="D290:E298">
    <cfRule type="expression" dxfId="1356" priority="1841">
      <formula>$L290:$L396&lt;=0</formula>
    </cfRule>
  </conditionalFormatting>
  <conditionalFormatting sqref="D299:E300">
    <cfRule type="expression" dxfId="1355" priority="1840">
      <formula>$L299:$L404&lt;=0</formula>
    </cfRule>
  </conditionalFormatting>
  <conditionalFormatting sqref="D301:E306">
    <cfRule type="expression" dxfId="1354" priority="1828">
      <formula>$L301:$L371&lt;=0</formula>
    </cfRule>
  </conditionalFormatting>
  <conditionalFormatting sqref="D307:E310">
    <cfRule type="expression" dxfId="1353" priority="1819">
      <formula>$L307:$L422&lt;=0</formula>
    </cfRule>
  </conditionalFormatting>
  <conditionalFormatting sqref="D311:E311">
    <cfRule type="expression" dxfId="1352" priority="1810">
      <formula>$L311:$L381&lt;=0</formula>
    </cfRule>
  </conditionalFormatting>
  <conditionalFormatting sqref="D312:E322">
    <cfRule type="expression" dxfId="1351" priority="1773">
      <formula>$L312:$L403&lt;=0</formula>
    </cfRule>
  </conditionalFormatting>
  <conditionalFormatting sqref="D336:E340">
    <cfRule type="expression" dxfId="1350" priority="1755">
      <formula>$L336:$L430&lt;=0</formula>
    </cfRule>
  </conditionalFormatting>
  <conditionalFormatting sqref="D347:E347">
    <cfRule type="expression" dxfId="1349" priority="1750">
      <formula>$L347:$L435&lt;=0</formula>
    </cfRule>
  </conditionalFormatting>
  <conditionalFormatting sqref="D348:E349 D422:E425 D643:E647 L701:L704">
    <cfRule type="expression" dxfId="1348" priority="1731">
      <formula>$L348:$L405&lt;=0</formula>
    </cfRule>
  </conditionalFormatting>
  <conditionalFormatting sqref="D350:E352 L421:L430 C875 F875 I875:K875">
    <cfRule type="expression" dxfId="1347" priority="1723">
      <formula>$L350:$L422&lt;=0</formula>
    </cfRule>
  </conditionalFormatting>
  <conditionalFormatting sqref="D357:E358 D677:E677">
    <cfRule type="expression" dxfId="1346" priority="1704">
      <formula>$L357:$L426&lt;=0</formula>
    </cfRule>
  </conditionalFormatting>
  <conditionalFormatting sqref="D359:E362">
    <cfRule type="expression" dxfId="1345" priority="1699">
      <formula>$L359:$L427&lt;=0</formula>
    </cfRule>
  </conditionalFormatting>
  <conditionalFormatting sqref="D363:E367 D679:E684">
    <cfRule type="expression" dxfId="1344" priority="89738">
      <formula>$L363:$L430&lt;=0</formula>
    </cfRule>
  </conditionalFormatting>
  <conditionalFormatting sqref="D368:E391 I884">
    <cfRule type="expression" dxfId="1343" priority="89737">
      <formula>$L368:$L431&lt;=0</formula>
    </cfRule>
  </conditionalFormatting>
  <conditionalFormatting sqref="D392:E401 I851:I854 L876:L884">
    <cfRule type="expression" dxfId="1342" priority="89739">
      <formula>$L392:$L470&lt;=0</formula>
    </cfRule>
  </conditionalFormatting>
  <conditionalFormatting sqref="D402:E410 D610:E611 L712:L719">
    <cfRule type="expression" dxfId="1341" priority="1390">
      <formula>$L402:$L479&lt;=0</formula>
    </cfRule>
  </conditionalFormatting>
  <conditionalFormatting sqref="D411:E420 C856:C863 F856:F863 I856:K863">
    <cfRule type="expression" dxfId="1340" priority="1039">
      <formula>$L411:$L480&lt;=0</formula>
    </cfRule>
  </conditionalFormatting>
  <conditionalFormatting sqref="D421:E421 C421:C424 F421:F424 I421:K424 C1065 I1065:K1065 I1066:I1067">
    <cfRule type="expression" dxfId="1339" priority="855">
      <formula>$L421:$L479&lt;=0</formula>
    </cfRule>
  </conditionalFormatting>
  <conditionalFormatting sqref="D433:E436 C832:C836 F832:G836 I832:I836 H887">
    <cfRule type="expression" dxfId="1338" priority="1102">
      <formula>$L433:$L493&lt;=0</formula>
    </cfRule>
  </conditionalFormatting>
  <conditionalFormatting sqref="D446:E446 C1042:C1045 F1042:G1045 I1042:I1045 J1045:K1045">
    <cfRule type="expression" dxfId="1337" priority="902">
      <formula>$L446:$L479&lt;=0</formula>
    </cfRule>
  </conditionalFormatting>
  <conditionalFormatting sqref="D447:E447 C876 I876:K876 F876:F884 I888:I889">
    <cfRule type="expression" dxfId="1336" priority="1035">
      <formula>$L447:$L479&lt;=0</formula>
    </cfRule>
  </conditionalFormatting>
  <conditionalFormatting sqref="D448:E450">
    <cfRule type="expression" dxfId="1335" priority="1607">
      <formula>$L448:$L465&lt;=0</formula>
    </cfRule>
  </conditionalFormatting>
  <conditionalFormatting sqref="D451:E451">
    <cfRule type="expression" dxfId="1334" priority="1598">
      <formula>$L451:$L514&lt;=0</formula>
    </cfRule>
  </conditionalFormatting>
  <conditionalFormatting sqref="D456:E473 H861:H863">
    <cfRule type="expression" dxfId="1333" priority="1547">
      <formula>$L456:$L540&lt;=0</formula>
    </cfRule>
  </conditionalFormatting>
  <conditionalFormatting sqref="D474:E474">
    <cfRule type="expression" dxfId="1332" priority="1573">
      <formula>$L474:$L557&lt;=0</formula>
    </cfRule>
  </conditionalFormatting>
  <conditionalFormatting sqref="D478:E479 C506:C525 F506:F525 I506:K525 D676:E676 C874 F874 I874:K874">
    <cfRule type="expression" dxfId="1331" priority="1504">
      <formula>$L478:$L520&lt;=0</formula>
    </cfRule>
  </conditionalFormatting>
  <conditionalFormatting sqref="D480:E487">
    <cfRule type="expression" dxfId="1330" priority="1522">
      <formula>$L480:$L536&lt;=0</formula>
    </cfRule>
  </conditionalFormatting>
  <conditionalFormatting sqref="D488:E489">
    <cfRule type="expression" dxfId="1329" priority="1487">
      <formula>$L488:$L551&lt;=0</formula>
    </cfRule>
  </conditionalFormatting>
  <conditionalFormatting sqref="D490:E500 C491:C495 F491:F495 I491:K495">
    <cfRule type="expression" dxfId="1328" priority="1505">
      <formula>$L490:$L542&lt;=0</formula>
    </cfRule>
  </conditionalFormatting>
  <conditionalFormatting sqref="D501:E504 D890:E893 J890:K895">
    <cfRule type="expression" dxfId="1327" priority="1483">
      <formula>$L501:$L542&lt;=0</formula>
    </cfRule>
  </conditionalFormatting>
  <conditionalFormatting sqref="D505:E509 H659:H660 H662:H668 D755:E758 C760:C761 F760:G761 I760:I761 L760:L761 H761 C763:C764 F763:I764 L763:L764 I878 I880:I883">
    <cfRule type="expression" dxfId="1326" priority="1501">
      <formula>$L505:$L543&lt;=0</formula>
    </cfRule>
  </conditionalFormatting>
  <conditionalFormatting sqref="D510:E519 D894:E894">
    <cfRule type="expression" dxfId="1325" priority="1484">
      <formula>$L510:$L547&lt;=0</formula>
    </cfRule>
  </conditionalFormatting>
  <conditionalFormatting sqref="D520:E525">
    <cfRule type="expression" dxfId="1324" priority="1492">
      <formula>$L520:$L548&lt;=0</formula>
    </cfRule>
  </conditionalFormatting>
  <conditionalFormatting sqref="D526:E545">
    <cfRule type="expression" dxfId="1323" priority="1474">
      <formula>$L526:$L605&lt;=0</formula>
    </cfRule>
  </conditionalFormatting>
  <conditionalFormatting sqref="D546:E551">
    <cfRule type="expression" dxfId="1322" priority="1460">
      <formula>$L546:$L613&lt;=0</formula>
    </cfRule>
  </conditionalFormatting>
  <conditionalFormatting sqref="D552:E552">
    <cfRule type="expression" dxfId="1321" priority="1461">
      <formula>$L552:$L620&lt;=0</formula>
    </cfRule>
  </conditionalFormatting>
  <conditionalFormatting sqref="D553:E559 D685:E685">
    <cfRule type="expression" dxfId="1320" priority="1453">
      <formula>$L553:$L614&lt;=0</formula>
    </cfRule>
  </conditionalFormatting>
  <conditionalFormatting sqref="D560:E562">
    <cfRule type="expression" dxfId="1319" priority="1447">
      <formula>$L560:$L620&lt;=0</formula>
    </cfRule>
  </conditionalFormatting>
  <conditionalFormatting sqref="D563:E593 C603:C604 F603:F604 I603:K604">
    <cfRule type="expression" dxfId="1318" priority="1392">
      <formula>$L563:$L651&lt;=0</formula>
    </cfRule>
  </conditionalFormatting>
  <conditionalFormatting sqref="D594:E594 C605 F605 I605:K605">
    <cfRule type="expression" dxfId="1317" priority="1356">
      <formula>$L594:$L681&lt;=0</formula>
    </cfRule>
  </conditionalFormatting>
  <conditionalFormatting sqref="D595:E595 C606 F606 I606:K606">
    <cfRule type="expression" dxfId="1316" priority="1355">
      <formula>$L595:$L681&lt;=0</formula>
    </cfRule>
  </conditionalFormatting>
  <conditionalFormatting sqref="D596:E597 C607:C608 F607:F608 I607:K608 I609">
    <cfRule type="expression" dxfId="1315" priority="1386">
      <formula>$L596:$L681&lt;=0</formula>
    </cfRule>
  </conditionalFormatting>
  <conditionalFormatting sqref="D598:E599 C609:C610 F609:F610 I609:K610 I612:I615">
    <cfRule type="expression" dxfId="1314" priority="1354">
      <formula>$L598:$L681&lt;=0</formula>
    </cfRule>
  </conditionalFormatting>
  <conditionalFormatting sqref="D600:E600 C611 F611 I611:K611">
    <cfRule type="expression" dxfId="1313" priority="1363">
      <formula>$L600:$L682&lt;=0</formula>
    </cfRule>
  </conditionalFormatting>
  <conditionalFormatting sqref="D603:E605">
    <cfRule type="expression" dxfId="1312" priority="1391">
      <formula>$L603:$L683&lt;=0</formula>
    </cfRule>
  </conditionalFormatting>
  <conditionalFormatting sqref="D606:E607">
    <cfRule type="expression" dxfId="1311" priority="1365">
      <formula>$L606:$L685&lt;=0</formula>
    </cfRule>
  </conditionalFormatting>
  <conditionalFormatting sqref="D608:E609">
    <cfRule type="expression" dxfId="1310" priority="1382">
      <formula>$L608:$L686&lt;=0</formula>
    </cfRule>
  </conditionalFormatting>
  <conditionalFormatting sqref="D612:E613 C618 F618 I618:K618">
    <cfRule type="expression" dxfId="1309" priority="1388">
      <formula>$L612:$L688&lt;=0</formula>
    </cfRule>
  </conditionalFormatting>
  <conditionalFormatting sqref="D617:E618 C621 F621 I621:K621">
    <cfRule type="expression" dxfId="1308" priority="1364">
      <formula>$L617:$L691&lt;=0</formula>
    </cfRule>
  </conditionalFormatting>
  <conditionalFormatting sqref="D619:E619 C716:C718 F716:F718 I716:K718 D729:E734 I907:I915">
    <cfRule type="expression" dxfId="1307" priority="1397">
      <formula>$L619:$L692&lt;=0</formula>
    </cfRule>
  </conditionalFormatting>
  <conditionalFormatting sqref="D620:E620">
    <cfRule type="expression" dxfId="1306" priority="1358">
      <formula>$L620:$L692&lt;=0</formula>
    </cfRule>
  </conditionalFormatting>
  <conditionalFormatting sqref="D621:E621">
    <cfRule type="expression" dxfId="1305" priority="1393">
      <formula>$L621:$L692&lt;=0</formula>
    </cfRule>
  </conditionalFormatting>
  <conditionalFormatting sqref="D622:E628">
    <cfRule type="expression" dxfId="1304" priority="1348">
      <formula>$L622:$L688&lt;=0</formula>
    </cfRule>
  </conditionalFormatting>
  <conditionalFormatting sqref="D634:E634 L681:L697">
    <cfRule type="expression" dxfId="1303" priority="99254">
      <formula>$L634:$L947&lt;=0</formula>
    </cfRule>
  </conditionalFormatting>
  <conditionalFormatting sqref="D642:E642">
    <cfRule type="expression" dxfId="1302" priority="100400">
      <formula>$L642:$L947&lt;=0</formula>
    </cfRule>
  </conditionalFormatting>
  <conditionalFormatting sqref="D648:E650 L654:L657 H655:H657">
    <cfRule type="expression" dxfId="1301" priority="1296">
      <formula>$L648:$L686&lt;=0</formula>
    </cfRule>
  </conditionalFormatting>
  <conditionalFormatting sqref="D651:E651 C651:C652 F651:F652 I651:K652">
    <cfRule type="expression" dxfId="1300" priority="1324">
      <formula>$L651:$L688&lt;=0</formula>
    </cfRule>
  </conditionalFormatting>
  <conditionalFormatting sqref="D652:E652 I652 C653:C656 F653:F656 I653:K656 L658:L659 D895:E895 J896:K899">
    <cfRule type="expression" dxfId="1299" priority="1323">
      <formula>$L652:$L688&lt;=0</formula>
    </cfRule>
  </conditionalFormatting>
  <conditionalFormatting sqref="D653:E653 I653 C657:C659 F657:F659 I657:K659 H881 H883:H886 D896:E899">
    <cfRule type="expression" dxfId="1298" priority="1322">
      <formula>$L653:$L688&lt;=0</formula>
    </cfRule>
  </conditionalFormatting>
  <conditionalFormatting sqref="D654:E654 I654">
    <cfRule type="expression" dxfId="1297" priority="1321">
      <formula>$L654:$L688&lt;=0</formula>
    </cfRule>
  </conditionalFormatting>
  <conditionalFormatting sqref="D655:E656 I655:I656 D658:E659 I658:I659">
    <cfRule type="expression" dxfId="1296" priority="1320">
      <formula>$L655:$L688&lt;=0</formula>
    </cfRule>
  </conditionalFormatting>
  <conditionalFormatting sqref="D657:E657 I657 D660:E663 I660:I663 L660:L666 L668:L670 D761:E762 J764:K764">
    <cfRule type="expression" dxfId="1295" priority="1319">
      <formula>$L657:$L689&lt;=0</formula>
    </cfRule>
  </conditionalFormatting>
  <conditionalFormatting sqref="D664:E665 I664:I668 C665:C668 F665:F668 J665:K668">
    <cfRule type="expression" dxfId="1294" priority="1318">
      <formula>$L664:$L688&lt;=0</formula>
    </cfRule>
  </conditionalFormatting>
  <conditionalFormatting sqref="D666:E669 C669:C672 F669:F672 I669:K672">
    <cfRule type="expression" dxfId="1293" priority="1317">
      <formula>$L666:$L689&lt;=0</formula>
    </cfRule>
  </conditionalFormatting>
  <conditionalFormatting sqref="D674:E674">
    <cfRule type="expression" dxfId="1292" priority="1316">
      <formula>$L674:$L688&lt;=0</formula>
    </cfRule>
  </conditionalFormatting>
  <conditionalFormatting sqref="D688:E691 C706 F706 I706:K706 H740:H741 H743:H760 I783:I787">
    <cfRule type="expression" dxfId="1291" priority="1244">
      <formula>$L688:$L746&lt;=0</formula>
    </cfRule>
  </conditionalFormatting>
  <conditionalFormatting sqref="D698:E705 L711 D736:E738">
    <cfRule type="expression" dxfId="1290" priority="1259">
      <formula>$L698:$L751&lt;=0</formula>
    </cfRule>
  </conditionalFormatting>
  <conditionalFormatting sqref="D749:E753">
    <cfRule type="expression" dxfId="1289" priority="99179">
      <formula>$L749:$L789&lt;=0</formula>
    </cfRule>
  </conditionalFormatting>
  <conditionalFormatting sqref="D754:E754">
    <cfRule type="expression" dxfId="1288" priority="1211">
      <formula>$L754:$L793&lt;=0</formula>
    </cfRule>
  </conditionalFormatting>
  <conditionalFormatting sqref="D759:E759">
    <cfRule type="expression" dxfId="1287" priority="1209">
      <formula>$L759:$L796&lt;=0</formula>
    </cfRule>
  </conditionalFormatting>
  <conditionalFormatting sqref="D760:E760">
    <cfRule type="expression" dxfId="1286" priority="1203">
      <formula>$L760:$L796&lt;=0</formula>
    </cfRule>
  </conditionalFormatting>
  <conditionalFormatting sqref="D763:E764">
    <cfRule type="expression" dxfId="1285" priority="99191">
      <formula>$L763:$L793&lt;=0</formula>
    </cfRule>
  </conditionalFormatting>
  <conditionalFormatting sqref="D788:E808">
    <cfRule type="expression" dxfId="1284" priority="1170">
      <formula>$L788:$L825&lt;=0</formula>
    </cfRule>
  </conditionalFormatting>
  <conditionalFormatting sqref="D809:E809">
    <cfRule type="expression" dxfId="1283" priority="1139">
      <formula>$L809:$L826&lt;=0</formula>
    </cfRule>
  </conditionalFormatting>
  <conditionalFormatting sqref="D813:E814 I814">
    <cfRule type="expression" dxfId="1282" priority="1138">
      <formula>$L813:$L823&lt;=0</formula>
    </cfRule>
  </conditionalFormatting>
  <conditionalFormatting sqref="D815:E828 C828:C829 F828:F829 I828:K829">
    <cfRule type="expression" dxfId="1281" priority="1106">
      <formula>$L815:$L879&lt;=0</formula>
    </cfRule>
  </conditionalFormatting>
  <conditionalFormatting sqref="D829:E830 C830 F830 I830:K830">
    <cfRule type="expression" dxfId="1280" priority="1115">
      <formula>$L829:$L892&lt;=0</formula>
    </cfRule>
  </conditionalFormatting>
  <conditionalFormatting sqref="D832:E835">
    <cfRule type="expression" dxfId="1279" priority="1100">
      <formula>$L832:$L886&lt;=0</formula>
    </cfRule>
  </conditionalFormatting>
  <conditionalFormatting sqref="D836:E836 J836:K843 C837:C847 F837:G847 I837:I847">
    <cfRule type="expression" dxfId="1278" priority="1095">
      <formula>$L836:$L889&lt;=0</formula>
    </cfRule>
  </conditionalFormatting>
  <conditionalFormatting sqref="D837:E837">
    <cfRule type="expression" dxfId="1277" priority="1099">
      <formula>$L837:$L889&lt;=0</formula>
    </cfRule>
  </conditionalFormatting>
  <conditionalFormatting sqref="D838:E847">
    <cfRule type="expression" dxfId="1276" priority="1104">
      <formula>$L838:$L889&lt;=0</formula>
    </cfRule>
  </conditionalFormatting>
  <conditionalFormatting sqref="D848:E850">
    <cfRule type="expression" dxfId="1275" priority="1092">
      <formula>$L848:$L851&lt;=0</formula>
    </cfRule>
  </conditionalFormatting>
  <conditionalFormatting sqref="D851:E854">
    <cfRule type="expression" dxfId="1274" priority="1066">
      <formula>$L851:$L908&lt;=0</formula>
    </cfRule>
  </conditionalFormatting>
  <conditionalFormatting sqref="D861:E861">
    <cfRule type="expression" dxfId="1273" priority="1544">
      <formula>$L861:$L947&lt;=0</formula>
    </cfRule>
  </conditionalFormatting>
  <conditionalFormatting sqref="D876:E876 H881">
    <cfRule type="expression" dxfId="1272" priority="1031">
      <formula>$L876:$L903&lt;=0</formula>
    </cfRule>
  </conditionalFormatting>
  <conditionalFormatting sqref="D877:E889 G904:G905">
    <cfRule type="expression" dxfId="1271" priority="1030">
      <formula>$L877:$L895&lt;=0</formula>
    </cfRule>
  </conditionalFormatting>
  <conditionalFormatting sqref="D916:E932">
    <cfRule type="expression" dxfId="1270" priority="976">
      <formula>$L916:$L972&lt;=0</formula>
    </cfRule>
  </conditionalFormatting>
  <conditionalFormatting sqref="D933:E952">
    <cfRule type="expression" dxfId="1269" priority="967">
      <formula>$L933:$L968&lt;=0</formula>
    </cfRule>
  </conditionalFormatting>
  <conditionalFormatting sqref="D953:E953">
    <cfRule type="expression" dxfId="1268" priority="943">
      <formula>$L953:$L976&lt;=0</formula>
    </cfRule>
  </conditionalFormatting>
  <conditionalFormatting sqref="D954:E955">
    <cfRule type="expression" dxfId="1267" priority="938">
      <formula>$L954:$L982&lt;=0</formula>
    </cfRule>
  </conditionalFormatting>
  <conditionalFormatting sqref="D956:E975">
    <cfRule type="expression" dxfId="1266" priority="934">
      <formula>$L956:$L1012&lt;=0</formula>
    </cfRule>
  </conditionalFormatting>
  <conditionalFormatting sqref="D976:E978">
    <cfRule type="expression" dxfId="1265" priority="925">
      <formula>$L976:$L990&lt;=0</formula>
    </cfRule>
  </conditionalFormatting>
  <conditionalFormatting sqref="D979:E1028">
    <cfRule type="expression" dxfId="1264" priority="918">
      <formula>$L979:$L1035&lt;=0</formula>
    </cfRule>
  </conditionalFormatting>
  <conditionalFormatting sqref="D1029:E1031 J1040:K1040 C1040:C1041 F1040:G1041 I1040:I1041">
    <cfRule type="expression" dxfId="1263" priority="908">
      <formula>$L1029:$L1064&lt;=0</formula>
    </cfRule>
  </conditionalFormatting>
  <conditionalFormatting sqref="D1032:E1032 J1047:K1048">
    <cfRule type="expression" dxfId="1262" priority="899">
      <formula>$L1032:$L1060&lt;=0</formula>
    </cfRule>
  </conditionalFormatting>
  <conditionalFormatting sqref="D1033:E1040 C1048:C1049 F1048:G1049 I1048:I1049">
    <cfRule type="expression" dxfId="1261" priority="898">
      <formula>$L1033:$L1060&lt;=0</formula>
    </cfRule>
  </conditionalFormatting>
  <conditionalFormatting sqref="D1041:E1055 J1055:K1056 C1060 F1060:I1060">
    <cfRule type="expression" dxfId="1260" priority="897">
      <formula>$L1041:$L1061&lt;=0</formula>
    </cfRule>
  </conditionalFormatting>
  <conditionalFormatting sqref="D1056:E1056 J1057:K1059">
    <cfRule type="expression" dxfId="1259" priority="882">
      <formula>$L1056:$L1075&lt;=0</formula>
    </cfRule>
  </conditionalFormatting>
  <conditionalFormatting sqref="D1057:E1058 J1060:K1060">
    <cfRule type="expression" dxfId="1258" priority="909">
      <formula>$L1057:$L1075&lt;=0</formula>
    </cfRule>
  </conditionalFormatting>
  <conditionalFormatting sqref="D1061:E1062 C1062:C1064 I1062:K1064">
    <cfRule type="expression" dxfId="1257" priority="875">
      <formula>$L1061:$L1122&lt;=0</formula>
    </cfRule>
  </conditionalFormatting>
  <conditionalFormatting sqref="D1066:E1066 C1066:C1068 I1066:K1068">
    <cfRule type="expression" dxfId="1256" priority="876">
      <formula>$L1066:$L1123&lt;=0</formula>
    </cfRule>
  </conditionalFormatting>
  <conditionalFormatting sqref="D1067:E1069">
    <cfRule type="expression" dxfId="1255" priority="874">
      <formula>$L1067:$L1123&lt;=0</formula>
    </cfRule>
  </conditionalFormatting>
  <conditionalFormatting sqref="D1072:E1073 C1073:C1074 I1073:K1074">
    <cfRule type="expression" dxfId="1254" priority="881">
      <formula>$L1072:$L1125&lt;=0</formula>
    </cfRule>
  </conditionalFormatting>
  <conditionalFormatting sqref="D1076:E1077 I1076:I1077">
    <cfRule type="expression" dxfId="1253" priority="859">
      <formula>$L1076:$L1126&lt;=0</formula>
    </cfRule>
  </conditionalFormatting>
  <conditionalFormatting sqref="D1078:E1078 I1078">
    <cfRule type="expression" dxfId="1252" priority="868">
      <formula>$L1078:$L1126&lt;=0</formula>
    </cfRule>
  </conditionalFormatting>
  <conditionalFormatting sqref="D1079:E1138">
    <cfRule type="expression" dxfId="1251" priority="853">
      <formula>$L1079:$L1120&lt;=0</formula>
    </cfRule>
  </conditionalFormatting>
  <conditionalFormatting sqref="D1139:E1139 C1139:C1140 F1139:F1140 I1139:K1140">
    <cfRule type="expression" dxfId="1250" priority="840">
      <formula>$L1139:$L1152&lt;=0</formula>
    </cfRule>
  </conditionalFormatting>
  <conditionalFormatting sqref="D1140:E1140">
    <cfRule type="expression" dxfId="1249" priority="839">
      <formula>$L1140:$L1152&lt;=0</formula>
    </cfRule>
  </conditionalFormatting>
  <conditionalFormatting sqref="D1141:E1143">
    <cfRule type="expression" dxfId="1248" priority="832">
      <formula>$L1141:$L1182&lt;=0</formula>
    </cfRule>
  </conditionalFormatting>
  <conditionalFormatting sqref="D1144:E1144 C1149:C1150 F1149:F1150 I1149:L1150">
    <cfRule type="expression" dxfId="1247" priority="803">
      <formula>$L1144:$L1177&lt;=0</formula>
    </cfRule>
  </conditionalFormatting>
  <conditionalFormatting sqref="D1145:E1146">
    <cfRule type="expression" dxfId="1246" priority="817">
      <formula>$L1145:$L1177&lt;=0</formula>
    </cfRule>
  </conditionalFormatting>
  <conditionalFormatting sqref="D1147:E1147 C1151:C1152 F1151:F1152 I1151:I1152 L1151:L1152 J1151:K1153">
    <cfRule type="expression" dxfId="1245" priority="816">
      <formula>$L1147:$L1178&lt;=0</formula>
    </cfRule>
  </conditionalFormatting>
  <conditionalFormatting sqref="D1148:E1149">
    <cfRule type="expression" dxfId="1244" priority="801">
      <formula>$L1148:$L1178&lt;=0</formula>
    </cfRule>
  </conditionalFormatting>
  <conditionalFormatting sqref="D1150:E1152 C1153:C1154 F1153:F1154 I1153:I1154 L1153:L1154">
    <cfRule type="expression" dxfId="1243" priority="813">
      <formula>$L1150:$L1179&lt;=0</formula>
    </cfRule>
  </conditionalFormatting>
  <conditionalFormatting sqref="D1153:E1153 J1156:K1157">
    <cfRule type="expression" dxfId="1242" priority="809">
      <formula>$L1153:$L1179&lt;=0</formula>
    </cfRule>
  </conditionalFormatting>
  <conditionalFormatting sqref="D1154:E1156 C1157:C1159 F1157:F1159 I1157:I1159 L1157:L1159">
    <cfRule type="expression" dxfId="1241" priority="808">
      <formula>$L1154:$L1179&lt;=0</formula>
    </cfRule>
  </conditionalFormatting>
  <conditionalFormatting sqref="D1157:E1158">
    <cfRule type="expression" dxfId="1240" priority="805">
      <formula>$L1157:$L1180&lt;=0</formula>
    </cfRule>
  </conditionalFormatting>
  <conditionalFormatting sqref="D1159:E1160 C1160:C1161 F1160:F1161 I1160:L1161">
    <cfRule type="expression" dxfId="1239" priority="815">
      <formula>$L1159:$L1181&lt;=0</formula>
    </cfRule>
  </conditionalFormatting>
  <conditionalFormatting sqref="D1161:E1162">
    <cfRule type="expression" dxfId="1238" priority="804">
      <formula>$L1161:$L1182&lt;=0</formula>
    </cfRule>
  </conditionalFormatting>
  <conditionalFormatting sqref="D1165:E1166">
    <cfRule type="expression" dxfId="1237" priority="764">
      <formula>$L1165:$L1184&lt;=0</formula>
    </cfRule>
  </conditionalFormatting>
  <conditionalFormatting sqref="D1169:E1170 J1169:K1170">
    <cfRule type="expression" dxfId="1236" priority="780">
      <formula>$L1169:$L1184&lt;=0</formula>
    </cfRule>
  </conditionalFormatting>
  <conditionalFormatting sqref="D1171:E1172 J1171:K1172">
    <cfRule type="expression" dxfId="1235" priority="778">
      <formula>$L1171:$L1184&lt;=0</formula>
    </cfRule>
  </conditionalFormatting>
  <conditionalFormatting sqref="D1179:E1179 C1179:C1180 F1179:F1180 I1179:K1180 H1180:H1181 I1181:I1182">
    <cfRule type="expression" dxfId="1234" priority="760">
      <formula>$L1179:$L1199&lt;=0</formula>
    </cfRule>
  </conditionalFormatting>
  <conditionalFormatting sqref="D1180:E1181 C1181:C1183 F1181:F1183 I1181:K1183 H1182:H1184">
    <cfRule type="expression" dxfId="1233" priority="744">
      <formula>$L1180:$L1199&lt;=0</formula>
    </cfRule>
  </conditionalFormatting>
  <conditionalFormatting sqref="D1182:E1182">
    <cfRule type="expression" dxfId="1232" priority="762">
      <formula>$L1182:$L1200&lt;=0</formula>
    </cfRule>
  </conditionalFormatting>
  <conditionalFormatting sqref="D1183:E1183">
    <cfRule type="expression" dxfId="1231" priority="759">
      <formula>$L1183:$L1199&lt;=0</formula>
    </cfRule>
  </conditionalFormatting>
  <conditionalFormatting sqref="D1184:E1184 C1185 F1185 H1185:L1185 I1186:I1189 L1186:L1189">
    <cfRule type="expression" dxfId="1230" priority="758">
      <formula>$L1184:$L1199&lt;=0</formula>
    </cfRule>
  </conditionalFormatting>
  <conditionalFormatting sqref="D1185:E1185 H1186:H1187 C1186:C1188 F1186:F1188 I1186:K1188">
    <cfRule type="expression" dxfId="1229" priority="757">
      <formula>$L1185:$L1199&lt;=0</formula>
    </cfRule>
  </conditionalFormatting>
  <conditionalFormatting sqref="D1186:E1187 H1188:H1189">
    <cfRule type="expression" dxfId="1228" priority="756">
      <formula>$L1186:$L1199&lt;=0</formula>
    </cfRule>
  </conditionalFormatting>
  <conditionalFormatting sqref="D1193:E1193 C1193:C1194 F1193:F1194 I1193:K1194">
    <cfRule type="expression" dxfId="1227" priority="731">
      <formula>$L1193:$L1210&lt;=0</formula>
    </cfRule>
  </conditionalFormatting>
  <conditionalFormatting sqref="D1194:E1194 I1196:I1197 I1200 H1200:H1201">
    <cfRule type="expression" dxfId="1226" priority="729">
      <formula>$L1194:$L1210&lt;=0</formula>
    </cfRule>
  </conditionalFormatting>
  <conditionalFormatting sqref="D1197:E1197 C1198:C1199 F1198:F1199 I1198:K1199">
    <cfRule type="expression" dxfId="1225" priority="726">
      <formula>$L1197:$L1210&lt;=0</formula>
    </cfRule>
  </conditionalFormatting>
  <conditionalFormatting sqref="D1198:E1198 C1200:C1201 F1200:F1201 I1200:K1201">
    <cfRule type="expression" dxfId="1224" priority="724">
      <formula>$L1198:$L1210&lt;=0</formula>
    </cfRule>
  </conditionalFormatting>
  <conditionalFormatting sqref="D1200:E1201">
    <cfRule type="expression" dxfId="1223" priority="721">
      <formula>$L1200:$L1210&lt;=0</formula>
    </cfRule>
  </conditionalFormatting>
  <conditionalFormatting sqref="D1203:E1214">
    <cfRule type="expression" dxfId="1222" priority="681">
      <formula>$L1203:$L1244&lt;=0</formula>
    </cfRule>
  </conditionalFormatting>
  <conditionalFormatting sqref="D1215:E1225">
    <cfRule type="expression" dxfId="1221" priority="688">
      <formula>$L1215:$L1255&lt;=0</formula>
    </cfRule>
  </conditionalFormatting>
  <conditionalFormatting sqref="D1226:E1228">
    <cfRule type="expression" dxfId="1220" priority="672">
      <formula>$L1226:$L1267&lt;=0</formula>
    </cfRule>
  </conditionalFormatting>
  <conditionalFormatting sqref="D1229:E1247">
    <cfRule type="expression" dxfId="1219" priority="659">
      <formula>$L1229:$L1248&lt;=0</formula>
    </cfRule>
  </conditionalFormatting>
  <conditionalFormatting sqref="D1248:E1248">
    <cfRule type="expression" dxfId="1218" priority="669">
      <formula>$L1248:$L1266&lt;=0</formula>
    </cfRule>
  </conditionalFormatting>
  <conditionalFormatting sqref="D1249:E1249 G1249 I1251:I1254 C1254 F1254 J1254:K1254">
    <cfRule type="expression" dxfId="1217" priority="655">
      <formula>$L1249:$L1254&lt;=0</formula>
    </cfRule>
  </conditionalFormatting>
  <conditionalFormatting sqref="D1255:E1282">
    <cfRule type="expression" dxfId="1216" priority="639">
      <formula>$L1255:$L1287&lt;=0</formula>
    </cfRule>
  </conditionalFormatting>
  <conditionalFormatting sqref="D1283:E1300">
    <cfRule type="expression" dxfId="1215" priority="608">
      <formula>$L1283:$L1339&lt;=0</formula>
    </cfRule>
  </conditionalFormatting>
  <conditionalFormatting sqref="D1301:E1303">
    <cfRule type="expression" dxfId="1214" priority="579">
      <formula>$L1301:$L1322&lt;=0</formula>
    </cfRule>
  </conditionalFormatting>
  <conditionalFormatting sqref="D1305:E1314">
    <cfRule type="expression" dxfId="1213" priority="552">
      <formula>$L1305:$L1325&lt;=0</formula>
    </cfRule>
  </conditionalFormatting>
  <conditionalFormatting sqref="D1315:E1316">
    <cfRule type="expression" dxfId="1212" priority="551">
      <formula>$L1315:$L1334&lt;=0</formula>
    </cfRule>
  </conditionalFormatting>
  <conditionalFormatting sqref="D1338:E1347 J1342:J1347">
    <cfRule type="expression" dxfId="1211" priority="533">
      <formula>$L1338:$L1348&lt;=0</formula>
    </cfRule>
  </conditionalFormatting>
  <conditionalFormatting sqref="D1348:E1348">
    <cfRule type="expression" dxfId="1210" priority="506">
      <formula>$L1348:$L1363&lt;=0</formula>
    </cfRule>
  </conditionalFormatting>
  <conditionalFormatting sqref="D1349:E1349 C1349:C1351 F1349:F1351 I1349:L1351">
    <cfRule type="expression" dxfId="1209" priority="505">
      <formula>$L1349:$L1362&lt;=0</formula>
    </cfRule>
  </conditionalFormatting>
  <conditionalFormatting sqref="D1350:E1351">
    <cfRule type="expression" dxfId="1208" priority="514">
      <formula>$L1350:$L1362&lt;=0</formula>
    </cfRule>
  </conditionalFormatting>
  <conditionalFormatting sqref="D1352:E1370">
    <cfRule type="expression" dxfId="1207" priority="501">
      <formula>$L1352:$L1374&lt;=0</formula>
    </cfRule>
  </conditionalFormatting>
  <conditionalFormatting sqref="D1371:E1378">
    <cfRule type="expression" dxfId="1206" priority="482">
      <formula>$L1371:$L1392&lt;=0</formula>
    </cfRule>
  </conditionalFormatting>
  <conditionalFormatting sqref="D1379:E1381">
    <cfRule type="expression" dxfId="1205" priority="479">
      <formula>$L1379:$L1382&lt;=0</formula>
    </cfRule>
  </conditionalFormatting>
  <conditionalFormatting sqref="D1383:E1383 C1383:C1385 F1383:G1385 I1383:L1385">
    <cfRule type="expression" dxfId="1204" priority="466">
      <formula>$L1383:$L1385&lt;=0</formula>
    </cfRule>
  </conditionalFormatting>
  <conditionalFormatting sqref="D1384:E1385">
    <cfRule type="expression" dxfId="1203" priority="465">
      <formula>$L1384:$L1385&lt;=0</formula>
    </cfRule>
  </conditionalFormatting>
  <conditionalFormatting sqref="D1390:E1391">
    <cfRule type="expression" dxfId="1202" priority="436">
      <formula>$L1390:$L1431&lt;=0</formula>
    </cfRule>
  </conditionalFormatting>
  <conditionalFormatting sqref="D1390:E1395">
    <cfRule type="expression" dxfId="1201" priority="420">
      <formula>$L1390:$L1428&lt;=0</formula>
    </cfRule>
  </conditionalFormatting>
  <conditionalFormatting sqref="D1392:E1393 D1395:E1409">
    <cfRule type="expression" dxfId="1200" priority="424">
      <formula>$L1392:$L1412&lt;=0</formula>
    </cfRule>
  </conditionalFormatting>
  <conditionalFormatting sqref="D1411:E1426">
    <cfRule type="expression" dxfId="1199" priority="407">
      <formula>$L1411:$L1431&lt;=0</formula>
    </cfRule>
  </conditionalFormatting>
  <conditionalFormatting sqref="D1451:E1451 G1451 H1456">
    <cfRule type="expression" dxfId="1198" priority="402">
      <formula>$L1451:$L1462&lt;=0</formula>
    </cfRule>
  </conditionalFormatting>
  <conditionalFormatting sqref="D1452:E1452 G1452 H1457:H1458">
    <cfRule type="expression" dxfId="1197" priority="391">
      <formula>$L1452:$L1462&lt;=0</formula>
    </cfRule>
  </conditionalFormatting>
  <conditionalFormatting sqref="D1454:E1454 L1454 G1454:G1456 C1458 F1458 I1458:K1458 H1460:H1461">
    <cfRule type="expression" dxfId="1196" priority="389">
      <formula>$L1454:$L1462&lt;=0</formula>
    </cfRule>
  </conditionalFormatting>
  <conditionalFormatting sqref="D1455:E1455 I1455 L1455 C1459:C1462 F1459:F1462 I1459:K1462 H1462">
    <cfRule type="expression" dxfId="1195" priority="388">
      <formula>$L1455:$L1462&lt;=0</formula>
    </cfRule>
  </conditionalFormatting>
  <conditionalFormatting sqref="D1456:E1456 I1456 L1456:L1457">
    <cfRule type="expression" dxfId="1194" priority="385">
      <formula>$L1456:$L1462&lt;=0</formula>
    </cfRule>
  </conditionalFormatting>
  <conditionalFormatting sqref="D1457:E1457 I1457:I1459 G1457:G1462">
    <cfRule type="expression" dxfId="1193" priority="375">
      <formula>$L1457:$L1462&lt;=0</formula>
    </cfRule>
  </conditionalFormatting>
  <conditionalFormatting sqref="D1458:E1458">
    <cfRule type="expression" dxfId="1192" priority="374">
      <formula>$L1458:$L1462&lt;=0</formula>
    </cfRule>
  </conditionalFormatting>
  <conditionalFormatting sqref="D1459:E1459 L1459">
    <cfRule type="expression" dxfId="1191" priority="384">
      <formula>$L1459:$L1462&lt;=0</formula>
    </cfRule>
  </conditionalFormatting>
  <conditionalFormatting sqref="D1460:E1460 L1460 I1460:I1462">
    <cfRule type="expression" dxfId="1190" priority="387">
      <formula>$L1460:$L1462&lt;=0</formula>
    </cfRule>
  </conditionalFormatting>
  <conditionalFormatting sqref="D1461:E1461 L1461:L1462">
    <cfRule type="expression" dxfId="1189" priority="364">
      <formula>$L1461:$L1462&lt;=0</formula>
    </cfRule>
  </conditionalFormatting>
  <conditionalFormatting sqref="D1462:E1462">
    <cfRule type="expression" dxfId="1188" priority="404">
      <formula>$L1462:$L1462&lt;=0</formula>
    </cfRule>
  </conditionalFormatting>
  <conditionalFormatting sqref="D1498:E1596">
    <cfRule type="expression" dxfId="1187" priority="217">
      <formula>$L1498:$L1520&lt;=0</formula>
    </cfRule>
  </conditionalFormatting>
  <conditionalFormatting sqref="D1597:E1600 H1599:H1600">
    <cfRule type="expression" dxfId="1186" priority="206">
      <formula>$L1597:$L1618&lt;=0</formula>
    </cfRule>
  </conditionalFormatting>
  <conditionalFormatting sqref="D1601:E1645">
    <cfRule type="expression" dxfId="1185" priority="158">
      <formula>$L1601:$L1623&lt;=0</formula>
    </cfRule>
  </conditionalFormatting>
  <conditionalFormatting sqref="D1646:E1654 H1646:H1654">
    <cfRule type="expression" dxfId="1184" priority="139">
      <formula>$L1646:$L1664&lt;=0</formula>
    </cfRule>
  </conditionalFormatting>
  <conditionalFormatting sqref="D1655:E1682">
    <cfRule type="expression" dxfId="1183" priority="87">
      <formula>$L1655:$L1677&lt;=0</formula>
    </cfRule>
  </conditionalFormatting>
  <conditionalFormatting sqref="D1683:E1696">
    <cfRule type="expression" dxfId="1182" priority="68">
      <formula>$L1683:$L1704&lt;=0</formula>
    </cfRule>
  </conditionalFormatting>
  <conditionalFormatting sqref="D1697:E1697">
    <cfRule type="expression" dxfId="1181" priority="51">
      <formula>$L1697:$L1706&lt;=0</formula>
    </cfRule>
  </conditionalFormatting>
  <conditionalFormatting sqref="D1698:E1709 H1703:H1709">
    <cfRule type="expression" dxfId="1180" priority="44">
      <formula>$L1698:$L1720&lt;=0</formula>
    </cfRule>
  </conditionalFormatting>
  <conditionalFormatting sqref="D1713:E1716">
    <cfRule type="expression" dxfId="1179" priority="23">
      <formula>$L1713:$L1733&lt;=0</formula>
    </cfRule>
  </conditionalFormatting>
  <conditionalFormatting sqref="D1717:E1718 L1717:L1718">
    <cfRule type="expression" dxfId="1178" priority="9">
      <formula>$L1717:$L1727&lt;=0</formula>
    </cfRule>
  </conditionalFormatting>
  <conditionalFormatting sqref="D1394:F1394">
    <cfRule type="expression" dxfId="1177" priority="445">
      <formula>$L1394:$L1452&lt;=0</formula>
    </cfRule>
  </conditionalFormatting>
  <conditionalFormatting sqref="D1410:F1410">
    <cfRule type="expression" dxfId="1176" priority="444">
      <formula>$L1410:$L1468&lt;=0</formula>
    </cfRule>
  </conditionalFormatting>
  <conditionalFormatting sqref="F4:F9">
    <cfRule type="expression" dxfId="1175" priority="2097">
      <formula>$L4:$L163&lt;=0</formula>
    </cfRule>
  </conditionalFormatting>
  <conditionalFormatting sqref="F83">
    <cfRule type="expression" dxfId="1174" priority="2027">
      <formula>$L83:$L221&lt;=0</formula>
    </cfRule>
  </conditionalFormatting>
  <conditionalFormatting sqref="F84:F86">
    <cfRule type="expression" dxfId="1173" priority="2035">
      <formula>$L84:$L223&lt;=0</formula>
    </cfRule>
  </conditionalFormatting>
  <conditionalFormatting sqref="F87 H392:H420">
    <cfRule type="expression" dxfId="1172" priority="2026">
      <formula>$L87:$L229&lt;=0</formula>
    </cfRule>
  </conditionalFormatting>
  <conditionalFormatting sqref="F88">
    <cfRule type="expression" dxfId="1171" priority="2025">
      <formula>$L88:$L231&lt;=0</formula>
    </cfRule>
  </conditionalFormatting>
  <conditionalFormatting sqref="F100:F118">
    <cfRule type="expression" dxfId="1170" priority="1987">
      <formula>$L100:$L249&lt;=0</formula>
    </cfRule>
  </conditionalFormatting>
  <conditionalFormatting sqref="F119:F123">
    <cfRule type="expression" dxfId="1169" priority="1978">
      <formula>$L119:$L328&lt;=0</formula>
    </cfRule>
  </conditionalFormatting>
  <conditionalFormatting sqref="F127:F129">
    <cfRule type="expression" dxfId="1168" priority="1966">
      <formula>$L127:$L348&lt;=0</formula>
    </cfRule>
  </conditionalFormatting>
  <conditionalFormatting sqref="F225:F252">
    <cfRule type="expression" dxfId="1167" priority="1880">
      <formula>$L225:$L364&lt;=0</formula>
    </cfRule>
  </conditionalFormatting>
  <conditionalFormatting sqref="F563:F579 C566:C579 I566:K579 I583:I584">
    <cfRule type="expression" dxfId="1166" priority="1428">
      <formula>$L563:$L665&lt;=0</formula>
    </cfRule>
  </conditionalFormatting>
  <conditionalFormatting sqref="F956:F958 F960:F975">
    <cfRule type="expression" dxfId="1165" priority="936">
      <formula>$L956:$L998&lt;=0</formula>
    </cfRule>
  </conditionalFormatting>
  <conditionalFormatting sqref="F959">
    <cfRule type="expression" dxfId="1164" priority="933">
      <formula>$L959:$L1233&lt;=0</formula>
    </cfRule>
  </conditionalFormatting>
  <conditionalFormatting sqref="F1141:F1143">
    <cfRule type="expression" dxfId="1163" priority="831">
      <formula>$L1141:$L1169&lt;=0</formula>
    </cfRule>
  </conditionalFormatting>
  <conditionalFormatting sqref="F1283:F1300">
    <cfRule type="expression" dxfId="1162" priority="610">
      <formula>$L1283:$L1325&lt;=0</formula>
    </cfRule>
  </conditionalFormatting>
  <conditionalFormatting sqref="F1301:F1303">
    <cfRule type="expression" dxfId="1161" priority="574">
      <formula>$L1301:$L1358&lt;=0</formula>
    </cfRule>
  </conditionalFormatting>
  <conditionalFormatting sqref="F1305:F1312 F1314:F1316">
    <cfRule type="expression" dxfId="1160" priority="548">
      <formula>$L1305:$L1361&lt;=0</formula>
    </cfRule>
  </conditionalFormatting>
  <conditionalFormatting sqref="F1392:F1393 J1392:J1393 F1395:F1409 J1395:J1409">
    <cfRule type="expression" dxfId="1159" priority="443">
      <formula>$L1392:$L1451&lt;=0</formula>
    </cfRule>
  </conditionalFormatting>
  <conditionalFormatting sqref="F1411:F1426 J1411:J1426">
    <cfRule type="expression" dxfId="1158" priority="408">
      <formula>$L1411:$L1470&lt;=0</formula>
    </cfRule>
  </conditionalFormatting>
  <conditionalFormatting sqref="F1553:F1585">
    <cfRule type="expression" dxfId="1157" priority="245">
      <formula>$L1553:$L1595&lt;=0</formula>
    </cfRule>
  </conditionalFormatting>
  <conditionalFormatting sqref="F1655:F1656">
    <cfRule type="expression" dxfId="1156" priority="131">
      <formula>$L1655:$L1697&lt;=0</formula>
    </cfRule>
  </conditionalFormatting>
  <conditionalFormatting sqref="F1657:F1662 G1659:G1674 H1675:H1676">
    <cfRule type="expression" dxfId="1155" priority="121">
      <formula>$L1657:$L1679&lt;=0</formula>
    </cfRule>
  </conditionalFormatting>
  <conditionalFormatting sqref="F1663">
    <cfRule type="expression" dxfId="1154" priority="124">
      <formula>$L1663:$L1675&lt;=0</formula>
    </cfRule>
  </conditionalFormatting>
  <conditionalFormatting sqref="F1664:F1666">
    <cfRule type="expression" dxfId="1153" priority="123">
      <formula>$L1664:$L1675&lt;=0</formula>
    </cfRule>
  </conditionalFormatting>
  <conditionalFormatting sqref="F1667:F1672">
    <cfRule type="expression" dxfId="1152" priority="106">
      <formula>$L1667:$L1676&lt;=0</formula>
    </cfRule>
  </conditionalFormatting>
  <conditionalFormatting sqref="F1673:F1674 H1675:H1676">
    <cfRule type="expression" dxfId="1151" priority="117">
      <formula>$L1673:$L1681&lt;=0</formula>
    </cfRule>
  </conditionalFormatting>
  <conditionalFormatting sqref="F1683:F1687">
    <cfRule type="expression" dxfId="1150" priority="67">
      <formula>$L1683:$L1702&lt;=0</formula>
    </cfRule>
  </conditionalFormatting>
  <conditionalFormatting sqref="F1688:F1696">
    <cfRule type="expression" dxfId="1149" priority="58">
      <formula>$L1688:$L1697&lt;=0</formula>
    </cfRule>
  </conditionalFormatting>
  <conditionalFormatting sqref="F1698:F1699">
    <cfRule type="expression" dxfId="1148" priority="33">
      <formula>$L1698:$L1717&lt;=0</formula>
    </cfRule>
  </conditionalFormatting>
  <conditionalFormatting sqref="F2:I3">
    <cfRule type="expression" dxfId="1147" priority="1995">
      <formula>$L2:$L167&lt;=0</formula>
    </cfRule>
  </conditionalFormatting>
  <conditionalFormatting sqref="F30:I30">
    <cfRule type="expression" dxfId="1146" priority="2057">
      <formula>$L30:$L191&lt;=0</formula>
    </cfRule>
  </conditionalFormatting>
  <conditionalFormatting sqref="F32:I32 L32">
    <cfRule type="expression" dxfId="1145" priority="2056">
      <formula>$L32:$L184&lt;=0</formula>
    </cfRule>
  </conditionalFormatting>
  <conditionalFormatting sqref="F77:I77">
    <cfRule type="expression" dxfId="1144" priority="2038">
      <formula>$L77:$L225&lt;=0</formula>
    </cfRule>
  </conditionalFormatting>
  <conditionalFormatting sqref="F89:J90">
    <cfRule type="expression" dxfId="1143" priority="2004">
      <formula>$L89:$L239&lt;=0</formula>
    </cfRule>
  </conditionalFormatting>
  <conditionalFormatting sqref="F91:J92">
    <cfRule type="expression" dxfId="1142" priority="2003">
      <formula>$L91:$L240&lt;=0</formula>
    </cfRule>
  </conditionalFormatting>
  <conditionalFormatting sqref="F93:J94">
    <cfRule type="expression" dxfId="1141" priority="2002">
      <formula>$L93:$L241&lt;=0</formula>
    </cfRule>
  </conditionalFormatting>
  <conditionalFormatting sqref="F95:J95 I283:I287">
    <cfRule type="expression" dxfId="1140" priority="2001">
      <formula>$L95:$L242&lt;=0</formula>
    </cfRule>
  </conditionalFormatting>
  <conditionalFormatting sqref="F96:J97">
    <cfRule type="expression" dxfId="1139" priority="2000">
      <formula>$L96:$L242&lt;=0</formula>
    </cfRule>
  </conditionalFormatting>
  <conditionalFormatting sqref="F98:J98">
    <cfRule type="expression" dxfId="1138" priority="1999">
      <formula>$L98:$L243&lt;=0</formula>
    </cfRule>
  </conditionalFormatting>
  <conditionalFormatting sqref="F99:J99">
    <cfRule type="expression" dxfId="1137" priority="1998">
      <formula>$L99:$L243&lt;=0</formula>
    </cfRule>
  </conditionalFormatting>
  <conditionalFormatting sqref="G4:G9">
    <cfRule type="expression" dxfId="1136" priority="2093">
      <formula>$L4:$L352&lt;=0</formula>
    </cfRule>
    <cfRule type="expression" dxfId="1135" priority="2092">
      <formula>$L4:$L384&lt;=0</formula>
    </cfRule>
  </conditionalFormatting>
  <conditionalFormatting sqref="G83:G88">
    <cfRule type="expression" dxfId="1134" priority="89744">
      <formula>$L83:$L438&lt;=0</formula>
    </cfRule>
    <cfRule type="expression" dxfId="1133" priority="89745">
      <formula>$L83:$L411&lt;=0</formula>
    </cfRule>
  </conditionalFormatting>
  <conditionalFormatting sqref="G100:G114">
    <cfRule type="expression" dxfId="1132" priority="89746">
      <formula>$L100:$L465&lt;=0</formula>
    </cfRule>
  </conditionalFormatting>
  <conditionalFormatting sqref="G100:G118">
    <cfRule type="expression" dxfId="1131" priority="89747">
      <formula>$L100:$L433&lt;=0</formula>
    </cfRule>
  </conditionalFormatting>
  <conditionalFormatting sqref="G115:G118">
    <cfRule type="expression" dxfId="1130" priority="103611">
      <formula>$L115:$L479&lt;=0</formula>
    </cfRule>
  </conditionalFormatting>
  <conditionalFormatting sqref="G119">
    <cfRule type="expression" dxfId="1129" priority="1980">
      <formula>$L119:$L233&lt;=0</formula>
    </cfRule>
  </conditionalFormatting>
  <conditionalFormatting sqref="G120:G121">
    <cfRule type="expression" dxfId="1128" priority="1977">
      <formula>$L120:$L233&lt;=0</formula>
    </cfRule>
  </conditionalFormatting>
  <conditionalFormatting sqref="G122:G123">
    <cfRule type="expression" dxfId="1127" priority="1979">
      <formula>$L122:$L234&lt;=0</formula>
    </cfRule>
  </conditionalFormatting>
  <conditionalFormatting sqref="G130:G155 G392:G401">
    <cfRule type="expression" dxfId="1126" priority="1943">
      <formula>$L121:$L159&lt;=0</formula>
    </cfRule>
  </conditionalFormatting>
  <conditionalFormatting sqref="G156:G157 H669 H671:H675 G677:G697 D735:E735">
    <cfRule type="expression" dxfId="1125" priority="1935">
      <formula>$L156:$L185&lt;=0</formula>
    </cfRule>
  </conditionalFormatting>
  <conditionalFormatting sqref="G158:G167">
    <cfRule type="expression" dxfId="1124" priority="1927">
      <formula>$L149:$L187&lt;=0</formula>
    </cfRule>
  </conditionalFormatting>
  <conditionalFormatting sqref="G168:G181 G402:G406">
    <cfRule type="expression" dxfId="1123" priority="1926">
      <formula>$L159:$L196&lt;=0</formula>
    </cfRule>
  </conditionalFormatting>
  <conditionalFormatting sqref="G182:G222">
    <cfRule type="expression" dxfId="1122" priority="1902">
      <formula>$L173:$L211&lt;=0</formula>
    </cfRule>
  </conditionalFormatting>
  <conditionalFormatting sqref="G223:G224">
    <cfRule type="expression" dxfId="1121" priority="1894">
      <formula>$L223:$L252&lt;=0</formula>
    </cfRule>
  </conditionalFormatting>
  <conditionalFormatting sqref="G225 G227 G229 G231 G233 G235 G237 G239 G241 G243 G245 G247 G249 G251">
    <cfRule type="expression" dxfId="1120" priority="1884">
      <formula>$L225:$L373&lt;=0</formula>
    </cfRule>
  </conditionalFormatting>
  <conditionalFormatting sqref="G253">
    <cfRule type="expression" dxfId="1119" priority="1872">
      <formula>$L109:$L271&lt;=0</formula>
    </cfRule>
  </conditionalFormatting>
  <conditionalFormatting sqref="G254:G258">
    <cfRule type="expression" dxfId="1118" priority="1866">
      <formula>$L246:$L283&lt;=0</formula>
    </cfRule>
  </conditionalFormatting>
  <conditionalFormatting sqref="G259:G263">
    <cfRule type="expression" dxfId="1117" priority="1868">
      <formula>$L250:$L288&lt;=0</formula>
    </cfRule>
  </conditionalFormatting>
  <conditionalFormatting sqref="G264:G272">
    <cfRule type="expression" dxfId="1116" priority="1867">
      <formula>$L255:$L292&lt;=0</formula>
    </cfRule>
  </conditionalFormatting>
  <conditionalFormatting sqref="G273:G274">
    <cfRule type="expression" dxfId="1115" priority="1855">
      <formula>$L273:$L302&lt;=0</formula>
    </cfRule>
  </conditionalFormatting>
  <conditionalFormatting sqref="G275:G277">
    <cfRule type="expression" dxfId="1114" priority="1854">
      <formula>$L268:$L304&lt;=0</formula>
    </cfRule>
  </conditionalFormatting>
  <conditionalFormatting sqref="G278:G300">
    <cfRule type="expression" dxfId="1113" priority="1839">
      <formula>$L269:$L307&lt;=0</formula>
    </cfRule>
  </conditionalFormatting>
  <conditionalFormatting sqref="G301:G306">
    <cfRule type="expression" dxfId="1112" priority="1826">
      <formula>$L292:$L311&lt;=0</formula>
    </cfRule>
  </conditionalFormatting>
  <conditionalFormatting sqref="G307:G310 G718:G719">
    <cfRule type="expression" dxfId="1111" priority="1818">
      <formula>$L298:$L326&lt;=0</formula>
    </cfRule>
  </conditionalFormatting>
  <conditionalFormatting sqref="G312:G318">
    <cfRule type="expression" dxfId="1110" priority="1779">
      <formula>$L312:$L330&lt;=0</formula>
    </cfRule>
  </conditionalFormatting>
  <conditionalFormatting sqref="G319:G322">
    <cfRule type="expression" dxfId="1109" priority="1778">
      <formula>$L310:$L328&lt;=0</formula>
    </cfRule>
  </conditionalFormatting>
  <conditionalFormatting sqref="G323 G421:G427">
    <cfRule type="expression" dxfId="1108" priority="1766">
      <formula>$L323:$L347&lt;=0</formula>
    </cfRule>
  </conditionalFormatting>
  <conditionalFormatting sqref="G324:G331">
    <cfRule type="expression" dxfId="1107" priority="1765">
      <formula>$L323:$L339&lt;=0</formula>
    </cfRule>
  </conditionalFormatting>
  <conditionalFormatting sqref="G332:G333">
    <cfRule type="expression" dxfId="1106" priority="1767">
      <formula>$L323:$L347&lt;=0</formula>
    </cfRule>
  </conditionalFormatting>
  <conditionalFormatting sqref="G334">
    <cfRule type="expression" dxfId="1105" priority="1749">
      <formula>$L325:$L351&lt;=0</formula>
    </cfRule>
  </conditionalFormatting>
  <conditionalFormatting sqref="G335:G338">
    <cfRule type="expression" dxfId="1104" priority="1748">
      <formula>$L326:$L351&lt;=0</formula>
    </cfRule>
  </conditionalFormatting>
  <conditionalFormatting sqref="G339:G347">
    <cfRule type="expression" dxfId="1103" priority="1747">
      <formula>$L330:$L354&lt;=0</formula>
    </cfRule>
  </conditionalFormatting>
  <conditionalFormatting sqref="G348:G349">
    <cfRule type="expression" dxfId="1102" priority="1730">
      <formula>$L45:$L355&lt;=0</formula>
    </cfRule>
  </conditionalFormatting>
  <conditionalFormatting sqref="G350:G351">
    <cfRule type="expression" dxfId="1101" priority="1722">
      <formula>$L341:$L359&lt;=0</formula>
    </cfRule>
  </conditionalFormatting>
  <conditionalFormatting sqref="G352">
    <cfRule type="expression" dxfId="1100" priority="1721">
      <formula>$L343:$L354&lt;=0</formula>
    </cfRule>
  </conditionalFormatting>
  <conditionalFormatting sqref="G353:G355">
    <cfRule type="expression" dxfId="1099" priority="1710">
      <formula>$L345:$L382&lt;=0</formula>
    </cfRule>
  </conditionalFormatting>
  <conditionalFormatting sqref="G356">
    <cfRule type="expression" dxfId="1098" priority="1711">
      <formula>$L347:$L385&lt;=0</formula>
    </cfRule>
  </conditionalFormatting>
  <conditionalFormatting sqref="G407:G420 G430">
    <cfRule type="expression" dxfId="1097" priority="1667">
      <formula>$L398:$L431&lt;=0</formula>
    </cfRule>
  </conditionalFormatting>
  <conditionalFormatting sqref="G428:G429">
    <cfRule type="expression" dxfId="1096" priority="89752">
      <formula>$L421:$L452&lt;=0</formula>
    </cfRule>
  </conditionalFormatting>
  <conditionalFormatting sqref="G431">
    <cfRule type="expression" dxfId="1095" priority="1634">
      <formula>$L431:$L438&lt;=0</formula>
    </cfRule>
  </conditionalFormatting>
  <conditionalFormatting sqref="G432">
    <cfRule type="expression" dxfId="1094" priority="1633">
      <formula>$L432:$L438&lt;=0</formula>
    </cfRule>
  </conditionalFormatting>
  <conditionalFormatting sqref="G448:G450">
    <cfRule type="expression" dxfId="1093" priority="99234">
      <formula>$L455:$L1048576&lt;=0</formula>
    </cfRule>
  </conditionalFormatting>
  <conditionalFormatting sqref="G451">
    <cfRule type="expression" dxfId="1092" priority="1597">
      <formula>$L451:$L452&lt;=0</formula>
    </cfRule>
  </conditionalFormatting>
  <conditionalFormatting sqref="G452:G455 G915">
    <cfRule type="expression" dxfId="1091" priority="1591">
      <formula>$L452:$L464&lt;=0</formula>
    </cfRule>
  </conditionalFormatting>
  <conditionalFormatting sqref="G456:G457 C1056:C1058 F1056:G1058 I1056:I1058">
    <cfRule type="expression" dxfId="1090" priority="896">
      <formula>$L456:$L478&lt;=0</formula>
    </cfRule>
  </conditionalFormatting>
  <conditionalFormatting sqref="G458:G464 C1059 F1059:G1059 I1059">
    <cfRule type="expression" dxfId="1089" priority="888">
      <formula>$L458:$L479&lt;=0</formula>
    </cfRule>
  </conditionalFormatting>
  <conditionalFormatting sqref="G465:G466 G524">
    <cfRule type="expression" dxfId="1088" priority="1493">
      <formula>$L456:$L479&lt;=0</formula>
    </cfRule>
  </conditionalFormatting>
  <conditionalFormatting sqref="G467:G477 G525">
    <cfRule type="expression" dxfId="1087" priority="1482">
      <formula>$L458:$L480&lt;=0</formula>
    </cfRule>
  </conditionalFormatting>
  <conditionalFormatting sqref="G478:G479 D1059:E1060">
    <cfRule type="expression" dxfId="1086" priority="895">
      <formula>$L478:$L479&lt;=0</formula>
    </cfRule>
  </conditionalFormatting>
  <conditionalFormatting sqref="G480:G481 C1141:C1143 I1141:K1143">
    <cfRule type="expression" dxfId="1085" priority="828">
      <formula>$L480:$L489&lt;=0</formula>
    </cfRule>
  </conditionalFormatting>
  <conditionalFormatting sqref="G482:G485">
    <cfRule type="expression" dxfId="1084" priority="103619">
      <formula>$L480:$L487&lt;=0</formula>
    </cfRule>
  </conditionalFormatting>
  <conditionalFormatting sqref="G486:G487">
    <cfRule type="expression" dxfId="1083" priority="103620">
      <formula>$L480:$L487&lt;=0</formula>
    </cfRule>
  </conditionalFormatting>
  <conditionalFormatting sqref="G488:G496">
    <cfRule type="expression" dxfId="1082" priority="1498">
      <formula>$L488:$L517&lt;=0</formula>
    </cfRule>
  </conditionalFormatting>
  <conditionalFormatting sqref="G497:G503">
    <cfRule type="expression" dxfId="1081" priority="1499">
      <formula>$L488:$L525&lt;=0</formula>
    </cfRule>
  </conditionalFormatting>
  <conditionalFormatting sqref="G504:G508">
    <cfRule type="expression" dxfId="1080" priority="1497">
      <formula>$L495:$L531&lt;=0</formula>
    </cfRule>
  </conditionalFormatting>
  <conditionalFormatting sqref="G509:G514">
    <cfRule type="expression" dxfId="1079" priority="1496">
      <formula>$L500:$L526&lt;=0</formula>
    </cfRule>
  </conditionalFormatting>
  <conditionalFormatting sqref="G515:G522">
    <cfRule type="expression" dxfId="1078" priority="1495">
      <formula>$L506:$L531&lt;=0</formula>
    </cfRule>
  </conditionalFormatting>
  <conditionalFormatting sqref="G523">
    <cfRule type="expression" dxfId="1077" priority="1494">
      <formula>$L514:$L538&lt;=0</formula>
    </cfRule>
  </conditionalFormatting>
  <conditionalFormatting sqref="G526:G530">
    <cfRule type="expression" dxfId="1076" priority="1473">
      <formula>$L517:$L553&lt;=0</formula>
    </cfRule>
  </conditionalFormatting>
  <conditionalFormatting sqref="G531:G537">
    <cfRule type="expression" dxfId="1075" priority="1472">
      <formula>$L522:$L546&lt;=0</formula>
    </cfRule>
  </conditionalFormatting>
  <conditionalFormatting sqref="G538:G545">
    <cfRule type="expression" dxfId="1074" priority="1471">
      <formula>$L529:$L552&lt;=0</formula>
    </cfRule>
  </conditionalFormatting>
  <conditionalFormatting sqref="G553:G562">
    <cfRule type="expression" dxfId="1073" priority="1451">
      <formula>$L544:$L581&lt;=0</formula>
    </cfRule>
  </conditionalFormatting>
  <conditionalFormatting sqref="G566:G621">
    <cfRule type="expression" dxfId="1072" priority="1389">
      <formula>$L566:$L595&lt;=0</formula>
    </cfRule>
  </conditionalFormatting>
  <conditionalFormatting sqref="G642:G647">
    <cfRule type="expression" dxfId="1071" priority="1336">
      <formula>$L642:$L654&lt;=0</formula>
    </cfRule>
  </conditionalFormatting>
  <conditionalFormatting sqref="G648">
    <cfRule type="expression" dxfId="1070" priority="1311">
      <formula>$L642:$L675&lt;=0</formula>
    </cfRule>
  </conditionalFormatting>
  <conditionalFormatting sqref="G649">
    <cfRule type="expression" dxfId="1069" priority="1310">
      <formula>$L643:$L675&lt;=0</formula>
    </cfRule>
  </conditionalFormatting>
  <conditionalFormatting sqref="G650">
    <cfRule type="expression" dxfId="1068" priority="1309">
      <formula>$L644:$L675&lt;=0</formula>
    </cfRule>
  </conditionalFormatting>
  <conditionalFormatting sqref="G651">
    <cfRule type="expression" dxfId="1067" priority="1308">
      <formula>$L642:$L675&lt;=0</formula>
    </cfRule>
  </conditionalFormatting>
  <conditionalFormatting sqref="G652:G653">
    <cfRule type="expression" dxfId="1066" priority="1307">
      <formula>$L643:$L675&lt;=0</formula>
    </cfRule>
  </conditionalFormatting>
  <conditionalFormatting sqref="G654">
    <cfRule type="expression" dxfId="1065" priority="1306">
      <formula>$L645:$L675&lt;=0</formula>
    </cfRule>
  </conditionalFormatting>
  <conditionalFormatting sqref="G655">
    <cfRule type="expression" dxfId="1064" priority="1305">
      <formula>$L646:$L675&lt;=0</formula>
    </cfRule>
  </conditionalFormatting>
  <conditionalFormatting sqref="G656">
    <cfRule type="expression" dxfId="1063" priority="1314">
      <formula>$L647:$L675&lt;=0</formula>
    </cfRule>
  </conditionalFormatting>
  <conditionalFormatting sqref="G657 G708:G716">
    <cfRule type="expression" dxfId="1062" priority="1304">
      <formula>$L648:$L675&lt;=0</formula>
    </cfRule>
  </conditionalFormatting>
  <conditionalFormatting sqref="G658:G665">
    <cfRule type="expression" dxfId="1061" priority="1303">
      <formula>$L650:$L676&lt;=0</formula>
    </cfRule>
  </conditionalFormatting>
  <conditionalFormatting sqref="G666">
    <cfRule type="expression" dxfId="1060" priority="1302">
      <formula>$L658:$L675&lt;=0</formula>
    </cfRule>
  </conditionalFormatting>
  <conditionalFormatting sqref="G667:G669">
    <cfRule type="expression" dxfId="1059" priority="1301">
      <formula>$L658:$L676&lt;=0</formula>
    </cfRule>
  </conditionalFormatting>
  <conditionalFormatting sqref="G670">
    <cfRule type="expression" dxfId="1058" priority="1300">
      <formula>$L661:$L675&lt;=0</formula>
    </cfRule>
  </conditionalFormatting>
  <conditionalFormatting sqref="G671">
    <cfRule type="expression" dxfId="1057" priority="1299">
      <formula>$L662:$L675&lt;=0</formula>
    </cfRule>
  </conditionalFormatting>
  <conditionalFormatting sqref="G672">
    <cfRule type="expression" dxfId="1056" priority="1313">
      <formula>$L663:$L675&lt;=0</formula>
    </cfRule>
  </conditionalFormatting>
  <conditionalFormatting sqref="G673:G675">
    <cfRule type="expression" dxfId="1055" priority="1298">
      <formula>$L664:$L675&lt;=0</formula>
    </cfRule>
  </conditionalFormatting>
  <conditionalFormatting sqref="G676">
    <cfRule type="expression" dxfId="1054" priority="1277">
      <formula>$L676:$L679&lt;=0</formula>
    </cfRule>
  </conditionalFormatting>
  <conditionalFormatting sqref="G698:G700">
    <cfRule type="expression" dxfId="1053" priority="1237">
      <formula>$L698:$L719&lt;=0</formula>
    </cfRule>
  </conditionalFormatting>
  <conditionalFormatting sqref="G701:G706 G902:G903">
    <cfRule type="expression" dxfId="1052" priority="1236">
      <formula>$L701:$L720&lt;=0</formula>
    </cfRule>
  </conditionalFormatting>
  <conditionalFormatting sqref="G707">
    <cfRule type="expression" dxfId="1051" priority="1250">
      <formula>$L698:$L726&lt;=0</formula>
    </cfRule>
  </conditionalFormatting>
  <conditionalFormatting sqref="G717">
    <cfRule type="expression" dxfId="1050" priority="100407">
      <formula>$L708:$L947&lt;=0</formula>
    </cfRule>
  </conditionalFormatting>
  <conditionalFormatting sqref="G765:G775">
    <cfRule type="expression" dxfId="1049" priority="1200">
      <formula>$L765:$L777&lt;=0</formula>
    </cfRule>
  </conditionalFormatting>
  <conditionalFormatting sqref="G776:G777">
    <cfRule type="expression" dxfId="1048" priority="1183">
      <formula>$L776:$L787&lt;=0</formula>
    </cfRule>
  </conditionalFormatting>
  <conditionalFormatting sqref="G778">
    <cfRule type="expression" dxfId="1047" priority="1202">
      <formula>$L778:$L788&lt;=0</formula>
    </cfRule>
  </conditionalFormatting>
  <conditionalFormatting sqref="G779:G780">
    <cfRule type="expression" dxfId="1046" priority="1199">
      <formula>$L779:$L788&lt;=0</formula>
    </cfRule>
  </conditionalFormatting>
  <conditionalFormatting sqref="G781:G782">
    <cfRule type="expression" dxfId="1045" priority="1198">
      <formula>$L781:$L789&lt;=0</formula>
    </cfRule>
  </conditionalFormatting>
  <conditionalFormatting sqref="G783:G785">
    <cfRule type="expression" dxfId="1044" priority="1197">
      <formula>$L783:$L790&lt;=0</formula>
    </cfRule>
  </conditionalFormatting>
  <conditionalFormatting sqref="G786:G787">
    <cfRule type="expression" dxfId="1043" priority="1196">
      <formula>$L786:$L792&lt;=0</formula>
    </cfRule>
  </conditionalFormatting>
  <conditionalFormatting sqref="G788:G792">
    <cfRule type="expression" dxfId="1042" priority="1144">
      <formula>$L788:$L809&lt;=0</formula>
    </cfRule>
  </conditionalFormatting>
  <conditionalFormatting sqref="G793 G900:G901">
    <cfRule type="expression" dxfId="1041" priority="1142">
      <formula>$L793:$L813&lt;=0</formula>
    </cfRule>
  </conditionalFormatting>
  <conditionalFormatting sqref="G794">
    <cfRule type="expression" dxfId="1040" priority="1167">
      <formula>$L785:$L808&lt;=0</formula>
    </cfRule>
  </conditionalFormatting>
  <conditionalFormatting sqref="G795:G796">
    <cfRule type="expression" dxfId="1039" priority="1166">
      <formula>$L786:$L808&lt;=0</formula>
    </cfRule>
  </conditionalFormatting>
  <conditionalFormatting sqref="G797:G799">
    <cfRule type="expression" dxfId="1038" priority="1169">
      <formula>$L788:$L809&lt;=0</formula>
    </cfRule>
  </conditionalFormatting>
  <conditionalFormatting sqref="G800">
    <cfRule type="expression" dxfId="1037" priority="1165">
      <formula>$L791:$L808&lt;=0</formula>
    </cfRule>
  </conditionalFormatting>
  <conditionalFormatting sqref="G801:G802">
    <cfRule type="expression" dxfId="1036" priority="1168">
      <formula>$L792:$L808&lt;=0</formula>
    </cfRule>
  </conditionalFormatting>
  <conditionalFormatting sqref="G803:G807">
    <cfRule type="expression" dxfId="1035" priority="1164">
      <formula>$L794:$L809&lt;=0</formula>
    </cfRule>
  </conditionalFormatting>
  <conditionalFormatting sqref="G808">
    <cfRule type="expression" dxfId="1034" priority="1163">
      <formula>$L799:$L813&lt;=0</formula>
    </cfRule>
  </conditionalFormatting>
  <conditionalFormatting sqref="G809:G811">
    <cfRule type="expression" dxfId="1033" priority="1135">
      <formula>$L809:$L818&lt;=0</formula>
    </cfRule>
  </conditionalFormatting>
  <conditionalFormatting sqref="G812">
    <cfRule type="expression" dxfId="1032" priority="1130">
      <formula>$L809:$L818&lt;=0</formula>
    </cfRule>
  </conditionalFormatting>
  <conditionalFormatting sqref="G813:G814">
    <cfRule type="expression" dxfId="1031" priority="1129">
      <formula>$L810:$L818&lt;=0</formula>
    </cfRule>
  </conditionalFormatting>
  <conditionalFormatting sqref="G815:G831">
    <cfRule type="expression" dxfId="1030" priority="1117">
      <formula>$L815:$L827&lt;=0</formula>
    </cfRule>
  </conditionalFormatting>
  <conditionalFormatting sqref="G848">
    <cfRule type="expression" dxfId="1029" priority="1091">
      <formula>$L848:$L850&lt;=0</formula>
    </cfRule>
  </conditionalFormatting>
  <conditionalFormatting sqref="G849:G850">
    <cfRule type="expression" dxfId="1028" priority="1090">
      <formula>$L849:$L850&lt;=0</formula>
    </cfRule>
  </conditionalFormatting>
  <conditionalFormatting sqref="G851:G875">
    <cfRule type="expression" dxfId="1027" priority="1073">
      <formula>$L851:$L863&lt;=0</formula>
    </cfRule>
  </conditionalFormatting>
  <conditionalFormatting sqref="G876">
    <cfRule type="expression" dxfId="1026" priority="1028">
      <formula>$L867:$L895&lt;=0</formula>
    </cfRule>
  </conditionalFormatting>
  <conditionalFormatting sqref="G877">
    <cfRule type="expression" dxfId="1025" priority="1027">
      <formula>$L868:$L889&lt;=0</formula>
    </cfRule>
  </conditionalFormatting>
  <conditionalFormatting sqref="G878:G881">
    <cfRule type="expression" dxfId="1024" priority="1026">
      <formula>$L869:$L889&lt;=0</formula>
    </cfRule>
  </conditionalFormatting>
  <conditionalFormatting sqref="G882:G885">
    <cfRule type="expression" dxfId="1023" priority="1025">
      <formula>$L873:$L889&lt;=0</formula>
    </cfRule>
  </conditionalFormatting>
  <conditionalFormatting sqref="G886:G887">
    <cfRule type="expression" dxfId="1022" priority="1024">
      <formula>$L877:$L889&lt;=0</formula>
    </cfRule>
  </conditionalFormatting>
  <conditionalFormatting sqref="G888:G889">
    <cfRule type="expression" dxfId="1021" priority="1023">
      <formula>$L879:$L889&lt;=0</formula>
    </cfRule>
  </conditionalFormatting>
  <conditionalFormatting sqref="G908:G910">
    <cfRule type="expression" dxfId="1020" priority="985">
      <formula>$L908:$L924&lt;=0</formula>
    </cfRule>
  </conditionalFormatting>
  <conditionalFormatting sqref="G916:G932">
    <cfRule type="expression" dxfId="1019" priority="975">
      <formula>$L916:$L983&lt;=0</formula>
    </cfRule>
  </conditionalFormatting>
  <conditionalFormatting sqref="G933:G939">
    <cfRule type="expression" dxfId="1018" priority="953">
      <formula>$L933:$L952&lt;=0</formula>
    </cfRule>
  </conditionalFormatting>
  <conditionalFormatting sqref="G940">
    <cfRule type="expression" dxfId="1017" priority="966">
      <formula>$L940:$L953&lt;=0</formula>
    </cfRule>
  </conditionalFormatting>
  <conditionalFormatting sqref="G941">
    <cfRule type="expression" dxfId="1016" priority="961">
      <formula>$L941:$L953&lt;=0</formula>
    </cfRule>
  </conditionalFormatting>
  <conditionalFormatting sqref="G942">
    <cfRule type="expression" dxfId="1015" priority="965">
      <formula>$L942:$L953&lt;=0</formula>
    </cfRule>
  </conditionalFormatting>
  <conditionalFormatting sqref="G943:G944">
    <cfRule type="expression" dxfId="1014" priority="964">
      <formula>$L943:$L953&lt;=0</formula>
    </cfRule>
  </conditionalFormatting>
  <conditionalFormatting sqref="G945:G946">
    <cfRule type="expression" dxfId="1013" priority="955">
      <formula>$L945:$L953&lt;=0</formula>
    </cfRule>
  </conditionalFormatting>
  <conditionalFormatting sqref="G947">
    <cfRule type="expression" dxfId="1012" priority="960">
      <formula>$L947:$L954&lt;=0</formula>
    </cfRule>
  </conditionalFormatting>
  <conditionalFormatting sqref="G948:G949">
    <cfRule type="expression" dxfId="1011" priority="963">
      <formula>$L948:$L954&lt;=0</formula>
    </cfRule>
  </conditionalFormatting>
  <conditionalFormatting sqref="G950:G952">
    <cfRule type="expression" dxfId="1010" priority="962">
      <formula>$L950:$L955&lt;=0</formula>
    </cfRule>
  </conditionalFormatting>
  <conditionalFormatting sqref="G953">
    <cfRule type="expression" dxfId="1009" priority="942">
      <formula>$L953:$L953&lt;=0</formula>
    </cfRule>
  </conditionalFormatting>
  <conditionalFormatting sqref="G956:G975">
    <cfRule type="expression" dxfId="1008" priority="935">
      <formula>$L956:$L1023&lt;=0</formula>
    </cfRule>
  </conditionalFormatting>
  <conditionalFormatting sqref="G976">
    <cfRule type="expression" dxfId="1007" priority="924">
      <formula>$L976:$L978&lt;=0</formula>
    </cfRule>
  </conditionalFormatting>
  <conditionalFormatting sqref="G977:G978">
    <cfRule type="expression" dxfId="1006" priority="923">
      <formula>$L977:$L978&lt;=0</formula>
    </cfRule>
  </conditionalFormatting>
  <conditionalFormatting sqref="G979:G1028">
    <cfRule type="expression" dxfId="1005" priority="917">
      <formula>$L979:$L991&lt;=0</formula>
    </cfRule>
  </conditionalFormatting>
  <conditionalFormatting sqref="G1061:G1068">
    <cfRule type="expression" dxfId="1004" priority="872">
      <formula>$L1061:$L1073&lt;=0</formula>
    </cfRule>
  </conditionalFormatting>
  <conditionalFormatting sqref="G1069:G1071">
    <cfRule type="expression" dxfId="1003" priority="879">
      <formula>$L1069:$L1080&lt;=0</formula>
    </cfRule>
  </conditionalFormatting>
  <conditionalFormatting sqref="G1072:G1073">
    <cfRule type="expression" dxfId="1002" priority="878">
      <formula>$L1072:$L1082&lt;=0</formula>
    </cfRule>
  </conditionalFormatting>
  <conditionalFormatting sqref="G1074">
    <cfRule type="expression" dxfId="1001" priority="871">
      <formula>$L1074:$L1083&lt;=0</formula>
    </cfRule>
  </conditionalFormatting>
  <conditionalFormatting sqref="G1075:G1078">
    <cfRule type="expression" dxfId="1000" priority="856">
      <formula>$L1075:$L1083&lt;=0</formula>
    </cfRule>
  </conditionalFormatting>
  <conditionalFormatting sqref="G1079:G1138">
    <cfRule type="expression" dxfId="999" priority="852">
      <formula>$L1079:$L1079&lt;=0</formula>
    </cfRule>
  </conditionalFormatting>
  <conditionalFormatting sqref="G1139:G1140">
    <cfRule type="expression" dxfId="998" priority="838">
      <formula>$L1139:$L1140&lt;=0</formula>
    </cfRule>
  </conditionalFormatting>
  <conditionalFormatting sqref="G1144:G1162">
    <cfRule type="expression" dxfId="997" priority="814">
      <formula>$L1144:$L1156&lt;=0</formula>
    </cfRule>
  </conditionalFormatting>
  <conditionalFormatting sqref="G1163 D1163:E1164">
    <cfRule type="expression" dxfId="996" priority="792">
      <formula>$L1163:$L1173&lt;=0</formula>
    </cfRule>
  </conditionalFormatting>
  <conditionalFormatting sqref="G1164 I1164">
    <cfRule type="expression" dxfId="995" priority="791">
      <formula>$L1164:$L1173&lt;=0</formula>
    </cfRule>
  </conditionalFormatting>
  <conditionalFormatting sqref="G1165:G1167">
    <cfRule type="expression" dxfId="994" priority="774">
      <formula>$L1165:$L1177&lt;=0</formula>
    </cfRule>
  </conditionalFormatting>
  <conditionalFormatting sqref="G1168:G1169 J1173:K1173 D1173:E1175">
    <cfRule type="expression" dxfId="993" priority="777">
      <formula>$L1168:$L1179&lt;=0</formula>
    </cfRule>
  </conditionalFormatting>
  <conditionalFormatting sqref="G1170 C1174 F1174 I1174:L1174">
    <cfRule type="expression" dxfId="992" priority="776">
      <formula>$L1170:$L1180&lt;=0</formula>
    </cfRule>
  </conditionalFormatting>
  <conditionalFormatting sqref="G1171:G1172 J1175:K1176 C1175:C1177 F1175:F1177 I1175:I1177 L1175:L1177">
    <cfRule type="expression" dxfId="991" priority="773">
      <formula>$L1171:$L1180&lt;=0</formula>
    </cfRule>
  </conditionalFormatting>
  <conditionalFormatting sqref="G1173:G1175 D1176:E1177">
    <cfRule type="expression" dxfId="990" priority="763">
      <formula>$L1173:$L1181&lt;=0</formula>
    </cfRule>
  </conditionalFormatting>
  <conditionalFormatting sqref="G1176">
    <cfRule type="expression" dxfId="989" priority="775">
      <formula>$L1176:$L1181&lt;=0</formula>
    </cfRule>
  </conditionalFormatting>
  <conditionalFormatting sqref="G1177:G1178">
    <cfRule type="expression" dxfId="988" priority="771">
      <formula>$L1177:$L1181&lt;=0</formula>
    </cfRule>
  </conditionalFormatting>
  <conditionalFormatting sqref="G1179 D1188:E1189">
    <cfRule type="expression" dxfId="987" priority="753">
      <formula>$L1179:$L1191&lt;=0</formula>
    </cfRule>
  </conditionalFormatting>
  <conditionalFormatting sqref="G1180 C1189 F1189 I1189:K1189">
    <cfRule type="expression" dxfId="986" priority="755">
      <formula>$L1180:$L1191&lt;=0</formula>
    </cfRule>
  </conditionalFormatting>
  <conditionalFormatting sqref="G1181">
    <cfRule type="expression" dxfId="985" priority="754">
      <formula>$L1181:$L1191&lt;=0</formula>
    </cfRule>
  </conditionalFormatting>
  <conditionalFormatting sqref="G1182">
    <cfRule type="expression" dxfId="984" priority="752">
      <formula>$L1182:$L1191&lt;=0</formula>
    </cfRule>
  </conditionalFormatting>
  <conditionalFormatting sqref="G1183">
    <cfRule type="expression" dxfId="983" priority="741">
      <formula>$L1183:$L1191&lt;=0</formula>
    </cfRule>
  </conditionalFormatting>
  <conditionalFormatting sqref="G1184:G1186">
    <cfRule type="expression" dxfId="982" priority="751">
      <formula>$L1184:$L1191&lt;=0</formula>
    </cfRule>
  </conditionalFormatting>
  <conditionalFormatting sqref="G1187">
    <cfRule type="expression" dxfId="981" priority="750">
      <formula>$L1179:$L1191&lt;=0</formula>
    </cfRule>
  </conditionalFormatting>
  <conditionalFormatting sqref="G1188">
    <cfRule type="expression" dxfId="980" priority="749">
      <formula>$L1180:$L1191&lt;=0</formula>
    </cfRule>
  </conditionalFormatting>
  <conditionalFormatting sqref="G1189">
    <cfRule type="expression" dxfId="979" priority="748">
      <formula>$L1181:$L1191&lt;=0</formula>
    </cfRule>
  </conditionalFormatting>
  <conditionalFormatting sqref="G1190:G1191 D1199:E1199">
    <cfRule type="expression" dxfId="978" priority="722">
      <formula>$L1190:$L1201&lt;=0</formula>
    </cfRule>
  </conditionalFormatting>
  <conditionalFormatting sqref="G1192">
    <cfRule type="expression" dxfId="977" priority="708">
      <formula>$L1192:$L1201&lt;=0</formula>
    </cfRule>
  </conditionalFormatting>
  <conditionalFormatting sqref="G1193:G1201">
    <cfRule type="expression" dxfId="976" priority="707">
      <formula>$L1193:$L1201&lt;=0</formula>
    </cfRule>
  </conditionalFormatting>
  <conditionalFormatting sqref="G1202">
    <cfRule type="expression" dxfId="975" priority="696">
      <formula>$L1203:$L1048433&lt;=0</formula>
    </cfRule>
  </conditionalFormatting>
  <conditionalFormatting sqref="G1203:G1228">
    <cfRule type="expression" dxfId="974" priority="689">
      <formula>$L1203:$L1203&lt;=0</formula>
    </cfRule>
  </conditionalFormatting>
  <conditionalFormatting sqref="G1250:G1251 D1250:E1254">
    <cfRule type="expression" dxfId="973" priority="653">
      <formula>$L1250:$L1254&lt;=0</formula>
    </cfRule>
  </conditionalFormatting>
  <conditionalFormatting sqref="G1252">
    <cfRule type="expression" dxfId="972" priority="652">
      <formula>$L1249:$L1254&lt;=0</formula>
    </cfRule>
  </conditionalFormatting>
  <conditionalFormatting sqref="G1253">
    <cfRule type="expression" dxfId="971" priority="651">
      <formula>$L1250:$L1254&lt;=0</formula>
    </cfRule>
  </conditionalFormatting>
  <conditionalFormatting sqref="G1254">
    <cfRule type="expression" dxfId="970" priority="650">
      <formula>$L1249:$L1254&lt;=0</formula>
    </cfRule>
  </conditionalFormatting>
  <conditionalFormatting sqref="G1283:G1300">
    <cfRule type="expression" dxfId="969" priority="609">
      <formula>$L1283:$L1350&lt;=0</formula>
    </cfRule>
  </conditionalFormatting>
  <conditionalFormatting sqref="G1301:G1303">
    <cfRule type="expression" dxfId="968" priority="583">
      <formula>$L1301:$L1301&lt;=0</formula>
    </cfRule>
    <cfRule type="expression" dxfId="967" priority="578">
      <formula>$L1301:$L1323&lt;=0</formula>
    </cfRule>
  </conditionalFormatting>
  <conditionalFormatting sqref="G1305:G1312">
    <cfRule type="expression" dxfId="966" priority="553">
      <formula>$L1305:$L1326&lt;=0</formula>
    </cfRule>
  </conditionalFormatting>
  <conditionalFormatting sqref="G1305:G1316">
    <cfRule type="expression" dxfId="965" priority="556">
      <formula>$L1305:$L1305&lt;=0</formula>
    </cfRule>
  </conditionalFormatting>
  <conditionalFormatting sqref="G1314:G1316">
    <cfRule type="expression" dxfId="964" priority="539">
      <formula>$L1314:$L1334&lt;=0</formula>
    </cfRule>
  </conditionalFormatting>
  <conditionalFormatting sqref="G1317:G1329">
    <cfRule type="expression" dxfId="963" priority="536">
      <formula>$L1317:$L1329&lt;=0</formula>
    </cfRule>
  </conditionalFormatting>
  <conditionalFormatting sqref="G1330:G1347">
    <cfRule type="expression" dxfId="962" priority="531">
      <formula>$L1330:$L1347&lt;=0</formula>
    </cfRule>
  </conditionalFormatting>
  <conditionalFormatting sqref="G1348">
    <cfRule type="expression" dxfId="961" priority="512">
      <formula>$L1348:$L1356&lt;=0</formula>
    </cfRule>
  </conditionalFormatting>
  <conditionalFormatting sqref="G1349:G1351">
    <cfRule type="expression" dxfId="960" priority="511">
      <formula>$L1349:$L1356&lt;=0</formula>
    </cfRule>
  </conditionalFormatting>
  <conditionalFormatting sqref="G1352:G1381">
    <cfRule type="expression" dxfId="959" priority="485">
      <formula>$L1352:$L1352&lt;=0</formula>
    </cfRule>
  </conditionalFormatting>
  <conditionalFormatting sqref="G1382">
    <cfRule type="expression" dxfId="958" priority="473">
      <formula>$L1382:$L1389&lt;=0</formula>
    </cfRule>
  </conditionalFormatting>
  <conditionalFormatting sqref="G1386">
    <cfRule type="expression" dxfId="957" priority="460">
      <formula>$L1386:$L1389&lt;=0</formula>
    </cfRule>
  </conditionalFormatting>
  <conditionalFormatting sqref="G1387">
    <cfRule type="expression" dxfId="956" priority="459">
      <formula>$L1386:$L1390&lt;=0</formula>
    </cfRule>
  </conditionalFormatting>
  <conditionalFormatting sqref="G1388">
    <cfRule type="expression" dxfId="955" priority="458">
      <formula>$L1386:$L1391&lt;=0</formula>
    </cfRule>
  </conditionalFormatting>
  <conditionalFormatting sqref="G1390:G1395">
    <cfRule type="expression" dxfId="954" priority="449">
      <formula>$L1390:$L1390&lt;=0</formula>
    </cfRule>
  </conditionalFormatting>
  <conditionalFormatting sqref="G1392:G1393 G1395:G1409">
    <cfRule type="expression" dxfId="953" priority="441">
      <formula>$L1392:$L1446&lt;=0</formula>
    </cfRule>
  </conditionalFormatting>
  <conditionalFormatting sqref="G1394">
    <cfRule type="expression" dxfId="952" priority="440">
      <formula>$L1394:$L1406&lt;=0</formula>
    </cfRule>
  </conditionalFormatting>
  <conditionalFormatting sqref="G1410">
    <cfRule type="expression" dxfId="951" priority="439">
      <formula>$L1410:$L1428&lt;=0</formula>
    </cfRule>
  </conditionalFormatting>
  <conditionalFormatting sqref="G1411:G1426">
    <cfRule type="expression" dxfId="950" priority="406">
      <formula>$L1411:$L1465&lt;=0</formula>
    </cfRule>
  </conditionalFormatting>
  <conditionalFormatting sqref="G1427:G1450 D1450:E1450 C1450:C1452 F1450:F1452 I1450:K1452">
    <cfRule type="expression" dxfId="949" priority="403">
      <formula>$L1427:$L1439&lt;=0</formula>
    </cfRule>
  </conditionalFormatting>
  <conditionalFormatting sqref="G1498">
    <cfRule type="expression" dxfId="948" priority="284">
      <formula>$L1498:$L1499&lt;=0</formula>
    </cfRule>
  </conditionalFormatting>
  <conditionalFormatting sqref="G1499">
    <cfRule type="expression" dxfId="947" priority="288">
      <formula>$L1498:$L1499&lt;=0</formula>
    </cfRule>
  </conditionalFormatting>
  <conditionalFormatting sqref="G1500:G1502 H1500:H1507 C1500:C1510 F1500:F1510 I1500:K1510 H1509:H1518">
    <cfRule type="expression" dxfId="946" priority="276">
      <formula>$L1500:$L1531&lt;=0</formula>
    </cfRule>
  </conditionalFormatting>
  <conditionalFormatting sqref="G1503:G1509 G1511:G1518">
    <cfRule type="expression" dxfId="945" priority="275">
      <formula>$L1503:$L1532&lt;=0</formula>
    </cfRule>
  </conditionalFormatting>
  <conditionalFormatting sqref="G1510">
    <cfRule type="expression" dxfId="944" priority="273">
      <formula>$L1510:$L1685&lt;=0</formula>
    </cfRule>
  </conditionalFormatting>
  <conditionalFormatting sqref="G1519:G1524">
    <cfRule type="expression" dxfId="943" priority="266">
      <formula>$L1519:$L1526&lt;=0</formula>
    </cfRule>
  </conditionalFormatting>
  <conditionalFormatting sqref="G1525:G1552">
    <cfRule type="expression" dxfId="942" priority="258">
      <formula>$L1525:$L1525&lt;=0</formula>
    </cfRule>
  </conditionalFormatting>
  <conditionalFormatting sqref="G1553:G1575 H1575">
    <cfRule type="expression" dxfId="941" priority="244">
      <formula>$L1553:$L1620&lt;=0</formula>
    </cfRule>
  </conditionalFormatting>
  <conditionalFormatting sqref="G1576 H1576:H1580">
    <cfRule type="expression" dxfId="940" priority="243">
      <formula>$L1576:$L1642&lt;=0</formula>
    </cfRule>
  </conditionalFormatting>
  <conditionalFormatting sqref="G1586:G1589">
    <cfRule type="expression" dxfId="939" priority="211">
      <formula>$L1586:$L1615&lt;=0</formula>
    </cfRule>
  </conditionalFormatting>
  <conditionalFormatting sqref="G1590:G1598">
    <cfRule type="expression" dxfId="938" priority="210">
      <formula>$L1590:$L1618&lt;=0</formula>
    </cfRule>
  </conditionalFormatting>
  <conditionalFormatting sqref="G1599:G1600">
    <cfRule type="expression" dxfId="937" priority="203">
      <formula>$L1599:$L1604&lt;=0</formula>
    </cfRule>
  </conditionalFormatting>
  <conditionalFormatting sqref="G1599:G1653 H1653 G1654:H1654">
    <cfRule type="expression" dxfId="936" priority="149">
      <formula>$L1599:$L1599&lt;=0</formula>
    </cfRule>
  </conditionalFormatting>
  <conditionalFormatting sqref="G1616:G1627">
    <cfRule type="expression" dxfId="935" priority="166">
      <formula>$L1616:$L1621&lt;=0</formula>
    </cfRule>
  </conditionalFormatting>
  <conditionalFormatting sqref="G1646:G1648">
    <cfRule type="expression" dxfId="934" priority="148">
      <formula>$L1646:$L1651&lt;=0</formula>
    </cfRule>
  </conditionalFormatting>
  <conditionalFormatting sqref="G1649:G1650">
    <cfRule type="expression" dxfId="933" priority="146">
      <formula>$L1649:$L1653&lt;=0</formula>
    </cfRule>
  </conditionalFormatting>
  <conditionalFormatting sqref="G1651:G1654">
    <cfRule type="expression" dxfId="932" priority="141">
      <formula>$L1651:$L1654&lt;=0</formula>
    </cfRule>
  </conditionalFormatting>
  <conditionalFormatting sqref="G1655:G1656">
    <cfRule type="expression" dxfId="931" priority="130">
      <formula>$L1655:$L1713&lt;=0</formula>
    </cfRule>
  </conditionalFormatting>
  <conditionalFormatting sqref="G1657">
    <cfRule type="expression" dxfId="930" priority="118">
      <formula>$L1657:$L1690&lt;=0</formula>
    </cfRule>
  </conditionalFormatting>
  <conditionalFormatting sqref="G1658 L1669:L1674">
    <cfRule type="expression" dxfId="929" priority="114">
      <formula>$L1658:$L1718&lt;=0</formula>
    </cfRule>
  </conditionalFormatting>
  <conditionalFormatting sqref="G1675:G1676 H1676">
    <cfRule type="expression" dxfId="928" priority="99">
      <formula>$L1675:$L1675&lt;=0</formula>
    </cfRule>
  </conditionalFormatting>
  <conditionalFormatting sqref="G1675:G1676">
    <cfRule type="expression" dxfId="927" priority="98">
      <formula>$L1675:$L1680&lt;=0</formula>
    </cfRule>
  </conditionalFormatting>
  <conditionalFormatting sqref="G1683:G1696">
    <cfRule type="expression" dxfId="926" priority="65">
      <formula>$L1683:$L1717&lt;=0</formula>
    </cfRule>
  </conditionalFormatting>
  <conditionalFormatting sqref="G1697 H1703:H1712">
    <cfRule type="expression" dxfId="925" priority="50">
      <formula>$L1697:$L1698&lt;=0</formula>
    </cfRule>
  </conditionalFormatting>
  <conditionalFormatting sqref="G1699:G1718">
    <cfRule type="expression" dxfId="924" priority="8">
      <formula>$L1699:$L1699&lt;=0</formula>
    </cfRule>
  </conditionalFormatting>
  <conditionalFormatting sqref="G1463:H1463">
    <cfRule type="expression" dxfId="923" priority="352">
      <formula>$L1463:$L1467&lt;=0</formula>
    </cfRule>
  </conditionalFormatting>
  <conditionalFormatting sqref="G225:I225 K225 G227:I227 K227 G229:I229 K229 G231:I231 K231 G233:I233 K233 G235:I235 K235 G237:I237 K237 G239:I239 K239 G241:I241 K241 G243:I243 K243 G245:I245 K245 G247:I247 K247 G249:I249 K249 G251:I251 K251">
    <cfRule type="expression" dxfId="922" priority="1888">
      <formula>$L225:$L364&lt;=0</formula>
    </cfRule>
  </conditionalFormatting>
  <conditionalFormatting sqref="G1698:I1698">
    <cfRule type="expression" dxfId="921" priority="39">
      <formula>$L1698:$L1714&lt;=0</formula>
    </cfRule>
  </conditionalFormatting>
  <conditionalFormatting sqref="G1699:I1699">
    <cfRule type="expression" dxfId="920" priority="38">
      <formula>$L1699:$L1714&lt;=0</formula>
    </cfRule>
  </conditionalFormatting>
  <conditionalFormatting sqref="H4:H9 L334:L347">
    <cfRule type="expression" dxfId="919" priority="2098">
      <formula>$L4:$L135&lt;=0</formula>
    </cfRule>
  </conditionalFormatting>
  <conditionalFormatting sqref="H83:H88">
    <cfRule type="expression" dxfId="918" priority="2013">
      <formula>$L83:$L418&lt;=0</formula>
    </cfRule>
    <cfRule type="expression" dxfId="917" priority="2014">
      <formula>$L83:$L205&lt;=0</formula>
    </cfRule>
  </conditionalFormatting>
  <conditionalFormatting sqref="H100:H118 L309:L310 L413:L420 H870:H871">
    <cfRule type="expression" dxfId="916" priority="1993">
      <formula>$L100:$L221&lt;=0</formula>
    </cfRule>
  </conditionalFormatting>
  <conditionalFormatting sqref="H119:H123">
    <cfRule type="expression" dxfId="915" priority="1983">
      <formula>$L119:$L247&lt;=0</formula>
    </cfRule>
  </conditionalFormatting>
  <conditionalFormatting sqref="H124:H125">
    <cfRule type="expression" dxfId="914" priority="1968">
      <formula>$L124:$L236&lt;=0</formula>
    </cfRule>
  </conditionalFormatting>
  <conditionalFormatting sqref="H130:H134 L422:L429 L497:L499 L501:L504">
    <cfRule type="expression" dxfId="913" priority="89753">
      <formula>$L130:$L430&lt;=0</formula>
    </cfRule>
  </conditionalFormatting>
  <conditionalFormatting sqref="H130:H152">
    <cfRule type="expression" dxfId="912" priority="1950">
      <formula>$L130:$L329&lt;=0</formula>
    </cfRule>
  </conditionalFormatting>
  <conditionalFormatting sqref="H135:H141">
    <cfRule type="expression" dxfId="911" priority="89754">
      <formula>$L135:$L431&lt;=0</formula>
    </cfRule>
  </conditionalFormatting>
  <conditionalFormatting sqref="H142:H146">
    <cfRule type="expression" dxfId="910" priority="89755">
      <formula>$L142:$L430&lt;=0</formula>
    </cfRule>
  </conditionalFormatting>
  <conditionalFormatting sqref="H147:H152">
    <cfRule type="expression" dxfId="909" priority="89756">
      <formula>$L147:$L431&lt;=0</formula>
    </cfRule>
  </conditionalFormatting>
  <conditionalFormatting sqref="H153:H155">
    <cfRule type="expression" dxfId="908" priority="89758">
      <formula>$L153:$L438&lt;=0</formula>
    </cfRule>
    <cfRule type="expression" dxfId="907" priority="89757">
      <formula>$L153:$L341&lt;=0</formula>
    </cfRule>
  </conditionalFormatting>
  <conditionalFormatting sqref="H156:H157">
    <cfRule type="expression" dxfId="906" priority="89760">
      <formula>$L156:$L440&lt;=0</formula>
    </cfRule>
    <cfRule type="expression" dxfId="905" priority="89759">
      <formula>$L156:$L355&lt;=0</formula>
    </cfRule>
  </conditionalFormatting>
  <conditionalFormatting sqref="H158:H181">
    <cfRule type="expression" dxfId="904" priority="89762">
      <formula>$L158:$L356&lt;=0</formula>
    </cfRule>
    <cfRule type="expression" dxfId="903" priority="89761">
      <formula>$L158:$L453&lt;=0</formula>
    </cfRule>
  </conditionalFormatting>
  <conditionalFormatting sqref="H182:H198">
    <cfRule type="expression" dxfId="902" priority="89763">
      <formula>$L182:$L344&lt;=0</formula>
    </cfRule>
    <cfRule type="expression" dxfId="901" priority="89764">
      <formula>$L182:$L441&lt;=0</formula>
    </cfRule>
  </conditionalFormatting>
  <conditionalFormatting sqref="H199:H222">
    <cfRule type="expression" dxfId="900" priority="103622">
      <formula>$L199:$L486&lt;=0</formula>
    </cfRule>
    <cfRule type="expression" dxfId="899" priority="103623">
      <formula>$L199:$L398&lt;=0</formula>
    </cfRule>
  </conditionalFormatting>
  <conditionalFormatting sqref="H223:H224">
    <cfRule type="expression" dxfId="898" priority="89767">
      <formula>$L223:$L458&lt;=0</formula>
    </cfRule>
    <cfRule type="expression" dxfId="897" priority="89768">
      <formula>$L223:$L375&lt;=0</formula>
    </cfRule>
  </conditionalFormatting>
  <conditionalFormatting sqref="H253">
    <cfRule type="expression" dxfId="896" priority="103625">
      <formula>$L253:$L494&lt;=0</formula>
    </cfRule>
    <cfRule type="expression" dxfId="895" priority="103624">
      <formula>$L253:$L425&lt;=0</formula>
    </cfRule>
  </conditionalFormatting>
  <conditionalFormatting sqref="H254:H264">
    <cfRule type="expression" dxfId="894" priority="1865">
      <formula>$L254:$L415&lt;=0</formula>
    </cfRule>
  </conditionalFormatting>
  <conditionalFormatting sqref="H254:H272">
    <cfRule type="expression" dxfId="893" priority="89800">
      <formula>$L254:$L489&lt;=0</formula>
    </cfRule>
  </conditionalFormatting>
  <conditionalFormatting sqref="H265:H272">
    <cfRule type="expression" dxfId="892" priority="1863">
      <formula>$L265:$L412&lt;=0</formula>
    </cfRule>
  </conditionalFormatting>
  <conditionalFormatting sqref="H273:H274">
    <cfRule type="expression" dxfId="891" priority="103627">
      <formula>$L273:$L504&lt;=0</formula>
    </cfRule>
  </conditionalFormatting>
  <conditionalFormatting sqref="H273:H289">
    <cfRule type="expression" dxfId="890" priority="89773">
      <formula>$L273:$L448&lt;=0</formula>
    </cfRule>
  </conditionalFormatting>
  <conditionalFormatting sqref="H275:H289 L815:L875">
    <cfRule type="expression" dxfId="889" priority="1105">
      <formula>$L275:$L505&lt;=0</formula>
    </cfRule>
  </conditionalFormatting>
  <conditionalFormatting sqref="H290:H292 L292:L295 H475:H477">
    <cfRule type="expression" dxfId="888" priority="89775">
      <formula>$L290:$L430&lt;=0</formula>
    </cfRule>
  </conditionalFormatting>
  <conditionalFormatting sqref="H290:H303">
    <cfRule type="expression" dxfId="887" priority="103629">
      <formula>$L290:$L492&lt;=0</formula>
    </cfRule>
  </conditionalFormatting>
  <conditionalFormatting sqref="H301:H306">
    <cfRule type="expression" dxfId="886" priority="1827">
      <formula>$L301:$L415&lt;=0</formula>
    </cfRule>
  </conditionalFormatting>
  <conditionalFormatting sqref="H304:H306">
    <cfRule type="expression" dxfId="885" priority="103630">
      <formula>$L304:$L505&lt;=0</formula>
    </cfRule>
  </conditionalFormatting>
  <conditionalFormatting sqref="H307:H310">
    <cfRule type="expression" dxfId="884" priority="103632">
      <formula>$L307:$L542&lt;=0</formula>
    </cfRule>
    <cfRule type="expression" dxfId="883" priority="103631">
      <formula>$L307:$L449&lt;=0</formula>
    </cfRule>
  </conditionalFormatting>
  <conditionalFormatting sqref="H311">
    <cfRule type="expression" dxfId="882" priority="1809">
      <formula>$L311:$L445&lt;=0</formula>
    </cfRule>
  </conditionalFormatting>
  <conditionalFormatting sqref="H312">
    <cfRule type="expression" dxfId="881" priority="1777">
      <formula>$L312:$L458&lt;=0</formula>
    </cfRule>
  </conditionalFormatting>
  <conditionalFormatting sqref="H312:H315">
    <cfRule type="expression" dxfId="880" priority="89777">
      <formula>$L312:$L523&lt;=0</formula>
    </cfRule>
  </conditionalFormatting>
  <conditionalFormatting sqref="H316:H322">
    <cfRule type="expression" dxfId="879" priority="1741">
      <formula>$L316:$L526&lt;=0</formula>
    </cfRule>
  </conditionalFormatting>
  <conditionalFormatting sqref="H323:H333">
    <cfRule type="expression" dxfId="878" priority="103636">
      <formula>$L323:$L553&lt;=0</formula>
    </cfRule>
    <cfRule type="expression" dxfId="877" priority="103635">
      <formula>$L323:$L461&lt;=0</formula>
    </cfRule>
  </conditionalFormatting>
  <conditionalFormatting sqref="H334:H335 C741 F741:G741 I741:L741">
    <cfRule type="expression" dxfId="876" priority="99488">
      <formula>$L334:$L540&lt;=0</formula>
    </cfRule>
  </conditionalFormatting>
  <conditionalFormatting sqref="H336:H339 H742">
    <cfRule type="expression" dxfId="875" priority="89791">
      <formula>$L336:$L541&lt;=0</formula>
    </cfRule>
  </conditionalFormatting>
  <conditionalFormatting sqref="H340:H345 H527:H538">
    <cfRule type="expression" dxfId="874" priority="1468">
      <formula>$L340:$L536&lt;=0</formula>
    </cfRule>
  </conditionalFormatting>
  <conditionalFormatting sqref="H346">
    <cfRule type="expression" dxfId="873" priority="1740">
      <formula>$L346:$L541&lt;=0</formula>
    </cfRule>
  </conditionalFormatting>
  <conditionalFormatting sqref="H347">
    <cfRule type="expression" dxfId="872" priority="1739">
      <formula>$L347:$L541&lt;=0</formula>
    </cfRule>
  </conditionalFormatting>
  <conditionalFormatting sqref="H348:H349">
    <cfRule type="expression" dxfId="871" priority="103642">
      <formula>$L348:$L462&lt;=0</formula>
    </cfRule>
    <cfRule type="expression" dxfId="870" priority="103643">
      <formula>$L348:$L518&lt;=0</formula>
    </cfRule>
  </conditionalFormatting>
  <conditionalFormatting sqref="H350:H351">
    <cfRule type="expression" dxfId="869" priority="103644">
      <formula>$L350:$L478&lt;=0</formula>
    </cfRule>
  </conditionalFormatting>
  <conditionalFormatting sqref="H350:H352">
    <cfRule type="expression" dxfId="868" priority="103645">
      <formula>$L350:$L533&lt;=0</formula>
    </cfRule>
  </conditionalFormatting>
  <conditionalFormatting sqref="H352">
    <cfRule type="expression" dxfId="867" priority="103646">
      <formula>$L352:$L479&lt;=0</formula>
    </cfRule>
  </conditionalFormatting>
  <conditionalFormatting sqref="H353:H356">
    <cfRule type="expression" dxfId="866" priority="103648">
      <formula>$L353:$L523&lt;=0</formula>
    </cfRule>
  </conditionalFormatting>
  <conditionalFormatting sqref="H357:H391 H443:H444 H456:H472 H868:H869">
    <cfRule type="expression" dxfId="865" priority="1046">
      <formula>$L357:$L480&lt;=0</formula>
    </cfRule>
  </conditionalFormatting>
  <conditionalFormatting sqref="H392:H400">
    <cfRule type="expression" dxfId="864" priority="103650">
      <formula>$L392:$L618&lt;=0</formula>
    </cfRule>
  </conditionalFormatting>
  <conditionalFormatting sqref="H401:H408">
    <cfRule type="expression" dxfId="863" priority="103651">
      <formula>$L401:$L608&lt;=0</formula>
    </cfRule>
  </conditionalFormatting>
  <conditionalFormatting sqref="H409:H420">
    <cfRule type="expression" dxfId="862" priority="103608">
      <formula>$L409:$L609&lt;=0</formula>
    </cfRule>
  </conditionalFormatting>
  <conditionalFormatting sqref="H431:H432">
    <cfRule type="expression" dxfId="861" priority="103653">
      <formula>$L431:$L596&lt;=0</formula>
    </cfRule>
    <cfRule type="expression" dxfId="860" priority="103652">
      <formula>$L431:$L522&lt;=0</formula>
    </cfRule>
  </conditionalFormatting>
  <conditionalFormatting sqref="H435">
    <cfRule type="expression" dxfId="859" priority="1625">
      <formula>$L435:$L554&lt;=0</formula>
    </cfRule>
  </conditionalFormatting>
  <conditionalFormatting sqref="H436">
    <cfRule type="expression" dxfId="858" priority="1626">
      <formula>$L436:$L554&lt;=0</formula>
    </cfRule>
  </conditionalFormatting>
  <conditionalFormatting sqref="H439">
    <cfRule type="expression" dxfId="857" priority="1619">
      <formula>$L439:$L566&lt;=0</formula>
    </cfRule>
  </conditionalFormatting>
  <conditionalFormatting sqref="H440">
    <cfRule type="expression" dxfId="856" priority="1614">
      <formula>$L440:$L566&lt;=0</formula>
    </cfRule>
  </conditionalFormatting>
  <conditionalFormatting sqref="H445">
    <cfRule type="expression" dxfId="855" priority="1621">
      <formula>$L445:$L567&lt;=0</formula>
    </cfRule>
  </conditionalFormatting>
  <conditionalFormatting sqref="H446:H447 D614:E616 C619:C620 F619:F620 I619:K620 I677:I689">
    <cfRule type="expression" dxfId="854" priority="1387">
      <formula>$L446:$L521&lt;=0</formula>
    </cfRule>
  </conditionalFormatting>
  <conditionalFormatting sqref="H448:H450">
    <cfRule type="expression" dxfId="853" priority="103660">
      <formula>$L448:$L565&lt;=0</formula>
    </cfRule>
    <cfRule type="expression" dxfId="852" priority="103659">
      <formula>$L448:$L518&lt;=0</formula>
    </cfRule>
  </conditionalFormatting>
  <conditionalFormatting sqref="H451">
    <cfRule type="expression" dxfId="851" priority="103662">
      <formula>$L451:$L613&lt;=0</formula>
    </cfRule>
    <cfRule type="expression" dxfId="850" priority="103661">
      <formula>$L451:$L558&lt;=0</formula>
    </cfRule>
  </conditionalFormatting>
  <conditionalFormatting sqref="H452 H456:H459 H499:H502">
    <cfRule type="expression" dxfId="849" priority="1480">
      <formula>$L452:$L610&lt;=0</formula>
    </cfRule>
  </conditionalFormatting>
  <conditionalFormatting sqref="H453:H455 H642 L809:L810">
    <cfRule type="expression" dxfId="848" priority="99108">
      <formula>$L453:$L610&lt;=0</formula>
    </cfRule>
  </conditionalFormatting>
  <conditionalFormatting sqref="H478:H479">
    <cfRule type="expression" dxfId="847" priority="103672">
      <formula>$L478:$L579&lt;=0</formula>
    </cfRule>
    <cfRule type="expression" dxfId="846" priority="103673">
      <formula>$L478:$L649&lt;=0</formula>
    </cfRule>
  </conditionalFormatting>
  <conditionalFormatting sqref="H480">
    <cfRule type="expression" dxfId="845" priority="1524">
      <formula>$L480:$L579&lt;=0</formula>
    </cfRule>
  </conditionalFormatting>
  <conditionalFormatting sqref="H480:H486">
    <cfRule type="expression" dxfId="844" priority="1515">
      <formula>$L480:$L615&lt;=0</formula>
    </cfRule>
  </conditionalFormatting>
  <conditionalFormatting sqref="H481 L481">
    <cfRule type="expression" dxfId="843" priority="1521">
      <formula>$L481:$L573&lt;=0</formula>
    </cfRule>
  </conditionalFormatting>
  <conditionalFormatting sqref="H482 L482:L483">
    <cfRule type="expression" dxfId="842" priority="1513">
      <formula>$L482:$L573&lt;=0</formula>
    </cfRule>
  </conditionalFormatting>
  <conditionalFormatting sqref="H483 L484:L487">
    <cfRule type="expression" dxfId="841" priority="1512">
      <formula>$L483:$L573&lt;=0</formula>
    </cfRule>
  </conditionalFormatting>
  <conditionalFormatting sqref="H484:H485">
    <cfRule type="expression" dxfId="840" priority="1510">
      <formula>$L484:$L573&lt;=0</formula>
    </cfRule>
  </conditionalFormatting>
  <conditionalFormatting sqref="H486:H487">
    <cfRule type="expression" dxfId="839" priority="1520">
      <formula>$L486:$L574&lt;=0</formula>
    </cfRule>
  </conditionalFormatting>
  <conditionalFormatting sqref="H487">
    <cfRule type="expression" dxfId="838" priority="1516">
      <formula>$L487:$L621&lt;=0</formula>
    </cfRule>
  </conditionalFormatting>
  <conditionalFormatting sqref="H488:H498">
    <cfRule type="expression" dxfId="837" priority="1481">
      <formula>$L488:$L647&lt;=0</formula>
    </cfRule>
  </conditionalFormatting>
  <conditionalFormatting sqref="H488:H513">
    <cfRule type="expression" dxfId="836" priority="1490">
      <formula>$L488:$L589&lt;=0</formula>
    </cfRule>
  </conditionalFormatting>
  <conditionalFormatting sqref="H503:H504 H646 L813:L814">
    <cfRule type="expression" dxfId="835" priority="1491">
      <formula>$L503:$L658&lt;=0</formula>
    </cfRule>
  </conditionalFormatting>
  <conditionalFormatting sqref="H505:H524 H622:H631 H858:H861">
    <cfRule type="expression" dxfId="834" priority="1488">
      <formula>$L505:$L638&lt;=0</formula>
    </cfRule>
  </conditionalFormatting>
  <conditionalFormatting sqref="H514:H525">
    <cfRule type="expression" dxfId="833" priority="1506">
      <formula>$L514:$L587&lt;=0</formula>
    </cfRule>
  </conditionalFormatting>
  <conditionalFormatting sqref="H525">
    <cfRule type="expression" dxfId="832" priority="1489">
      <formula>$L525:$L657&lt;=0</formula>
    </cfRule>
  </conditionalFormatting>
  <conditionalFormatting sqref="H526 H540:H545">
    <cfRule type="expression" dxfId="831" priority="1469">
      <formula>$L526:$L723&lt;=0</formula>
    </cfRule>
  </conditionalFormatting>
  <conditionalFormatting sqref="H526:H545">
    <cfRule type="expression" dxfId="830" priority="1470">
      <formula>$L526:$L676&lt;=0</formula>
    </cfRule>
  </conditionalFormatting>
  <conditionalFormatting sqref="H539">
    <cfRule type="expression" dxfId="829" priority="100505">
      <formula>$L539:$L947&lt;=0</formula>
    </cfRule>
  </conditionalFormatting>
  <conditionalFormatting sqref="H546:H547">
    <cfRule type="expression" dxfId="828" priority="1457">
      <formula>$L546:$L675&lt;=0</formula>
    </cfRule>
  </conditionalFormatting>
  <conditionalFormatting sqref="H548:H550">
    <cfRule type="expression" dxfId="827" priority="1456">
      <formula>$L548:$L676&lt;=0</formula>
    </cfRule>
  </conditionalFormatting>
  <conditionalFormatting sqref="H551:H552">
    <cfRule type="expression" dxfId="826" priority="1458">
      <formula>$L551:$L678&lt;=0</formula>
    </cfRule>
  </conditionalFormatting>
  <conditionalFormatting sqref="H553:H560">
    <cfRule type="expression" dxfId="825" priority="98127">
      <formula>$L553:$L746&lt;=0</formula>
    </cfRule>
  </conditionalFormatting>
  <conditionalFormatting sqref="H553:H562">
    <cfRule type="expression" dxfId="824" priority="1450">
      <formula>$L553:$L657&lt;=0</formula>
    </cfRule>
  </conditionalFormatting>
  <conditionalFormatting sqref="H561:H562 H711 J761:K761">
    <cfRule type="expression" dxfId="823" priority="98128">
      <formula>$L561:$L747&lt;=0</formula>
    </cfRule>
  </conditionalFormatting>
  <conditionalFormatting sqref="H563:H565">
    <cfRule type="expression" dxfId="822" priority="1422">
      <formula>$L563:$L689&lt;=0</formula>
    </cfRule>
  </conditionalFormatting>
  <conditionalFormatting sqref="H566:H590">
    <cfRule type="expression" dxfId="821" priority="99230">
      <formula>$L566:$L826&lt;=0</formula>
    </cfRule>
  </conditionalFormatting>
  <conditionalFormatting sqref="H591:H592">
    <cfRule type="expression" dxfId="820" priority="99229">
      <formula>$L591:$L850&lt;=0</formula>
    </cfRule>
  </conditionalFormatting>
  <conditionalFormatting sqref="H593">
    <cfRule type="expression" dxfId="819" priority="1369">
      <formula>$L593:$L851&lt;=0</formula>
    </cfRule>
  </conditionalFormatting>
  <conditionalFormatting sqref="H596:H597 L691">
    <cfRule type="expression" dxfId="818" priority="99232">
      <formula>$L596:$L852&lt;=0</formula>
    </cfRule>
  </conditionalFormatting>
  <conditionalFormatting sqref="H603">
    <cfRule type="expression" dxfId="817" priority="98709">
      <formula>$L603:$L856&lt;=0</formula>
    </cfRule>
  </conditionalFormatting>
  <conditionalFormatting sqref="H604:H605 F695">
    <cfRule type="expression" dxfId="816" priority="99217">
      <formula>$L604:$L856&lt;=0</formula>
    </cfRule>
  </conditionalFormatting>
  <conditionalFormatting sqref="H606:H607">
    <cfRule type="expression" dxfId="815" priority="99073">
      <formula>$L606:$L857&lt;=0</formula>
    </cfRule>
  </conditionalFormatting>
  <conditionalFormatting sqref="H608:H609">
    <cfRule type="expression" dxfId="814" priority="99074">
      <formula>$L608:$L858&lt;=0</formula>
    </cfRule>
  </conditionalFormatting>
  <conditionalFormatting sqref="H610:H611">
    <cfRule type="expression" dxfId="813" priority="99079">
      <formula>$L610:$L859&lt;=0</formula>
    </cfRule>
  </conditionalFormatting>
  <conditionalFormatting sqref="H612:H613">
    <cfRule type="expression" dxfId="812" priority="99052">
      <formula>$L612:$L860&lt;=0</formula>
    </cfRule>
  </conditionalFormatting>
  <conditionalFormatting sqref="H614:H615">
    <cfRule type="expression" dxfId="811" priority="99221">
      <formula>$L614:$L861&lt;=0</formula>
    </cfRule>
  </conditionalFormatting>
  <conditionalFormatting sqref="H616:H620">
    <cfRule type="expression" dxfId="810" priority="98904">
      <formula>$L616:$L862&lt;=0</formula>
    </cfRule>
  </conditionalFormatting>
  <conditionalFormatting sqref="H621">
    <cfRule type="expression" dxfId="809" priority="98639">
      <formula>$L621:$L863&lt;=0</formula>
    </cfRule>
  </conditionalFormatting>
  <conditionalFormatting sqref="H632">
    <cfRule type="expression" dxfId="808" priority="1758">
      <formula>$L632:$L764&lt;=0</formula>
    </cfRule>
  </conditionalFormatting>
  <conditionalFormatting sqref="H633:H634 L811:L812">
    <cfRule type="expression" dxfId="807" priority="99112">
      <formula>$L633:$L789&lt;=0</formula>
    </cfRule>
  </conditionalFormatting>
  <conditionalFormatting sqref="H642:H647 L716:L717">
    <cfRule type="expression" dxfId="806" priority="99207">
      <formula>$L642:$L880&lt;=0</formula>
    </cfRule>
  </conditionalFormatting>
  <conditionalFormatting sqref="H643">
    <cfRule type="expression" dxfId="805" priority="100429">
      <formula>$L643:$L947&lt;=0</formula>
    </cfRule>
  </conditionalFormatting>
  <conditionalFormatting sqref="H644">
    <cfRule type="expression" dxfId="804" priority="100430">
      <formula>$L644:$L947&lt;=0</formula>
    </cfRule>
  </conditionalFormatting>
  <conditionalFormatting sqref="H645">
    <cfRule type="expression" dxfId="803" priority="1660">
      <formula>$L645:$L947&lt;=0</formula>
    </cfRule>
  </conditionalFormatting>
  <conditionalFormatting sqref="H651:H654">
    <cfRule type="expression" dxfId="802" priority="1297">
      <formula>$L651:$L692&lt;=0</formula>
    </cfRule>
  </conditionalFormatting>
  <conditionalFormatting sqref="H658">
    <cfRule type="expression" dxfId="801" priority="1285">
      <formula>$L658:$L697&lt;=0</formula>
    </cfRule>
    <cfRule type="expression" dxfId="800" priority="1293">
      <formula>$L658:$L751&lt;=0</formula>
    </cfRule>
  </conditionalFormatting>
  <conditionalFormatting sqref="H661">
    <cfRule type="expression" dxfId="799" priority="98166">
      <formula>$L661:$L947&lt;=0</formula>
    </cfRule>
  </conditionalFormatting>
  <conditionalFormatting sqref="H670">
    <cfRule type="expression" dxfId="798" priority="100426">
      <formula>$L670:$L947&lt;=0</formula>
    </cfRule>
  </conditionalFormatting>
  <conditionalFormatting sqref="H676">
    <cfRule type="expression" dxfId="797" priority="98730">
      <formula>$L676:$L822&lt;=0</formula>
    </cfRule>
    <cfRule type="expression" dxfId="796" priority="98731">
      <formula>$L676:$L745&lt;=0</formula>
    </cfRule>
  </conditionalFormatting>
  <conditionalFormatting sqref="H677:H680 H682:H697">
    <cfRule type="expression" dxfId="795" priority="99236">
      <formula>$L677:$L913&lt;=0</formula>
    </cfRule>
  </conditionalFormatting>
  <conditionalFormatting sqref="H677:H697">
    <cfRule type="expression" dxfId="794" priority="99237">
      <formula>$L677:$L829&lt;=0</formula>
    </cfRule>
  </conditionalFormatting>
  <conditionalFormatting sqref="H681">
    <cfRule type="expression" dxfId="793" priority="100434">
      <formula>$L681:$L947&lt;=0</formula>
    </cfRule>
  </conditionalFormatting>
  <conditionalFormatting sqref="H698:H709">
    <cfRule type="expression" dxfId="792" priority="99238">
      <formula>$L698:$L886&lt;=0</formula>
    </cfRule>
  </conditionalFormatting>
  <conditionalFormatting sqref="H710">
    <cfRule type="expression" dxfId="791" priority="1240">
      <formula>$L710:$L897&lt;=0</formula>
    </cfRule>
  </conditionalFormatting>
  <conditionalFormatting sqref="H711 L718:L719">
    <cfRule type="expression" dxfId="790" priority="99228">
      <formula>$L711:$L947&lt;=0</formula>
    </cfRule>
  </conditionalFormatting>
  <conditionalFormatting sqref="H719">
    <cfRule type="expression" dxfId="789" priority="1243">
      <formula>$L719:$L897&lt;=0</formula>
    </cfRule>
  </conditionalFormatting>
  <conditionalFormatting sqref="H736">
    <cfRule type="expression" dxfId="788" priority="1212">
      <formula>$L736:$L796&lt;=0</formula>
    </cfRule>
  </conditionalFormatting>
  <conditionalFormatting sqref="H765:H766">
    <cfRule type="expression" dxfId="787" priority="1616">
      <formula>$L765:$L882&lt;=0</formula>
    </cfRule>
  </conditionalFormatting>
  <conditionalFormatting sqref="H773:H774">
    <cfRule type="expression" dxfId="786" priority="1188">
      <formula>$L773:$L883&lt;=0</formula>
    </cfRule>
  </conditionalFormatting>
  <conditionalFormatting sqref="H780">
    <cfRule type="expression" dxfId="785" priority="1587">
      <formula>$L780:$L947&lt;=0</formula>
    </cfRule>
  </conditionalFormatting>
  <conditionalFormatting sqref="H785:H787">
    <cfRule type="expression" dxfId="784" priority="1576">
      <formula>$L785:$L884&lt;=0</formula>
    </cfRule>
  </conditionalFormatting>
  <conditionalFormatting sqref="H788">
    <cfRule type="expression" dxfId="783" priority="1160">
      <formula>$L788:$L908&lt;=0</formula>
    </cfRule>
  </conditionalFormatting>
  <conditionalFormatting sqref="H788:H798">
    <cfRule type="expression" dxfId="782" priority="1158">
      <formula>$L788:$L883&lt;=0</formula>
    </cfRule>
  </conditionalFormatting>
  <conditionalFormatting sqref="H789:H792">
    <cfRule type="expression" dxfId="781" priority="1157">
      <formula>$L789:$L908&lt;=0</formula>
    </cfRule>
  </conditionalFormatting>
  <conditionalFormatting sqref="H793">
    <cfRule type="expression" dxfId="780" priority="1159">
      <formula>$L793:$L911&lt;=0</formula>
    </cfRule>
  </conditionalFormatting>
  <conditionalFormatting sqref="H794">
    <cfRule type="expression" dxfId="779" priority="1156">
      <formula>$L794:$L911&lt;=0</formula>
    </cfRule>
  </conditionalFormatting>
  <conditionalFormatting sqref="H795:H796">
    <cfRule type="expression" dxfId="778" priority="1155">
      <formula>$L795:$L908&lt;=0</formula>
    </cfRule>
  </conditionalFormatting>
  <conditionalFormatting sqref="H797:H800">
    <cfRule type="expression" dxfId="777" priority="1154">
      <formula>$L797:$L908&lt;=0</formula>
    </cfRule>
  </conditionalFormatting>
  <conditionalFormatting sqref="H799">
    <cfRule type="expression" dxfId="776" priority="1153">
      <formula>$L799:$L893&lt;=0</formula>
    </cfRule>
  </conditionalFormatting>
  <conditionalFormatting sqref="H800">
    <cfRule type="expression" dxfId="775" priority="1152">
      <formula>$L800:$L893&lt;=0</formula>
    </cfRule>
  </conditionalFormatting>
  <conditionalFormatting sqref="H801">
    <cfRule type="expression" dxfId="774" priority="1151">
      <formula>$L801:$L911&lt;=0</formula>
    </cfRule>
  </conditionalFormatting>
  <conditionalFormatting sqref="H801:H808">
    <cfRule type="expression" dxfId="773" priority="1161">
      <formula>$L801:$L893&lt;=0</formula>
    </cfRule>
  </conditionalFormatting>
  <conditionalFormatting sqref="H803:H804">
    <cfRule type="expression" dxfId="772" priority="1143">
      <formula>$L803:$L908&lt;=0</formula>
    </cfRule>
  </conditionalFormatting>
  <conditionalFormatting sqref="H805:H807">
    <cfRule type="expression" dxfId="771" priority="1149">
      <formula>$L805:$L909&lt;=0</formula>
    </cfRule>
  </conditionalFormatting>
  <conditionalFormatting sqref="H808">
    <cfRule type="expression" dxfId="770" priority="1148">
      <formula>$L808:$L911&lt;=0</formula>
    </cfRule>
  </conditionalFormatting>
  <conditionalFormatting sqref="H809:H814">
    <cfRule type="expression" dxfId="769" priority="1136">
      <formula>$L809:$L861&lt;=0</formula>
    </cfRule>
    <cfRule type="expression" dxfId="768" priority="1133">
      <formula>$L809:$L906&lt;=0</formula>
    </cfRule>
  </conditionalFormatting>
  <conditionalFormatting sqref="H815">
    <cfRule type="expression" dxfId="767" priority="1119">
      <formula>$L815:$L899&lt;=0</formula>
    </cfRule>
  </conditionalFormatting>
  <conditionalFormatting sqref="H816">
    <cfRule type="expression" dxfId="766" priority="1113">
      <formula>$L816:$L897&lt;=0</formula>
    </cfRule>
  </conditionalFormatting>
  <conditionalFormatting sqref="H817">
    <cfRule type="expression" dxfId="765" priority="1116">
      <formula>$L817:$L897&lt;=0</formula>
    </cfRule>
  </conditionalFormatting>
  <conditionalFormatting sqref="H820:H821">
    <cfRule type="expression" dxfId="764" priority="1121">
      <formula>$L820:$L897&lt;=0</formula>
    </cfRule>
  </conditionalFormatting>
  <conditionalFormatting sqref="H827:H828 L827:L828">
    <cfRule type="expression" dxfId="763" priority="1125">
      <formula>$L827:$L897&lt;=0</formula>
    </cfRule>
  </conditionalFormatting>
  <conditionalFormatting sqref="H829:H830 L829:L830">
    <cfRule type="expression" dxfId="762" priority="1124">
      <formula>$L829:$L897&lt;=0</formula>
    </cfRule>
  </conditionalFormatting>
  <conditionalFormatting sqref="H831">
    <cfRule type="expression" dxfId="761" priority="1107">
      <formula>$L831:$L897&lt;=0</formula>
    </cfRule>
  </conditionalFormatting>
  <conditionalFormatting sqref="H832">
    <cfRule type="expression" dxfId="760" priority="1097">
      <formula>$L832:$L904&lt;=0</formula>
    </cfRule>
  </conditionalFormatting>
  <conditionalFormatting sqref="H833:H834">
    <cfRule type="expression" dxfId="759" priority="1101">
      <formula>$L833:$L904&lt;=0</formula>
    </cfRule>
  </conditionalFormatting>
  <conditionalFormatting sqref="H843:H847">
    <cfRule type="expression" dxfId="758" priority="1096">
      <formula>$L843:$L890&lt;=0</formula>
    </cfRule>
  </conditionalFormatting>
  <conditionalFormatting sqref="H848:H849">
    <cfRule type="expression" dxfId="757" priority="1086">
      <formula>$L848:$L888&lt;=0</formula>
    </cfRule>
  </conditionalFormatting>
  <conditionalFormatting sqref="H848:H850 C866 F866 I866:K866">
    <cfRule type="expression" dxfId="756" priority="1089">
      <formula>$L848:$L894&lt;=0</formula>
    </cfRule>
  </conditionalFormatting>
  <conditionalFormatting sqref="H850">
    <cfRule type="expression" dxfId="755" priority="1088">
      <formula>$L850:$L888&lt;=0</formula>
    </cfRule>
  </conditionalFormatting>
  <conditionalFormatting sqref="H851:H860">
    <cfRule type="expression" dxfId="754" priority="1543">
      <formula>$L851:$L936&lt;=0</formula>
    </cfRule>
  </conditionalFormatting>
  <conditionalFormatting sqref="H866">
    <cfRule type="expression" dxfId="753" priority="1050">
      <formula>$L866:$L948&lt;=0</formula>
    </cfRule>
    <cfRule type="expression" dxfId="752" priority="1049">
      <formula>$L866:$L991&lt;=0</formula>
    </cfRule>
  </conditionalFormatting>
  <conditionalFormatting sqref="H876">
    <cfRule type="expression" dxfId="751" priority="1017">
      <formula>$L876:$L911&lt;=0</formula>
    </cfRule>
  </conditionalFormatting>
  <conditionalFormatting sqref="H877:H880">
    <cfRule type="expression" dxfId="750" priority="1033">
      <formula>$L877:$L911&lt;=0</formula>
    </cfRule>
  </conditionalFormatting>
  <conditionalFormatting sqref="H880">
    <cfRule type="expression" dxfId="749" priority="1018">
      <formula>$L880:$L916&lt;=0</formula>
    </cfRule>
  </conditionalFormatting>
  <conditionalFormatting sqref="H882">
    <cfRule type="expression" dxfId="748" priority="1016">
      <formula>$L882:$L908&lt;=0</formula>
    </cfRule>
  </conditionalFormatting>
  <conditionalFormatting sqref="H883:H886">
    <cfRule type="expression" dxfId="747" priority="1015">
      <formula>$L883:$L908&lt;=0</formula>
    </cfRule>
  </conditionalFormatting>
  <conditionalFormatting sqref="H887">
    <cfRule type="expression" dxfId="746" priority="1014">
      <formula>$L887:$L911&lt;=0</formula>
    </cfRule>
  </conditionalFormatting>
  <conditionalFormatting sqref="H888:H889">
    <cfRule type="expression" dxfId="745" priority="1013">
      <formula>$L888:$L911&lt;=0</formula>
    </cfRule>
  </conditionalFormatting>
  <conditionalFormatting sqref="H916:H932">
    <cfRule type="expression" dxfId="744" priority="972">
      <formula>$L916:$L985&lt;=0</formula>
    </cfRule>
    <cfRule type="expression" dxfId="743" priority="973">
      <formula>$L916:$L1038&lt;=0</formula>
    </cfRule>
  </conditionalFormatting>
  <conditionalFormatting sqref="H933:H947">
    <cfRule type="expression" dxfId="742" priority="958">
      <formula>$L933:$L1073&lt;=0</formula>
    </cfRule>
  </conditionalFormatting>
  <conditionalFormatting sqref="H933:H952">
    <cfRule type="expression" dxfId="741" priority="952">
      <formula>$L933:$L1029&lt;=0</formula>
    </cfRule>
  </conditionalFormatting>
  <conditionalFormatting sqref="H948:H950">
    <cfRule type="expression" dxfId="740" priority="957">
      <formula>$L948:$L1087&lt;=0</formula>
    </cfRule>
  </conditionalFormatting>
  <conditionalFormatting sqref="H951:H952">
    <cfRule type="expression" dxfId="739" priority="956">
      <formula>$L951:$L1089&lt;=0</formula>
    </cfRule>
  </conditionalFormatting>
  <conditionalFormatting sqref="H953">
    <cfRule type="expression" dxfId="738" priority="941">
      <formula>$L953:$L995&lt;=0</formula>
    </cfRule>
  </conditionalFormatting>
  <conditionalFormatting sqref="H954:H955">
    <cfRule type="expression" dxfId="737" priority="937">
      <formula>$L954:$L1008&lt;=0</formula>
    </cfRule>
  </conditionalFormatting>
  <conditionalFormatting sqref="H956:H975">
    <cfRule type="expression" dxfId="736" priority="931">
      <formula>$L956:$L1025&lt;=0</formula>
    </cfRule>
    <cfRule type="expression" dxfId="735" priority="929">
      <formula>$L956:$L1078&lt;=0</formula>
    </cfRule>
  </conditionalFormatting>
  <conditionalFormatting sqref="H976:H978">
    <cfRule type="expression" dxfId="734" priority="921">
      <formula>$L976:$L1022&lt;=0</formula>
    </cfRule>
    <cfRule type="expression" dxfId="733" priority="920">
      <formula>$L976:$L1048&lt;=0</formula>
    </cfRule>
  </conditionalFormatting>
  <conditionalFormatting sqref="H979:H1028">
    <cfRule type="expression" dxfId="732" priority="915">
      <formula>$L979:$L1101&lt;=0</formula>
    </cfRule>
    <cfRule type="expression" dxfId="731" priority="914">
      <formula>$L979:$L1104&lt;=0</formula>
    </cfRule>
    <cfRule type="expression" dxfId="730" priority="913">
      <formula>$L979:$L1046&lt;=0</formula>
    </cfRule>
  </conditionalFormatting>
  <conditionalFormatting sqref="H1029">
    <cfRule type="expression" dxfId="729" priority="885">
      <formula>$L1029:$L1076&lt;=0</formula>
    </cfRule>
  </conditionalFormatting>
  <conditionalFormatting sqref="H1030:H1032">
    <cfRule type="expression" dxfId="728" priority="886">
      <formula>$L1030:$L1076&lt;=0</formula>
    </cfRule>
  </conditionalFormatting>
  <conditionalFormatting sqref="H1033">
    <cfRule type="expression" dxfId="727" priority="884">
      <formula>$L1033:$L1078&lt;=0</formula>
    </cfRule>
  </conditionalFormatting>
  <conditionalFormatting sqref="H1034">
    <cfRule type="expression" dxfId="726" priority="894">
      <formula>$L1034:$L1078&lt;=0</formula>
    </cfRule>
  </conditionalFormatting>
  <conditionalFormatting sqref="H1040:H1059">
    <cfRule type="expression" dxfId="725" priority="883">
      <formula>$L1040:$L1080&lt;=0</formula>
    </cfRule>
  </conditionalFormatting>
  <conditionalFormatting sqref="H1061">
    <cfRule type="expression" dxfId="724" priority="873">
      <formula>$L1061:$L1126&lt;=0</formula>
    </cfRule>
  </conditionalFormatting>
  <conditionalFormatting sqref="H1061:H1077">
    <cfRule type="expression" dxfId="723" priority="865">
      <formula>$L1061:$L1166&lt;=0</formula>
    </cfRule>
  </conditionalFormatting>
  <conditionalFormatting sqref="H1062:H1063">
    <cfRule type="expression" dxfId="722" priority="880">
      <formula>$L1062:$L1126&lt;=0</formula>
    </cfRule>
  </conditionalFormatting>
  <conditionalFormatting sqref="H1064:H1065">
    <cfRule type="expression" dxfId="721" priority="864">
      <formula>$L1064:$L1126&lt;=0</formula>
    </cfRule>
  </conditionalFormatting>
  <conditionalFormatting sqref="H1078">
    <cfRule type="expression" dxfId="720" priority="866">
      <formula>$L1078:$L1182&lt;=0</formula>
    </cfRule>
  </conditionalFormatting>
  <conditionalFormatting sqref="H1079:H1121">
    <cfRule type="expression" dxfId="719" priority="847">
      <formula>$L1079:$L1151&lt;=0</formula>
    </cfRule>
  </conditionalFormatting>
  <conditionalFormatting sqref="H1079:H1138">
    <cfRule type="expression" dxfId="718" priority="846">
      <formula>$L1079:$L1085&lt;=0</formula>
    </cfRule>
    <cfRule type="expression" dxfId="717" priority="851">
      <formula>$L1079:$L1095&lt;=0</formula>
    </cfRule>
  </conditionalFormatting>
  <conditionalFormatting sqref="H1122:H1138">
    <cfRule type="expression" dxfId="716" priority="845">
      <formula>$L1122:$L1193&lt;=0</formula>
    </cfRule>
  </conditionalFormatting>
  <conditionalFormatting sqref="H1139">
    <cfRule type="expression" dxfId="715" priority="837">
      <formula>$L1139:$L1255&lt;=0</formula>
    </cfRule>
  </conditionalFormatting>
  <conditionalFormatting sqref="H1139:H1140">
    <cfRule type="expression" dxfId="714" priority="836">
      <formula>$L1139:$L1205&lt;=0</formula>
    </cfRule>
  </conditionalFormatting>
  <conditionalFormatting sqref="H1140">
    <cfRule type="expression" dxfId="713" priority="835">
      <formula>$L1140:$L1255&lt;=0</formula>
    </cfRule>
  </conditionalFormatting>
  <conditionalFormatting sqref="H1141:H1143">
    <cfRule type="expression" dxfId="712" priority="825">
      <formula>$L1141:$L1160&lt;=0</formula>
    </cfRule>
    <cfRule type="expression" dxfId="711" priority="826">
      <formula>$L1141:$L1210&lt;=0</formula>
    </cfRule>
  </conditionalFormatting>
  <conditionalFormatting sqref="H1144:H1150">
    <cfRule type="expression" dxfId="710" priority="798">
      <formula>$L1144:$L1247&lt;=0</formula>
    </cfRule>
  </conditionalFormatting>
  <conditionalFormatting sqref="H1144:H1152">
    <cfRule type="expression" dxfId="709" priority="823">
      <formula>$L1144:$L1208&lt;=0</formula>
    </cfRule>
    <cfRule type="expression" dxfId="708" priority="797">
      <formula>$L1144:$L1214&lt;=0</formula>
    </cfRule>
  </conditionalFormatting>
  <conditionalFormatting sqref="H1144:H1153">
    <cfRule type="expression" dxfId="707" priority="795">
      <formula>$L1144:$L1248&lt;=0</formula>
    </cfRule>
  </conditionalFormatting>
  <conditionalFormatting sqref="H1151:H1162">
    <cfRule type="expression" dxfId="706" priority="800">
      <formula>$L1151:$L1239&lt;=0</formula>
    </cfRule>
  </conditionalFormatting>
  <conditionalFormatting sqref="H1153:H1156">
    <cfRule type="expression" dxfId="705" priority="796">
      <formula>$L1153:$L1206&lt;=0</formula>
    </cfRule>
  </conditionalFormatting>
  <conditionalFormatting sqref="H1154:H1162">
    <cfRule type="expression" dxfId="704" priority="799">
      <formula>$L1154:$L1239&lt;=0</formula>
    </cfRule>
  </conditionalFormatting>
  <conditionalFormatting sqref="H1157:H1162">
    <cfRule type="expression" dxfId="703" priority="812">
      <formula>$L1157:$L1206&lt;=0</formula>
    </cfRule>
    <cfRule type="expression" dxfId="702" priority="794">
      <formula>$L1157:$L1207&lt;=0</formula>
    </cfRule>
  </conditionalFormatting>
  <conditionalFormatting sqref="H1163:H1164">
    <cfRule type="expression" dxfId="701" priority="788">
      <formula>$L1163:$L1193&lt;=0</formula>
    </cfRule>
    <cfRule type="expression" dxfId="700" priority="787">
      <formula>$L1163:$L1228&lt;=0</formula>
    </cfRule>
  </conditionalFormatting>
  <conditionalFormatting sqref="H1165:H1169">
    <cfRule type="expression" dxfId="699" priority="769">
      <formula>$L1165:$L1214&lt;=0</formula>
    </cfRule>
  </conditionalFormatting>
  <conditionalFormatting sqref="H1165:H1177">
    <cfRule type="expression" dxfId="698" priority="768">
      <formula>$L1165:$L1253&lt;=0</formula>
    </cfRule>
  </conditionalFormatting>
  <conditionalFormatting sqref="H1165:H1178">
    <cfRule type="expression" dxfId="697" priority="767">
      <formula>$L1165:$L1250&lt;=0</formula>
    </cfRule>
    <cfRule type="expression" dxfId="696" priority="765">
      <formula>$L1165:$L1215&lt;=0</formula>
    </cfRule>
  </conditionalFormatting>
  <conditionalFormatting sqref="H1170:H1178">
    <cfRule type="expression" dxfId="695" priority="783">
      <formula>$L1170:$L1209&lt;=0</formula>
    </cfRule>
  </conditionalFormatting>
  <conditionalFormatting sqref="H1178">
    <cfRule type="expression" dxfId="694" priority="766">
      <formula>$L1178:$L1442&lt;=0</formula>
    </cfRule>
  </conditionalFormatting>
  <conditionalFormatting sqref="H1179:H1184">
    <cfRule type="expression" dxfId="693" priority="747">
      <formula>$L1179:$L1213&lt;=0</formula>
    </cfRule>
  </conditionalFormatting>
  <conditionalFormatting sqref="H1185:H1189">
    <cfRule type="expression" dxfId="692" priority="745">
      <formula>$L1185:$L1220&lt;=0</formula>
    </cfRule>
  </conditionalFormatting>
  <conditionalFormatting sqref="H1190">
    <cfRule type="expression" dxfId="691" priority="706">
      <formula>$L1190:$L1240&lt;=0</formula>
    </cfRule>
  </conditionalFormatting>
  <conditionalFormatting sqref="H1190:H1191">
    <cfRule type="expression" dxfId="690" priority="711">
      <formula>$L1190:$L1216&lt;=0</formula>
    </cfRule>
  </conditionalFormatting>
  <conditionalFormatting sqref="H1191:H1201">
    <cfRule type="expression" dxfId="689" priority="710">
      <formula>$L1191:$L1240&lt;=0</formula>
    </cfRule>
  </conditionalFormatting>
  <conditionalFormatting sqref="H1192">
    <cfRule type="expression" dxfId="688" priority="720">
      <formula>$L1192:$L1247&lt;=0</formula>
    </cfRule>
  </conditionalFormatting>
  <conditionalFormatting sqref="H1195">
    <cfRule type="expression" dxfId="687" priority="718">
      <formula>$L1195:$L1216&lt;=0</formula>
    </cfRule>
    <cfRule type="expression" dxfId="686" priority="719">
      <formula>$L1195:$L1240&lt;=0</formula>
    </cfRule>
  </conditionalFormatting>
  <conditionalFormatting sqref="H1196:H1197">
    <cfRule type="expression" dxfId="685" priority="717">
      <formula>$L1196:$L1240&lt;=0</formula>
    </cfRule>
  </conditionalFormatting>
  <conditionalFormatting sqref="H1198">
    <cfRule type="expression" dxfId="684" priority="716">
      <formula>$L1198:$L1240&lt;=0</formula>
    </cfRule>
  </conditionalFormatting>
  <conditionalFormatting sqref="H1199">
    <cfRule type="expression" dxfId="683" priority="714">
      <formula>$L1199:$L1216&lt;=0</formula>
    </cfRule>
    <cfRule type="expression" dxfId="682" priority="715">
      <formula>$L1199:$L1240&lt;=0</formula>
    </cfRule>
  </conditionalFormatting>
  <conditionalFormatting sqref="H1200:H1201">
    <cfRule type="expression" dxfId="681" priority="713">
      <formula>$L1200:$L1240&lt;=0</formula>
    </cfRule>
  </conditionalFormatting>
  <conditionalFormatting sqref="H1202">
    <cfRule type="expression" dxfId="680" priority="694">
      <formula>$L1202:$L1225&lt;=0</formula>
    </cfRule>
    <cfRule type="expression" dxfId="679" priority="695">
      <formula>$L1202:$L1231&lt;=0</formula>
    </cfRule>
  </conditionalFormatting>
  <conditionalFormatting sqref="H1203:H1225">
    <cfRule type="expression" dxfId="678" priority="691">
      <formula>$L1203:$L1209&lt;=0</formula>
    </cfRule>
    <cfRule type="expression" dxfId="677" priority="680">
      <formula>$L1203:$L1256&lt;=0</formula>
    </cfRule>
  </conditionalFormatting>
  <conditionalFormatting sqref="H1203:H1228">
    <cfRule type="expression" dxfId="676" priority="676">
      <formula>$L1203:$L1219&lt;=0</formula>
    </cfRule>
  </conditionalFormatting>
  <conditionalFormatting sqref="H1226:H1228">
    <cfRule type="expression" dxfId="675" priority="674">
      <formula>$L1226:$L1295&lt;=0</formula>
    </cfRule>
    <cfRule type="expression" dxfId="674" priority="673">
      <formula>$L1226:$L1298&lt;=0</formula>
    </cfRule>
  </conditionalFormatting>
  <conditionalFormatting sqref="H1229:H1233">
    <cfRule type="expression" dxfId="673" priority="665">
      <formula>$L1229:$L1251&lt;=0</formula>
    </cfRule>
  </conditionalFormatting>
  <conditionalFormatting sqref="H1234:H1248">
    <cfRule type="expression" dxfId="672" priority="668">
      <formula>$L1234:$L1249&lt;=0</formula>
    </cfRule>
  </conditionalFormatting>
  <conditionalFormatting sqref="H1249:H1252 G1255:G1270">
    <cfRule type="expression" dxfId="671" priority="654">
      <formula>$L1249:$L1261&lt;=0</formula>
    </cfRule>
  </conditionalFormatting>
  <conditionalFormatting sqref="H1249:H1254">
    <cfRule type="expression" dxfId="670" priority="656">
      <formula>$L1249:$L1265&lt;=0</formula>
    </cfRule>
  </conditionalFormatting>
  <conditionalFormatting sqref="H1253 G1271:G1282">
    <cfRule type="expression" dxfId="669" priority="649">
      <formula>$L1253:$L1264&lt;=0</formula>
    </cfRule>
  </conditionalFormatting>
  <conditionalFormatting sqref="H1255">
    <cfRule type="expression" dxfId="668" priority="637">
      <formula>$L1255:$L1318&lt;=0</formula>
    </cfRule>
    <cfRule type="expression" dxfId="667" priority="638">
      <formula>$L1255:$L1334&lt;=0</formula>
    </cfRule>
  </conditionalFormatting>
  <conditionalFormatting sqref="H1256 H1271:H1272">
    <cfRule type="expression" dxfId="666" priority="636">
      <formula>$L1256:$L1318&lt;=0</formula>
    </cfRule>
  </conditionalFormatting>
  <conditionalFormatting sqref="H1256:H1257">
    <cfRule type="expression" dxfId="665" priority="635">
      <formula>$L1256:$L1333&lt;=0</formula>
    </cfRule>
  </conditionalFormatting>
  <conditionalFormatting sqref="H1257:H1266">
    <cfRule type="expression" dxfId="664" priority="626">
      <formula>$L1257:$L1318&lt;=0</formula>
    </cfRule>
  </conditionalFormatting>
  <conditionalFormatting sqref="H1258:H1259">
    <cfRule type="expression" dxfId="663" priority="618">
      <formula>$L1258:$L1333&lt;=0</formula>
    </cfRule>
  </conditionalFormatting>
  <conditionalFormatting sqref="H1260:H1261">
    <cfRule type="expression" dxfId="662" priority="634">
      <formula>$L1260:$L1333&lt;=0</formula>
    </cfRule>
  </conditionalFormatting>
  <conditionalFormatting sqref="H1262:H1264">
    <cfRule type="expression" dxfId="661" priority="633">
      <formula>$L1262:$L1333&lt;=0</formula>
    </cfRule>
  </conditionalFormatting>
  <conditionalFormatting sqref="H1265:H1266">
    <cfRule type="expression" dxfId="660" priority="632">
      <formula>$L1265:$L1333&lt;=0</formula>
    </cfRule>
  </conditionalFormatting>
  <conditionalFormatting sqref="H1267 H1273:H1274">
    <cfRule type="expression" dxfId="659" priority="631">
      <formula>$L1267:$L1327&lt;=0</formula>
    </cfRule>
  </conditionalFormatting>
  <conditionalFormatting sqref="H1267:H1268">
    <cfRule type="expression" dxfId="658" priority="630">
      <formula>$L1267:$L1333&lt;=0</formula>
    </cfRule>
  </conditionalFormatting>
  <conditionalFormatting sqref="H1268:H1272">
    <cfRule type="expression" dxfId="657" priority="629">
      <formula>$L1268:$L1327&lt;=0</formula>
    </cfRule>
  </conditionalFormatting>
  <conditionalFormatting sqref="H1269">
    <cfRule type="expression" dxfId="656" priority="628">
      <formula>$L1269:$L1333&lt;=0</formula>
    </cfRule>
  </conditionalFormatting>
  <conditionalFormatting sqref="H1275:H1276">
    <cfRule type="expression" dxfId="655" priority="645">
      <formula>$L1275:$L1333&lt;=0</formula>
    </cfRule>
  </conditionalFormatting>
  <conditionalFormatting sqref="H1277:H1278">
    <cfRule type="expression" dxfId="654" priority="627">
      <formula>$L1277:$L1333&lt;=0</formula>
    </cfRule>
  </conditionalFormatting>
  <conditionalFormatting sqref="H1283:H1288 H1290:H1300">
    <cfRule type="expression" dxfId="653" priority="606">
      <formula>$L1283:$L1405&lt;=0</formula>
    </cfRule>
  </conditionalFormatting>
  <conditionalFormatting sqref="H1283:H1300">
    <cfRule type="expression" dxfId="652" priority="605">
      <formula>$L1283:$L1352&lt;=0</formula>
    </cfRule>
  </conditionalFormatting>
  <conditionalFormatting sqref="H1289">
    <cfRule type="expression" dxfId="651" priority="604">
      <formula>$L1289:$L1484&lt;=0</formula>
    </cfRule>
  </conditionalFormatting>
  <conditionalFormatting sqref="H1301:H1304">
    <cfRule type="expression" dxfId="650" priority="580">
      <formula>$L1301:$L1336&lt;=0</formula>
    </cfRule>
    <cfRule type="expression" dxfId="649" priority="577">
      <formula>$L1301:$L1308&lt;=0</formula>
    </cfRule>
    <cfRule type="expression" dxfId="648" priority="557">
      <formula>$L1301:$L1318&lt;=0</formula>
    </cfRule>
    <cfRule type="expression" dxfId="647" priority="571">
      <formula>$L1301:$L1364&lt;=0</formula>
    </cfRule>
    <cfRule type="expression" dxfId="646" priority="572">
      <formula>$L1301:$L1367&lt;=0</formula>
    </cfRule>
  </conditionalFormatting>
  <conditionalFormatting sqref="H1305:H1306">
    <cfRule type="expression" dxfId="645" priority="564">
      <formula>$L1305:$L1320&lt;=0</formula>
    </cfRule>
  </conditionalFormatting>
  <conditionalFormatting sqref="H1305:H1312 H1314:H1316">
    <cfRule type="expression" dxfId="644" priority="545">
      <formula>$L1305:$L1367&lt;=0</formula>
    </cfRule>
    <cfRule type="expression" dxfId="643" priority="544">
      <formula>$L1305:$L1370&lt;=0</formula>
    </cfRule>
    <cfRule type="expression" dxfId="642" priority="555">
      <formula>$L1305:$L1339&lt;=0</formula>
    </cfRule>
  </conditionalFormatting>
  <conditionalFormatting sqref="H1305:H1313">
    <cfRule type="expression" dxfId="641" priority="550">
      <formula>$L1305:$L1311&lt;=0</formula>
    </cfRule>
  </conditionalFormatting>
  <conditionalFormatting sqref="H1307:H1316">
    <cfRule type="expression" dxfId="640" priority="546">
      <formula>$L1307:$L1320&lt;=0</formula>
    </cfRule>
  </conditionalFormatting>
  <conditionalFormatting sqref="H1313">
    <cfRule type="expression" dxfId="639" priority="543">
      <formula>$L1313:$L1379&lt;=0</formula>
    </cfRule>
  </conditionalFormatting>
  <conditionalFormatting sqref="H1314:H1316">
    <cfRule type="expression" dxfId="638" priority="542">
      <formula>$L1314:$L1319&lt;=0</formula>
    </cfRule>
  </conditionalFormatting>
  <conditionalFormatting sqref="H1317:H1321">
    <cfRule type="expression" dxfId="637" priority="530">
      <formula>$L1317:$L1392&lt;=0</formula>
    </cfRule>
  </conditionalFormatting>
  <conditionalFormatting sqref="H1317:H1326">
    <cfRule type="expression" dxfId="636" priority="529">
      <formula>$L1317:$L1383&lt;=0</formula>
    </cfRule>
  </conditionalFormatting>
  <conditionalFormatting sqref="H1322:H1347">
    <cfRule type="expression" dxfId="635" priority="528">
      <formula>$L1322:$L1393&lt;=0</formula>
    </cfRule>
  </conditionalFormatting>
  <conditionalFormatting sqref="H1327:H1328">
    <cfRule type="expression" dxfId="634" priority="527">
      <formula>$L1327:$L1383&lt;=0</formula>
    </cfRule>
  </conditionalFormatting>
  <conditionalFormatting sqref="H1329:H1337">
    <cfRule type="expression" dxfId="633" priority="526">
      <formula>$L1329:$L1384&lt;=0</formula>
    </cfRule>
  </conditionalFormatting>
  <conditionalFormatting sqref="H1338">
    <cfRule type="expression" dxfId="632" priority="525">
      <formula>$L1338:$L1392&lt;=0</formula>
    </cfRule>
  </conditionalFormatting>
  <conditionalFormatting sqref="H1348:H1351">
    <cfRule type="expression" dxfId="631" priority="509">
      <formula>$L1348:$L1418&lt;=0</formula>
    </cfRule>
    <cfRule type="expression" dxfId="630" priority="510">
      <formula>$L1348:$L1386&lt;=0</formula>
    </cfRule>
  </conditionalFormatting>
  <conditionalFormatting sqref="H1349:H1351">
    <cfRule type="expression" dxfId="629" priority="508">
      <formula>$L1349:$L1386&lt;=0</formula>
    </cfRule>
    <cfRule type="expression" dxfId="628" priority="507">
      <formula>$L1349:$L1418&lt;=0</formula>
    </cfRule>
  </conditionalFormatting>
  <conditionalFormatting sqref="H1352:H1354 L1355:L1370">
    <cfRule type="expression" dxfId="627" priority="499">
      <formula>$L1352:$L1368&lt;=0</formula>
    </cfRule>
  </conditionalFormatting>
  <conditionalFormatting sqref="H1352:H1359">
    <cfRule type="expression" dxfId="626" priority="494">
      <formula>$L1352:$L1405&lt;=0</formula>
    </cfRule>
  </conditionalFormatting>
  <conditionalFormatting sqref="H1352:H1364">
    <cfRule type="expression" dxfId="625" priority="500">
      <formula>$L1352:$L1358&lt;=0</formula>
    </cfRule>
  </conditionalFormatting>
  <conditionalFormatting sqref="H1355:H1370">
    <cfRule type="expression" dxfId="624" priority="490">
      <formula>$L1355:$L1370&lt;=0</formula>
    </cfRule>
  </conditionalFormatting>
  <conditionalFormatting sqref="H1360:H1361">
    <cfRule type="expression" dxfId="623" priority="493">
      <formula>$L1360:$L1412&lt;=0</formula>
    </cfRule>
  </conditionalFormatting>
  <conditionalFormatting sqref="H1362">
    <cfRule type="expression" dxfId="622" priority="492">
      <formula>$L1362:$L1413&lt;=0</formula>
    </cfRule>
  </conditionalFormatting>
  <conditionalFormatting sqref="H1365:H1370">
    <cfRule type="expression" dxfId="621" priority="491">
      <formula>$L1365:$L1370&lt;=0</formula>
    </cfRule>
  </conditionalFormatting>
  <conditionalFormatting sqref="H1371:H1375">
    <cfRule type="expression" dxfId="620" priority="480">
      <formula>$L1371:$L1377&lt;=0</formula>
    </cfRule>
  </conditionalFormatting>
  <conditionalFormatting sqref="H1371:H1381">
    <cfRule type="expression" dxfId="619" priority="484">
      <formula>$L1371:$L1405&lt;=0</formula>
    </cfRule>
    <cfRule type="expression" dxfId="618" priority="481">
      <formula>$L1371:$L1381&lt;=0</formula>
    </cfRule>
  </conditionalFormatting>
  <conditionalFormatting sqref="H1376:H1381">
    <cfRule type="expression" dxfId="617" priority="477">
      <formula>$L1376:$L1381&lt;=0</formula>
    </cfRule>
  </conditionalFormatting>
  <conditionalFormatting sqref="H1382">
    <cfRule type="expression" dxfId="616" priority="472">
      <formula>$L1382:$L1419&lt;=0</formula>
    </cfRule>
    <cfRule type="expression" dxfId="615" priority="471">
      <formula>$L1382:$L1451&lt;=0</formula>
    </cfRule>
    <cfRule type="expression" dxfId="614" priority="470">
      <formula>$L1382:$L1452&lt;=0</formula>
    </cfRule>
    <cfRule type="expression" dxfId="613" priority="469">
      <formula>$L1382:$L1420&lt;=0</formula>
    </cfRule>
  </conditionalFormatting>
  <conditionalFormatting sqref="H1383">
    <cfRule type="expression" dxfId="612" priority="468">
      <formula>$L1383:$L1392&lt;=0</formula>
    </cfRule>
  </conditionalFormatting>
  <conditionalFormatting sqref="H1384:H1385">
    <cfRule type="expression" dxfId="611" priority="467">
      <formula>$L1384:$L1392&lt;=0</formula>
    </cfRule>
  </conditionalFormatting>
  <conditionalFormatting sqref="H1386:H1388">
    <cfRule type="expression" dxfId="610" priority="456">
      <formula>$L1386:$L1399&lt;=0</formula>
    </cfRule>
  </conditionalFormatting>
  <conditionalFormatting sqref="H1387">
    <cfRule type="expression" dxfId="609" priority="464">
      <formula>$L1387:$L1399&lt;=0</formula>
    </cfRule>
  </conditionalFormatting>
  <conditionalFormatting sqref="H1388">
    <cfRule type="expression" dxfId="608" priority="463">
      <formula>$L1388:$L1399&lt;=0</formula>
    </cfRule>
  </conditionalFormatting>
  <conditionalFormatting sqref="H1389">
    <cfRule type="expression" dxfId="607" priority="451">
      <formula>$L1389:$L1440&lt;=0</formula>
    </cfRule>
    <cfRule type="expression" dxfId="606" priority="452">
      <formula>$L1389:$L1436&lt;=0</formula>
    </cfRule>
  </conditionalFormatting>
  <conditionalFormatting sqref="H1390:H1391">
    <cfRule type="expression" dxfId="605" priority="431">
      <formula>$L1390:$L1406&lt;=0</formula>
    </cfRule>
    <cfRule type="expression" dxfId="604" priority="430">
      <formula>$L1390:$L1462&lt;=0</formula>
    </cfRule>
  </conditionalFormatting>
  <conditionalFormatting sqref="H1390:H1395">
    <cfRule type="expression" dxfId="603" priority="432">
      <formula>$L1390:$L1459&lt;=0</formula>
    </cfRule>
    <cfRule type="expression" dxfId="602" priority="434">
      <formula>$L1390:$L1403&lt;=0</formula>
    </cfRule>
    <cfRule type="expression" dxfId="601" priority="433">
      <formula>$L1390:$L1456&lt;=0</formula>
    </cfRule>
  </conditionalFormatting>
  <conditionalFormatting sqref="H1394">
    <cfRule type="expression" dxfId="600" priority="428">
      <formula>$L1394:$L1493&lt;=0</formula>
    </cfRule>
    <cfRule type="expression" dxfId="599" priority="429">
      <formula>$L1394:$L1488&lt;=0</formula>
    </cfRule>
  </conditionalFormatting>
  <conditionalFormatting sqref="H1410">
    <cfRule type="expression" dxfId="598" priority="427">
      <formula>$L1410:$L1509&lt;=0</formula>
    </cfRule>
    <cfRule type="expression" dxfId="597" priority="426">
      <formula>$L1410:$L1493&lt;=0</formula>
    </cfRule>
  </conditionalFormatting>
  <conditionalFormatting sqref="H1427 H1433">
    <cfRule type="expression" dxfId="596" priority="371">
      <formula>$L1427:$L1466&lt;=0</formula>
    </cfRule>
  </conditionalFormatting>
  <conditionalFormatting sqref="H1427">
    <cfRule type="expression" dxfId="595" priority="370">
      <formula>$L1427:$L1473&lt;=0</formula>
    </cfRule>
  </conditionalFormatting>
  <conditionalFormatting sqref="H1428:H1429">
    <cfRule type="expression" dxfId="594" priority="373">
      <formula>$L1428:$L1472&lt;=0</formula>
    </cfRule>
  </conditionalFormatting>
  <conditionalFormatting sqref="H1428:H1441">
    <cfRule type="expression" dxfId="593" priority="369">
      <formula>$L1428:$L1466&lt;=0</formula>
    </cfRule>
  </conditionalFormatting>
  <conditionalFormatting sqref="H1430:H1431">
    <cfRule type="expression" dxfId="592" priority="368">
      <formula>$L1430:$L1472&lt;=0</formula>
    </cfRule>
  </conditionalFormatting>
  <conditionalFormatting sqref="H1432">
    <cfRule type="expression" dxfId="591" priority="372">
      <formula>$L1432:$L1472&lt;=0</formula>
    </cfRule>
  </conditionalFormatting>
  <conditionalFormatting sqref="H1436:H1437">
    <cfRule type="expression" dxfId="590" priority="367">
      <formula>$L1436:$L1472&lt;=0</formula>
    </cfRule>
  </conditionalFormatting>
  <conditionalFormatting sqref="H1463">
    <cfRule type="expression" dxfId="589" priority="356">
      <formula>$L1463:$L1477&lt;=0</formula>
    </cfRule>
  </conditionalFormatting>
  <conditionalFormatting sqref="H1464:H1497">
    <cfRule type="expression" dxfId="588" priority="299">
      <formula>$L1464:$L1515&lt;=0</formula>
    </cfRule>
    <cfRule type="expression" dxfId="587" priority="300">
      <formula>$L1464:$L1511&lt;=0</formula>
    </cfRule>
  </conditionalFormatting>
  <conditionalFormatting sqref="H1498:H1499">
    <cfRule type="expression" dxfId="586" priority="286">
      <formula>$L1498:$L1508&lt;=0</formula>
    </cfRule>
  </conditionalFormatting>
  <conditionalFormatting sqref="H1500:H1518">
    <cfRule type="expression" dxfId="585" priority="278">
      <formula>$L1500:$L1584&lt;=0</formula>
    </cfRule>
  </conditionalFormatting>
  <conditionalFormatting sqref="H1508">
    <cfRule type="expression" dxfId="584" priority="277">
      <formula>$L1508:$L1685&lt;=0</formula>
    </cfRule>
  </conditionalFormatting>
  <conditionalFormatting sqref="H1519:H1524">
    <cfRule type="expression" dxfId="583" priority="264">
      <formula>$L1519:$L1570&lt;=0</formula>
    </cfRule>
    <cfRule type="expression" dxfId="582" priority="265">
      <formula>$L1519:$L1569&lt;=0</formula>
    </cfRule>
    <cfRule type="expression" dxfId="581" priority="263">
      <formula>$L1519:$L1552&lt;=0</formula>
    </cfRule>
  </conditionalFormatting>
  <conditionalFormatting sqref="H1525:H1552">
    <cfRule type="expression" dxfId="580" priority="252">
      <formula>$L1525:$L1571&lt;=0</formula>
    </cfRule>
    <cfRule type="expression" dxfId="579" priority="254">
      <formula>$L1525:$L1530&lt;=0</formula>
    </cfRule>
    <cfRule type="expression" dxfId="578" priority="253">
      <formula>$L1525:$L1540&lt;=0</formula>
    </cfRule>
  </conditionalFormatting>
  <conditionalFormatting sqref="H1553:H1554">
    <cfRule type="expression" dxfId="577" priority="240">
      <formula>$L1553:$L1644&lt;=0</formula>
    </cfRule>
  </conditionalFormatting>
  <conditionalFormatting sqref="H1553:H1573">
    <cfRule type="expression" dxfId="576" priority="241">
      <formula>$L1553:$L1622&lt;=0</formula>
    </cfRule>
  </conditionalFormatting>
  <conditionalFormatting sqref="H1555:H1560">
    <cfRule type="expression" dxfId="575" priority="239">
      <formula>$L1555:$L1644&lt;=0</formula>
    </cfRule>
  </conditionalFormatting>
  <conditionalFormatting sqref="H1561:H1570">
    <cfRule type="expression" dxfId="574" priority="238">
      <formula>$L1561:$L1649&lt;=0</formula>
    </cfRule>
  </conditionalFormatting>
  <conditionalFormatting sqref="H1571">
    <cfRule type="expression" dxfId="573" priority="237">
      <formula>$L1571:$L1686&lt;=0</formula>
    </cfRule>
  </conditionalFormatting>
  <conditionalFormatting sqref="H1572:H1585">
    <cfRule type="expression" dxfId="572" priority="224">
      <formula>$L1572:$L1649&lt;=0</formula>
    </cfRule>
  </conditionalFormatting>
  <conditionalFormatting sqref="H1574">
    <cfRule type="expression" dxfId="571" priority="236">
      <formula>$L1574:$L1642&lt;=0</formula>
    </cfRule>
  </conditionalFormatting>
  <conditionalFormatting sqref="H1581">
    <cfRule type="expression" dxfId="570" priority="235">
      <formula>$L1581:$L1642&lt;=0</formula>
    </cfRule>
  </conditionalFormatting>
  <conditionalFormatting sqref="H1582:H1585">
    <cfRule type="expression" dxfId="569" priority="234">
      <formula>$L1582:$L1642&lt;=0</formula>
    </cfRule>
  </conditionalFormatting>
  <conditionalFormatting sqref="H1586:H1587">
    <cfRule type="expression" dxfId="568" priority="214">
      <formula>$L1586:$L1617&lt;=0</formula>
    </cfRule>
  </conditionalFormatting>
  <conditionalFormatting sqref="H1586:H1598">
    <cfRule type="expression" dxfId="567" priority="213">
      <formula>$L1586:$L1637&lt;=0</formula>
    </cfRule>
  </conditionalFormatting>
  <conditionalFormatting sqref="H1588:H1598">
    <cfRule type="expression" dxfId="566" priority="212">
      <formula>$L1588:$L1618&lt;=0</formula>
    </cfRule>
  </conditionalFormatting>
  <conditionalFormatting sqref="H1599:H1600">
    <cfRule type="expression" dxfId="565" priority="201">
      <formula>$L1599:$L1607&lt;=0</formula>
    </cfRule>
    <cfRule type="expression" dxfId="564" priority="200">
      <formula>$L1599:$L1618&lt;=0</formula>
    </cfRule>
    <cfRule type="expression" dxfId="563" priority="199">
      <formula>$L1599:$L1600&lt;=0</formula>
    </cfRule>
  </conditionalFormatting>
  <conditionalFormatting sqref="H1601:H1609">
    <cfRule type="expression" dxfId="562" priority="182">
      <formula>$L1601:$L1617&lt;=0</formula>
    </cfRule>
  </conditionalFormatting>
  <conditionalFormatting sqref="H1601:H1615">
    <cfRule type="expression" dxfId="561" priority="184">
      <formula>$L1601:$L1607&lt;=0</formula>
    </cfRule>
    <cfRule type="expression" dxfId="560" priority="185">
      <formula>$L1601:$L1648&lt;=0</formula>
    </cfRule>
  </conditionalFormatting>
  <conditionalFormatting sqref="H1610">
    <cfRule type="expression" dxfId="559" priority="181">
      <formula>$L1610:$L1625&lt;=0</formula>
    </cfRule>
  </conditionalFormatting>
  <conditionalFormatting sqref="H1611">
    <cfRule type="expression" dxfId="558" priority="192">
      <formula>$L1611:$L1625&lt;=0</formula>
    </cfRule>
  </conditionalFormatting>
  <conditionalFormatting sqref="H1612">
    <cfRule type="expression" dxfId="557" priority="180">
      <formula>$L1612:$L1625&lt;=0</formula>
    </cfRule>
  </conditionalFormatting>
  <conditionalFormatting sqref="H1613">
    <cfRule type="expression" dxfId="556" priority="196">
      <formula>$L1613:$L1625&lt;=0</formula>
    </cfRule>
  </conditionalFormatting>
  <conditionalFormatting sqref="H1614">
    <cfRule type="expression" dxfId="555" priority="195">
      <formula>$L1614:$L1625&lt;=0</formula>
    </cfRule>
  </conditionalFormatting>
  <conditionalFormatting sqref="H1615">
    <cfRule type="expression" dxfId="554" priority="194">
      <formula>$L1615:$L1625&lt;=0</formula>
    </cfRule>
  </conditionalFormatting>
  <conditionalFormatting sqref="H1616:H1627">
    <cfRule type="expression" dxfId="553" priority="168">
      <formula>$L1616:$L1636&lt;=0</formula>
    </cfRule>
    <cfRule type="expression" dxfId="552" priority="165">
      <formula>$L1616:$L1638&lt;=0</formula>
    </cfRule>
    <cfRule type="expression" dxfId="551" priority="163">
      <formula>$L1616:$L1624&lt;=0</formula>
    </cfRule>
    <cfRule type="expression" dxfId="550" priority="160">
      <formula>$L1616:$L1617&lt;=0</formula>
    </cfRule>
  </conditionalFormatting>
  <conditionalFormatting sqref="H1628:H1645">
    <cfRule type="expression" dxfId="549" priority="155">
      <formula>$L1628:$L1674&lt;=0</formula>
    </cfRule>
    <cfRule type="expression" dxfId="548" priority="156">
      <formula>$L1628:$L1643&lt;=0</formula>
    </cfRule>
    <cfRule type="expression" dxfId="547" priority="157">
      <formula>$L1628:$L1633&lt;=0</formula>
    </cfRule>
  </conditionalFormatting>
  <conditionalFormatting sqref="H1646 C1646:C1654 F1646:F1654 I1646:I1654">
    <cfRule type="expression" dxfId="546" priority="150">
      <formula>$L1646:$L1663&lt;=0</formula>
    </cfRule>
  </conditionalFormatting>
  <conditionalFormatting sqref="H1646:H1647">
    <cfRule type="expression" dxfId="545" priority="142">
      <formula>$L1646:$L1653&lt;=0</formula>
    </cfRule>
  </conditionalFormatting>
  <conditionalFormatting sqref="H1646:H1652">
    <cfRule type="expression" dxfId="544" priority="138">
      <formula>$L1646:$L1647&lt;=0</formula>
    </cfRule>
  </conditionalFormatting>
  <conditionalFormatting sqref="H1648:H1654">
    <cfRule type="expression" dxfId="543" priority="145">
      <formula>$L1648:$L1654&lt;=0</formula>
    </cfRule>
  </conditionalFormatting>
  <conditionalFormatting sqref="H1655:H1656">
    <cfRule type="expression" dxfId="542" priority="128">
      <formula>$L1655:$L1744&lt;=0</formula>
    </cfRule>
    <cfRule type="expression" dxfId="541" priority="129">
      <formula>$L1655:$L1724&lt;=0</formula>
    </cfRule>
  </conditionalFormatting>
  <conditionalFormatting sqref="H1657:H1658">
    <cfRule type="expression" dxfId="540" priority="119">
      <formula>$L1657:$L1696&lt;=0</formula>
    </cfRule>
  </conditionalFormatting>
  <conditionalFormatting sqref="H1657:H1674">
    <cfRule type="expression" dxfId="539" priority="104">
      <formula>$L1657:$L1681&lt;=0</formula>
    </cfRule>
  </conditionalFormatting>
  <conditionalFormatting sqref="H1659">
    <cfRule type="expression" dxfId="538" priority="112">
      <formula>$L1659:$L1697&lt;=0</formula>
    </cfRule>
  </conditionalFormatting>
  <conditionalFormatting sqref="H1660:H1674 L1670:L1674">
    <cfRule type="expression" dxfId="537" priority="105">
      <formula>$L1660:$L1697&lt;=0</formula>
    </cfRule>
  </conditionalFormatting>
  <conditionalFormatting sqref="H1665:H1674">
    <cfRule type="expression" dxfId="536" priority="89">
      <formula>$L1665:$L1701&lt;=0</formula>
    </cfRule>
  </conditionalFormatting>
  <conditionalFormatting sqref="H1674">
    <cfRule type="expression" dxfId="535" priority="111">
      <formula>$L1674:$L1697&lt;=0</formula>
    </cfRule>
  </conditionalFormatting>
  <conditionalFormatting sqref="H1675">
    <cfRule type="expression" dxfId="534" priority="94">
      <formula>$L1675:$L1676&lt;=0</formula>
    </cfRule>
  </conditionalFormatting>
  <conditionalFormatting sqref="H1675:H1676">
    <cfRule type="expression" dxfId="533" priority="97">
      <formula>$L1675:$L1695&lt;=0</formula>
    </cfRule>
  </conditionalFormatting>
  <conditionalFormatting sqref="H1677:H1678 H1680:H1682">
    <cfRule type="expression" dxfId="532" priority="81">
      <formula>$L1677:$L1712&lt;=0</formula>
    </cfRule>
  </conditionalFormatting>
  <conditionalFormatting sqref="H1677:H1682">
    <cfRule type="expression" dxfId="531" priority="78">
      <formula>$L1677:$L1706&lt;=0</formula>
    </cfRule>
    <cfRule type="expression" dxfId="530" priority="75">
      <formula>$L1677:$L1715&lt;=0</formula>
    </cfRule>
  </conditionalFormatting>
  <conditionalFormatting sqref="H1678:H1682">
    <cfRule type="expression" dxfId="529" priority="77">
      <formula>$L1678:$L1706&lt;=0</formula>
    </cfRule>
  </conditionalFormatting>
  <conditionalFormatting sqref="H1679">
    <cfRule type="expression" dxfId="528" priority="80">
      <formula>$L1679:$L1809&lt;=0</formula>
    </cfRule>
  </conditionalFormatting>
  <conditionalFormatting sqref="H1681 L1681">
    <cfRule type="expression" dxfId="527" priority="84">
      <formula>$L1681:$L1706&lt;=0</formula>
    </cfRule>
  </conditionalFormatting>
  <conditionalFormatting sqref="H1682">
    <cfRule type="expression" dxfId="526" priority="79">
      <formula>$L1682:$L1706&lt;=0</formula>
    </cfRule>
  </conditionalFormatting>
  <conditionalFormatting sqref="H1683">
    <cfRule type="expression" dxfId="525" priority="63">
      <formula>$L1683:$L1740&lt;=0</formula>
    </cfRule>
  </conditionalFormatting>
  <conditionalFormatting sqref="H1683:H1696">
    <cfRule type="expression" dxfId="524" priority="64">
      <formula>$L1683:$L1719&lt;=0</formula>
    </cfRule>
  </conditionalFormatting>
  <conditionalFormatting sqref="H1684:H1694 L1684:L1696">
    <cfRule type="expression" dxfId="523" priority="62">
      <formula>$L1684:$L1735&lt;=0</formula>
    </cfRule>
  </conditionalFormatting>
  <conditionalFormatting sqref="H1695">
    <cfRule type="expression" dxfId="522" priority="61">
      <formula>$L1695:$L1736&lt;=0</formula>
    </cfRule>
  </conditionalFormatting>
  <conditionalFormatting sqref="H1696">
    <cfRule type="expression" dxfId="521" priority="60">
      <formula>$L1696:$L1736&lt;=0</formula>
    </cfRule>
  </conditionalFormatting>
  <conditionalFormatting sqref="H1699">
    <cfRule type="expression" dxfId="520" priority="45">
      <formula>$L1699:$L1731&lt;=0</formula>
    </cfRule>
  </conditionalFormatting>
  <conditionalFormatting sqref="H1699:H1701">
    <cfRule type="expression" dxfId="519" priority="35">
      <formula>$L1699:$L1712&lt;=0</formula>
    </cfRule>
  </conditionalFormatting>
  <conditionalFormatting sqref="H1699:H1702">
    <cfRule type="expression" dxfId="518" priority="42">
      <formula>$L1699:$L1728&lt;=0</formula>
    </cfRule>
  </conditionalFormatting>
  <conditionalFormatting sqref="H1700:H1702">
    <cfRule type="expression" dxfId="517" priority="34">
      <formula>$L1700:$L1731&lt;=0</formula>
    </cfRule>
  </conditionalFormatting>
  <conditionalFormatting sqref="H1703:H1711 C1711:C1712 F1711:F1712 I1711:I1712">
    <cfRule type="expression" dxfId="516" priority="48">
      <formula>$L1703:$L1723&lt;=0</formula>
    </cfRule>
  </conditionalFormatting>
  <conditionalFormatting sqref="H1703:H1712">
    <cfRule type="expression" dxfId="515" priority="36">
      <formula>$L1703:$L1711&lt;=0</formula>
    </cfRule>
  </conditionalFormatting>
  <conditionalFormatting sqref="H1712">
    <cfRule type="expression" dxfId="514" priority="43">
      <formula>$L1712:$L1731&lt;=0</formula>
    </cfRule>
  </conditionalFormatting>
  <conditionalFormatting sqref="H1713">
    <cfRule type="expression" dxfId="513" priority="19">
      <formula>$L1713:$L1728&lt;=0</formula>
    </cfRule>
  </conditionalFormatting>
  <conditionalFormatting sqref="H1713:H1716">
    <cfRule type="expression" dxfId="512" priority="18">
      <formula>$L1713:$L1718&lt;=0</formula>
    </cfRule>
    <cfRule type="expression" dxfId="511" priority="17">
      <formula>$L1713:$L1757&lt;=0</formula>
    </cfRule>
  </conditionalFormatting>
  <conditionalFormatting sqref="H1714:H1715">
    <cfRule type="expression" dxfId="510" priority="16">
      <formula>$L1714:$L1728&lt;=0</formula>
    </cfRule>
  </conditionalFormatting>
  <conditionalFormatting sqref="H1716">
    <cfRule type="expression" dxfId="509" priority="15">
      <formula>$L1716:$L1729&lt;=0</formula>
    </cfRule>
  </conditionalFormatting>
  <conditionalFormatting sqref="H1717:H1718">
    <cfRule type="expression" dxfId="508" priority="4">
      <formula>$L1717:$L1746&lt;=0</formula>
    </cfRule>
    <cfRule type="expression" dxfId="507" priority="3">
      <formula>$L1717:$L1723&lt;=0</formula>
    </cfRule>
  </conditionalFormatting>
  <conditionalFormatting sqref="H1718">
    <cfRule type="expression" dxfId="506" priority="7">
      <formula>$L1718:$L1723&lt;=0</formula>
    </cfRule>
  </conditionalFormatting>
  <conditionalFormatting sqref="H226:I226 H228:I228 H230:I230 H232:I232 H234:I234 H236:I236 H238:I238 H240:I240 H242:I242 H244:I244 H246:I246 H248:I248 H250:I250 H252:I252">
    <cfRule type="expression" dxfId="505" priority="1883">
      <formula>$L226:$L338&lt;=0</formula>
    </cfRule>
  </conditionalFormatting>
  <conditionalFormatting sqref="H979:I1028">
    <cfRule type="expression" dxfId="504" priority="912">
      <formula>$L979:$L1035&lt;=0</formula>
    </cfRule>
  </conditionalFormatting>
  <conditionalFormatting sqref="H1179:I1179 L1179:L1184">
    <cfRule type="expression" dxfId="503" priority="746">
      <formula>$L1179:$L1200&lt;=0</formula>
    </cfRule>
  </conditionalFormatting>
  <conditionalFormatting sqref="H1226:I1228">
    <cfRule type="expression" dxfId="502" priority="677">
      <formula>$L1226:$L1232&lt;=0</formula>
    </cfRule>
  </conditionalFormatting>
  <conditionalFormatting sqref="H1390:I1395">
    <cfRule type="expression" dxfId="501" priority="442">
      <formula>$L1390:$L1396&lt;=0</formula>
    </cfRule>
  </conditionalFormatting>
  <conditionalFormatting sqref="H1392:I1393 H1395:I1409">
    <cfRule type="expression" dxfId="500" priority="425">
      <formula>$L1392:$L1445&lt;=0</formula>
    </cfRule>
  </conditionalFormatting>
  <conditionalFormatting sqref="H1411:I1426 L1411:L1426">
    <cfRule type="expression" dxfId="499" priority="405">
      <formula>$L1411:$L1464&lt;=0</formula>
    </cfRule>
  </conditionalFormatting>
  <conditionalFormatting sqref="H1498:I1498 L1498">
    <cfRule type="expression" dxfId="498" priority="291">
      <formula>$L1498:$L1510&lt;=0</formula>
    </cfRule>
  </conditionalFormatting>
  <conditionalFormatting sqref="H1499:I1499 L1499">
    <cfRule type="expression" dxfId="497" priority="290">
      <formula>$L1499:$L1510&lt;=0</formula>
    </cfRule>
  </conditionalFormatting>
  <conditionalFormatting sqref="H1603:I1603">
    <cfRule type="expression" dxfId="496" priority="189">
      <formula>$L1603:$L1645&lt;=0</formula>
    </cfRule>
  </conditionalFormatting>
  <conditionalFormatting sqref="H1604:I1605">
    <cfRule type="expression" dxfId="495" priority="188">
      <formula>$L1604:$L1645&lt;=0</formula>
    </cfRule>
  </conditionalFormatting>
  <conditionalFormatting sqref="H1606:I1615">
    <cfRule type="expression" dxfId="494" priority="187">
      <formula>$L1606:$L1646&lt;=0</formula>
    </cfRule>
  </conditionalFormatting>
  <conditionalFormatting sqref="H1699:I1702">
    <cfRule type="expression" dxfId="493" priority="41">
      <formula>$L1699:$L1705&lt;=0</formula>
    </cfRule>
  </conditionalFormatting>
  <conditionalFormatting sqref="H1717:I1718">
    <cfRule type="expression" dxfId="492" priority="6">
      <formula>$L1717:$L1740&lt;=0</formula>
    </cfRule>
  </conditionalFormatting>
  <conditionalFormatting sqref="H4:J9">
    <cfRule type="expression" dxfId="491" priority="2094">
      <formula>$L4:$L64&lt;=0</formula>
    </cfRule>
  </conditionalFormatting>
  <conditionalFormatting sqref="H100:J107">
    <cfRule type="expression" dxfId="490" priority="1990">
      <formula>$L100:$L150&lt;=0</formula>
    </cfRule>
  </conditionalFormatting>
  <conditionalFormatting sqref="H127:J127 D127:E128">
    <cfRule type="expression" dxfId="489" priority="1973">
      <formula>$L127:$L237&lt;=0</formula>
    </cfRule>
  </conditionalFormatting>
  <conditionalFormatting sqref="H128:J128 I322">
    <cfRule type="expression" dxfId="488" priority="1972">
      <formula>$L128:$L237&lt;=0</formula>
    </cfRule>
  </conditionalFormatting>
  <conditionalFormatting sqref="H1602:K1602 C1602:C1615 F1602:F1615">
    <cfRule type="expression" dxfId="487" priority="191">
      <formula>$L1602:$L1646&lt;=0</formula>
    </cfRule>
  </conditionalFormatting>
  <conditionalFormatting sqref="I130:I152">
    <cfRule type="expression" dxfId="486" priority="1948">
      <formula>$L130:$L278&lt;=0</formula>
    </cfRule>
  </conditionalFormatting>
  <conditionalFormatting sqref="I153:I155">
    <cfRule type="expression" dxfId="485" priority="1942">
      <formula>$L153:$L290&lt;=0</formula>
    </cfRule>
  </conditionalFormatting>
  <conditionalFormatting sqref="I156:I157">
    <cfRule type="expression" dxfId="484" priority="1932">
      <formula>$L156:$L304&lt;=0</formula>
    </cfRule>
  </conditionalFormatting>
  <conditionalFormatting sqref="I158:I181">
    <cfRule type="expression" dxfId="483" priority="1923">
      <formula>$L158:$L305&lt;=0</formula>
    </cfRule>
  </conditionalFormatting>
  <conditionalFormatting sqref="I182:I198">
    <cfRule type="expression" dxfId="482" priority="1914">
      <formula>$L182:$L293&lt;=0</formula>
    </cfRule>
  </conditionalFormatting>
  <conditionalFormatting sqref="I199:I222">
    <cfRule type="expression" dxfId="481" priority="1899">
      <formula>$L199:$L347&lt;=0</formula>
    </cfRule>
  </conditionalFormatting>
  <conditionalFormatting sqref="I223:I224">
    <cfRule type="expression" dxfId="480" priority="1890">
      <formula>$L223:$L334&lt;=0</formula>
    </cfRule>
  </conditionalFormatting>
  <conditionalFormatting sqref="I253">
    <cfRule type="expression" dxfId="479" priority="1875">
      <formula>$L253:$L374&lt;=0</formula>
    </cfRule>
  </conditionalFormatting>
  <conditionalFormatting sqref="I254:I266">
    <cfRule type="expression" dxfId="478" priority="1870">
      <formula>$L254:$L392&lt;=0</formula>
    </cfRule>
  </conditionalFormatting>
  <conditionalFormatting sqref="I267:I272">
    <cfRule type="expression" dxfId="477" priority="1871">
      <formula>$L267:$L404&lt;=0</formula>
    </cfRule>
  </conditionalFormatting>
  <conditionalFormatting sqref="I290:I300">
    <cfRule type="expression" dxfId="476" priority="1834">
      <formula>$L290:$L407&lt;=0</formula>
    </cfRule>
  </conditionalFormatting>
  <conditionalFormatting sqref="I301:I306">
    <cfRule type="expression" dxfId="475" priority="1829">
      <formula>$L301:$L392&lt;=0</formula>
    </cfRule>
  </conditionalFormatting>
  <conditionalFormatting sqref="I325:I330">
    <cfRule type="expression" dxfId="474" priority="1815">
      <formula>$L325:$L452&lt;=0</formula>
    </cfRule>
  </conditionalFormatting>
  <conditionalFormatting sqref="I334:I347 H355:H356">
    <cfRule type="expression" dxfId="473" priority="1714">
      <formula>$L334:$L435&lt;=0</formula>
    </cfRule>
  </conditionalFormatting>
  <conditionalFormatting sqref="I348:I349">
    <cfRule type="expression" dxfId="472" priority="1727">
      <formula>$L348:$L423&lt;=0</formula>
    </cfRule>
  </conditionalFormatting>
  <conditionalFormatting sqref="I392:I420 H428:H430 C533:C545 F533:F545 I533:K545 H648:H657 H659:H666">
    <cfRule type="expression" dxfId="471" priority="1475">
      <formula>$L392:$L484&lt;=0</formula>
    </cfRule>
  </conditionalFormatting>
  <conditionalFormatting sqref="I425:I427 D426:E430 I431:I432 D692:E694 L705:L710">
    <cfRule type="expression" dxfId="470" priority="1636">
      <formula>$L425:$L479&lt;=0</formula>
    </cfRule>
  </conditionalFormatting>
  <conditionalFormatting sqref="I428:I429 C786:C787 F786:F787 I786:K787 H897">
    <cfRule type="expression" dxfId="469" priority="1201">
      <formula>$L428:$L480&lt;=0</formula>
    </cfRule>
  </conditionalFormatting>
  <conditionalFormatting sqref="I430">
    <cfRule type="expression" dxfId="468" priority="1664">
      <formula>$L430:$L481&lt;=0</formula>
    </cfRule>
  </conditionalFormatting>
  <conditionalFormatting sqref="I450 C887 I887:K887 C889 I889:K889">
    <cfRule type="expression" dxfId="467" priority="1029">
      <formula>$L450:$L479&lt;=0</formula>
    </cfRule>
  </conditionalFormatting>
  <conditionalFormatting sqref="I452:I455 C467 F467 I467:K467 H674 H699">
    <cfRule type="expression" dxfId="466" priority="1592">
      <formula>$L452:$L542&lt;=0</formula>
    </cfRule>
  </conditionalFormatting>
  <conditionalFormatting sqref="I456">
    <cfRule type="expression" dxfId="465" priority="1562">
      <formula>$L456:$L557&lt;=0</formula>
    </cfRule>
  </conditionalFormatting>
  <conditionalFormatting sqref="I457">
    <cfRule type="expression" dxfId="464" priority="1561">
      <formula>$L457:$L557&lt;=0</formula>
    </cfRule>
  </conditionalFormatting>
  <conditionalFormatting sqref="I458">
    <cfRule type="expression" dxfId="463" priority="1560">
      <formula>$L458:$L557&lt;=0</formula>
    </cfRule>
  </conditionalFormatting>
  <conditionalFormatting sqref="I475">
    <cfRule type="expression" dxfId="462" priority="1559">
      <formula>$L475:$L557&lt;=0</formula>
    </cfRule>
  </conditionalFormatting>
  <conditionalFormatting sqref="I478:I479 D629:E633 D635:E641 H882 C900:C915 F900:F915 I900:K915">
    <cfRule type="expression" dxfId="461" priority="1555">
      <formula>$L478:$L543&lt;=0</formula>
    </cfRule>
  </conditionalFormatting>
  <conditionalFormatting sqref="I480:I481">
    <cfRule type="expression" dxfId="460" priority="1523">
      <formula>$L480:$L559&lt;=0</formula>
    </cfRule>
  </conditionalFormatting>
  <conditionalFormatting sqref="I482:I487">
    <cfRule type="expression" dxfId="459" priority="1517">
      <formula>$L482:$L560&lt;=0</formula>
    </cfRule>
  </conditionalFormatting>
  <conditionalFormatting sqref="I488:I496">
    <cfRule type="expression" dxfId="458" priority="1486">
      <formula>$L488:$L548&lt;=0</formula>
    </cfRule>
  </conditionalFormatting>
  <conditionalFormatting sqref="I526:I545">
    <cfRule type="expression" dxfId="457" priority="1467">
      <formula>$L526:$L627&lt;=0</formula>
    </cfRule>
  </conditionalFormatting>
  <conditionalFormatting sqref="I553:I562">
    <cfRule type="expression" dxfId="456" priority="1452">
      <formula>$L553:$L610&lt;=0</formula>
    </cfRule>
  </conditionalFormatting>
  <conditionalFormatting sqref="I566:I570 L582">
    <cfRule type="expression" dxfId="455" priority="1410">
      <formula>$L566:$L677&lt;=0</formula>
    </cfRule>
  </conditionalFormatting>
  <conditionalFormatting sqref="I571 L583:L588">
    <cfRule type="expression" dxfId="454" priority="1412">
      <formula>$L571:$L681&lt;=0</formula>
    </cfRule>
  </conditionalFormatting>
  <conditionalFormatting sqref="I572">
    <cfRule type="expression" dxfId="453" priority="1416">
      <formula>$L572:$L681&lt;=0</formula>
    </cfRule>
  </conditionalFormatting>
  <conditionalFormatting sqref="I573:I574">
    <cfRule type="expression" dxfId="452" priority="1415">
      <formula>$L573:$L681&lt;=0</formula>
    </cfRule>
  </conditionalFormatting>
  <conditionalFormatting sqref="I575:I576">
    <cfRule type="expression" dxfId="451" priority="1439">
      <formula>$L575:$L681&lt;=0</formula>
    </cfRule>
  </conditionalFormatting>
  <conditionalFormatting sqref="I577 L589">
    <cfRule type="expression" dxfId="450" priority="1417">
      <formula>$L577:$L682&lt;=0</formula>
    </cfRule>
  </conditionalFormatting>
  <conditionalFormatting sqref="I578:I579 L590:L591">
    <cfRule type="expression" dxfId="449" priority="1425">
      <formula>$L578:$L682&lt;=0</formula>
    </cfRule>
  </conditionalFormatting>
  <conditionalFormatting sqref="I580:I582">
    <cfRule type="expression" dxfId="448" priority="1418">
      <formula>$L580:$L683&lt;=0</formula>
    </cfRule>
  </conditionalFormatting>
  <conditionalFormatting sqref="I591:I593">
    <cfRule type="expression" dxfId="447" priority="1385">
      <formula>$L591:$L689&lt;=0</formula>
    </cfRule>
  </conditionalFormatting>
  <conditionalFormatting sqref="I594:I595">
    <cfRule type="expression" dxfId="446" priority="1400">
      <formula>$L594:$L691&lt;=0</formula>
    </cfRule>
  </conditionalFormatting>
  <conditionalFormatting sqref="I596">
    <cfRule type="expression" dxfId="445" priority="1396">
      <formula>$L596:$L692&lt;=0</formula>
    </cfRule>
  </conditionalFormatting>
  <conditionalFormatting sqref="I597">
    <cfRule type="expression" dxfId="444" priority="1395">
      <formula>$L597:$L692&lt;=0</formula>
    </cfRule>
  </conditionalFormatting>
  <conditionalFormatting sqref="I598:I599">
    <cfRule type="expression" dxfId="443" priority="1381">
      <formula>$L598:$L692&lt;=0</formula>
    </cfRule>
  </conditionalFormatting>
  <conditionalFormatting sqref="I610:I611">
    <cfRule type="expression" dxfId="442" priority="1380">
      <formula>$L610:$L694&lt;=0</formula>
    </cfRule>
  </conditionalFormatting>
  <conditionalFormatting sqref="I617">
    <cfRule type="expression" dxfId="441" priority="100417">
      <formula>$L617:$L947&lt;=0</formula>
    </cfRule>
  </conditionalFormatting>
  <conditionalFormatting sqref="I619">
    <cfRule type="expression" dxfId="440" priority="100482">
      <formula>$L619:$L947&lt;=0</formula>
    </cfRule>
  </conditionalFormatting>
  <conditionalFormatting sqref="I648">
    <cfRule type="expression" dxfId="439" priority="1290">
      <formula>$L648:$L692&lt;=0</formula>
    </cfRule>
  </conditionalFormatting>
  <conditionalFormatting sqref="I649:I651">
    <cfRule type="expression" dxfId="438" priority="1289">
      <formula>$L649:$L692&lt;=0</formula>
    </cfRule>
  </conditionalFormatting>
  <conditionalFormatting sqref="I666:I670 D670:E670">
    <cfRule type="expression" dxfId="437" priority="1288">
      <formula>$L666:$L688&lt;=0</formula>
    </cfRule>
  </conditionalFormatting>
  <conditionalFormatting sqref="I671 D671:E673 L671:L674">
    <cfRule type="expression" dxfId="436" priority="1287">
      <formula>$L671:$L692&lt;=0</formula>
    </cfRule>
  </conditionalFormatting>
  <conditionalFormatting sqref="I672:I675">
    <cfRule type="expression" dxfId="435" priority="1286">
      <formula>$L672:$L692&lt;=0</formula>
    </cfRule>
  </conditionalFormatting>
  <conditionalFormatting sqref="I676 I765:I776 L885:L889">
    <cfRule type="expression" dxfId="434" priority="98105">
      <formula>$L676:$L738&lt;=0</formula>
    </cfRule>
  </conditionalFormatting>
  <conditionalFormatting sqref="I690 D715:E719 I900:I906">
    <cfRule type="expression" dxfId="433" priority="1537">
      <formula>$L690:$L764&lt;=0</formula>
    </cfRule>
  </conditionalFormatting>
  <conditionalFormatting sqref="I788:I791">
    <cfRule type="expression" dxfId="432" priority="1147">
      <formula>$L788:$L848&lt;=0</formula>
    </cfRule>
  </conditionalFormatting>
  <conditionalFormatting sqref="I792:I797">
    <cfRule type="expression" dxfId="431" priority="1146">
      <formula>$L792:$L851&lt;=0</formula>
    </cfRule>
  </conditionalFormatting>
  <conditionalFormatting sqref="I798:I806">
    <cfRule type="expression" dxfId="430" priority="1145">
      <formula>$L798:$L851&lt;=0</formula>
    </cfRule>
  </conditionalFormatting>
  <conditionalFormatting sqref="I810:I813">
    <cfRule type="expression" dxfId="429" priority="1131">
      <formula>$L810:$L823&lt;=0</formula>
    </cfRule>
  </conditionalFormatting>
  <conditionalFormatting sqref="I815:I830 C831:F831 I831:K831">
    <cfRule type="expression" dxfId="428" priority="1111">
      <formula>$L815:$L877&lt;=0</formula>
    </cfRule>
  </conditionalFormatting>
  <conditionalFormatting sqref="I831">
    <cfRule type="expression" dxfId="427" priority="1109">
      <formula>$L831:$L892&lt;=0</formula>
    </cfRule>
  </conditionalFormatting>
  <conditionalFormatting sqref="I848:I850">
    <cfRule type="expression" dxfId="426" priority="1087">
      <formula>$L848:$L874&lt;=0</formula>
    </cfRule>
  </conditionalFormatting>
  <conditionalFormatting sqref="I855:I856">
    <cfRule type="expression" dxfId="425" priority="1070">
      <formula>$L855:$L911&lt;=0</formula>
    </cfRule>
  </conditionalFormatting>
  <conditionalFormatting sqref="I857">
    <cfRule type="expression" dxfId="424" priority="1043">
      <formula>$L857:$L912&lt;=0</formula>
    </cfRule>
  </conditionalFormatting>
  <conditionalFormatting sqref="I858:I859">
    <cfRule type="expression" dxfId="423" priority="1082">
      <formula>$L858:$L912&lt;=0</formula>
    </cfRule>
  </conditionalFormatting>
  <conditionalFormatting sqref="I860:I861">
    <cfRule type="expression" dxfId="422" priority="1081">
      <formula>$L860:$L913&lt;=0</formula>
    </cfRule>
  </conditionalFormatting>
  <conditionalFormatting sqref="I862:I864">
    <cfRule type="expression" dxfId="421" priority="1065">
      <formula>$L862:$L914&lt;=0</formula>
    </cfRule>
  </conditionalFormatting>
  <conditionalFormatting sqref="I868">
    <cfRule type="expression" dxfId="420" priority="1590">
      <formula>$L868:$L947&lt;=0</formula>
    </cfRule>
  </conditionalFormatting>
  <conditionalFormatting sqref="I876">
    <cfRule type="expression" dxfId="419" priority="1012">
      <formula>$L876:$L916&lt;=0</formula>
    </cfRule>
  </conditionalFormatting>
  <conditionalFormatting sqref="I877">
    <cfRule type="expression" dxfId="418" priority="1020">
      <formula>$L877:$L916&lt;=0</formula>
    </cfRule>
  </conditionalFormatting>
  <conditionalFormatting sqref="I885:I887">
    <cfRule type="expression" dxfId="417" priority="1611">
      <formula>$L885:$L918&lt;=0</formula>
    </cfRule>
  </conditionalFormatting>
  <conditionalFormatting sqref="I916:I932">
    <cfRule type="expression" dxfId="416" priority="970">
      <formula>$L916:$L981&lt;=0</formula>
    </cfRule>
  </conditionalFormatting>
  <conditionalFormatting sqref="I933:I952">
    <cfRule type="expression" dxfId="415" priority="954">
      <formula>$L933:$L991&lt;=0</formula>
    </cfRule>
  </conditionalFormatting>
  <conditionalFormatting sqref="I956:I975">
    <cfRule type="expression" dxfId="414" priority="932">
      <formula>$L956:$L1021&lt;=0</formula>
    </cfRule>
  </conditionalFormatting>
  <conditionalFormatting sqref="I1061">
    <cfRule type="expression" dxfId="413" priority="857">
      <formula>$L1061:$L1122&lt;=0</formula>
    </cfRule>
  </conditionalFormatting>
  <conditionalFormatting sqref="I1062 D1063:E1065 H1066:H1078">
    <cfRule type="expression" dxfId="412" priority="862">
      <formula>$L1062:$L1122&lt;=0</formula>
    </cfRule>
  </conditionalFormatting>
  <conditionalFormatting sqref="I1063:I1064">
    <cfRule type="expression" dxfId="411" priority="861">
      <formula>$L1063:$L1122&lt;=0</formula>
    </cfRule>
  </conditionalFormatting>
  <conditionalFormatting sqref="I1068 C1069:C1070 I1069:K1070">
    <cfRule type="expression" dxfId="410" priority="863">
      <formula>$L1068:$L1123&lt;=0</formula>
    </cfRule>
  </conditionalFormatting>
  <conditionalFormatting sqref="I1069:I1072 D1070:E1071 C1071:C1072 J1071:K1072">
    <cfRule type="expression" dxfId="409" priority="860">
      <formula>$L1069:$L1123&lt;=0</formula>
    </cfRule>
  </conditionalFormatting>
  <conditionalFormatting sqref="I1072:I1073 D1074:E1075">
    <cfRule type="expression" dxfId="408" priority="870">
      <formula>$L1072:$L1124&lt;=0</formula>
    </cfRule>
  </conditionalFormatting>
  <conditionalFormatting sqref="I1074:I1076 C1075:C1076 J1075:K1076">
    <cfRule type="expression" dxfId="407" priority="877">
      <formula>$L1074:$L1125&lt;=0</formula>
    </cfRule>
  </conditionalFormatting>
  <conditionalFormatting sqref="I1079:I1137">
    <cfRule type="expression" dxfId="406" priority="844">
      <formula>$L1079:$L1135&lt;=0</formula>
    </cfRule>
  </conditionalFormatting>
  <conditionalFormatting sqref="I1138">
    <cfRule type="expression" dxfId="405" priority="843">
      <formula>$L1138:$L1193&lt;=0</formula>
    </cfRule>
  </conditionalFormatting>
  <conditionalFormatting sqref="I1139:I1140 G1141:G1143">
    <cfRule type="expression" dxfId="404" priority="841">
      <formula>$L1139:$L1156&lt;=0</formula>
    </cfRule>
  </conditionalFormatting>
  <conditionalFormatting sqref="I1141:I1143">
    <cfRule type="expression" dxfId="403" priority="830">
      <formula>$L1141:$L1156&lt;=0</formula>
    </cfRule>
  </conditionalFormatting>
  <conditionalFormatting sqref="I1195">
    <cfRule type="expression" dxfId="402" priority="712">
      <formula>$L1195:$L1212&lt;=0</formula>
    </cfRule>
  </conditionalFormatting>
  <conditionalFormatting sqref="I1203:I1218">
    <cfRule type="expression" dxfId="401" priority="682">
      <formula>$L1203:$L1258&lt;=0</formula>
    </cfRule>
  </conditionalFormatting>
  <conditionalFormatting sqref="I1219:I1225">
    <cfRule type="expression" dxfId="400" priority="687">
      <formula>$L1219:$L1256&lt;=0</formula>
    </cfRule>
  </conditionalFormatting>
  <conditionalFormatting sqref="I1255:I1263">
    <cfRule type="expression" dxfId="399" priority="625">
      <formula>$L1255:$L1310&lt;=0</formula>
    </cfRule>
  </conditionalFormatting>
  <conditionalFormatting sqref="I1264 H1279:H1281">
    <cfRule type="expression" dxfId="398" priority="624">
      <formula>$L1264:$L1318&lt;=0</formula>
    </cfRule>
  </conditionalFormatting>
  <conditionalFormatting sqref="I1265:I1276">
    <cfRule type="expression" dxfId="397" priority="623">
      <formula>$L1265:$L1318&lt;=0</formula>
    </cfRule>
  </conditionalFormatting>
  <conditionalFormatting sqref="I1277:I1278 L1277:L1278">
    <cfRule type="expression" dxfId="396" priority="643">
      <formula>$L1277:$L1318&lt;=0</formula>
    </cfRule>
  </conditionalFormatting>
  <conditionalFormatting sqref="I1279 L1279">
    <cfRule type="expression" dxfId="395" priority="642">
      <formula>$L1279:$L1318&lt;=0</formula>
    </cfRule>
  </conditionalFormatting>
  <conditionalFormatting sqref="I1283:I1300">
    <cfRule type="expression" dxfId="394" priority="603">
      <formula>$L1283:$L1348&lt;=0</formula>
    </cfRule>
  </conditionalFormatting>
  <conditionalFormatting sqref="I1301:I1303">
    <cfRule type="expression" dxfId="393" priority="575">
      <formula>$L1301:$L1351&lt;=0</formula>
    </cfRule>
  </conditionalFormatting>
  <conditionalFormatting sqref="I1305:I1312 I1314:I1316">
    <cfRule type="expression" dxfId="392" priority="547">
      <formula>$L1305:$L1354&lt;=0</formula>
    </cfRule>
  </conditionalFormatting>
  <conditionalFormatting sqref="I1313">
    <cfRule type="expression" dxfId="391" priority="540">
      <formula>$L1313:$L1363&lt;=0</formula>
    </cfRule>
  </conditionalFormatting>
  <conditionalFormatting sqref="I1317:I1347">
    <cfRule type="expression" dxfId="390" priority="523">
      <formula>$L1317:$L1350&lt;=0</formula>
    </cfRule>
  </conditionalFormatting>
  <conditionalFormatting sqref="I1352:I1370">
    <cfRule type="expression" dxfId="389" priority="496">
      <formula>$L1352:$L1389&lt;=0</formula>
    </cfRule>
  </conditionalFormatting>
  <conditionalFormatting sqref="I1371:I1381">
    <cfRule type="expression" dxfId="388" priority="483">
      <formula>$L1371:$L1389&lt;=0</formula>
    </cfRule>
  </conditionalFormatting>
  <conditionalFormatting sqref="I1388 L1388">
    <cfRule type="expression" dxfId="387" priority="461">
      <formula>$L1388:$L1395&lt;=0</formula>
    </cfRule>
  </conditionalFormatting>
  <conditionalFormatting sqref="I1389">
    <cfRule type="expression" dxfId="386" priority="450">
      <formula>$L1389:$L1409&lt;=0</formula>
    </cfRule>
  </conditionalFormatting>
  <conditionalFormatting sqref="I1394">
    <cfRule type="expression" dxfId="385" priority="423">
      <formula>$L1394:$L1455&lt;=0</formula>
    </cfRule>
  </conditionalFormatting>
  <conditionalFormatting sqref="I1410">
    <cfRule type="expression" dxfId="384" priority="422">
      <formula>$L1410:$L1471&lt;=0</formula>
    </cfRule>
  </conditionalFormatting>
  <conditionalFormatting sqref="I1464:I1497">
    <cfRule type="expression" dxfId="383" priority="298">
      <formula>$L1464:$L1484&lt;=0</formula>
    </cfRule>
  </conditionalFormatting>
  <conditionalFormatting sqref="I1505:I1511 I1513:I1518">
    <cfRule type="expression" dxfId="382" priority="279">
      <formula>$L1505:$L1532&lt;=0</formula>
    </cfRule>
  </conditionalFormatting>
  <conditionalFormatting sqref="I1512">
    <cfRule type="expression" dxfId="381" priority="274">
      <formula>$L1512:$L1685&lt;=0</formula>
    </cfRule>
  </conditionalFormatting>
  <conditionalFormatting sqref="I1525:I1552">
    <cfRule type="expression" dxfId="380" priority="255">
      <formula>$L1525:$L1562&lt;=0</formula>
    </cfRule>
  </conditionalFormatting>
  <conditionalFormatting sqref="I1553:I1577 G1577">
    <cfRule type="expression" dxfId="379" priority="233">
      <formula>$L1553:$L1618&lt;=0</formula>
    </cfRule>
  </conditionalFormatting>
  <conditionalFormatting sqref="I1578 G1578:G1582">
    <cfRule type="expression" dxfId="378" priority="232">
      <formula>$L1578:$L1642&lt;=0</formula>
    </cfRule>
  </conditionalFormatting>
  <conditionalFormatting sqref="I1579">
    <cfRule type="expression" dxfId="377" priority="231">
      <formula>$L1579:$L1642&lt;=0</formula>
    </cfRule>
  </conditionalFormatting>
  <conditionalFormatting sqref="I1580:I1584">
    <cfRule type="expression" dxfId="376" priority="230">
      <formula>$L1580:$L1642&lt;=0</formula>
    </cfRule>
  </conditionalFormatting>
  <conditionalFormatting sqref="I1586:I1591">
    <cfRule type="expression" dxfId="375" priority="216">
      <formula>$L1586:$L1613&lt;=0</formula>
    </cfRule>
  </conditionalFormatting>
  <conditionalFormatting sqref="I1592:I1598">
    <cfRule type="expression" dxfId="374" priority="215">
      <formula>$L1592:$L1618&lt;=0</formula>
    </cfRule>
  </conditionalFormatting>
  <conditionalFormatting sqref="I1601:I1606">
    <cfRule type="expression" dxfId="373" priority="172">
      <formula>$L1601:$L1638&lt;=0</formula>
    </cfRule>
  </conditionalFormatting>
  <conditionalFormatting sqref="I1607:I1609">
    <cfRule type="expression" dxfId="372" priority="177">
      <formula>$L1607:$L1643&lt;=0</formula>
    </cfRule>
  </conditionalFormatting>
  <conditionalFormatting sqref="I1613:I1614">
    <cfRule type="expression" dxfId="371" priority="173">
      <formula>$L1613:$L1645&lt;=0</formula>
    </cfRule>
  </conditionalFormatting>
  <conditionalFormatting sqref="I1628:I1645">
    <cfRule type="expression" dxfId="370" priority="153">
      <formula>$L1628:$L1665&lt;=0</formula>
    </cfRule>
  </conditionalFormatting>
  <conditionalFormatting sqref="I1657:I1659">
    <cfRule type="expression" dxfId="369" priority="109">
      <formula>$L1657:$L1688&lt;=0</formula>
    </cfRule>
  </conditionalFormatting>
  <conditionalFormatting sqref="I1660">
    <cfRule type="expression" dxfId="368" priority="108">
      <formula>$L1660:$L1718&lt;=0</formula>
    </cfRule>
  </conditionalFormatting>
  <conditionalFormatting sqref="I1661:I1674 C1676 F1676 I1676">
    <cfRule type="expression" dxfId="367" priority="125">
      <formula>$L1661:$L1681&lt;=0</formula>
    </cfRule>
  </conditionalFormatting>
  <conditionalFormatting sqref="I1683:I1696">
    <cfRule type="expression" dxfId="366" priority="59">
      <formula>$L1683:$L1715&lt;=0</formula>
    </cfRule>
  </conditionalFormatting>
  <conditionalFormatting sqref="I1713:I1716">
    <cfRule type="expression" dxfId="365" priority="21">
      <formula>$L1713:$L1748&lt;=0</formula>
    </cfRule>
  </conditionalFormatting>
  <conditionalFormatting sqref="I1717:I1718">
    <cfRule type="expression" dxfId="364" priority="5">
      <formula>$L1717:$L1731&lt;=0</formula>
    </cfRule>
  </conditionalFormatting>
  <conditionalFormatting sqref="I1443:K1443">
    <cfRule type="expression" dxfId="363" priority="386">
      <formula>$L1443:$L1462&lt;=0</formula>
    </cfRule>
  </conditionalFormatting>
  <conditionalFormatting sqref="I1598:K1598">
    <cfRule type="expression" dxfId="362" priority="218">
      <formula>$L1598:$L1618&lt;=0</formula>
    </cfRule>
  </conditionalFormatting>
  <conditionalFormatting sqref="I1666:K1666">
    <cfRule type="expression" dxfId="361" priority="107">
      <formula>$L1666:$L1718&lt;=0</formula>
    </cfRule>
  </conditionalFormatting>
  <conditionalFormatting sqref="J119:J120 C119:C122 I119:I123">
    <cfRule type="expression" dxfId="360" priority="89823">
      <formula>$L119:$L444&lt;=0</formula>
    </cfRule>
  </conditionalFormatting>
  <conditionalFormatting sqref="J563:J565 L580:L581">
    <cfRule type="expression" dxfId="359" priority="1437">
      <formula>$L563:$L675&lt;=0</formula>
    </cfRule>
  </conditionalFormatting>
  <conditionalFormatting sqref="J1655:J1656 L1655:L1656">
    <cfRule type="expression" dxfId="358" priority="127">
      <formula>$L1655:$L1671&lt;=0</formula>
    </cfRule>
    <cfRule type="expression" dxfId="357" priority="126">
      <formula>$L1655:$L1904&lt;=0</formula>
    </cfRule>
  </conditionalFormatting>
  <conditionalFormatting sqref="J10:K10 D10:E13 J59:K59">
    <cfRule type="expression" dxfId="356" priority="2055">
      <formula>$L10:$L142&lt;=0</formula>
    </cfRule>
  </conditionalFormatting>
  <conditionalFormatting sqref="J11:K11 J23:K23 C53 F53:I53 L53">
    <cfRule type="expression" dxfId="355" priority="2082">
      <formula>$L11:$L142&lt;=0</formula>
    </cfRule>
  </conditionalFormatting>
  <conditionalFormatting sqref="J12:K15 J24:K29 C54:C56 F54:I56 L54:L56">
    <cfRule type="expression" dxfId="354" priority="2054">
      <formula>$L12:$L142&lt;=0</formula>
    </cfRule>
  </conditionalFormatting>
  <conditionalFormatting sqref="J16:K16">
    <cfRule type="expression" dxfId="353" priority="2053">
      <formula>$L16:$L142&lt;=0</formula>
    </cfRule>
  </conditionalFormatting>
  <conditionalFormatting sqref="J17:K17 C66:C70 F66:I70 L66:L70">
    <cfRule type="expression" dxfId="352" priority="2052">
      <formula>$L17:$L142&lt;=0</formula>
    </cfRule>
  </conditionalFormatting>
  <conditionalFormatting sqref="J18:K18 J30:K30">
    <cfRule type="expression" dxfId="351" priority="2051">
      <formula>$L18:$L142&lt;=0</formula>
    </cfRule>
  </conditionalFormatting>
  <conditionalFormatting sqref="J19:K21 J31:K58 C307:C308 F307:F308 I307:K308 I307:I310">
    <cfRule type="expression" dxfId="350" priority="2050">
      <formula>$L19:$L142&lt;=0</formula>
    </cfRule>
  </conditionalFormatting>
  <conditionalFormatting sqref="J22:K22">
    <cfRule type="expression" dxfId="349" priority="2049">
      <formula>$L22:$L191&lt;=0</formula>
    </cfRule>
  </conditionalFormatting>
  <conditionalFormatting sqref="J60:K69">
    <cfRule type="expression" dxfId="348" priority="2048">
      <formula>$L60:$L154&lt;=0</formula>
    </cfRule>
  </conditionalFormatting>
  <conditionalFormatting sqref="J70:K70">
    <cfRule type="expression" dxfId="347" priority="2047">
      <formula>$L70:$L191&lt;=0</formula>
    </cfRule>
  </conditionalFormatting>
  <conditionalFormatting sqref="J71:K75">
    <cfRule type="expression" dxfId="346" priority="2046">
      <formula>$L71:$L154&lt;=0</formula>
    </cfRule>
  </conditionalFormatting>
  <conditionalFormatting sqref="J76:K76 C79:C82 F79:I82 L79:L82 I353:I356">
    <cfRule type="expression" dxfId="345" priority="2037">
      <formula>$L76:$L179&lt;=0</formula>
    </cfRule>
  </conditionalFormatting>
  <conditionalFormatting sqref="J77:K82">
    <cfRule type="expression" dxfId="344" priority="2036">
      <formula>$L77:$L179&lt;=0</formula>
    </cfRule>
  </conditionalFormatting>
  <conditionalFormatting sqref="J121:K121 H712:H718 C762 F762:I762 L762">
    <cfRule type="expression" dxfId="343" priority="1976">
      <formula>$L121:$L306&lt;=0</formula>
    </cfRule>
  </conditionalFormatting>
  <conditionalFormatting sqref="J122:K123">
    <cfRule type="expression" dxfId="342" priority="1962">
      <formula>$L122:$L306&lt;=0</formula>
    </cfRule>
  </conditionalFormatting>
  <conditionalFormatting sqref="J311:K311">
    <cfRule type="expression" dxfId="341" priority="1808">
      <formula>$L311:$L423&lt;=0</formula>
    </cfRule>
  </conditionalFormatting>
  <conditionalFormatting sqref="J437:K445 C580 F580 I580:K580 I585:I586 H783:H784">
    <cfRule type="expression" dxfId="340" priority="1427">
      <formula>$L437:$L538&lt;=0</formula>
    </cfRule>
  </conditionalFormatting>
  <conditionalFormatting sqref="J446:K446">
    <cfRule type="expression" dxfId="339" priority="1613">
      <formula>$L446:$L495&lt;=0</formula>
    </cfRule>
  </conditionalFormatting>
  <conditionalFormatting sqref="J447:K447">
    <cfRule type="expression" dxfId="338" priority="1610">
      <formula>$L447:$L495&lt;=0</formula>
    </cfRule>
  </conditionalFormatting>
  <conditionalFormatting sqref="J546:K551">
    <cfRule type="expression" dxfId="337" priority="1455">
      <formula>$L546:$L655&lt;=0</formula>
    </cfRule>
  </conditionalFormatting>
  <conditionalFormatting sqref="J552:K552">
    <cfRule type="expression" dxfId="336" priority="1454">
      <formula>$L552:$L662&lt;=0</formula>
    </cfRule>
  </conditionalFormatting>
  <conditionalFormatting sqref="J628:K628">
    <cfRule type="expression" dxfId="335" priority="100499">
      <formula>$L628:$L947&lt;=0</formula>
    </cfRule>
  </conditionalFormatting>
  <conditionalFormatting sqref="J729:K734">
    <cfRule type="expression" dxfId="334" priority="1574">
      <formula>$L729:$L826&lt;=0</formula>
    </cfRule>
  </conditionalFormatting>
  <conditionalFormatting sqref="J832:K834">
    <cfRule type="expression" dxfId="333" priority="1103">
      <formula>$L832:$L893&lt;=0</formula>
    </cfRule>
  </conditionalFormatting>
  <conditionalFormatting sqref="J835:K835 H835:H842">
    <cfRule type="expression" dxfId="332" priority="1094">
      <formula>$L835:$L889&lt;=0</formula>
    </cfRule>
  </conditionalFormatting>
  <conditionalFormatting sqref="J844:K847">
    <cfRule type="expression" dxfId="331" priority="1098">
      <formula>$L844:$L890&lt;=0</formula>
    </cfRule>
  </conditionalFormatting>
  <conditionalFormatting sqref="J1029:K1039">
    <cfRule type="expression" dxfId="330" priority="887">
      <formula>$L1029:$L1065&lt;=0</formula>
    </cfRule>
  </conditionalFormatting>
  <conditionalFormatting sqref="J1041:K1044">
    <cfRule type="expression" dxfId="329" priority="907">
      <formula>$L1041:$L1075&lt;=0</formula>
    </cfRule>
  </conditionalFormatting>
  <conditionalFormatting sqref="J1049:K1052 C1050:C1052 F1050:G1052 I1050:I1052">
    <cfRule type="expression" dxfId="328" priority="892">
      <formula>$L1049:$L1075&lt;=0</formula>
    </cfRule>
  </conditionalFormatting>
  <conditionalFormatting sqref="J1144:K1144">
    <cfRule type="expression" dxfId="327" priority="822">
      <formula>$L1144:$L1183&lt;=0</formula>
    </cfRule>
  </conditionalFormatting>
  <conditionalFormatting sqref="J1145:K1146">
    <cfRule type="expression" dxfId="326" priority="810">
      <formula>$L1145:$L1182&lt;=0</formula>
    </cfRule>
  </conditionalFormatting>
  <conditionalFormatting sqref="J1147:K1148">
    <cfRule type="expression" dxfId="325" priority="802">
      <formula>$L1147:$L1182&lt;=0</formula>
    </cfRule>
  </conditionalFormatting>
  <conditionalFormatting sqref="J1154:K1154">
    <cfRule type="expression" dxfId="324" priority="820">
      <formula>$L1154:$L1182&lt;=0</formula>
    </cfRule>
  </conditionalFormatting>
  <conditionalFormatting sqref="J1155:K1155 C1155:C1156 F1155:F1156 I1155:I1156 L1155:L1156">
    <cfRule type="expression" dxfId="323" priority="819">
      <formula>$L1155:$L1182&lt;=0</formula>
    </cfRule>
  </conditionalFormatting>
  <conditionalFormatting sqref="J1158:K1159">
    <cfRule type="expression" dxfId="322" priority="806">
      <formula>$L1158:$L1182&lt;=0</formula>
    </cfRule>
  </conditionalFormatting>
  <conditionalFormatting sqref="J1177:K1178">
    <cfRule type="expression" dxfId="321" priority="772">
      <formula>$L1177:$L1184&lt;=0</formula>
    </cfRule>
  </conditionalFormatting>
  <conditionalFormatting sqref="J1243:K1243">
    <cfRule type="expression" dxfId="320" priority="667">
      <formula>$L1243:$L1248&lt;=0</formula>
    </cfRule>
  </conditionalFormatting>
  <conditionalFormatting sqref="J1244:K1244">
    <cfRule type="expression" dxfId="319" priority="663">
      <formula>$L1244:$L1248&lt;=0</formula>
    </cfRule>
  </conditionalFormatting>
  <conditionalFormatting sqref="J1301:K1303">
    <cfRule type="expression" dxfId="318" priority="573">
      <formula>$L1301:$L1349&lt;=0</formula>
    </cfRule>
  </conditionalFormatting>
  <conditionalFormatting sqref="J1305:K1316">
    <cfRule type="expression" dxfId="317" priority="538">
      <formula>$L1305:$L1352&lt;=0</formula>
    </cfRule>
  </conditionalFormatting>
  <conditionalFormatting sqref="J1519:K1519 C1519:C1521 F1519:F1524 I1519:I1524 L1519:L1524">
    <cfRule type="expression" dxfId="316" priority="262">
      <formula>$L1519:$L1528&lt;=0</formula>
    </cfRule>
  </conditionalFormatting>
  <conditionalFormatting sqref="J1520:K1521">
    <cfRule type="expression" dxfId="315" priority="267">
      <formula>$L1520:$L1528&lt;=0</formula>
    </cfRule>
  </conditionalFormatting>
  <conditionalFormatting sqref="J1553:K1585">
    <cfRule type="expression" dxfId="314" priority="207">
      <formula>$L1553:$L1596&lt;=0</formula>
    </cfRule>
  </conditionalFormatting>
  <conditionalFormatting sqref="J1599:K1600">
    <cfRule type="expression" dxfId="313" priority="202">
      <formula>$L1599:$L1626&lt;=0</formula>
    </cfRule>
  </conditionalFormatting>
  <conditionalFormatting sqref="J1603:K1609 I1610:I1611">
    <cfRule type="expression" dxfId="312" priority="178">
      <formula>$L1603:$L1637&lt;=0</formula>
    </cfRule>
  </conditionalFormatting>
  <conditionalFormatting sqref="J1610:K1612 I1612">
    <cfRule type="expression" dxfId="311" priority="186">
      <formula>$L1610:$L1643&lt;=0</formula>
    </cfRule>
  </conditionalFormatting>
  <conditionalFormatting sqref="J1613:K1614 I1615">
    <cfRule type="expression" dxfId="310" priority="175">
      <formula>$L1613:$L1644&lt;=0</formula>
    </cfRule>
  </conditionalFormatting>
  <conditionalFormatting sqref="J1615:K1615">
    <cfRule type="expression" dxfId="309" priority="179">
      <formula>$L1615:$L1645&lt;=0</formula>
    </cfRule>
  </conditionalFormatting>
  <conditionalFormatting sqref="J1616:K1625">
    <cfRule type="expression" dxfId="308" priority="162">
      <formula>$L1616:$L1644&lt;=0</formula>
    </cfRule>
  </conditionalFormatting>
  <conditionalFormatting sqref="J1626:K1627">
    <cfRule type="expression" dxfId="307" priority="164">
      <formula>$L1626:$L1653&lt;=0</formula>
    </cfRule>
  </conditionalFormatting>
  <conditionalFormatting sqref="J1646:K1654">
    <cfRule type="expression" dxfId="306" priority="135">
      <formula>$L1646:$L1670&lt;=0</formula>
    </cfRule>
  </conditionalFormatting>
  <conditionalFormatting sqref="J1675:K1676">
    <cfRule type="expression" dxfId="305" priority="96">
      <formula>$L1675:$L1703&lt;=0</formula>
    </cfRule>
  </conditionalFormatting>
  <conditionalFormatting sqref="J1703:K1703">
    <cfRule type="expression" dxfId="304" priority="32">
      <formula>$L1703:$L1731&lt;=0</formula>
    </cfRule>
  </conditionalFormatting>
  <conditionalFormatting sqref="J1704:K1712">
    <cfRule type="expression" dxfId="303" priority="40">
      <formula>$L1704:$L1731&lt;=0</formula>
    </cfRule>
  </conditionalFormatting>
  <conditionalFormatting sqref="J1717:K1717">
    <cfRule type="expression" dxfId="302" priority="11">
      <formula>$L1717:$L1729&lt;=0</formula>
    </cfRule>
  </conditionalFormatting>
  <conditionalFormatting sqref="J1718:K1718">
    <cfRule type="expression" dxfId="301" priority="10">
      <formula>$L1718:$L1729&lt;=0</formula>
    </cfRule>
  </conditionalFormatting>
  <conditionalFormatting sqref="J1698:L1699">
    <cfRule type="expression" dxfId="300" priority="47">
      <formula>$L1698:$L1715&lt;=0</formula>
    </cfRule>
  </conditionalFormatting>
  <conditionalFormatting sqref="K563:K565">
    <cfRule type="expression" dxfId="299" priority="1411">
      <formula>$L563:$L665&lt;=0</formula>
    </cfRule>
  </conditionalFormatting>
  <conditionalFormatting sqref="K1522:K1524">
    <cfRule type="expression" dxfId="298" priority="295">
      <formula>$L1522:$L1569&lt;=0</formula>
    </cfRule>
    <cfRule type="expression" dxfId="297" priority="294">
      <formula>$L1522:$L1573&lt;=0</formula>
    </cfRule>
  </conditionalFormatting>
  <conditionalFormatting sqref="K1655:K1656">
    <cfRule type="expression" dxfId="296" priority="134">
      <formula>$L1655:$L1698&lt;=0</formula>
    </cfRule>
  </conditionalFormatting>
  <conditionalFormatting sqref="L4:L7 L9">
    <cfRule type="expression" dxfId="295" priority="99239">
      <formula>$L4:$L796&lt;=0</formula>
    </cfRule>
  </conditionalFormatting>
  <conditionalFormatting sqref="L4:L9">
    <cfRule type="expression" dxfId="294" priority="99240">
      <formula>$L4:$L391&lt;=0</formula>
    </cfRule>
  </conditionalFormatting>
  <conditionalFormatting sqref="L8">
    <cfRule type="expression" dxfId="293" priority="100500">
      <formula>$L8:$L947&lt;=0</formula>
    </cfRule>
  </conditionalFormatting>
  <conditionalFormatting sqref="L30">
    <cfRule type="expression" dxfId="292" priority="2045">
      <formula>$L30:$L191&lt;=0</formula>
    </cfRule>
  </conditionalFormatting>
  <conditionalFormatting sqref="L83">
    <cfRule type="expression" dxfId="291" priority="103689">
      <formula>$L83:$L444&lt;=0</formula>
    </cfRule>
    <cfRule type="expression" dxfId="290" priority="103690">
      <formula>$L83:$L854&lt;=0</formula>
    </cfRule>
  </conditionalFormatting>
  <conditionalFormatting sqref="L84:L86">
    <cfRule type="expression" dxfId="289" priority="103691">
      <formula>$L84:$L856&lt;=0</formula>
    </cfRule>
    <cfRule type="expression" dxfId="288" priority="103692">
      <formula>$L84:$L446&lt;=0</formula>
    </cfRule>
  </conditionalFormatting>
  <conditionalFormatting sqref="L87">
    <cfRule type="expression" dxfId="287" priority="103693">
      <formula>$L87:$L862&lt;=0</formula>
    </cfRule>
    <cfRule type="expression" dxfId="286" priority="103694">
      <formula>$L87:$L452&lt;=0</formula>
    </cfRule>
  </conditionalFormatting>
  <conditionalFormatting sqref="L88">
    <cfRule type="expression" dxfId="285" priority="103695">
      <formula>$L88:$L864&lt;=0</formula>
    </cfRule>
    <cfRule type="expression" dxfId="284" priority="103696">
      <formula>$L88:$L454&lt;=0</formula>
    </cfRule>
  </conditionalFormatting>
  <conditionalFormatting sqref="L100:L118 I352">
    <cfRule type="expression" dxfId="283" priority="1984">
      <formula>$L100:$L179&lt;=0</formula>
    </cfRule>
  </conditionalFormatting>
  <conditionalFormatting sqref="L130:L141 L199:L215 L217:L222 J225 J227 J229 J231 J233 J235 J237 J239 J241 J243 J245 J247 J249 J251">
    <cfRule type="expression" dxfId="282" priority="89827">
      <formula>$L130:$L613&lt;=0</formula>
    </cfRule>
  </conditionalFormatting>
  <conditionalFormatting sqref="L130:L152">
    <cfRule type="expression" dxfId="281" priority="1947">
      <formula>$L130:$L308&lt;=0</formula>
    </cfRule>
  </conditionalFormatting>
  <conditionalFormatting sqref="L142:L152">
    <cfRule type="expression" dxfId="280" priority="103698">
      <formula>$L142:$L613&lt;=0</formula>
    </cfRule>
  </conditionalFormatting>
  <conditionalFormatting sqref="L153:L155">
    <cfRule type="expression" dxfId="279" priority="103699">
      <formula>$L153:$L613&lt;=0</formula>
    </cfRule>
    <cfRule type="expression" dxfId="278" priority="103700">
      <formula>$L153:$L320&lt;=0</formula>
    </cfRule>
  </conditionalFormatting>
  <conditionalFormatting sqref="L156:L157">
    <cfRule type="expression" dxfId="277" priority="103702">
      <formula>$L156:$L334&lt;=0</formula>
    </cfRule>
    <cfRule type="expression" dxfId="276" priority="103701">
      <formula>$L156:$L626&lt;=0</formula>
    </cfRule>
  </conditionalFormatting>
  <conditionalFormatting sqref="L158:L181">
    <cfRule type="expression" dxfId="275" priority="103704">
      <formula>$L158:$L640&lt;=0</formula>
    </cfRule>
    <cfRule type="expression" dxfId="274" priority="103703">
      <formula>$L158:$L335&lt;=0</formula>
    </cfRule>
  </conditionalFormatting>
  <conditionalFormatting sqref="L182:L198">
    <cfRule type="expression" dxfId="273" priority="103706">
      <formula>$L182:$L628&lt;=0</formula>
    </cfRule>
    <cfRule type="expression" dxfId="272" priority="103705">
      <formula>$L182:$L323&lt;=0</formula>
    </cfRule>
  </conditionalFormatting>
  <conditionalFormatting sqref="L199:L222 J225 J227 J229 J231 J233 J235 J237 J239 J241 J243 J245 J247 J249 J251">
    <cfRule type="expression" dxfId="271" priority="89826">
      <formula>$L199:$L377&lt;=0</formula>
    </cfRule>
  </conditionalFormatting>
  <conditionalFormatting sqref="L216">
    <cfRule type="expression" dxfId="270" priority="100501">
      <formula>$L216:$L947&lt;=0</formula>
    </cfRule>
  </conditionalFormatting>
  <conditionalFormatting sqref="L223:L224">
    <cfRule type="expression" dxfId="269" priority="103723">
      <formula>$L223:$L354&lt;=0</formula>
    </cfRule>
    <cfRule type="expression" dxfId="268" priority="103722">
      <formula>$L223:$L645&lt;=0</formula>
    </cfRule>
  </conditionalFormatting>
  <conditionalFormatting sqref="L253">
    <cfRule type="expression" dxfId="267" priority="103725">
      <formula>$L253:$L643&lt;=0</formula>
    </cfRule>
    <cfRule type="expression" dxfId="266" priority="103724">
      <formula>$L253:$L404&lt;=0</formula>
    </cfRule>
  </conditionalFormatting>
  <conditionalFormatting sqref="L254:L257 L280:L289 H460:H470 H647">
    <cfRule type="expression" dxfId="265" priority="1861">
      <formula>$L254:$L408&lt;=0</formula>
    </cfRule>
  </conditionalFormatting>
  <conditionalFormatting sqref="L254:L267 L269:L272">
    <cfRule type="expression" dxfId="264" priority="103726">
      <formula>$L254:$L685&lt;=0</formula>
    </cfRule>
  </conditionalFormatting>
  <conditionalFormatting sqref="L258:L272">
    <cfRule type="expression" dxfId="263" priority="1859">
      <formula>$L258:$L411&lt;=0</formula>
    </cfRule>
  </conditionalFormatting>
  <conditionalFormatting sqref="L268">
    <cfRule type="expression" dxfId="262" priority="100502">
      <formula>$L268:$L947&lt;=0</formula>
    </cfRule>
  </conditionalFormatting>
  <conditionalFormatting sqref="L273:L277">
    <cfRule type="expression" dxfId="261" priority="89882">
      <formula>$L273:$L435&lt;=0</formula>
    </cfRule>
  </conditionalFormatting>
  <conditionalFormatting sqref="L273:L288">
    <cfRule type="expression" dxfId="260" priority="103728">
      <formula>$L273:$L648&lt;=0</formula>
    </cfRule>
  </conditionalFormatting>
  <conditionalFormatting sqref="L278:L279">
    <cfRule type="expression" dxfId="259" priority="89884">
      <formula>$L278:$L433&lt;=0</formula>
    </cfRule>
  </conditionalFormatting>
  <conditionalFormatting sqref="L289:L306">
    <cfRule type="expression" dxfId="258" priority="103729">
      <formula>$L289:$L645&lt;=0</formula>
    </cfRule>
  </conditionalFormatting>
  <conditionalFormatting sqref="L296:L300">
    <cfRule type="expression" dxfId="257" priority="1844">
      <formula>$L296:$L419&lt;=0</formula>
    </cfRule>
  </conditionalFormatting>
  <conditionalFormatting sqref="L301:L304">
    <cfRule type="expression" dxfId="256" priority="1824">
      <formula>$L301:$L404&lt;=0</formula>
    </cfRule>
  </conditionalFormatting>
  <conditionalFormatting sqref="L305:L306">
    <cfRule type="expression" dxfId="255" priority="1830">
      <formula>$L305:$L407&lt;=0</formula>
    </cfRule>
  </conditionalFormatting>
  <conditionalFormatting sqref="L307:L310">
    <cfRule type="expression" dxfId="254" priority="103730">
      <formula>$L307:$L739&lt;=0</formula>
    </cfRule>
  </conditionalFormatting>
  <conditionalFormatting sqref="L312">
    <cfRule type="expression" dxfId="253" priority="1771">
      <formula>$L312:$L451&lt;=0</formula>
    </cfRule>
  </conditionalFormatting>
  <conditionalFormatting sqref="L312:L322 L541">
    <cfRule type="expression" dxfId="252" priority="100510">
      <formula>$L312:$L718&lt;=0</formula>
    </cfRule>
  </conditionalFormatting>
  <conditionalFormatting sqref="L323:L333">
    <cfRule type="expression" dxfId="251" priority="103732">
      <formula>$L323:$L750&lt;=0</formula>
    </cfRule>
    <cfRule type="expression" dxfId="250" priority="103733">
      <formula>$L323:$L467&lt;=0</formula>
    </cfRule>
  </conditionalFormatting>
  <conditionalFormatting sqref="L334">
    <cfRule type="expression" dxfId="249" priority="1736">
      <formula>$L334:$L658&lt;=0</formula>
    </cfRule>
  </conditionalFormatting>
  <conditionalFormatting sqref="L335:L342">
    <cfRule type="expression" dxfId="248" priority="103734">
      <formula>$L335:$L658&lt;=0</formula>
    </cfRule>
  </conditionalFormatting>
  <conditionalFormatting sqref="L343:L347">
    <cfRule type="expression" dxfId="247" priority="103735">
      <formula>$L343:$L665&lt;=0</formula>
    </cfRule>
  </conditionalFormatting>
  <conditionalFormatting sqref="L348:L349">
    <cfRule type="expression" dxfId="246" priority="103736">
      <formula>$L348:$L441&lt;=0</formula>
    </cfRule>
    <cfRule type="expression" dxfId="245" priority="103737">
      <formula>$L348:$L622&lt;=0</formula>
    </cfRule>
  </conditionalFormatting>
  <conditionalFormatting sqref="L350:L352">
    <cfRule type="expression" dxfId="244" priority="103738">
      <formula>$L350:$L458&lt;=0</formula>
    </cfRule>
    <cfRule type="expression" dxfId="243" priority="103739">
      <formula>$L350:$L651&lt;=0</formula>
    </cfRule>
  </conditionalFormatting>
  <conditionalFormatting sqref="L353:L356">
    <cfRule type="expression" dxfId="242" priority="103740">
      <formula>$L353:$L676&lt;=0</formula>
    </cfRule>
    <cfRule type="expression" dxfId="241" priority="103741">
      <formula>$L353:$L453&lt;=0</formula>
    </cfRule>
  </conditionalFormatting>
  <conditionalFormatting sqref="L392">
    <cfRule type="expression" dxfId="240" priority="98760">
      <formula>$L392:$L764&lt;=0</formula>
    </cfRule>
  </conditionalFormatting>
  <conditionalFormatting sqref="L393">
    <cfRule type="expression" dxfId="239" priority="98934">
      <formula>$L393:$L789&lt;=0</formula>
    </cfRule>
  </conditionalFormatting>
  <conditionalFormatting sqref="L394">
    <cfRule type="expression" dxfId="238" priority="98761">
      <formula>$L394:$L764&lt;=0</formula>
    </cfRule>
  </conditionalFormatting>
  <conditionalFormatting sqref="L395">
    <cfRule type="expression" dxfId="237" priority="98762">
      <formula>$L395:$L764&lt;=0</formula>
    </cfRule>
  </conditionalFormatting>
  <conditionalFormatting sqref="L396">
    <cfRule type="expression" dxfId="236" priority="98156">
      <formula>$L396:$L764&lt;=0</formula>
    </cfRule>
  </conditionalFormatting>
  <conditionalFormatting sqref="L397">
    <cfRule type="expression" dxfId="235" priority="98912">
      <formula>$L397:$L789&lt;=0</formula>
    </cfRule>
  </conditionalFormatting>
  <conditionalFormatting sqref="L398">
    <cfRule type="expression" dxfId="234" priority="89913">
      <formula>$L398:$L764&lt;=0</formula>
    </cfRule>
  </conditionalFormatting>
  <conditionalFormatting sqref="L399">
    <cfRule type="expression" dxfId="233" priority="98914">
      <formula>$L399:$L789&lt;=0</formula>
    </cfRule>
  </conditionalFormatting>
  <conditionalFormatting sqref="L400">
    <cfRule type="expression" dxfId="232" priority="98758">
      <formula>$L400:$L789&lt;=0</formula>
    </cfRule>
  </conditionalFormatting>
  <conditionalFormatting sqref="L401:L406">
    <cfRule type="expression" dxfId="231" priority="103742">
      <formula>$L401:$L789&lt;=0</formula>
    </cfRule>
  </conditionalFormatting>
  <conditionalFormatting sqref="L407">
    <cfRule type="expression" dxfId="230" priority="1685">
      <formula>$L407:$L790&lt;=0</formula>
    </cfRule>
  </conditionalFormatting>
  <conditionalFormatting sqref="L408:L409">
    <cfRule type="expression" dxfId="229" priority="103743">
      <formula>$L408:$L790&lt;=0</formula>
    </cfRule>
  </conditionalFormatting>
  <conditionalFormatting sqref="L410:L413">
    <cfRule type="expression" dxfId="228" priority="103744">
      <formula>$L410:$L791&lt;=0</formula>
    </cfRule>
  </conditionalFormatting>
  <conditionalFormatting sqref="L414:L416">
    <cfRule type="expression" dxfId="227" priority="103745">
      <formula>$L414:$L794&lt;=0</formula>
    </cfRule>
  </conditionalFormatting>
  <conditionalFormatting sqref="L417:L420">
    <cfRule type="expression" dxfId="226" priority="103746">
      <formula>$L417:$L795&lt;=0</formula>
    </cfRule>
  </conditionalFormatting>
  <conditionalFormatting sqref="L421">
    <cfRule type="expression" dxfId="225" priority="1662">
      <formula>$L421:$L722&lt;=0</formula>
    </cfRule>
  </conditionalFormatting>
  <conditionalFormatting sqref="L430 L505:L506 L508:L519">
    <cfRule type="expression" dxfId="224" priority="99246">
      <formula>$L430:$L723&lt;=0</formula>
    </cfRule>
  </conditionalFormatting>
  <conditionalFormatting sqref="L431:L432">
    <cfRule type="expression" dxfId="223" priority="103751">
      <formula>$L431:$L746&lt;=0</formula>
    </cfRule>
    <cfRule type="expression" dxfId="222" priority="103750">
      <formula>$L431:$L515&lt;=0</formula>
    </cfRule>
  </conditionalFormatting>
  <conditionalFormatting sqref="L448:L450">
    <cfRule type="expression" dxfId="221" priority="103753">
      <formula>$L448:$L663&lt;=0</formula>
    </cfRule>
    <cfRule type="expression" dxfId="220" priority="103752">
      <formula>$L448:$L502&lt;=0</formula>
    </cfRule>
  </conditionalFormatting>
  <conditionalFormatting sqref="L451">
    <cfRule type="expression" dxfId="219" priority="103755">
      <formula>$L451:$L702&lt;=0</formula>
    </cfRule>
    <cfRule type="expression" dxfId="218" priority="103754">
      <formula>$L451:$L542&lt;=0</formula>
    </cfRule>
  </conditionalFormatting>
  <conditionalFormatting sqref="L452">
    <cfRule type="expression" dxfId="217" priority="1585">
      <formula>$L452:$L557&lt;=0</formula>
    </cfRule>
  </conditionalFormatting>
  <conditionalFormatting sqref="L452:L455 L480:L487 H594:H595">
    <cfRule type="expression" dxfId="216" priority="98168">
      <formula>$L452:$L709&lt;=0</formula>
    </cfRule>
  </conditionalFormatting>
  <conditionalFormatting sqref="L453">
    <cfRule type="expression" dxfId="215" priority="1583">
      <formula>$L453:$L557&lt;=0</formula>
    </cfRule>
  </conditionalFormatting>
  <conditionalFormatting sqref="L454">
    <cfRule type="expression" dxfId="214" priority="1582">
      <formula>$L454:$L557&lt;=0</formula>
    </cfRule>
  </conditionalFormatting>
  <conditionalFormatting sqref="L456:L474 H598:H600">
    <cfRule type="expression" dxfId="213" priority="99235">
      <formula>$L456:$L711&lt;=0</formula>
    </cfRule>
  </conditionalFormatting>
  <conditionalFormatting sqref="L475:L477 H601:H602">
    <cfRule type="expression" dxfId="212" priority="99072">
      <formula>$L475:$L729&lt;=0</formula>
    </cfRule>
  </conditionalFormatting>
  <conditionalFormatting sqref="L478:L479">
    <cfRule type="expression" dxfId="211" priority="103760">
      <formula>$L478:$L802&lt;=0</formula>
    </cfRule>
  </conditionalFormatting>
  <conditionalFormatting sqref="L478:L480">
    <cfRule type="expression" dxfId="210" priority="1514">
      <formula>$L478:$L571&lt;=0</formula>
    </cfRule>
  </conditionalFormatting>
  <conditionalFormatting sqref="L488 L490:L496">
    <cfRule type="expression" dxfId="209" priority="99104">
      <formula>$L488:$L799&lt;=0</formula>
    </cfRule>
  </conditionalFormatting>
  <conditionalFormatting sqref="L488:L505">
    <cfRule type="expression" dxfId="208" priority="1507">
      <formula>$L488:$L569&lt;=0</formula>
    </cfRule>
  </conditionalFormatting>
  <conditionalFormatting sqref="L489">
    <cfRule type="expression" dxfId="207" priority="100506">
      <formula>$L489:$L947&lt;=0</formula>
    </cfRule>
  </conditionalFormatting>
  <conditionalFormatting sqref="L500">
    <cfRule type="expression" dxfId="206" priority="100507">
      <formula>$L500:$L947&lt;=0</formula>
    </cfRule>
  </conditionalFormatting>
  <conditionalFormatting sqref="L506:L525">
    <cfRule type="expression" dxfId="205" priority="1502">
      <formula>$L506:$L586&lt;=0</formula>
    </cfRule>
  </conditionalFormatting>
  <conditionalFormatting sqref="L507">
    <cfRule type="expression" dxfId="204" priority="89881">
      <formula>$L507:$L947&lt;=0</formula>
    </cfRule>
  </conditionalFormatting>
  <conditionalFormatting sqref="L520:L525">
    <cfRule type="expression" dxfId="203" priority="99213">
      <formula>$L520:$L812&lt;=0</formula>
    </cfRule>
  </conditionalFormatting>
  <conditionalFormatting sqref="L526:L536">
    <cfRule type="expression" dxfId="202" priority="1465">
      <formula>$L526:$L657&lt;=0</formula>
    </cfRule>
  </conditionalFormatting>
  <conditionalFormatting sqref="L526:L540 L542:L545">
    <cfRule type="expression" dxfId="201" priority="99222">
      <formula>$L526:$L902&lt;=0</formula>
    </cfRule>
  </conditionalFormatting>
  <conditionalFormatting sqref="L537:L538">
    <cfRule type="expression" dxfId="200" priority="1464">
      <formula>$L537:$L667&lt;=0</formula>
    </cfRule>
  </conditionalFormatting>
  <conditionalFormatting sqref="L539:L545">
    <cfRule type="expression" dxfId="199" priority="1463">
      <formula>$L539:$L668&lt;=0</formula>
    </cfRule>
  </conditionalFormatting>
  <conditionalFormatting sqref="L553">
    <cfRule type="expression" dxfId="198" priority="98759">
      <formula>$L553:$L898&lt;=0</formula>
    </cfRule>
  </conditionalFormatting>
  <conditionalFormatting sqref="L553:L562">
    <cfRule type="expression" dxfId="197" priority="1445">
      <formula>$L553:$L636&lt;=0</formula>
    </cfRule>
  </conditionalFormatting>
  <conditionalFormatting sqref="L554:L555">
    <cfRule type="expression" dxfId="196" priority="99116">
      <formula>$L554:$L898&lt;=0</formula>
    </cfRule>
  </conditionalFormatting>
  <conditionalFormatting sqref="L556:L558">
    <cfRule type="expression" dxfId="195" priority="99247">
      <formula>$L556:$L899&lt;=0</formula>
    </cfRule>
  </conditionalFormatting>
  <conditionalFormatting sqref="L559:L560">
    <cfRule type="expression" dxfId="194" priority="99248">
      <formula>$L559:$L901&lt;=0</formula>
    </cfRule>
  </conditionalFormatting>
  <conditionalFormatting sqref="L561:L562">
    <cfRule type="expression" dxfId="193" priority="99115">
      <formula>$L561:$L902&lt;=0</formula>
    </cfRule>
  </conditionalFormatting>
  <conditionalFormatting sqref="L563:L564">
    <cfRule type="expression" dxfId="192" priority="1409">
      <formula>$L563:$L685&lt;=0</formula>
    </cfRule>
  </conditionalFormatting>
  <conditionalFormatting sqref="L563:L578">
    <cfRule type="expression" dxfId="191" priority="89883">
      <formula>$L563:$L947&lt;=0</formula>
    </cfRule>
  </conditionalFormatting>
  <conditionalFormatting sqref="L565:L566">
    <cfRule type="expression" dxfId="190" priority="1407">
      <formula>$L565:$L686&lt;=0</formula>
    </cfRule>
  </conditionalFormatting>
  <conditionalFormatting sqref="L567:L568">
    <cfRule type="expression" dxfId="189" priority="1406">
      <formula>$L567:$L687&lt;=0</formula>
    </cfRule>
  </conditionalFormatting>
  <conditionalFormatting sqref="L569:L570">
    <cfRule type="expression" dxfId="188" priority="1405">
      <formula>$L569:$L688&lt;=0</formula>
    </cfRule>
  </conditionalFormatting>
  <conditionalFormatting sqref="L574:L575">
    <cfRule type="expression" dxfId="187" priority="1404">
      <formula>$L574:$L691&lt;=0</formula>
    </cfRule>
  </conditionalFormatting>
  <conditionalFormatting sqref="L576">
    <cfRule type="expression" dxfId="186" priority="1403">
      <formula>$L576:$L692&lt;=0</formula>
    </cfRule>
  </conditionalFormatting>
  <conditionalFormatting sqref="L577">
    <cfRule type="expression" dxfId="185" priority="1402">
      <formula>$L577:$L692&lt;=0</formula>
    </cfRule>
  </conditionalFormatting>
  <conditionalFormatting sqref="L578:L579">
    <cfRule type="expression" dxfId="184" priority="1438">
      <formula>$L578:$L692&lt;=0</formula>
    </cfRule>
  </conditionalFormatting>
  <conditionalFormatting sqref="L579:L621">
    <cfRule type="expression" dxfId="183" priority="99223">
      <formula>$L579:$L948&lt;=0</formula>
    </cfRule>
  </conditionalFormatting>
  <conditionalFormatting sqref="L592:L595">
    <cfRule type="expression" dxfId="182" priority="1361">
      <formula>$L592:$L695&lt;=0</formula>
    </cfRule>
  </conditionalFormatting>
  <conditionalFormatting sqref="L597">
    <cfRule type="expression" dxfId="181" priority="100512">
      <formula>$L597:$L947&lt;=0</formula>
    </cfRule>
  </conditionalFormatting>
  <conditionalFormatting sqref="L599">
    <cfRule type="expression" dxfId="180" priority="100513">
      <formula>$L599:$L947&lt;=0</formula>
    </cfRule>
  </conditionalFormatting>
  <conditionalFormatting sqref="L600:L621">
    <cfRule type="expression" dxfId="179" priority="1577">
      <formula>$L600:$L700&lt;=0</formula>
    </cfRule>
  </conditionalFormatting>
  <conditionalFormatting sqref="L642:L647">
    <cfRule type="expression" dxfId="178" priority="99250">
      <formula>$L642:$L743&lt;=0</formula>
    </cfRule>
    <cfRule type="expression" dxfId="177" priority="99249">
      <formula>$L642:$L1011&lt;=0</formula>
    </cfRule>
  </conditionalFormatting>
  <conditionalFormatting sqref="L648:L652">
    <cfRule type="expression" dxfId="176" priority="1822">
      <formula>$L648:$L863&lt;=0</formula>
    </cfRule>
  </conditionalFormatting>
  <conditionalFormatting sqref="L650">
    <cfRule type="expression" dxfId="175" priority="100516">
      <formula>$L650:$L947&lt;=0</formula>
    </cfRule>
  </conditionalFormatting>
  <conditionalFormatting sqref="L653:L654 L658:L675">
    <cfRule type="expression" dxfId="174" priority="1691">
      <formula>$L653:$L867&lt;=0</formula>
    </cfRule>
  </conditionalFormatting>
  <conditionalFormatting sqref="L655:L657">
    <cfRule type="expression" dxfId="173" priority="99224">
      <formula>$L655:$L868&lt;=0</formula>
    </cfRule>
  </conditionalFormatting>
  <conditionalFormatting sqref="L667">
    <cfRule type="expression" dxfId="172" priority="100425">
      <formula>$L667:$L947&lt;=0</formula>
    </cfRule>
  </conditionalFormatting>
  <conditionalFormatting sqref="L675">
    <cfRule type="expression" dxfId="171" priority="1280">
      <formula>$L675:$L693&lt;=0</formula>
    </cfRule>
  </conditionalFormatting>
  <conditionalFormatting sqref="L676">
    <cfRule type="expression" dxfId="170" priority="98791">
      <formula>$L676:$L738&lt;=0</formula>
    </cfRule>
    <cfRule type="expression" dxfId="169" priority="98792">
      <formula>$L676:$L902&lt;=0</formula>
    </cfRule>
  </conditionalFormatting>
  <conditionalFormatting sqref="L677:L678">
    <cfRule type="expression" dxfId="168" priority="99253">
      <formula>$L677:$L994&lt;=0</formula>
    </cfRule>
  </conditionalFormatting>
  <conditionalFormatting sqref="L679:L680">
    <cfRule type="expression" dxfId="167" priority="99212">
      <formula>$L679:$L994&lt;=0</formula>
    </cfRule>
  </conditionalFormatting>
  <conditionalFormatting sqref="L680:L690 L692:L697 H775:H776">
    <cfRule type="expression" dxfId="166" priority="1187">
      <formula>$L680:$L789&lt;=0</formula>
    </cfRule>
  </conditionalFormatting>
  <conditionalFormatting sqref="L698:L713">
    <cfRule type="expression" dxfId="165" priority="98923">
      <formula>$L698:$L939&lt;=0</formula>
    </cfRule>
  </conditionalFormatting>
  <conditionalFormatting sqref="L714">
    <cfRule type="expression" dxfId="164" priority="1680">
      <formula>$L714:$L954&lt;=0</formula>
    </cfRule>
  </conditionalFormatting>
  <conditionalFormatting sqref="L715">
    <cfRule type="expression" dxfId="163" priority="89774">
      <formula>$L715:$L954&lt;=0</formula>
    </cfRule>
  </conditionalFormatting>
  <conditionalFormatting sqref="L765:L787">
    <cfRule type="expression" dxfId="162" priority="1179">
      <formula>$L765:$L843&lt;=0</formula>
    </cfRule>
    <cfRule type="expression" dxfId="161" priority="1174">
      <formula>$L765:$L1068&lt;=0</formula>
    </cfRule>
  </conditionalFormatting>
  <conditionalFormatting sqref="L788:L808">
    <cfRule type="expression" dxfId="160" priority="1141">
      <formula>$L788:$L862&lt;=0</formula>
    </cfRule>
    <cfRule type="expression" dxfId="159" priority="1140">
      <formula>$L788:$L969&lt;=0</formula>
    </cfRule>
  </conditionalFormatting>
  <conditionalFormatting sqref="L809:L814">
    <cfRule type="expression" dxfId="158" priority="1132">
      <formula>$L809:$L849&lt;=0</formula>
    </cfRule>
  </conditionalFormatting>
  <conditionalFormatting sqref="L815 H818:H819">
    <cfRule type="expression" dxfId="157" priority="1126">
      <formula>$L815:$L894&lt;=0</formula>
    </cfRule>
  </conditionalFormatting>
  <conditionalFormatting sqref="L816:L818">
    <cfRule type="expression" dxfId="156" priority="1120">
      <formula>$L816:$L894&lt;=0</formula>
    </cfRule>
  </conditionalFormatting>
  <conditionalFormatting sqref="L819 H822:H824">
    <cfRule type="expression" dxfId="155" priority="1108">
      <formula>$L819:$L894&lt;=0</formula>
    </cfRule>
  </conditionalFormatting>
  <conditionalFormatting sqref="L820:L822">
    <cfRule type="expression" dxfId="154" priority="1110">
      <formula>$L820:$L894&lt;=0</formula>
    </cfRule>
  </conditionalFormatting>
  <conditionalFormatting sqref="L823:L824 H825:H826">
    <cfRule type="expression" dxfId="153" priority="1118">
      <formula>$L823:$L895&lt;=0</formula>
    </cfRule>
  </conditionalFormatting>
  <conditionalFormatting sqref="L825:L826">
    <cfRule type="expression" dxfId="152" priority="1122">
      <formula>$L825:$L896&lt;=0</formula>
    </cfRule>
  </conditionalFormatting>
  <conditionalFormatting sqref="L876:L879">
    <cfRule type="expression" dxfId="151" priority="1009">
      <formula>$L876:$L898&lt;=0</formula>
    </cfRule>
  </conditionalFormatting>
  <conditionalFormatting sqref="L880:L887">
    <cfRule type="expression" dxfId="150" priority="1008">
      <formula>$L880:$L901&lt;=0</formula>
    </cfRule>
  </conditionalFormatting>
  <conditionalFormatting sqref="L888">
    <cfRule type="expression" dxfId="149" priority="1007">
      <formula>$L888:$L908&lt;=0</formula>
    </cfRule>
  </conditionalFormatting>
  <conditionalFormatting sqref="L889">
    <cfRule type="expression" dxfId="148" priority="1006">
      <formula>$L889:$L908&lt;=0</formula>
    </cfRule>
  </conditionalFormatting>
  <conditionalFormatting sqref="L900:L911">
    <cfRule type="expression" dxfId="147" priority="980">
      <formula>$L900:$L993&lt;=0</formula>
    </cfRule>
    <cfRule type="expression" dxfId="146" priority="979">
      <formula>$L900:$L1126&lt;=0</formula>
    </cfRule>
  </conditionalFormatting>
  <conditionalFormatting sqref="L912:L915">
    <cfRule type="expression" dxfId="145" priority="978">
      <formula>$L912:$L1137&lt;=0</formula>
    </cfRule>
    <cfRule type="expression" dxfId="144" priority="977">
      <formula>$L912:$L981&lt;=0</formula>
    </cfRule>
  </conditionalFormatting>
  <conditionalFormatting sqref="L916:L924 L926:L932">
    <cfRule type="expression" dxfId="143" priority="974">
      <formula>$L916:$L1001&lt;=0</formula>
    </cfRule>
  </conditionalFormatting>
  <conditionalFormatting sqref="L916:L932">
    <cfRule type="expression" dxfId="142" priority="969">
      <formula>$L916:$L1255&lt;=0</formula>
    </cfRule>
  </conditionalFormatting>
  <conditionalFormatting sqref="L925">
    <cfRule type="expression" dxfId="141" priority="968">
      <formula>$L925:$L1242&lt;=0</formula>
    </cfRule>
  </conditionalFormatting>
  <conditionalFormatting sqref="L933:L937">
    <cfRule type="expression" dxfId="140" priority="951">
      <formula>$L933:$L1150&lt;=0</formula>
    </cfRule>
  </conditionalFormatting>
  <conditionalFormatting sqref="L933:L939">
    <cfRule type="expression" dxfId="139" priority="950">
      <formula>$L933:$L1011&lt;=0</formula>
    </cfRule>
  </conditionalFormatting>
  <conditionalFormatting sqref="L938:L941">
    <cfRule type="expression" dxfId="138" priority="949">
      <formula>$L938:$L1154&lt;=0</formula>
    </cfRule>
  </conditionalFormatting>
  <conditionalFormatting sqref="L940:L1143">
    <cfRule type="expression" dxfId="137" priority="948">
      <formula>$L940:$L1017&lt;=0</formula>
    </cfRule>
  </conditionalFormatting>
  <conditionalFormatting sqref="L942:L944">
    <cfRule type="expression" dxfId="136" priority="947">
      <formula>$L942:$L1157&lt;=0</formula>
    </cfRule>
  </conditionalFormatting>
  <conditionalFormatting sqref="L945:L1143">
    <cfRule type="expression" dxfId="135" priority="946">
      <formula>$L945:$L1155&lt;=0</formula>
    </cfRule>
  </conditionalFormatting>
  <conditionalFormatting sqref="L1163">
    <cfRule type="expression" dxfId="134" priority="790">
      <formula>$L1163:$L1189&lt;=0</formula>
    </cfRule>
  </conditionalFormatting>
  <conditionalFormatting sqref="L1163:L1164">
    <cfRule type="expression" dxfId="133" priority="786">
      <formula>$L1163:$L1302&lt;=0</formula>
    </cfRule>
  </conditionalFormatting>
  <conditionalFormatting sqref="L1164">
    <cfRule type="expression" dxfId="132" priority="789">
      <formula>$L1164:$L1189&lt;=0</formula>
    </cfRule>
  </conditionalFormatting>
  <conditionalFormatting sqref="L1179:L1180">
    <cfRule type="expression" dxfId="131" priority="740">
      <formula>$L1179:$L1242&lt;=0</formula>
    </cfRule>
  </conditionalFormatting>
  <conditionalFormatting sqref="L1181">
    <cfRule type="expression" dxfId="130" priority="739">
      <formula>$L1181:$L1243&lt;=0</formula>
    </cfRule>
  </conditionalFormatting>
  <conditionalFormatting sqref="L1182">
    <cfRule type="expression" dxfId="129" priority="738">
      <formula>$L1182:$L1243&lt;=0</formula>
    </cfRule>
  </conditionalFormatting>
  <conditionalFormatting sqref="L1183">
    <cfRule type="expression" dxfId="128" priority="737">
      <formula>$L1183:$L1243&lt;=0</formula>
    </cfRule>
  </conditionalFormatting>
  <conditionalFormatting sqref="L1184">
    <cfRule type="expression" dxfId="127" priority="736">
      <formula>$L1184:$L1243&lt;=0</formula>
    </cfRule>
  </conditionalFormatting>
  <conditionalFormatting sqref="L1185">
    <cfRule type="expression" dxfId="126" priority="743">
      <formula>$L1185:$L1243&lt;=0</formula>
    </cfRule>
  </conditionalFormatting>
  <conditionalFormatting sqref="L1186">
    <cfRule type="expression" dxfId="125" priority="742">
      <formula>$L1186:$L1243&lt;=0</formula>
    </cfRule>
  </conditionalFormatting>
  <conditionalFormatting sqref="L1187:L1188">
    <cfRule type="expression" dxfId="124" priority="735">
      <formula>$L1187:$L1243&lt;=0</formula>
    </cfRule>
  </conditionalFormatting>
  <conditionalFormatting sqref="L1189">
    <cfRule type="expression" dxfId="123" priority="734">
      <formula>$L1189:$L1243&lt;=0</formula>
    </cfRule>
  </conditionalFormatting>
  <conditionalFormatting sqref="L1190">
    <cfRule type="expression" dxfId="122" priority="705">
      <formula>$L1190:$L1216&lt;=0</formula>
    </cfRule>
  </conditionalFormatting>
  <conditionalFormatting sqref="L1190:L1191 L1196:L1197">
    <cfRule type="expression" dxfId="121" priority="704">
      <formula>$L1190:$L1377&lt;=0</formula>
    </cfRule>
  </conditionalFormatting>
  <conditionalFormatting sqref="L1191">
    <cfRule type="expression" dxfId="120" priority="703">
      <formula>$L1191:$L1216&lt;=0</formula>
    </cfRule>
  </conditionalFormatting>
  <conditionalFormatting sqref="L1192 H1192:H1193">
    <cfRule type="expression" dxfId="119" priority="725">
      <formula>$L1192:$L1216&lt;=0</formula>
    </cfRule>
  </conditionalFormatting>
  <conditionalFormatting sqref="L1192">
    <cfRule type="expression" dxfId="118" priority="702">
      <formula>$L1192:$L1378&lt;=0</formula>
    </cfRule>
  </conditionalFormatting>
  <conditionalFormatting sqref="L1193:L1194 H1193:H1195">
    <cfRule type="expression" dxfId="117" priority="723">
      <formula>$L1193:$L1216&lt;=0</formula>
    </cfRule>
  </conditionalFormatting>
  <conditionalFormatting sqref="L1193:L1195">
    <cfRule type="expression" dxfId="116" priority="701">
      <formula>$L1193:$L1378&lt;=0</formula>
    </cfRule>
  </conditionalFormatting>
  <conditionalFormatting sqref="L1195:L1202">
    <cfRule type="expression" dxfId="115" priority="692">
      <formula>$L1195:$L1216&lt;=0</formula>
    </cfRule>
  </conditionalFormatting>
  <conditionalFormatting sqref="L1198:L1199">
    <cfRule type="expression" dxfId="114" priority="700">
      <formula>$L1198:$L1380&lt;=0</formula>
    </cfRule>
  </conditionalFormatting>
  <conditionalFormatting sqref="L1200">
    <cfRule type="expression" dxfId="113" priority="699">
      <formula>$L1200:$L1384&lt;=0</formula>
    </cfRule>
  </conditionalFormatting>
  <conditionalFormatting sqref="L1201">
    <cfRule type="expression" dxfId="112" priority="698">
      <formula>$L1201:$L1384&lt;=0</formula>
    </cfRule>
  </conditionalFormatting>
  <conditionalFormatting sqref="L1202">
    <cfRule type="expression" dxfId="111" priority="693">
      <formula>$L1202:$L1241&lt;=0</formula>
    </cfRule>
  </conditionalFormatting>
  <conditionalFormatting sqref="L1203:L1220">
    <cfRule type="expression" dxfId="110" priority="686">
      <formula>$L1203:$L1238&lt;=0</formula>
    </cfRule>
  </conditionalFormatting>
  <conditionalFormatting sqref="L1203:L1225">
    <cfRule type="expression" dxfId="109" priority="679">
      <formula>$L1203:$L1470&lt;=0</formula>
    </cfRule>
  </conditionalFormatting>
  <conditionalFormatting sqref="L1221:L1225">
    <cfRule type="expression" dxfId="108" priority="685">
      <formula>$L1221:$L1255&lt;=0</formula>
    </cfRule>
  </conditionalFormatting>
  <conditionalFormatting sqref="L1226:L1228">
    <cfRule type="expression" dxfId="107" priority="671">
      <formula>$L1226:$L1433&lt;=0</formula>
    </cfRule>
    <cfRule type="expression" dxfId="106" priority="675">
      <formula>$L1226:$L1258&lt;=0</formula>
    </cfRule>
  </conditionalFormatting>
  <conditionalFormatting sqref="L1249 H1254">
    <cfRule type="expression" dxfId="105" priority="648">
      <formula>$L1249:$L1259&lt;=0</formula>
    </cfRule>
  </conditionalFormatting>
  <conditionalFormatting sqref="L1249:L1254">
    <cfRule type="expression" dxfId="104" priority="658">
      <formula>$L1249:$L1270&lt;=0</formula>
    </cfRule>
  </conditionalFormatting>
  <conditionalFormatting sqref="L1250:L1254">
    <cfRule type="expression" dxfId="103" priority="646">
      <formula>$L1250:$L1259&lt;=0</formula>
    </cfRule>
  </conditionalFormatting>
  <conditionalFormatting sqref="L1255:L1266 H1270">
    <cfRule type="expression" dxfId="102" priority="617">
      <formula>$L1255:$L1318&lt;=0</formula>
    </cfRule>
  </conditionalFormatting>
  <conditionalFormatting sqref="L1255:L1278 L1280:L1282">
    <cfRule type="expression" dxfId="101" priority="616">
      <formula>$L1255:$L1391&lt;=0</formula>
    </cfRule>
  </conditionalFormatting>
  <conditionalFormatting sqref="L1267 H1282">
    <cfRule type="expression" dxfId="100" priority="619">
      <formula>$L1267:$L1318&lt;=0</formula>
    </cfRule>
  </conditionalFormatting>
  <conditionalFormatting sqref="L1268">
    <cfRule type="expression" dxfId="99" priority="615">
      <formula>$L1268:$L1318&lt;=0</formula>
    </cfRule>
  </conditionalFormatting>
  <conditionalFormatting sqref="L1269">
    <cfRule type="expression" dxfId="98" priority="622">
      <formula>$L1269:$L1318&lt;=0</formula>
    </cfRule>
  </conditionalFormatting>
  <conditionalFormatting sqref="L1270:L1271">
    <cfRule type="expression" dxfId="97" priority="621">
      <formula>$L1270:$L1318&lt;=0</formula>
    </cfRule>
  </conditionalFormatting>
  <conditionalFormatting sqref="L1272:L1273">
    <cfRule type="expression" dxfId="96" priority="614">
      <formula>$L1272:$L1318&lt;=0</formula>
    </cfRule>
  </conditionalFormatting>
  <conditionalFormatting sqref="L1274:L1276 C1274:C1282 F1274:F1282 I1274:K1282">
    <cfRule type="expression" dxfId="95" priority="613">
      <formula>$L1274:$L1318&lt;=0</formula>
    </cfRule>
  </conditionalFormatting>
  <conditionalFormatting sqref="L1279">
    <cfRule type="expression" dxfId="94" priority="612">
      <formula>$L1279:$L1591&lt;=0</formula>
    </cfRule>
  </conditionalFormatting>
  <conditionalFormatting sqref="L1280:L1281 I1280:I1282">
    <cfRule type="expression" dxfId="93" priority="641">
      <formula>$L1280:$L1318&lt;=0</formula>
    </cfRule>
  </conditionalFormatting>
  <conditionalFormatting sqref="L1282">
    <cfRule type="expression" dxfId="92" priority="640">
      <formula>$L1282:$L1318&lt;=0</formula>
    </cfRule>
  </conditionalFormatting>
  <conditionalFormatting sqref="L1283:L1285">
    <cfRule type="expression" dxfId="91" priority="602">
      <formula>$L1283:$L1553&lt;=0</formula>
    </cfRule>
  </conditionalFormatting>
  <conditionalFormatting sqref="L1283:L1300">
    <cfRule type="expression" dxfId="90" priority="607">
      <formula>$L1283:$L1368&lt;=0</formula>
    </cfRule>
  </conditionalFormatting>
  <conditionalFormatting sqref="L1286:L1300">
    <cfRule type="expression" dxfId="89" priority="601">
      <formula>$L1286:$L1555&lt;=0</formula>
    </cfRule>
  </conditionalFormatting>
  <conditionalFormatting sqref="L1301:L1303">
    <cfRule type="expression" dxfId="88" priority="582">
      <formula>$L1301:$L1335&lt;=0</formula>
    </cfRule>
    <cfRule type="expression" dxfId="87" priority="570">
      <formula>$L1301:$L1566&lt;=0</formula>
    </cfRule>
  </conditionalFormatting>
  <conditionalFormatting sqref="L1305:L1316">
    <cfRule type="expression" dxfId="86" priority="549">
      <formula>$L1305:$L1336&lt;=0</formula>
    </cfRule>
    <cfRule type="expression" dxfId="85" priority="537">
      <formula>$L1305:$L1569&lt;=0</formula>
    </cfRule>
  </conditionalFormatting>
  <conditionalFormatting sqref="L1317:L1320">
    <cfRule type="expression" dxfId="84" priority="522">
      <formula>$L1317:$L1451&lt;=0</formula>
    </cfRule>
  </conditionalFormatting>
  <conditionalFormatting sqref="L1317:L1330 H1339:H1347">
    <cfRule type="expression" dxfId="83" priority="521">
      <formula>$L1317:$L1370&lt;=0</formula>
    </cfRule>
  </conditionalFormatting>
  <conditionalFormatting sqref="L1321">
    <cfRule type="expression" dxfId="82" priority="520">
      <formula>$L1321:$L1454&lt;=0</formula>
    </cfRule>
  </conditionalFormatting>
  <conditionalFormatting sqref="L1322:L1339">
    <cfRule type="expression" dxfId="81" priority="519">
      <formula>$L1322:$L1454&lt;=0</formula>
    </cfRule>
  </conditionalFormatting>
  <conditionalFormatting sqref="L1331">
    <cfRule type="expression" dxfId="80" priority="518">
      <formula>$L1331:$L1383&lt;=0</formula>
    </cfRule>
  </conditionalFormatting>
  <conditionalFormatting sqref="L1332:L1339">
    <cfRule type="expression" dxfId="79" priority="524">
      <formula>$L1332:$L1383&lt;=0</formula>
    </cfRule>
  </conditionalFormatting>
  <conditionalFormatting sqref="L1340">
    <cfRule type="expression" dxfId="78" priority="516">
      <formula>$L1340:$L1383&lt;=0</formula>
    </cfRule>
    <cfRule type="expression" dxfId="77" priority="517">
      <formula>$L1340:$L1471&lt;=0</formula>
    </cfRule>
  </conditionalFormatting>
  <conditionalFormatting sqref="L1341:L1347">
    <cfRule type="expression" dxfId="76" priority="515">
      <formula>$L1341:$L1454&lt;=0</formula>
    </cfRule>
    <cfRule type="expression" dxfId="75" priority="534">
      <formula>$L1341:$L1383&lt;=0</formula>
    </cfRule>
  </conditionalFormatting>
  <conditionalFormatting sqref="L1352:L1354">
    <cfRule type="expression" dxfId="74" priority="503">
      <formula>$L1352:$L1386&lt;=0</formula>
    </cfRule>
  </conditionalFormatting>
  <conditionalFormatting sqref="L1352:L1370">
    <cfRule type="expression" dxfId="73" priority="486">
      <formula>$L1352:$L1601&lt;=0</formula>
    </cfRule>
  </conditionalFormatting>
  <conditionalFormatting sqref="L1371:L1381">
    <cfRule type="expression" dxfId="72" priority="475">
      <formula>$L1371:$L1601&lt;=0</formula>
    </cfRule>
    <cfRule type="expression" dxfId="71" priority="476">
      <formula>$L1371:$L1386&lt;=0</formula>
    </cfRule>
  </conditionalFormatting>
  <conditionalFormatting sqref="L1386:L1387 C1386:F1388 I1386:K1388">
    <cfRule type="expression" dxfId="70" priority="462">
      <formula>$L1386:$L1394&lt;=0</formula>
    </cfRule>
  </conditionalFormatting>
  <conditionalFormatting sqref="L1386:L1387">
    <cfRule type="expression" dxfId="69" priority="455">
      <formula>$L1386:$L1414&lt;=0</formula>
    </cfRule>
  </conditionalFormatting>
  <conditionalFormatting sqref="L1388">
    <cfRule type="expression" dxfId="68" priority="457">
      <formula>$L1388:$L1414&lt;=0</formula>
    </cfRule>
  </conditionalFormatting>
  <conditionalFormatting sqref="L1389">
    <cfRule type="expression" dxfId="67" priority="453">
      <formula>$L1389:$L1391&lt;=0</formula>
    </cfRule>
  </conditionalFormatting>
  <conditionalFormatting sqref="L1390:L1391">
    <cfRule type="expression" dxfId="66" priority="415">
      <formula>$L1390:$L1597&lt;=0</formula>
    </cfRule>
    <cfRule type="expression" dxfId="65" priority="416">
      <formula>$L1390:$L1422&lt;=0</formula>
    </cfRule>
  </conditionalFormatting>
  <conditionalFormatting sqref="L1390:L1395">
    <cfRule type="expression" dxfId="64" priority="417">
      <formula>$L1390:$L1594&lt;=0</formula>
    </cfRule>
    <cfRule type="expression" dxfId="63" priority="418">
      <formula>$L1390:$L1419&lt;=0</formula>
    </cfRule>
  </conditionalFormatting>
  <conditionalFormatting sqref="L1392:L1393 L1395:L1409">
    <cfRule type="expression" dxfId="62" priority="414">
      <formula>$L1392:$L1445&lt;=0</formula>
    </cfRule>
  </conditionalFormatting>
  <conditionalFormatting sqref="L1394">
    <cfRule type="expression" dxfId="61" priority="413">
      <formula>$L1394:$L1475&lt;=0</formula>
    </cfRule>
    <cfRule type="expression" dxfId="60" priority="412">
      <formula>$L1394:$L1555&lt;=0</formula>
    </cfRule>
  </conditionalFormatting>
  <conditionalFormatting sqref="L1410">
    <cfRule type="expression" dxfId="59" priority="410">
      <formula>$L1410:$L1571&lt;=0</formula>
    </cfRule>
    <cfRule type="expression" dxfId="58" priority="411">
      <formula>$L1410:$L1489&lt;=0</formula>
    </cfRule>
  </conditionalFormatting>
  <conditionalFormatting sqref="L1427:L1462">
    <cfRule type="expression" dxfId="57" priority="360">
      <formula>$L1427:$L1565&lt;=0</formula>
    </cfRule>
  </conditionalFormatting>
  <conditionalFormatting sqref="L1458">
    <cfRule type="expression" dxfId="56" priority="359">
      <formula>$L1458:$L1462&lt;=0</formula>
    </cfRule>
  </conditionalFormatting>
  <conditionalFormatting sqref="L1463">
    <cfRule type="expression" dxfId="55" priority="353">
      <formula>$L1463:$L1512&lt;=0</formula>
    </cfRule>
  </conditionalFormatting>
  <conditionalFormatting sqref="L1464:L1497">
    <cfRule type="expression" dxfId="54" priority="301">
      <formula>$L1464:$L1466&lt;=0</formula>
    </cfRule>
  </conditionalFormatting>
  <conditionalFormatting sqref="L1498">
    <cfRule type="expression" dxfId="53" priority="287">
      <formula>$L1498:$L1525&lt;=0</formula>
    </cfRule>
  </conditionalFormatting>
  <conditionalFormatting sqref="L1499">
    <cfRule type="expression" dxfId="52" priority="283">
      <formula>$L1499:$L1525&lt;=0</formula>
    </cfRule>
  </conditionalFormatting>
  <conditionalFormatting sqref="L1500:L1502">
    <cfRule type="expression" dxfId="51" priority="272">
      <formula>$L1500:$L1693&lt;=0</formula>
    </cfRule>
  </conditionalFormatting>
  <conditionalFormatting sqref="L1500:L1518">
    <cfRule type="expression" dxfId="50" priority="271">
      <formula>$L1500:$L1547&lt;=0</formula>
    </cfRule>
  </conditionalFormatting>
  <conditionalFormatting sqref="L1503:L1513">
    <cfRule type="expression" dxfId="49" priority="270">
      <formula>$L1503:$L1695&lt;=0</formula>
    </cfRule>
  </conditionalFormatting>
  <conditionalFormatting sqref="L1514:L1518">
    <cfRule type="expression" dxfId="48" priority="269">
      <formula>$L1514:$L1695&lt;=0</formula>
    </cfRule>
  </conditionalFormatting>
  <conditionalFormatting sqref="L1525:L1585">
    <cfRule type="expression" dxfId="47" priority="256">
      <formula>$L1525:$L1541&lt;=0</formula>
    </cfRule>
    <cfRule type="expression" dxfId="46" priority="251">
      <formula>$L1525:$L1774&lt;=0</formula>
    </cfRule>
  </conditionalFormatting>
  <conditionalFormatting sqref="L1586:L1598">
    <cfRule type="expression" dxfId="45" priority="209">
      <formula>$L1586:$L1618&lt;=0</formula>
    </cfRule>
    <cfRule type="expression" dxfId="44" priority="208">
      <formula>$L1586:$L1734&lt;=0</formula>
    </cfRule>
  </conditionalFormatting>
  <conditionalFormatting sqref="L1599:L1600">
    <cfRule type="expression" dxfId="43" priority="198">
      <formula>$L1599:$L1782&lt;=0</formula>
    </cfRule>
    <cfRule type="expression" dxfId="42" priority="197">
      <formula>$L1599:$L1616&lt;=0</formula>
    </cfRule>
  </conditionalFormatting>
  <conditionalFormatting sqref="L1601:L1602">
    <cfRule type="expression" dxfId="41" priority="171">
      <formula>$L1601:$L1801&lt;=0</formula>
    </cfRule>
    <cfRule type="expression" dxfId="40" priority="183">
      <formula>$L1601:$L1628&lt;=0</formula>
    </cfRule>
  </conditionalFormatting>
  <conditionalFormatting sqref="L1603:L1607">
    <cfRule type="expression" dxfId="39" priority="190">
      <formula>$L1603:$L1625&lt;=0</formula>
    </cfRule>
  </conditionalFormatting>
  <conditionalFormatting sqref="L1603:L1627">
    <cfRule type="expression" dxfId="38" priority="159">
      <formula>$L1603:$L1784&lt;=0</formula>
    </cfRule>
  </conditionalFormatting>
  <conditionalFormatting sqref="L1608:L1627">
    <cfRule type="expression" dxfId="37" priority="161">
      <formula>$L1608:$L1626&lt;=0</formula>
    </cfRule>
  </conditionalFormatting>
  <conditionalFormatting sqref="L1628:L1645">
    <cfRule type="expression" dxfId="36" priority="151">
      <formula>$L1628:$L1877&lt;=0</formula>
    </cfRule>
  </conditionalFormatting>
  <conditionalFormatting sqref="L1628:L1647 H1647:H1654">
    <cfRule type="expression" dxfId="35" priority="144">
      <formula>$L1628:$L1644&lt;=0</formula>
    </cfRule>
  </conditionalFormatting>
  <conditionalFormatting sqref="L1646:L1654">
    <cfRule type="expression" dxfId="34" priority="137">
      <formula>$L1646:$L1809&lt;=0</formula>
    </cfRule>
  </conditionalFormatting>
  <conditionalFormatting sqref="L1648">
    <cfRule type="expression" dxfId="33" priority="143">
      <formula>$L1648:$L1663&lt;=0</formula>
    </cfRule>
  </conditionalFormatting>
  <conditionalFormatting sqref="L1649:L1654">
    <cfRule type="expression" dxfId="32" priority="147">
      <formula>$L1649:$L1663&lt;=0</formula>
    </cfRule>
  </conditionalFormatting>
  <conditionalFormatting sqref="L1657">
    <cfRule type="expression" dxfId="31" priority="120">
      <formula>$L1657:$L1697&lt;=0</formula>
    </cfRule>
  </conditionalFormatting>
  <conditionalFormatting sqref="L1657:L1667">
    <cfRule type="expression" dxfId="30" priority="102">
      <formula>$L1657:$L1735&lt;=0</formula>
    </cfRule>
  </conditionalFormatting>
  <conditionalFormatting sqref="L1658">
    <cfRule type="expression" dxfId="29" priority="101">
      <formula>$L1658:$L1697&lt;=0</formula>
    </cfRule>
  </conditionalFormatting>
  <conditionalFormatting sqref="L1659:L1669">
    <cfRule type="expression" dxfId="28" priority="113">
      <formula>$L1659:$L1697&lt;=0</formula>
    </cfRule>
  </conditionalFormatting>
  <conditionalFormatting sqref="L1668">
    <cfRule type="expression" dxfId="27" priority="115">
      <formula>$L1668:$L1745&lt;=0</formula>
    </cfRule>
  </conditionalFormatting>
  <conditionalFormatting sqref="L1675:L1676">
    <cfRule type="expression" dxfId="26" priority="93">
      <formula>$L1675:$L1818&lt;=0</formula>
    </cfRule>
    <cfRule type="expression" dxfId="25" priority="95">
      <formula>$L1675:$L1693&lt;=0</formula>
    </cfRule>
  </conditionalFormatting>
  <conditionalFormatting sqref="L1677">
    <cfRule type="expression" dxfId="24" priority="74">
      <formula>$L1677:$L1765&lt;=0</formula>
    </cfRule>
  </conditionalFormatting>
  <conditionalFormatting sqref="L1678">
    <cfRule type="expression" dxfId="23" priority="73">
      <formula>$L1678:$L1765&lt;=0</formula>
    </cfRule>
  </conditionalFormatting>
  <conditionalFormatting sqref="L1679 L1682">
    <cfRule type="expression" dxfId="22" priority="72">
      <formula>$L1679:$L1703&lt;=0</formula>
    </cfRule>
  </conditionalFormatting>
  <conditionalFormatting sqref="L1679">
    <cfRule type="expression" dxfId="21" priority="71">
      <formula>$L1679:$L1765&lt;=0</formula>
    </cfRule>
  </conditionalFormatting>
  <conditionalFormatting sqref="L1680">
    <cfRule type="expression" dxfId="20" priority="85">
      <formula>$L1680:$L1706&lt;=0</formula>
    </cfRule>
  </conditionalFormatting>
  <conditionalFormatting sqref="L1680:L1681">
    <cfRule type="expression" dxfId="19" priority="70">
      <formula>$L1680:$L1765&lt;=0</formula>
    </cfRule>
  </conditionalFormatting>
  <conditionalFormatting sqref="L1682">
    <cfRule type="expression" dxfId="18" priority="69">
      <formula>$L1682:$L1765&lt;=0</formula>
    </cfRule>
  </conditionalFormatting>
  <conditionalFormatting sqref="L1683">
    <cfRule type="expression" dxfId="17" priority="57">
      <formula>$L1683:$L1735&lt;=0</formula>
    </cfRule>
  </conditionalFormatting>
  <conditionalFormatting sqref="L1683:L1684">
    <cfRule type="expression" dxfId="16" priority="56">
      <formula>$L1683:$L1795&lt;=0</formula>
    </cfRule>
  </conditionalFormatting>
  <conditionalFormatting sqref="L1685:L1695">
    <cfRule type="expression" dxfId="15" priority="55">
      <formula>$L1685:$L1789&lt;=0</formula>
    </cfRule>
  </conditionalFormatting>
  <conditionalFormatting sqref="L1696">
    <cfRule type="expression" dxfId="14" priority="54">
      <formula>$L1696:$L1789&lt;=0</formula>
    </cfRule>
  </conditionalFormatting>
  <conditionalFormatting sqref="L1697 C1702 F1702 H1702:K1702">
    <cfRule type="expression" dxfId="13" priority="53">
      <formula>$L1697:$L1709&lt;=0</formula>
    </cfRule>
  </conditionalFormatting>
  <conditionalFormatting sqref="L1698:L1699">
    <cfRule type="expression" dxfId="12" priority="28">
      <formula>$L1698:$L1857&lt;=0</formula>
    </cfRule>
  </conditionalFormatting>
  <conditionalFormatting sqref="L1699">
    <cfRule type="expression" dxfId="11" priority="27">
      <formula>$L1699:$L1714&lt;=0</formula>
    </cfRule>
  </conditionalFormatting>
  <conditionalFormatting sqref="L1699:L1702">
    <cfRule type="expression" dxfId="10" priority="29">
      <formula>$L1699:$L1798&lt;=0</formula>
    </cfRule>
  </conditionalFormatting>
  <conditionalFormatting sqref="L1700:L1701">
    <cfRule type="expression" dxfId="9" priority="26">
      <formula>$L1700:$L1714&lt;=0</formula>
    </cfRule>
  </conditionalFormatting>
  <conditionalFormatting sqref="L1702">
    <cfRule type="expression" dxfId="8" priority="25">
      <formula>$L1702:$L1715&lt;=0</formula>
    </cfRule>
  </conditionalFormatting>
  <conditionalFormatting sqref="L1703:L1712">
    <cfRule type="expression" dxfId="7" priority="24">
      <formula>$L1703:$L1846&lt;=0</formula>
    </cfRule>
    <cfRule type="expression" dxfId="6" priority="30">
      <formula>$L1703:$L1721&lt;=0</formula>
    </cfRule>
  </conditionalFormatting>
  <conditionalFormatting sqref="L1713:L1714">
    <cfRule type="expression" dxfId="5" priority="13">
      <formula>$L1713:$L1728&lt;=0</formula>
    </cfRule>
  </conditionalFormatting>
  <conditionalFormatting sqref="L1713:L1716">
    <cfRule type="expression" dxfId="4" priority="14">
      <formula>$L1713:$L1960&lt;=0</formula>
    </cfRule>
  </conditionalFormatting>
  <conditionalFormatting sqref="L1715:L1716">
    <cfRule type="expression" dxfId="3" priority="12">
      <formula>$L1715:$L1729&lt;=0</formula>
    </cfRule>
  </conditionalFormatting>
  <conditionalFormatting sqref="L1717:L1718">
    <cfRule type="expression" dxfId="2" priority="1">
      <formula>$L1717:$L1843&lt;=0</formula>
    </cfRule>
  </conditionalFormatting>
  <conditionalFormatting sqref="N1519:N1552">
    <cfRule type="expression" dxfId="1" priority="297">
      <formula>$L1519:$L1530&lt;=0</formula>
    </cfRule>
  </conditionalFormatting>
  <conditionalFormatting sqref="O1521:O1535">
    <cfRule type="expression" dxfId="0" priority="296">
      <formula>$L1521:$L1523&lt;=0</formula>
    </cfRule>
  </conditionalFormatting>
  <pageMargins left="0.7" right="0.7" top="0.75" bottom="0.75" header="0.3" footer="0.3"/>
  <pageSetup paperSize="9" orientation="portrait" horizontalDpi="150" verticalDpi="15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l Cliente no coincide" error="Asegurate que estes capturando el nombre del Cliente correctamente." xr:uid="{00000000-0002-0000-0300-000000000000}">
          <x14:formula1>
            <xm:f>'CLIENTES '!$B$2:$B$211</xm:f>
          </x14:formula1>
          <xm:sqref>H563:H621 H677:H697 H765:H787 F622:F899 H851:H875 H900:H952 F953:F978 H956:H975 H979:H1028 F1029:F1138 H1061:H1162 F1141:F1143 F1163:F1164 H1165:H1178 H1203:H1228 F1179:F1499 H1255:H1347 H1352:H1381 F225:F562 H1390:H1424 J1425 H1426:H1462 H1468:H1496 H1500:H1518 F1519:F1585 H1525:H1598 F1599:F1718 H1601:H1653 H1655:H1674 H1683 H1685:H1696 H1698:H1718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2"/>
  <dimension ref="A1:O278"/>
  <sheetViews>
    <sheetView topLeftCell="A267" zoomScale="85" zoomScaleNormal="85" workbookViewId="0">
      <selection activeCell="A268" sqref="A268"/>
    </sheetView>
  </sheetViews>
  <sheetFormatPr baseColWidth="10" defaultColWidth="11.42578125" defaultRowHeight="15" x14ac:dyDescent="0.25"/>
  <cols>
    <col min="1" max="1" width="61.85546875" customWidth="1"/>
    <col min="2" max="2" width="14" bestFit="1" customWidth="1"/>
    <col min="3" max="3" width="14.5703125" bestFit="1" customWidth="1"/>
    <col min="4" max="4" width="35.85546875" customWidth="1"/>
    <col min="5" max="5" width="14.140625" bestFit="1" customWidth="1"/>
    <col min="6" max="6" width="10.7109375" bestFit="1" customWidth="1"/>
    <col min="7" max="7" width="12.85546875" bestFit="1" customWidth="1"/>
    <col min="8" max="8" width="8" bestFit="1" customWidth="1"/>
    <col min="9" max="9" width="8.7109375" bestFit="1" customWidth="1"/>
    <col min="10" max="10" width="8.28515625" bestFit="1" customWidth="1"/>
    <col min="11" max="11" width="6.140625" customWidth="1"/>
    <col min="12" max="12" width="9.28515625" bestFit="1" customWidth="1"/>
    <col min="13" max="13" width="10.7109375" bestFit="1" customWidth="1"/>
    <col min="14" max="14" width="8.7109375" bestFit="1" customWidth="1"/>
  </cols>
  <sheetData>
    <row r="1" spans="1:14" ht="26.25" x14ac:dyDescent="0.25">
      <c r="A1" s="2" t="s">
        <v>822</v>
      </c>
      <c r="B1" s="63" t="s">
        <v>823</v>
      </c>
      <c r="C1" s="63" t="s">
        <v>824</v>
      </c>
      <c r="D1" s="2" t="s">
        <v>825</v>
      </c>
      <c r="E1" s="2" t="s">
        <v>0</v>
      </c>
      <c r="F1" s="2" t="s">
        <v>826</v>
      </c>
      <c r="G1" s="4" t="s">
        <v>827</v>
      </c>
      <c r="H1" s="5" t="s">
        <v>2</v>
      </c>
      <c r="I1" s="6" t="s">
        <v>3</v>
      </c>
      <c r="J1" s="6" t="s">
        <v>4</v>
      </c>
      <c r="K1" s="7" t="s">
        <v>5</v>
      </c>
      <c r="L1" s="8" t="s">
        <v>828</v>
      </c>
      <c r="M1" s="90" t="s">
        <v>7</v>
      </c>
      <c r="N1" s="9" t="s">
        <v>8</v>
      </c>
    </row>
    <row r="2" spans="1:14" x14ac:dyDescent="0.25">
      <c r="A2" s="11" t="s">
        <v>610</v>
      </c>
      <c r="B2" s="11" t="s">
        <v>1136</v>
      </c>
      <c r="C2" s="11" t="s">
        <v>1137</v>
      </c>
      <c r="D2" s="11" t="s">
        <v>611</v>
      </c>
      <c r="E2" s="11" t="s">
        <v>11</v>
      </c>
      <c r="F2" s="11" t="s">
        <v>615</v>
      </c>
      <c r="G2" s="11" t="s">
        <v>606</v>
      </c>
      <c r="H2" s="25">
        <v>996</v>
      </c>
      <c r="I2" s="25">
        <v>996</v>
      </c>
      <c r="J2" s="15">
        <v>0</v>
      </c>
      <c r="K2" s="24"/>
      <c r="L2" s="18"/>
      <c r="M2" s="92"/>
      <c r="N2" s="19"/>
    </row>
    <row r="3" spans="1:14" x14ac:dyDescent="0.25">
      <c r="A3" s="11" t="s">
        <v>613</v>
      </c>
      <c r="B3" s="11" t="s">
        <v>905</v>
      </c>
      <c r="C3" s="11" t="s">
        <v>937</v>
      </c>
      <c r="D3" s="11" t="s">
        <v>611</v>
      </c>
      <c r="E3" s="11" t="s">
        <v>11</v>
      </c>
      <c r="F3" s="11" t="s">
        <v>615</v>
      </c>
      <c r="G3" s="11" t="s">
        <v>606</v>
      </c>
      <c r="H3" s="25">
        <v>1302</v>
      </c>
      <c r="I3" s="25">
        <v>1302</v>
      </c>
      <c r="J3" s="15">
        <v>0</v>
      </c>
      <c r="K3" s="17">
        <v>1</v>
      </c>
      <c r="L3" s="18"/>
      <c r="M3" s="92"/>
      <c r="N3" s="19"/>
    </row>
    <row r="4" spans="1:14" x14ac:dyDescent="0.25">
      <c r="A4" s="11" t="s">
        <v>610</v>
      </c>
      <c r="B4" s="11" t="s">
        <v>1136</v>
      </c>
      <c r="C4" s="11" t="s">
        <v>1137</v>
      </c>
      <c r="D4" s="11" t="s">
        <v>611</v>
      </c>
      <c r="E4" s="11" t="s">
        <v>11</v>
      </c>
      <c r="F4" s="11" t="s">
        <v>616</v>
      </c>
      <c r="G4" s="11" t="s">
        <v>606</v>
      </c>
      <c r="H4" s="25">
        <v>1116</v>
      </c>
      <c r="I4" s="25">
        <v>192</v>
      </c>
      <c r="J4" s="15">
        <v>924</v>
      </c>
      <c r="K4" s="24"/>
      <c r="L4" s="18"/>
      <c r="M4" s="92"/>
      <c r="N4" s="19"/>
    </row>
    <row r="5" spans="1:14" x14ac:dyDescent="0.25">
      <c r="A5" s="11" t="s">
        <v>613</v>
      </c>
      <c r="B5" s="11" t="s">
        <v>905</v>
      </c>
      <c r="C5" s="11" t="s">
        <v>937</v>
      </c>
      <c r="D5" s="11" t="s">
        <v>611</v>
      </c>
      <c r="E5" s="11" t="s">
        <v>11</v>
      </c>
      <c r="F5" s="11" t="s">
        <v>616</v>
      </c>
      <c r="G5" s="11" t="s">
        <v>606</v>
      </c>
      <c r="H5" s="25">
        <v>1110</v>
      </c>
      <c r="I5" s="25">
        <v>506</v>
      </c>
      <c r="J5" s="15">
        <v>604</v>
      </c>
      <c r="K5" s="17">
        <v>0.31356693620844567</v>
      </c>
      <c r="L5" s="18">
        <v>45859</v>
      </c>
      <c r="M5" s="92"/>
      <c r="N5" s="19"/>
    </row>
    <row r="6" spans="1:14" x14ac:dyDescent="0.25">
      <c r="A6" s="11" t="s">
        <v>610</v>
      </c>
      <c r="B6" s="11" t="s">
        <v>1136</v>
      </c>
      <c r="C6" s="11" t="s">
        <v>1137</v>
      </c>
      <c r="D6" s="11" t="s">
        <v>611</v>
      </c>
      <c r="E6" s="11" t="s">
        <v>11</v>
      </c>
      <c r="F6" s="11" t="s">
        <v>617</v>
      </c>
      <c r="G6" s="11" t="s">
        <v>606</v>
      </c>
      <c r="H6" s="25">
        <v>600</v>
      </c>
      <c r="I6" s="25">
        <v>0</v>
      </c>
      <c r="J6" s="15">
        <v>600</v>
      </c>
      <c r="K6" s="24"/>
      <c r="L6" s="18">
        <v>45859</v>
      </c>
      <c r="M6" s="92"/>
      <c r="N6" s="19"/>
    </row>
    <row r="7" spans="1:14" x14ac:dyDescent="0.25">
      <c r="A7" s="11" t="s">
        <v>613</v>
      </c>
      <c r="B7" s="11" t="s">
        <v>905</v>
      </c>
      <c r="C7" s="11" t="s">
        <v>937</v>
      </c>
      <c r="D7" s="11" t="s">
        <v>611</v>
      </c>
      <c r="E7" s="11" t="s">
        <v>11</v>
      </c>
      <c r="F7" s="11" t="s">
        <v>617</v>
      </c>
      <c r="G7" s="11" t="s">
        <v>606</v>
      </c>
      <c r="H7" s="25">
        <v>600</v>
      </c>
      <c r="I7" s="25">
        <v>0</v>
      </c>
      <c r="J7" s="15">
        <v>600</v>
      </c>
      <c r="K7" s="17">
        <v>0</v>
      </c>
      <c r="L7" s="18">
        <v>45873</v>
      </c>
      <c r="M7" s="92"/>
      <c r="N7" s="19"/>
    </row>
    <row r="8" spans="1:14" x14ac:dyDescent="0.25">
      <c r="A8" s="11" t="s">
        <v>610</v>
      </c>
      <c r="B8" s="11" t="s">
        <v>1136</v>
      </c>
      <c r="C8" s="11" t="s">
        <v>1137</v>
      </c>
      <c r="D8" s="11" t="s">
        <v>611</v>
      </c>
      <c r="E8" s="11" t="s">
        <v>11</v>
      </c>
      <c r="F8" s="11" t="s">
        <v>618</v>
      </c>
      <c r="G8" s="11" t="s">
        <v>606</v>
      </c>
      <c r="H8" s="25">
        <v>696</v>
      </c>
      <c r="I8" s="25">
        <v>696</v>
      </c>
      <c r="J8" s="15">
        <v>0</v>
      </c>
      <c r="K8" s="24"/>
      <c r="L8" s="18">
        <v>45873</v>
      </c>
      <c r="M8" s="92"/>
      <c r="N8" s="19"/>
    </row>
    <row r="9" spans="1:14" x14ac:dyDescent="0.25">
      <c r="A9" s="11" t="s">
        <v>613</v>
      </c>
      <c r="B9" s="11" t="s">
        <v>905</v>
      </c>
      <c r="C9" s="11" t="s">
        <v>937</v>
      </c>
      <c r="D9" s="11" t="s">
        <v>611</v>
      </c>
      <c r="E9" s="11" t="s">
        <v>11</v>
      </c>
      <c r="F9" s="11" t="s">
        <v>618</v>
      </c>
      <c r="G9" s="11" t="s">
        <v>606</v>
      </c>
      <c r="H9" s="25">
        <v>702</v>
      </c>
      <c r="I9" s="25">
        <v>0</v>
      </c>
      <c r="J9" s="15">
        <v>702</v>
      </c>
      <c r="K9" s="17">
        <v>0.4978540772532189</v>
      </c>
      <c r="L9" s="18">
        <v>45880</v>
      </c>
      <c r="M9" s="92"/>
      <c r="N9" s="19"/>
    </row>
    <row r="10" spans="1:14" x14ac:dyDescent="0.25">
      <c r="A10" s="11" t="s">
        <v>610</v>
      </c>
      <c r="B10" s="11" t="s">
        <v>1136</v>
      </c>
      <c r="C10" s="11" t="s">
        <v>1137</v>
      </c>
      <c r="D10" s="11" t="s">
        <v>611</v>
      </c>
      <c r="E10" s="11" t="s">
        <v>11</v>
      </c>
      <c r="F10" s="11" t="s">
        <v>619</v>
      </c>
      <c r="G10" s="11" t="s">
        <v>606</v>
      </c>
      <c r="H10" s="25">
        <v>1068</v>
      </c>
      <c r="I10" s="25">
        <v>0</v>
      </c>
      <c r="J10" s="15">
        <v>1068</v>
      </c>
      <c r="K10" s="24"/>
      <c r="L10" s="18">
        <v>45880</v>
      </c>
      <c r="M10" s="92"/>
      <c r="N10" s="19"/>
    </row>
    <row r="11" spans="1:14" x14ac:dyDescent="0.25">
      <c r="A11" s="11" t="s">
        <v>613</v>
      </c>
      <c r="B11" s="11" t="s">
        <v>905</v>
      </c>
      <c r="C11" s="11" t="s">
        <v>937</v>
      </c>
      <c r="D11" s="11" t="s">
        <v>611</v>
      </c>
      <c r="E11" s="11" t="s">
        <v>11</v>
      </c>
      <c r="F11" s="11" t="s">
        <v>619</v>
      </c>
      <c r="G11" s="11" t="s">
        <v>606</v>
      </c>
      <c r="H11" s="25">
        <v>1068</v>
      </c>
      <c r="I11" s="25">
        <v>0</v>
      </c>
      <c r="J11" s="15">
        <v>1068</v>
      </c>
      <c r="K11" s="17">
        <v>0</v>
      </c>
      <c r="L11" s="18">
        <v>45859</v>
      </c>
      <c r="M11" s="92"/>
      <c r="N11" s="19"/>
    </row>
    <row r="12" spans="1:14" x14ac:dyDescent="0.25">
      <c r="A12" s="11" t="s">
        <v>610</v>
      </c>
      <c r="B12" s="11" t="s">
        <v>1136</v>
      </c>
      <c r="C12" s="11" t="s">
        <v>1137</v>
      </c>
      <c r="D12" s="11" t="s">
        <v>611</v>
      </c>
      <c r="E12" s="11" t="s">
        <v>11</v>
      </c>
      <c r="F12" s="11" t="s">
        <v>620</v>
      </c>
      <c r="G12" s="11" t="s">
        <v>606</v>
      </c>
      <c r="H12" s="25">
        <v>504</v>
      </c>
      <c r="I12" s="25">
        <v>0</v>
      </c>
      <c r="J12" s="15">
        <v>504</v>
      </c>
      <c r="K12" s="24"/>
      <c r="L12" s="18">
        <v>45859</v>
      </c>
      <c r="M12" s="92"/>
      <c r="N12" s="19"/>
    </row>
    <row r="13" spans="1:14" x14ac:dyDescent="0.25">
      <c r="A13" s="11" t="s">
        <v>613</v>
      </c>
      <c r="B13" s="11" t="s">
        <v>905</v>
      </c>
      <c r="C13" s="11" t="s">
        <v>937</v>
      </c>
      <c r="D13" s="11" t="s">
        <v>611</v>
      </c>
      <c r="E13" s="11" t="s">
        <v>11</v>
      </c>
      <c r="F13" s="11" t="s">
        <v>620</v>
      </c>
      <c r="G13" s="11" t="s">
        <v>606</v>
      </c>
      <c r="H13" s="25">
        <v>498</v>
      </c>
      <c r="I13" s="25">
        <v>0</v>
      </c>
      <c r="J13" s="15">
        <v>498</v>
      </c>
      <c r="K13" s="17">
        <v>0</v>
      </c>
      <c r="L13" s="18">
        <v>45880</v>
      </c>
      <c r="M13" s="92"/>
      <c r="N13" s="19"/>
    </row>
    <row r="14" spans="1:14" x14ac:dyDescent="0.25">
      <c r="A14" s="11" t="s">
        <v>610</v>
      </c>
      <c r="B14" s="11" t="s">
        <v>1136</v>
      </c>
      <c r="C14" s="11" t="s">
        <v>1137</v>
      </c>
      <c r="D14" s="11" t="s">
        <v>611</v>
      </c>
      <c r="E14" s="11" t="s">
        <v>11</v>
      </c>
      <c r="F14" s="11" t="s">
        <v>621</v>
      </c>
      <c r="G14" s="11" t="s">
        <v>606</v>
      </c>
      <c r="H14" s="25">
        <v>600</v>
      </c>
      <c r="I14" s="25">
        <v>600</v>
      </c>
      <c r="J14" s="15">
        <v>0</v>
      </c>
      <c r="K14" s="24"/>
      <c r="L14" s="18">
        <v>45880</v>
      </c>
      <c r="M14" s="92"/>
      <c r="N14" s="19"/>
    </row>
    <row r="15" spans="1:14" x14ac:dyDescent="0.25">
      <c r="A15" s="11" t="s">
        <v>613</v>
      </c>
      <c r="B15" s="11" t="s">
        <v>905</v>
      </c>
      <c r="C15" s="11" t="s">
        <v>937</v>
      </c>
      <c r="D15" s="11" t="s">
        <v>611</v>
      </c>
      <c r="E15" s="11" t="s">
        <v>11</v>
      </c>
      <c r="F15" s="11" t="s">
        <v>621</v>
      </c>
      <c r="G15" s="11" t="s">
        <v>606</v>
      </c>
      <c r="H15" s="25">
        <v>600</v>
      </c>
      <c r="I15" s="25">
        <v>0</v>
      </c>
      <c r="J15" s="15">
        <v>600</v>
      </c>
      <c r="K15" s="17">
        <v>0.5</v>
      </c>
      <c r="L15" s="18">
        <v>45901</v>
      </c>
      <c r="M15" s="92"/>
      <c r="N15" s="19"/>
    </row>
    <row r="16" spans="1:14" x14ac:dyDescent="0.25">
      <c r="A16" s="11" t="s">
        <v>610</v>
      </c>
      <c r="B16" s="11" t="s">
        <v>1136</v>
      </c>
      <c r="C16" s="11" t="s">
        <v>1137</v>
      </c>
      <c r="D16" s="11" t="s">
        <v>611</v>
      </c>
      <c r="E16" s="11" t="s">
        <v>11</v>
      </c>
      <c r="F16" s="11" t="s">
        <v>622</v>
      </c>
      <c r="G16" s="11" t="s">
        <v>606</v>
      </c>
      <c r="H16" s="25">
        <v>936</v>
      </c>
      <c r="I16" s="25">
        <v>0</v>
      </c>
      <c r="J16" s="15">
        <v>936</v>
      </c>
      <c r="K16" s="24"/>
      <c r="L16" s="18">
        <v>45901</v>
      </c>
      <c r="M16" s="92"/>
      <c r="N16" s="19"/>
    </row>
    <row r="17" spans="1:14" x14ac:dyDescent="0.25">
      <c r="A17" s="11" t="s">
        <v>613</v>
      </c>
      <c r="B17" s="11" t="s">
        <v>905</v>
      </c>
      <c r="C17" s="11" t="s">
        <v>937</v>
      </c>
      <c r="D17" s="11" t="s">
        <v>611</v>
      </c>
      <c r="E17" s="11" t="s">
        <v>11</v>
      </c>
      <c r="F17" s="11" t="s">
        <v>622</v>
      </c>
      <c r="G17" s="11" t="s">
        <v>606</v>
      </c>
      <c r="H17" s="25">
        <v>1044</v>
      </c>
      <c r="I17" s="25">
        <v>0</v>
      </c>
      <c r="J17" s="15">
        <v>1044</v>
      </c>
      <c r="K17" s="17">
        <v>0</v>
      </c>
      <c r="L17" s="18">
        <v>45859</v>
      </c>
      <c r="M17" s="92"/>
      <c r="N17" s="19"/>
    </row>
    <row r="18" spans="1:14" x14ac:dyDescent="0.25">
      <c r="A18" s="11" t="s">
        <v>610</v>
      </c>
      <c r="B18" s="11" t="s">
        <v>1136</v>
      </c>
      <c r="C18" s="11" t="s">
        <v>1137</v>
      </c>
      <c r="D18" s="11" t="s">
        <v>611</v>
      </c>
      <c r="E18" s="11" t="s">
        <v>11</v>
      </c>
      <c r="F18" s="11" t="s">
        <v>623</v>
      </c>
      <c r="G18" s="11" t="s">
        <v>606</v>
      </c>
      <c r="H18" s="25">
        <v>804</v>
      </c>
      <c r="I18" s="25">
        <v>0</v>
      </c>
      <c r="J18" s="15">
        <v>804</v>
      </c>
      <c r="K18" s="24"/>
      <c r="L18" s="18">
        <v>45859</v>
      </c>
      <c r="M18" s="92"/>
      <c r="N18" s="19"/>
    </row>
    <row r="19" spans="1:14" x14ac:dyDescent="0.25">
      <c r="A19" s="11" t="s">
        <v>613</v>
      </c>
      <c r="B19" s="11" t="s">
        <v>905</v>
      </c>
      <c r="C19" s="11" t="s">
        <v>937</v>
      </c>
      <c r="D19" s="11" t="s">
        <v>611</v>
      </c>
      <c r="E19" s="11" t="s">
        <v>11</v>
      </c>
      <c r="F19" s="11" t="s">
        <v>623</v>
      </c>
      <c r="G19" s="11" t="s">
        <v>606</v>
      </c>
      <c r="H19" s="25">
        <v>798</v>
      </c>
      <c r="I19" s="25">
        <v>0</v>
      </c>
      <c r="J19" s="15">
        <v>798</v>
      </c>
      <c r="K19" s="17">
        <v>0</v>
      </c>
      <c r="L19" s="18">
        <v>45901</v>
      </c>
      <c r="M19" s="92"/>
      <c r="N19" s="19"/>
    </row>
    <row r="20" spans="1:14" x14ac:dyDescent="0.25">
      <c r="A20" s="11" t="s">
        <v>417</v>
      </c>
      <c r="B20" s="11" t="str">
        <f>VLOOKUP(VALUE(MID($A20,13,2)), codigos!$A$2:$B$60, 2, 1) &amp; " " &amp; VLOOKUP(VALUE(MID($A20,15,4)), codigos!$E$2:$F$102, 2, FALSE)</f>
        <v>BAÑO 0</v>
      </c>
      <c r="C20" s="11" t="str">
        <f>VLOOKUP(VALUE(MID($A20,19,2)),codigos!$H$2:$I$62,2,1) &amp; " " &amp; VLOOKUP(VALUE(MID($A20,21,2)),codigos!$K$2:$L$12,2,FALSE)</f>
        <v>GALVANIZADO S/I</v>
      </c>
      <c r="D20" s="11" t="s">
        <v>413</v>
      </c>
      <c r="E20" s="11" t="s">
        <v>145</v>
      </c>
      <c r="F20" s="11" t="s">
        <v>418</v>
      </c>
      <c r="G20" s="11" t="s">
        <v>415</v>
      </c>
      <c r="H20" s="25">
        <v>10</v>
      </c>
      <c r="I20" s="25">
        <v>0</v>
      </c>
      <c r="J20" s="15">
        <f t="shared" ref="J20:J83" si="0">+H20-I20</f>
        <v>10</v>
      </c>
      <c r="K20" s="24"/>
      <c r="L20" s="18"/>
      <c r="M20" s="92"/>
      <c r="N20" s="18"/>
    </row>
    <row r="21" spans="1:14" x14ac:dyDescent="0.25">
      <c r="A21" s="11" t="s">
        <v>419</v>
      </c>
      <c r="B21" s="11" t="str">
        <f>VLOOKUP(VALUE(MID($A21,13,2)), codigos!$A$2:$B$60, 2, 1) &amp; " " &amp; VLOOKUP(VALUE(MID($A21,15,4)), codigos!$E$2:$F$102, 2, FALSE)</f>
        <v>BAÑO 1</v>
      </c>
      <c r="C21" s="11" t="str">
        <f>VLOOKUP(VALUE(MID($A21,19,2)),codigos!$H$2:$I$62,2,1) &amp; " " &amp; VLOOKUP(VALUE(MID($A21,21,2)),codigos!$K$2:$L$12,2,FALSE)</f>
        <v>GALVANIZADO S/I</v>
      </c>
      <c r="D21" s="11" t="s">
        <v>413</v>
      </c>
      <c r="E21" s="11" t="s">
        <v>145</v>
      </c>
      <c r="F21" s="11" t="s">
        <v>418</v>
      </c>
      <c r="G21" s="11" t="s">
        <v>415</v>
      </c>
      <c r="H21" s="25">
        <v>10</v>
      </c>
      <c r="I21" s="25">
        <v>0</v>
      </c>
      <c r="J21" s="15">
        <f t="shared" si="0"/>
        <v>10</v>
      </c>
      <c r="K21" s="24"/>
      <c r="L21" s="18"/>
      <c r="M21" s="92"/>
      <c r="N21" s="18"/>
    </row>
    <row r="22" spans="1:14" x14ac:dyDescent="0.25">
      <c r="A22" s="11" t="s">
        <v>420</v>
      </c>
      <c r="B22" s="11" t="str">
        <f>VLOOKUP(VALUE(MID($A22,13,2)), codigos!$A$2:$B$60, 2, 1) &amp; " " &amp; VLOOKUP(VALUE(MID($A22,15,4)), codigos!$E$2:$F$102, 2, FALSE)</f>
        <v>BAÑO 2</v>
      </c>
      <c r="C22" s="11" t="str">
        <f>VLOOKUP(VALUE(MID($A22,19,2)),codigos!$H$2:$I$62,2,1) &amp; " " &amp; VLOOKUP(VALUE(MID($A22,21,2)),codigos!$K$2:$L$12,2,FALSE)</f>
        <v>GALVANIZADO S/I</v>
      </c>
      <c r="D22" s="11" t="s">
        <v>413</v>
      </c>
      <c r="E22" s="11" t="s">
        <v>145</v>
      </c>
      <c r="F22" s="11" t="s">
        <v>418</v>
      </c>
      <c r="G22" s="11" t="s">
        <v>415</v>
      </c>
      <c r="H22" s="25">
        <v>20</v>
      </c>
      <c r="I22" s="25">
        <v>0</v>
      </c>
      <c r="J22" s="15">
        <f t="shared" si="0"/>
        <v>20</v>
      </c>
      <c r="K22" s="24"/>
      <c r="L22" s="18"/>
      <c r="M22" s="92"/>
      <c r="N22" s="19"/>
    </row>
    <row r="23" spans="1:14" x14ac:dyDescent="0.25">
      <c r="A23" s="11" t="s">
        <v>421</v>
      </c>
      <c r="B23" s="11" t="str">
        <f>VLOOKUP(VALUE(MID($A23,13,2)), codigos!$A$2:$B$60, 2, 1) &amp; " " &amp; VLOOKUP(VALUE(MID($A23,15,4)), codigos!$E$2:$F$102, 2, FALSE)</f>
        <v>BAÑO 3</v>
      </c>
      <c r="C23" s="11" t="str">
        <f>VLOOKUP(VALUE(MID($A23,19,2)),codigos!$H$2:$I$62,2,1) &amp; " " &amp; VLOOKUP(VALUE(MID($A23,21,2)),codigos!$K$2:$L$12,2,FALSE)</f>
        <v>GALVANIZADO S/I</v>
      </c>
      <c r="D23" s="11" t="s">
        <v>413</v>
      </c>
      <c r="E23" s="11" t="s">
        <v>145</v>
      </c>
      <c r="F23" s="11" t="s">
        <v>418</v>
      </c>
      <c r="G23" s="11" t="s">
        <v>415</v>
      </c>
      <c r="H23" s="25">
        <v>20</v>
      </c>
      <c r="I23" s="25">
        <v>0</v>
      </c>
      <c r="J23" s="15">
        <f t="shared" si="0"/>
        <v>20</v>
      </c>
      <c r="K23" s="24"/>
      <c r="L23" s="18"/>
      <c r="M23" s="92"/>
      <c r="N23" s="19"/>
    </row>
    <row r="24" spans="1:14" x14ac:dyDescent="0.25">
      <c r="A24" s="11" t="s">
        <v>422</v>
      </c>
      <c r="B24" s="11" t="str">
        <f>VLOOKUP(VALUE(MID($A24,13,2)), codigos!$A$2:$B$60, 2, 1) &amp; " " &amp; VLOOKUP(VALUE(MID($A24,15,4)), codigos!$E$2:$F$102, 2, FALSE)</f>
        <v>BAÑO 4</v>
      </c>
      <c r="C24" s="11" t="str">
        <f>VLOOKUP(VALUE(MID($A24,19,2)),codigos!$H$2:$I$62,2,1) &amp; " " &amp; VLOOKUP(VALUE(MID($A24,21,2)),codigos!$K$2:$L$12,2,FALSE)</f>
        <v>GALVANIZADO S/I</v>
      </c>
      <c r="D24" s="11" t="s">
        <v>413</v>
      </c>
      <c r="E24" s="11" t="s">
        <v>145</v>
      </c>
      <c r="F24" s="11" t="s">
        <v>418</v>
      </c>
      <c r="G24" s="11" t="s">
        <v>415</v>
      </c>
      <c r="H24" s="25">
        <v>20</v>
      </c>
      <c r="I24" s="25">
        <v>0</v>
      </c>
      <c r="J24" s="15">
        <f t="shared" si="0"/>
        <v>20</v>
      </c>
      <c r="K24" s="24"/>
      <c r="L24" s="18"/>
      <c r="M24" s="92"/>
      <c r="N24" s="19"/>
    </row>
    <row r="25" spans="1:14" x14ac:dyDescent="0.25">
      <c r="A25" s="11" t="s">
        <v>102</v>
      </c>
      <c r="B25" s="11" t="str">
        <f>VLOOKUP(VALUE(MID($A25,13,2)), codigos!$A$2:$B$60, 2, 1) &amp; " " &amp; VLOOKUP(VALUE(MID($A25,15,4)), codigos!$E$2:$F$102, 2, FALSE)</f>
        <v>BAÑO 5</v>
      </c>
      <c r="C25" s="11" t="str">
        <f>VLOOKUP(VALUE(MID($A25,19,2)),codigos!$H$2:$I$62,2,1) &amp; " " &amp; VLOOKUP(VALUE(MID($A25,21,2)),codigos!$K$2:$L$12,2,FALSE)</f>
        <v>GALVANIZADO S/I</v>
      </c>
      <c r="D25" s="11" t="s">
        <v>413</v>
      </c>
      <c r="E25" s="11" t="s">
        <v>145</v>
      </c>
      <c r="F25" s="11" t="s">
        <v>418</v>
      </c>
      <c r="G25" s="11" t="s">
        <v>415</v>
      </c>
      <c r="H25" s="25">
        <v>20</v>
      </c>
      <c r="I25" s="25">
        <v>0</v>
      </c>
      <c r="J25" s="15">
        <f t="shared" si="0"/>
        <v>20</v>
      </c>
      <c r="K25" s="24"/>
      <c r="L25" s="18"/>
      <c r="M25" s="92"/>
      <c r="N25" s="19"/>
    </row>
    <row r="26" spans="1:14" x14ac:dyDescent="0.25">
      <c r="A26" s="11" t="s">
        <v>423</v>
      </c>
      <c r="B26" s="11" t="str">
        <f>VLOOKUP(VALUE(MID($A26,13,2)), codigos!$A$2:$B$60, 2, 1) &amp; " " &amp; VLOOKUP(VALUE(MID($A26,15,4)), codigos!$E$2:$F$102, 2, FALSE)</f>
        <v>BAÑO 6</v>
      </c>
      <c r="C26" s="11" t="str">
        <f>VLOOKUP(VALUE(MID($A26,19,2)),codigos!$H$2:$I$62,2,1) &amp; " " &amp; VLOOKUP(VALUE(MID($A26,21,2)),codigos!$K$2:$L$12,2,FALSE)</f>
        <v>GALVANIZADO S/I</v>
      </c>
      <c r="D26" s="11" t="s">
        <v>413</v>
      </c>
      <c r="E26" s="11" t="s">
        <v>145</v>
      </c>
      <c r="F26" s="11" t="s">
        <v>418</v>
      </c>
      <c r="G26" s="11" t="s">
        <v>415</v>
      </c>
      <c r="H26" s="25">
        <v>10</v>
      </c>
      <c r="I26" s="25">
        <v>0</v>
      </c>
      <c r="J26" s="15">
        <f t="shared" si="0"/>
        <v>10</v>
      </c>
      <c r="K26" s="24"/>
      <c r="L26" s="18"/>
      <c r="M26" s="92"/>
      <c r="N26" s="19"/>
    </row>
    <row r="27" spans="1:14" x14ac:dyDescent="0.25">
      <c r="A27" s="11" t="s">
        <v>424</v>
      </c>
      <c r="B27" s="11" t="str">
        <f>VLOOKUP(VALUE(MID($A27,13,2)), codigos!$A$2:$B$60, 2, 1) &amp; " " &amp; VLOOKUP(VALUE(MID($A27,15,4)), codigos!$E$2:$F$102, 2, FALSE)</f>
        <v>BAÑO 7</v>
      </c>
      <c r="C27" s="11" t="str">
        <f>VLOOKUP(VALUE(MID($A27,19,2)),codigos!$H$2:$I$62,2,1) &amp; " " &amp; VLOOKUP(VALUE(MID($A27,21,2)),codigos!$K$2:$L$12,2,FALSE)</f>
        <v>GALVANIZADO S/I</v>
      </c>
      <c r="D27" s="11" t="s">
        <v>413</v>
      </c>
      <c r="E27" s="11" t="s">
        <v>145</v>
      </c>
      <c r="F27" s="11" t="s">
        <v>418</v>
      </c>
      <c r="G27" s="11" t="s">
        <v>415</v>
      </c>
      <c r="H27" s="25">
        <v>10</v>
      </c>
      <c r="I27" s="25">
        <v>0</v>
      </c>
      <c r="J27" s="15">
        <f t="shared" si="0"/>
        <v>10</v>
      </c>
      <c r="K27" s="24"/>
      <c r="L27" s="18"/>
      <c r="M27" s="92"/>
      <c r="N27" s="19"/>
    </row>
    <row r="28" spans="1:14" x14ac:dyDescent="0.25">
      <c r="A28" s="11" t="s">
        <v>425</v>
      </c>
      <c r="B28" s="11" t="str">
        <f>VLOOKUP(VALUE(MID($A28,13,2)), codigos!$A$2:$B$60, 2, 1) &amp; " " &amp; VLOOKUP(VALUE(MID($A28,15,4)), codigos!$E$2:$F$102, 2, FALSE)</f>
        <v>CUBETA 4</v>
      </c>
      <c r="C28" s="11" t="str">
        <f>VLOOKUP(VALUE(MID($A28,19,2)),codigos!$H$2:$I$62,2,1) &amp; " " &amp; VLOOKUP(VALUE(MID($A28,21,2)),codigos!$K$2:$L$12,2,FALSE)</f>
        <v>GALVANIZADO S/I</v>
      </c>
      <c r="D28" s="11" t="s">
        <v>413</v>
      </c>
      <c r="E28" s="11" t="s">
        <v>145</v>
      </c>
      <c r="F28" s="11" t="s">
        <v>418</v>
      </c>
      <c r="G28" s="11" t="s">
        <v>415</v>
      </c>
      <c r="H28" s="25">
        <v>20</v>
      </c>
      <c r="I28" s="25">
        <v>0</v>
      </c>
      <c r="J28" s="15">
        <f t="shared" si="0"/>
        <v>20</v>
      </c>
      <c r="K28" s="24"/>
      <c r="L28" s="18"/>
      <c r="M28" s="92"/>
      <c r="N28" s="19"/>
    </row>
    <row r="29" spans="1:14" x14ac:dyDescent="0.25">
      <c r="A29" s="11" t="s">
        <v>426</v>
      </c>
      <c r="B29" s="11" t="str">
        <f>VLOOKUP(VALUE(MID($A29,13,2)), codigos!$A$2:$B$60, 2, 1) &amp; " " &amp; VLOOKUP(VALUE(MID($A29,15,4)), codigos!$E$2:$F$102, 2, FALSE)</f>
        <v>CUBETA 5</v>
      </c>
      <c r="C29" s="11" t="str">
        <f>VLOOKUP(VALUE(MID($A29,19,2)),codigos!$H$2:$I$62,2,1) &amp; " " &amp; VLOOKUP(VALUE(MID($A29,21,2)),codigos!$K$2:$L$12,2,FALSE)</f>
        <v>GALVANIZADO S/I</v>
      </c>
      <c r="D29" s="11" t="s">
        <v>413</v>
      </c>
      <c r="E29" s="11" t="s">
        <v>145</v>
      </c>
      <c r="F29" s="11" t="s">
        <v>418</v>
      </c>
      <c r="G29" s="11" t="s">
        <v>415</v>
      </c>
      <c r="H29" s="25">
        <v>20</v>
      </c>
      <c r="I29" s="25">
        <v>0</v>
      </c>
      <c r="J29" s="15">
        <f t="shared" si="0"/>
        <v>20</v>
      </c>
      <c r="K29" s="24"/>
      <c r="L29" s="18"/>
      <c r="M29" s="92"/>
      <c r="N29" s="19"/>
    </row>
    <row r="30" spans="1:14" x14ac:dyDescent="0.25">
      <c r="A30" s="11" t="s">
        <v>427</v>
      </c>
      <c r="B30" s="11" t="str">
        <f>VLOOKUP(VALUE(MID($A30,13,2)), codigos!$A$2:$B$60, 2, 1) &amp; " " &amp; VLOOKUP(VALUE(MID($A30,15,4)), codigos!$E$2:$F$102, 2, FALSE)</f>
        <v>CUBETA 6</v>
      </c>
      <c r="C30" s="11" t="str">
        <f>VLOOKUP(VALUE(MID($A30,19,2)),codigos!$H$2:$I$62,2,1) &amp; " " &amp; VLOOKUP(VALUE(MID($A30,21,2)),codigos!$K$2:$L$12,2,FALSE)</f>
        <v>GALVANIZADO S/I</v>
      </c>
      <c r="D30" s="11" t="s">
        <v>413</v>
      </c>
      <c r="E30" s="11" t="s">
        <v>145</v>
      </c>
      <c r="F30" s="11" t="s">
        <v>418</v>
      </c>
      <c r="G30" s="11" t="s">
        <v>415</v>
      </c>
      <c r="H30" s="25">
        <v>20</v>
      </c>
      <c r="I30" s="25">
        <v>0</v>
      </c>
      <c r="J30" s="15">
        <f t="shared" si="0"/>
        <v>20</v>
      </c>
      <c r="K30" s="24"/>
      <c r="L30" s="18"/>
      <c r="M30" s="92"/>
      <c r="N30" s="19"/>
    </row>
    <row r="31" spans="1:14" x14ac:dyDescent="0.25">
      <c r="A31" s="11" t="s">
        <v>106</v>
      </c>
      <c r="B31" s="11" t="str">
        <f>VLOOKUP(VALUE(MID($A31,13,2)), codigos!$A$2:$B$60, 2, 1) &amp; " " &amp; VLOOKUP(VALUE(MID($A31,15,4)), codigos!$E$2:$F$102, 2, FALSE)</f>
        <v>CUBETA 8</v>
      </c>
      <c r="C31" s="11" t="str">
        <f>VLOOKUP(VALUE(MID($A31,19,2)),codigos!$H$2:$I$62,2,1) &amp; " " &amp; VLOOKUP(VALUE(MID($A31,21,2)),codigos!$K$2:$L$12,2,FALSE)</f>
        <v>GALVANIZADO S/I</v>
      </c>
      <c r="D31" s="11" t="s">
        <v>413</v>
      </c>
      <c r="E31" s="11" t="s">
        <v>145</v>
      </c>
      <c r="F31" s="11" t="s">
        <v>418</v>
      </c>
      <c r="G31" s="11" t="s">
        <v>415</v>
      </c>
      <c r="H31" s="25">
        <v>30</v>
      </c>
      <c r="I31" s="25">
        <v>0</v>
      </c>
      <c r="J31" s="15">
        <f t="shared" si="0"/>
        <v>30</v>
      </c>
      <c r="K31" s="24"/>
      <c r="L31" s="18"/>
      <c r="M31" s="92"/>
      <c r="N31" s="19"/>
    </row>
    <row r="32" spans="1:14" x14ac:dyDescent="0.25">
      <c r="A32" s="11" t="s">
        <v>428</v>
      </c>
      <c r="B32" s="11" t="str">
        <f>VLOOKUP(VALUE(MID($A32,13,2)), codigos!$A$2:$B$60, 2, 1) &amp; " " &amp; VLOOKUP(VALUE(MID($A32,15,4)), codigos!$E$2:$F$102, 2, FALSE)</f>
        <v>CUBETA 10</v>
      </c>
      <c r="C32" s="11" t="str">
        <f>VLOOKUP(VALUE(MID($A32,19,2)),codigos!$H$2:$I$62,2,1) &amp; " " &amp; VLOOKUP(VALUE(MID($A32,21,2)),codigos!$K$2:$L$12,2,FALSE)</f>
        <v>GALVANIZADO S/I</v>
      </c>
      <c r="D32" s="11" t="s">
        <v>413</v>
      </c>
      <c r="E32" s="11" t="s">
        <v>145</v>
      </c>
      <c r="F32" s="11" t="s">
        <v>418</v>
      </c>
      <c r="G32" s="11" t="s">
        <v>415</v>
      </c>
      <c r="H32" s="25">
        <v>30</v>
      </c>
      <c r="I32" s="25">
        <v>0</v>
      </c>
      <c r="J32" s="15">
        <f t="shared" si="0"/>
        <v>30</v>
      </c>
      <c r="K32" s="24"/>
      <c r="L32" s="18"/>
      <c r="M32" s="92"/>
      <c r="N32" s="19"/>
    </row>
    <row r="33" spans="1:14" x14ac:dyDescent="0.25">
      <c r="A33" s="11" t="s">
        <v>429</v>
      </c>
      <c r="B33" s="11" t="str">
        <f>VLOOKUP(VALUE(MID($A33,13,2)), codigos!$A$2:$B$60, 2, 1) &amp; " " &amp; VLOOKUP(VALUE(MID($A33,15,4)), codigos!$E$2:$F$102, 2, FALSE)</f>
        <v>CUBETA 12</v>
      </c>
      <c r="C33" s="11" t="str">
        <f>VLOOKUP(VALUE(MID($A33,19,2)),codigos!$H$2:$I$62,2,1) &amp; " " &amp; VLOOKUP(VALUE(MID($A33,21,2)),codigos!$K$2:$L$12,2,FALSE)</f>
        <v>GALVANIZADO S/I</v>
      </c>
      <c r="D33" s="11" t="s">
        <v>413</v>
      </c>
      <c r="E33" s="11" t="s">
        <v>145</v>
      </c>
      <c r="F33" s="11" t="s">
        <v>418</v>
      </c>
      <c r="G33" s="11" t="s">
        <v>415</v>
      </c>
      <c r="H33" s="25">
        <v>30</v>
      </c>
      <c r="I33" s="25">
        <v>0</v>
      </c>
      <c r="J33" s="15">
        <f t="shared" si="0"/>
        <v>30</v>
      </c>
      <c r="K33" s="24"/>
      <c r="L33" s="18"/>
      <c r="M33" s="92"/>
      <c r="N33" s="19"/>
    </row>
    <row r="34" spans="1:14" x14ac:dyDescent="0.25">
      <c r="A34" s="11" t="s">
        <v>430</v>
      </c>
      <c r="B34" s="11" t="str">
        <f>VLOOKUP(VALUE(MID($A34,13,2)), codigos!$A$2:$B$60, 2, 1) &amp; " " &amp; VLOOKUP(VALUE(MID($A34,15,4)), codigos!$E$2:$F$102, 2, FALSE)</f>
        <v>CUBETA 14</v>
      </c>
      <c r="C34" s="11" t="str">
        <f>VLOOKUP(VALUE(MID($A34,19,2)),codigos!$H$2:$I$62,2,1) &amp; " " &amp; VLOOKUP(VALUE(MID($A34,21,2)),codigos!$K$2:$L$12,2,FALSE)</f>
        <v>GALVANIZADO S/I</v>
      </c>
      <c r="D34" s="11" t="s">
        <v>413</v>
      </c>
      <c r="E34" s="11" t="s">
        <v>145</v>
      </c>
      <c r="F34" s="11" t="s">
        <v>418</v>
      </c>
      <c r="G34" s="11" t="s">
        <v>415</v>
      </c>
      <c r="H34" s="25">
        <v>30</v>
      </c>
      <c r="I34" s="25">
        <v>0</v>
      </c>
      <c r="J34" s="15">
        <f t="shared" si="0"/>
        <v>30</v>
      </c>
      <c r="K34" s="24"/>
      <c r="L34" s="18"/>
      <c r="M34" s="92"/>
      <c r="N34" s="19"/>
    </row>
    <row r="35" spans="1:14" x14ac:dyDescent="0.25">
      <c r="A35" s="11" t="s">
        <v>431</v>
      </c>
      <c r="B35" s="11" t="str">
        <f>VLOOKUP(VALUE(MID($A35,13,2)), codigos!$A$2:$B$60, 2, 1) &amp; " " &amp; VLOOKUP(VALUE(MID($A35,15,4)), codigos!$E$2:$F$102, 2, FALSE)</f>
        <v>CUBETA 16</v>
      </c>
      <c r="C35" s="11" t="str">
        <f>VLOOKUP(VALUE(MID($A35,19,2)),codigos!$H$2:$I$62,2,1) &amp; " " &amp; VLOOKUP(VALUE(MID($A35,21,2)),codigos!$K$2:$L$12,2,FALSE)</f>
        <v>GALVANIZADO S/I</v>
      </c>
      <c r="D35" s="11" t="s">
        <v>413</v>
      </c>
      <c r="E35" s="11" t="s">
        <v>145</v>
      </c>
      <c r="F35" s="11" t="s">
        <v>418</v>
      </c>
      <c r="G35" s="11" t="s">
        <v>415</v>
      </c>
      <c r="H35" s="25">
        <v>20</v>
      </c>
      <c r="I35" s="25">
        <v>0</v>
      </c>
      <c r="J35" s="15">
        <f t="shared" si="0"/>
        <v>20</v>
      </c>
      <c r="K35" s="24"/>
      <c r="L35" s="18"/>
      <c r="M35" s="92"/>
      <c r="N35" s="19"/>
    </row>
    <row r="36" spans="1:14" x14ac:dyDescent="0.25">
      <c r="A36" s="11" t="s">
        <v>432</v>
      </c>
      <c r="B36" s="11" t="str">
        <f>VLOOKUP(VALUE(MID($A36,13,2)), codigos!$A$2:$B$60, 2, 1) &amp; " " &amp; VLOOKUP(VALUE(MID($A36,15,4)), codigos!$E$2:$F$102, 2, FALSE)</f>
        <v>CUBETA 18</v>
      </c>
      <c r="C36" s="11" t="str">
        <f>VLOOKUP(VALUE(MID($A36,19,2)),codigos!$H$2:$I$62,2,1) &amp; " " &amp; VLOOKUP(VALUE(MID($A36,21,2)),codigos!$K$2:$L$12,2,FALSE)</f>
        <v>GALVANIZADO S/I</v>
      </c>
      <c r="D36" s="11" t="s">
        <v>413</v>
      </c>
      <c r="E36" s="11" t="s">
        <v>145</v>
      </c>
      <c r="F36" s="11" t="s">
        <v>418</v>
      </c>
      <c r="G36" s="11" t="s">
        <v>415</v>
      </c>
      <c r="H36" s="25">
        <v>10</v>
      </c>
      <c r="I36" s="25">
        <v>0</v>
      </c>
      <c r="J36" s="15">
        <f t="shared" si="0"/>
        <v>10</v>
      </c>
      <c r="K36" s="24"/>
      <c r="L36" s="18"/>
      <c r="M36" s="92"/>
      <c r="N36" s="19"/>
    </row>
    <row r="37" spans="1:14" x14ac:dyDescent="0.25">
      <c r="A37" s="11" t="s">
        <v>433</v>
      </c>
      <c r="B37" s="11" t="str">
        <f>VLOOKUP(VALUE(MID($A37,13,2)), codigos!$A$2:$B$60, 2, 1) &amp; " " &amp; VLOOKUP(VALUE(MID($A37,15,4)), codigos!$E$2:$F$102, 2, FALSE)</f>
        <v>CUBETA 20</v>
      </c>
      <c r="C37" s="11" t="str">
        <f>VLOOKUP(VALUE(MID($A37,19,2)),codigos!$H$2:$I$62,2,1) &amp; " " &amp; VLOOKUP(VALUE(MID($A37,21,2)),codigos!$K$2:$L$12,2,FALSE)</f>
        <v>GALVANIZADO S/I</v>
      </c>
      <c r="D37" s="11" t="s">
        <v>413</v>
      </c>
      <c r="E37" s="11" t="s">
        <v>145</v>
      </c>
      <c r="F37" s="11" t="s">
        <v>418</v>
      </c>
      <c r="G37" s="11" t="s">
        <v>415</v>
      </c>
      <c r="H37" s="25">
        <v>6</v>
      </c>
      <c r="I37" s="25">
        <v>0</v>
      </c>
      <c r="J37" s="15">
        <f t="shared" si="0"/>
        <v>6</v>
      </c>
      <c r="K37" s="17">
        <f>(SUM(I20:I37))/(SUM(H20:H37))</f>
        <v>0</v>
      </c>
      <c r="L37" s="18"/>
      <c r="M37" s="92"/>
      <c r="N37" s="19"/>
    </row>
    <row r="38" spans="1:14" x14ac:dyDescent="0.25">
      <c r="A38" s="11" t="s">
        <v>206</v>
      </c>
      <c r="B38" s="11" t="str">
        <f>VLOOKUP(VALUE(MID($A38,13,2)), codigos!$A$2:$B$60, 2, 1) &amp; " " &amp; VLOOKUP(VALUE(MID($A38,15,4)), codigos!$E$2:$F$102, 2, FALSE)</f>
        <v>BAÑO 1</v>
      </c>
      <c r="C38" s="11" t="str">
        <f>VLOOKUP(VALUE(MID($A38,19,2)),codigos!$H$2:$I$62,2,1) &amp; " " &amp; VLOOKUP(VALUE(MID($A38,21,2)),codigos!$K$2:$L$12,2,FALSE)</f>
        <v>GALVANIZADO S/I</v>
      </c>
      <c r="D38" s="11" t="s">
        <v>413</v>
      </c>
      <c r="E38" s="11" t="s">
        <v>145</v>
      </c>
      <c r="F38" s="11" t="s">
        <v>414</v>
      </c>
      <c r="G38" s="11" t="s">
        <v>415</v>
      </c>
      <c r="H38" s="25">
        <v>6</v>
      </c>
      <c r="I38" s="25">
        <v>0</v>
      </c>
      <c r="J38" s="15">
        <f t="shared" si="0"/>
        <v>6</v>
      </c>
      <c r="K38" s="24"/>
      <c r="L38" s="18"/>
      <c r="M38" s="92"/>
      <c r="N38" s="19"/>
    </row>
    <row r="39" spans="1:14" x14ac:dyDescent="0.25">
      <c r="A39" s="11" t="s">
        <v>209</v>
      </c>
      <c r="B39" s="11" t="str">
        <f>VLOOKUP(VALUE(MID($A39,13,2)), codigos!$A$2:$B$60, 2, 1) &amp; " " &amp; VLOOKUP(VALUE(MID($A39,15,4)), codigos!$E$2:$F$102, 2, FALSE)</f>
        <v>BAÑO 2</v>
      </c>
      <c r="C39" s="11" t="str">
        <f>VLOOKUP(VALUE(MID($A39,19,2)),codigos!$H$2:$I$62,2,1) &amp; " " &amp; VLOOKUP(VALUE(MID($A39,21,2)),codigos!$K$2:$L$12,2,FALSE)</f>
        <v>GALVANIZADO S/I</v>
      </c>
      <c r="D39" s="11" t="s">
        <v>413</v>
      </c>
      <c r="E39" s="11" t="s">
        <v>145</v>
      </c>
      <c r="F39" s="11" t="s">
        <v>414</v>
      </c>
      <c r="G39" s="11" t="s">
        <v>415</v>
      </c>
      <c r="H39" s="25">
        <v>6</v>
      </c>
      <c r="I39" s="25">
        <v>0</v>
      </c>
      <c r="J39" s="15">
        <f t="shared" si="0"/>
        <v>6</v>
      </c>
      <c r="K39" s="24"/>
      <c r="L39" s="18"/>
      <c r="M39" s="92"/>
      <c r="N39" s="19"/>
    </row>
    <row r="40" spans="1:14" x14ac:dyDescent="0.25">
      <c r="A40" s="11" t="s">
        <v>158</v>
      </c>
      <c r="B40" s="11" t="str">
        <f>VLOOKUP(VALUE(MID($A40,13,2)), codigos!$A$2:$B$60, 2, 1) &amp; " " &amp; VLOOKUP(VALUE(MID($A40,15,4)), codigos!$E$2:$F$102, 2, FALSE)</f>
        <v>BAÑO 3</v>
      </c>
      <c r="C40" s="11" t="str">
        <f>VLOOKUP(VALUE(MID($A40,19,2)),codigos!$H$2:$I$62,2,1) &amp; " " &amp; VLOOKUP(VALUE(MID($A40,21,2)),codigos!$K$2:$L$12,2,FALSE)</f>
        <v>GALVANIZADO S/I</v>
      </c>
      <c r="D40" s="11" t="s">
        <v>413</v>
      </c>
      <c r="E40" s="11" t="s">
        <v>145</v>
      </c>
      <c r="F40" s="11" t="s">
        <v>414</v>
      </c>
      <c r="G40" s="11" t="s">
        <v>415</v>
      </c>
      <c r="H40" s="25">
        <v>6</v>
      </c>
      <c r="I40" s="25">
        <v>0</v>
      </c>
      <c r="J40" s="15">
        <f t="shared" si="0"/>
        <v>6</v>
      </c>
      <c r="K40" s="24"/>
      <c r="L40" s="18"/>
      <c r="M40" s="92"/>
      <c r="N40" s="19"/>
    </row>
    <row r="41" spans="1:14" x14ac:dyDescent="0.25">
      <c r="A41" s="11" t="s">
        <v>45</v>
      </c>
      <c r="B41" s="11" t="str">
        <f>VLOOKUP(VALUE(MID($A41,13,2)), codigos!$A$2:$B$60, 2, 1) &amp; " " &amp; VLOOKUP(VALUE(MID($A41,15,4)), codigos!$E$2:$F$102, 2, FALSE)</f>
        <v>BAÑO 4</v>
      </c>
      <c r="C41" s="11" t="str">
        <f>VLOOKUP(VALUE(MID($A41,19,2)),codigos!$H$2:$I$62,2,1) &amp; " " &amp; VLOOKUP(VALUE(MID($A41,21,2)),codigos!$K$2:$L$12,2,FALSE)</f>
        <v>GALVANIZADO S/I</v>
      </c>
      <c r="D41" s="11" t="s">
        <v>413</v>
      </c>
      <c r="E41" s="11" t="s">
        <v>145</v>
      </c>
      <c r="F41" s="11" t="s">
        <v>414</v>
      </c>
      <c r="G41" s="11" t="s">
        <v>415</v>
      </c>
      <c r="H41" s="25">
        <v>6</v>
      </c>
      <c r="I41" s="25">
        <v>0</v>
      </c>
      <c r="J41" s="15">
        <f t="shared" si="0"/>
        <v>6</v>
      </c>
      <c r="K41" s="24"/>
      <c r="L41" s="18"/>
      <c r="M41" s="92"/>
      <c r="N41" s="19"/>
    </row>
    <row r="42" spans="1:14" x14ac:dyDescent="0.25">
      <c r="A42" s="11" t="s">
        <v>32</v>
      </c>
      <c r="B42" s="11" t="str">
        <f>VLOOKUP(VALUE(MID($A42,13,2)), codigos!$A$2:$B$60, 2, 1) &amp; " " &amp; VLOOKUP(VALUE(MID($A42,15,4)), codigos!$E$2:$F$102, 2, FALSE)</f>
        <v>BAÑO 5</v>
      </c>
      <c r="C42" s="11" t="str">
        <f>VLOOKUP(VALUE(MID($A42,19,2)),codigos!$H$2:$I$62,2,1) &amp; " " &amp; VLOOKUP(VALUE(MID($A42,21,2)),codigos!$K$2:$L$12,2,FALSE)</f>
        <v>GALVANIZADO S/I</v>
      </c>
      <c r="D42" s="11" t="s">
        <v>413</v>
      </c>
      <c r="E42" s="11" t="s">
        <v>145</v>
      </c>
      <c r="F42" s="11" t="s">
        <v>414</v>
      </c>
      <c r="G42" s="11" t="s">
        <v>415</v>
      </c>
      <c r="H42" s="25">
        <v>6</v>
      </c>
      <c r="I42" s="25">
        <v>0</v>
      </c>
      <c r="J42" s="15">
        <f t="shared" si="0"/>
        <v>6</v>
      </c>
      <c r="K42" s="24"/>
      <c r="L42" s="18"/>
      <c r="M42" s="92"/>
      <c r="N42" s="19"/>
    </row>
    <row r="43" spans="1:14" x14ac:dyDescent="0.25">
      <c r="A43" s="11" t="s">
        <v>37</v>
      </c>
      <c r="B43" s="11" t="str">
        <f>VLOOKUP(VALUE(MID($A43,13,2)), codigos!$A$2:$B$60, 2, 1) &amp; " " &amp; VLOOKUP(VALUE(MID($A43,15,4)), codigos!$E$2:$F$102, 2, FALSE)</f>
        <v>BAÑO 6</v>
      </c>
      <c r="C43" s="11" t="str">
        <f>VLOOKUP(VALUE(MID($A43,19,2)),codigos!$H$2:$I$62,2,1) &amp; " " &amp; VLOOKUP(VALUE(MID($A43,21,2)),codigos!$K$2:$L$12,2,FALSE)</f>
        <v>GALVANIZADO S/I</v>
      </c>
      <c r="D43" s="11" t="s">
        <v>413</v>
      </c>
      <c r="E43" s="11" t="s">
        <v>145</v>
      </c>
      <c r="F43" s="11" t="s">
        <v>414</v>
      </c>
      <c r="G43" s="11" t="s">
        <v>415</v>
      </c>
      <c r="H43" s="25">
        <v>6</v>
      </c>
      <c r="I43" s="25">
        <v>0</v>
      </c>
      <c r="J43" s="15">
        <f t="shared" si="0"/>
        <v>6</v>
      </c>
      <c r="K43" s="24"/>
      <c r="L43" s="18"/>
      <c r="M43" s="92"/>
      <c r="N43" s="19"/>
    </row>
    <row r="44" spans="1:14" x14ac:dyDescent="0.25">
      <c r="A44" s="11" t="s">
        <v>416</v>
      </c>
      <c r="B44" s="11" t="str">
        <f>VLOOKUP(VALUE(MID($A44,13,2)), codigos!$A$2:$B$60, 2, 1) &amp; " " &amp; VLOOKUP(VALUE(MID($A44,15,4)), codigos!$E$2:$F$102, 2, FALSE)</f>
        <v>BAÑO 7</v>
      </c>
      <c r="C44" s="11" t="str">
        <f>VLOOKUP(VALUE(MID($A44,19,2)),codigos!$H$2:$I$62,2,1) &amp; " " &amp; VLOOKUP(VALUE(MID($A44,21,2)),codigos!$K$2:$L$12,2,FALSE)</f>
        <v>GALVANIZADO S/I</v>
      </c>
      <c r="D44" s="11" t="s">
        <v>413</v>
      </c>
      <c r="E44" s="11" t="s">
        <v>145</v>
      </c>
      <c r="F44" s="11" t="s">
        <v>414</v>
      </c>
      <c r="G44" s="11" t="s">
        <v>415</v>
      </c>
      <c r="H44" s="25">
        <v>6</v>
      </c>
      <c r="I44" s="25">
        <v>0</v>
      </c>
      <c r="J44" s="15">
        <f t="shared" si="0"/>
        <v>6</v>
      </c>
      <c r="K44" s="24"/>
      <c r="L44" s="18"/>
      <c r="M44" s="92"/>
      <c r="N44" s="19"/>
    </row>
    <row r="45" spans="1:14" x14ac:dyDescent="0.25">
      <c r="A45" s="11" t="s">
        <v>210</v>
      </c>
      <c r="B45" s="11" t="str">
        <f>VLOOKUP(VALUE(MID($A45,13,2)), codigos!$A$2:$B$60, 2, 1) &amp; " " &amp; VLOOKUP(VALUE(MID($A45,15,4)), codigos!$E$2:$F$102, 2, FALSE)</f>
        <v>BAÑO 8</v>
      </c>
      <c r="C45" s="11" t="str">
        <f>VLOOKUP(VALUE(MID($A45,19,2)),codigos!$H$2:$I$62,2,1) &amp; " " &amp; VLOOKUP(VALUE(MID($A45,21,2)),codigos!$K$2:$L$12,2,FALSE)</f>
        <v>GALVANIZADO S/I</v>
      </c>
      <c r="D45" s="11" t="s">
        <v>413</v>
      </c>
      <c r="E45" s="11" t="s">
        <v>145</v>
      </c>
      <c r="F45" s="11" t="s">
        <v>414</v>
      </c>
      <c r="G45" s="11" t="s">
        <v>415</v>
      </c>
      <c r="H45" s="25">
        <v>6</v>
      </c>
      <c r="I45" s="25">
        <v>0</v>
      </c>
      <c r="J45" s="15">
        <f t="shared" si="0"/>
        <v>6</v>
      </c>
      <c r="K45" s="24"/>
      <c r="L45" s="18"/>
      <c r="M45" s="92"/>
      <c r="N45" s="19"/>
    </row>
    <row r="46" spans="1:14" x14ac:dyDescent="0.25">
      <c r="A46" s="11" t="s">
        <v>211</v>
      </c>
      <c r="B46" s="11" t="str">
        <f>VLOOKUP(VALUE(MID($A46,13,2)), codigos!$A$2:$B$60, 2, 1) &amp; " " &amp; VLOOKUP(VALUE(MID($A46,15,4)), codigos!$E$2:$F$102, 2, FALSE)</f>
        <v>BAÑO 10</v>
      </c>
      <c r="C46" s="11" t="str">
        <f>VLOOKUP(VALUE(MID($A46,19,2)),codigos!$H$2:$I$62,2,1) &amp; " " &amp; VLOOKUP(VALUE(MID($A46,21,2)),codigos!$K$2:$L$12,2,FALSE)</f>
        <v>GALVANIZADO S/I</v>
      </c>
      <c r="D46" s="11" t="s">
        <v>413</v>
      </c>
      <c r="E46" s="11" t="s">
        <v>145</v>
      </c>
      <c r="F46" s="11" t="s">
        <v>414</v>
      </c>
      <c r="G46" s="11" t="s">
        <v>415</v>
      </c>
      <c r="H46" s="25">
        <v>30</v>
      </c>
      <c r="I46" s="25">
        <v>0</v>
      </c>
      <c r="J46" s="15">
        <f t="shared" si="0"/>
        <v>30</v>
      </c>
      <c r="K46" s="24"/>
      <c r="L46" s="18"/>
      <c r="M46" s="92"/>
      <c r="N46" s="19"/>
    </row>
    <row r="47" spans="1:14" x14ac:dyDescent="0.25">
      <c r="A47" s="11" t="s">
        <v>212</v>
      </c>
      <c r="B47" s="11" t="str">
        <f>VLOOKUP(VALUE(MID($A47,13,2)), codigos!$A$2:$B$60, 2, 1) &amp; " " &amp; VLOOKUP(VALUE(MID($A47,15,4)), codigos!$E$2:$F$102, 2, FALSE)</f>
        <v>BAÑO 12</v>
      </c>
      <c r="C47" s="11" t="str">
        <f>VLOOKUP(VALUE(MID($A47,19,2)),codigos!$H$2:$I$62,2,1) &amp; " " &amp; VLOOKUP(VALUE(MID($A47,21,2)),codigos!$K$2:$L$12,2,FALSE)</f>
        <v>GALVANIZADO S/I</v>
      </c>
      <c r="D47" s="11" t="s">
        <v>413</v>
      </c>
      <c r="E47" s="11" t="s">
        <v>145</v>
      </c>
      <c r="F47" s="11" t="s">
        <v>414</v>
      </c>
      <c r="G47" s="11" t="s">
        <v>415</v>
      </c>
      <c r="H47" s="25">
        <v>40</v>
      </c>
      <c r="I47" s="25">
        <f>34-25</f>
        <v>9</v>
      </c>
      <c r="J47" s="15">
        <f t="shared" si="0"/>
        <v>31</v>
      </c>
      <c r="K47" s="17">
        <f>(SUM(I38:I47))/(SUM(H38:H47))</f>
        <v>7.6271186440677971E-2</v>
      </c>
      <c r="L47" s="18"/>
      <c r="M47" s="92"/>
      <c r="N47" s="19"/>
    </row>
    <row r="48" spans="1:14" x14ac:dyDescent="0.25">
      <c r="A48" s="11" t="s">
        <v>214</v>
      </c>
      <c r="B48" s="11" t="str">
        <f>VLOOKUP(VALUE(MID($A48,13,2)), codigos!$A$2:$B$60, 2, 1) &amp; " " &amp; VLOOKUP(VALUE(MID($A48,15,4)), codigos!$E$2:$F$102, 2, FALSE)</f>
        <v>BUDINERA 18</v>
      </c>
      <c r="C48" s="11" t="str">
        <f>VLOOKUP(VALUE(MID($A48,19,2)),codigos!$H$2:$I$62,2,1) &amp; " " &amp; VLOOKUP(VALUE(MID($A48,21,2)),codigos!$K$2:$L$12,2,FALSE)</f>
        <v>A/T S/I</v>
      </c>
      <c r="D48" s="11" t="s">
        <v>413</v>
      </c>
      <c r="E48" s="11" t="s">
        <v>340</v>
      </c>
      <c r="F48" s="13" t="s">
        <v>1138</v>
      </c>
      <c r="G48" s="11" t="s">
        <v>415</v>
      </c>
      <c r="H48" s="25">
        <v>36</v>
      </c>
      <c r="I48" s="25">
        <v>0</v>
      </c>
      <c r="J48" s="15">
        <f t="shared" si="0"/>
        <v>36</v>
      </c>
      <c r="K48" s="24"/>
      <c r="L48" s="18"/>
      <c r="M48" s="91">
        <v>45996</v>
      </c>
      <c r="N48" s="19"/>
    </row>
    <row r="49" spans="1:14" x14ac:dyDescent="0.25">
      <c r="A49" s="11" t="s">
        <v>148</v>
      </c>
      <c r="B49" s="11" t="str">
        <f>VLOOKUP(VALUE(MID($A49,13,2)), codigos!$A$2:$B$60, 2, 1) &amp; " " &amp; VLOOKUP(VALUE(MID($A49,15,4)), codigos!$E$2:$F$102, 2, FALSE)</f>
        <v>BUDINERA 26</v>
      </c>
      <c r="C49" s="11" t="str">
        <f>VLOOKUP(VALUE(MID($A49,19,2)),codigos!$H$2:$I$62,2,1) &amp; " " &amp; VLOOKUP(VALUE(MID($A49,21,2)),codigos!$K$2:$L$12,2,FALSE)</f>
        <v>A/T S/I</v>
      </c>
      <c r="D49" s="11" t="s">
        <v>413</v>
      </c>
      <c r="E49" s="11" t="s">
        <v>340</v>
      </c>
      <c r="F49" s="13" t="s">
        <v>1138</v>
      </c>
      <c r="G49" s="11" t="s">
        <v>415</v>
      </c>
      <c r="H49" s="25">
        <v>12</v>
      </c>
      <c r="I49" s="25">
        <v>0</v>
      </c>
      <c r="J49" s="15">
        <f t="shared" si="0"/>
        <v>12</v>
      </c>
      <c r="K49" s="24"/>
      <c r="L49" s="18"/>
      <c r="M49" s="91">
        <v>45996</v>
      </c>
      <c r="N49" s="19"/>
    </row>
    <row r="50" spans="1:14" x14ac:dyDescent="0.25">
      <c r="A50" s="11" t="s">
        <v>173</v>
      </c>
      <c r="B50" s="11" t="str">
        <f>VLOOKUP(VALUE(MID($A50,13,2)), codigos!$A$2:$B$60, 2, 1) &amp; " " &amp; VLOOKUP(VALUE(MID($A50,15,4)), codigos!$E$2:$F$102, 2, FALSE)</f>
        <v>BUDINERA 34</v>
      </c>
      <c r="C50" s="11" t="str">
        <f>VLOOKUP(VALUE(MID($A50,19,2)),codigos!$H$2:$I$62,2,1) &amp; " " &amp; VLOOKUP(VALUE(MID($A50,21,2)),codigos!$K$2:$L$12,2,FALSE)</f>
        <v>A/T S/I</v>
      </c>
      <c r="D50" s="11" t="s">
        <v>413</v>
      </c>
      <c r="E50" s="11" t="s">
        <v>340</v>
      </c>
      <c r="F50" s="13" t="s">
        <v>1138</v>
      </c>
      <c r="G50" s="11" t="s">
        <v>415</v>
      </c>
      <c r="H50" s="25">
        <v>8</v>
      </c>
      <c r="I50" s="25">
        <v>0</v>
      </c>
      <c r="J50" s="15">
        <f t="shared" si="0"/>
        <v>8</v>
      </c>
      <c r="K50" s="24"/>
      <c r="L50" s="18"/>
      <c r="M50" s="91">
        <v>45996</v>
      </c>
      <c r="N50" s="19"/>
    </row>
    <row r="51" spans="1:14" x14ac:dyDescent="0.25">
      <c r="A51" s="11" t="s">
        <v>220</v>
      </c>
      <c r="B51" s="11" t="str">
        <f>VLOOKUP(VALUE(MID($A51,13,2)), codigos!$A$2:$B$60, 2, 1) &amp; " " &amp; VLOOKUP(VALUE(MID($A51,15,4)), codigos!$E$2:$F$102, 2, FALSE)</f>
        <v>OLLA CONVEXA 16</v>
      </c>
      <c r="C51" s="11" t="str">
        <f>VLOOKUP(VALUE(MID($A51,19,2)),codigos!$H$2:$I$62,2,1) &amp; " " &amp; VLOOKUP(VALUE(MID($A51,21,2)),codigos!$K$2:$L$12,2,FALSE)</f>
        <v>A/T S/I</v>
      </c>
      <c r="D51" s="11" t="s">
        <v>413</v>
      </c>
      <c r="E51" s="11" t="s">
        <v>340</v>
      </c>
      <c r="F51" s="13" t="s">
        <v>1138</v>
      </c>
      <c r="G51" s="11" t="s">
        <v>415</v>
      </c>
      <c r="H51" s="25">
        <v>24</v>
      </c>
      <c r="I51" s="25">
        <v>0</v>
      </c>
      <c r="J51" s="15">
        <f t="shared" si="0"/>
        <v>24</v>
      </c>
      <c r="K51" s="24"/>
      <c r="L51" s="18"/>
      <c r="M51" s="91">
        <v>45996</v>
      </c>
      <c r="N51" s="19"/>
    </row>
    <row r="52" spans="1:14" x14ac:dyDescent="0.25">
      <c r="A52" s="11" t="s">
        <v>150</v>
      </c>
      <c r="B52" s="11" t="str">
        <f>VLOOKUP(VALUE(MID($A52,13,2)), codigos!$A$2:$B$60, 2, 1) &amp; " " &amp; VLOOKUP(VALUE(MID($A52,15,4)), codigos!$E$2:$F$102, 2, FALSE)</f>
        <v>OLLA CONVEXA 18</v>
      </c>
      <c r="C52" s="11" t="str">
        <f>VLOOKUP(VALUE(MID($A52,19,2)),codigos!$H$2:$I$62,2,1) &amp; " " &amp; VLOOKUP(VALUE(MID($A52,21,2)),codigos!$K$2:$L$12,2,FALSE)</f>
        <v>A/T S/I</v>
      </c>
      <c r="D52" s="11" t="s">
        <v>413</v>
      </c>
      <c r="E52" s="11" t="s">
        <v>340</v>
      </c>
      <c r="F52" s="13" t="s">
        <v>1138</v>
      </c>
      <c r="G52" s="11" t="s">
        <v>415</v>
      </c>
      <c r="H52" s="25">
        <v>24</v>
      </c>
      <c r="I52" s="25">
        <v>0</v>
      </c>
      <c r="J52" s="15">
        <f t="shared" si="0"/>
        <v>24</v>
      </c>
      <c r="K52" s="24"/>
      <c r="L52" s="18"/>
      <c r="M52" s="91">
        <v>45996</v>
      </c>
      <c r="N52" s="19"/>
    </row>
    <row r="53" spans="1:14" x14ac:dyDescent="0.25">
      <c r="A53" s="11" t="s">
        <v>151</v>
      </c>
      <c r="B53" s="11" t="str">
        <f>VLOOKUP(VALUE(MID($A53,13,2)), codigos!$A$2:$B$60, 2, 1) &amp; " " &amp; VLOOKUP(VALUE(MID($A53,15,4)), codigos!$E$2:$F$102, 2, FALSE)</f>
        <v>OLLA CONVEXA 20</v>
      </c>
      <c r="C53" s="11" t="str">
        <f>VLOOKUP(VALUE(MID($A53,19,2)),codigos!$H$2:$I$62,2,1) &amp; " " &amp; VLOOKUP(VALUE(MID($A53,21,2)),codigos!$K$2:$L$12,2,FALSE)</f>
        <v>A/T S/I</v>
      </c>
      <c r="D53" s="11" t="s">
        <v>413</v>
      </c>
      <c r="E53" s="11" t="s">
        <v>340</v>
      </c>
      <c r="F53" s="13" t="s">
        <v>1138</v>
      </c>
      <c r="G53" s="11" t="s">
        <v>415</v>
      </c>
      <c r="H53" s="25">
        <v>12</v>
      </c>
      <c r="I53" s="25">
        <v>0</v>
      </c>
      <c r="J53" s="15">
        <f t="shared" si="0"/>
        <v>12</v>
      </c>
      <c r="K53" s="24"/>
      <c r="L53" s="18"/>
      <c r="M53" s="91">
        <v>45996</v>
      </c>
      <c r="N53" s="19"/>
    </row>
    <row r="54" spans="1:14" x14ac:dyDescent="0.25">
      <c r="A54" s="11" t="s">
        <v>152</v>
      </c>
      <c r="B54" s="11" t="str">
        <f>VLOOKUP(VALUE(MID($A54,13,2)), codigos!$A$2:$B$60, 2, 1) &amp; " " &amp; VLOOKUP(VALUE(MID($A54,15,4)), codigos!$E$2:$F$102, 2, FALSE)</f>
        <v>OLLA CONVEXA 24</v>
      </c>
      <c r="C54" s="11" t="str">
        <f>VLOOKUP(VALUE(MID($A54,19,2)),codigos!$H$2:$I$62,2,1) &amp; " " &amp; VLOOKUP(VALUE(MID($A54,21,2)),codigos!$K$2:$L$12,2,FALSE)</f>
        <v>A/T S/I</v>
      </c>
      <c r="D54" s="11" t="s">
        <v>413</v>
      </c>
      <c r="E54" s="11" t="s">
        <v>340</v>
      </c>
      <c r="F54" s="13" t="s">
        <v>1138</v>
      </c>
      <c r="G54" s="11" t="s">
        <v>415</v>
      </c>
      <c r="H54" s="25">
        <v>12</v>
      </c>
      <c r="I54" s="25">
        <v>0</v>
      </c>
      <c r="J54" s="15">
        <f t="shared" si="0"/>
        <v>12</v>
      </c>
      <c r="K54" s="24"/>
      <c r="L54" s="18"/>
      <c r="M54" s="91">
        <v>45996</v>
      </c>
      <c r="N54" s="19"/>
    </row>
    <row r="55" spans="1:14" x14ac:dyDescent="0.25">
      <c r="A55" s="64" t="s">
        <v>154</v>
      </c>
      <c r="B55" s="11" t="str">
        <f>VLOOKUP(VALUE(MID($A55,13,2)), codigos!$A$2:$B$60, 2, 1) &amp; " " &amp; VLOOKUP(VALUE(MID($A55,15,4)), codigos!$E$2:$F$102, 2, FALSE)</f>
        <v>OLLA CONVEXA 30</v>
      </c>
      <c r="C55" s="11" t="str">
        <f>VLOOKUP(VALUE(MID($A55,19,2)),codigos!$H$2:$I$62,2,1) &amp; " " &amp; VLOOKUP(VALUE(MID($A55,21,2)),codigos!$K$2:$L$12,2,FALSE)</f>
        <v>A/T S/I</v>
      </c>
      <c r="D55" s="11" t="s">
        <v>413</v>
      </c>
      <c r="E55" s="11" t="s">
        <v>340</v>
      </c>
      <c r="F55" s="13" t="s">
        <v>1138</v>
      </c>
      <c r="G55" s="11" t="s">
        <v>415</v>
      </c>
      <c r="H55" s="25">
        <v>4</v>
      </c>
      <c r="I55" s="25">
        <v>0</v>
      </c>
      <c r="J55" s="15">
        <f t="shared" si="0"/>
        <v>4</v>
      </c>
      <c r="K55" s="24"/>
      <c r="L55" s="18"/>
      <c r="M55" s="91">
        <v>45996</v>
      </c>
      <c r="N55" s="19"/>
    </row>
    <row r="56" spans="1:14" x14ac:dyDescent="0.25">
      <c r="A56" s="11" t="s">
        <v>257</v>
      </c>
      <c r="B56" s="11" t="str">
        <f>VLOOKUP(VALUE(MID($A56,13,2)), codigos!$A$2:$B$60, 2, 1) &amp; " " &amp; VLOOKUP(VALUE(MID($A56,15,4)), codigos!$E$2:$F$102, 2, FALSE)</f>
        <v>OLLA RECTA 14</v>
      </c>
      <c r="C56" s="11" t="str">
        <f>VLOOKUP(VALUE(MID($A56,19,2)),codigos!$H$2:$I$62,2,1) &amp; " " &amp; VLOOKUP(VALUE(MID($A56,21,2)),codigos!$K$2:$L$12,2,FALSE)</f>
        <v>A/T S/I</v>
      </c>
      <c r="D56" s="11" t="s">
        <v>413</v>
      </c>
      <c r="E56" s="11" t="s">
        <v>340</v>
      </c>
      <c r="F56" s="13" t="s">
        <v>1138</v>
      </c>
      <c r="G56" s="11" t="s">
        <v>415</v>
      </c>
      <c r="H56" s="25">
        <v>36</v>
      </c>
      <c r="I56" s="25">
        <v>0</v>
      </c>
      <c r="J56" s="15">
        <f t="shared" si="0"/>
        <v>36</v>
      </c>
      <c r="K56" s="24"/>
      <c r="L56" s="18"/>
      <c r="M56" s="91">
        <v>45996</v>
      </c>
      <c r="N56" s="19"/>
    </row>
    <row r="57" spans="1:14" x14ac:dyDescent="0.25">
      <c r="A57" s="11" t="s">
        <v>155</v>
      </c>
      <c r="B57" s="11" t="str">
        <f>VLOOKUP(VALUE(MID($A57,13,2)), codigos!$A$2:$B$60, 2, 1) &amp; " " &amp; VLOOKUP(VALUE(MID($A57,15,4)), codigos!$E$2:$F$102, 2, FALSE)</f>
        <v>OLLA RECTA 30</v>
      </c>
      <c r="C57" s="11" t="str">
        <f>VLOOKUP(VALUE(MID($A57,19,2)),codigos!$H$2:$I$62,2,1) &amp; " " &amp; VLOOKUP(VALUE(MID($A57,21,2)),codigos!$K$2:$L$12,2,FALSE)</f>
        <v>A/T S/I</v>
      </c>
      <c r="D57" s="11" t="s">
        <v>413</v>
      </c>
      <c r="E57" s="11" t="s">
        <v>340</v>
      </c>
      <c r="F57" s="13" t="s">
        <v>1138</v>
      </c>
      <c r="G57" s="11" t="s">
        <v>415</v>
      </c>
      <c r="H57" s="25">
        <v>4</v>
      </c>
      <c r="I57" s="25">
        <v>0</v>
      </c>
      <c r="J57" s="15">
        <f t="shared" si="0"/>
        <v>4</v>
      </c>
      <c r="K57" s="24"/>
      <c r="L57" s="18"/>
      <c r="M57" s="91">
        <v>45996</v>
      </c>
      <c r="N57" s="19"/>
    </row>
    <row r="58" spans="1:14" x14ac:dyDescent="0.25">
      <c r="A58" s="11" t="s">
        <v>156</v>
      </c>
      <c r="B58" s="11" t="str">
        <f>VLOOKUP(VALUE(MID($A58,13,2)), codigos!$A$2:$B$60, 2, 1) &amp; " " &amp; VLOOKUP(VALUE(MID($A58,15,4)), codigos!$E$2:$F$102, 2, FALSE)</f>
        <v>OLLA RECTA 34</v>
      </c>
      <c r="C58" s="11" t="str">
        <f>VLOOKUP(VALUE(MID($A58,19,2)),codigos!$H$2:$I$62,2,1) &amp; " " &amp; VLOOKUP(VALUE(MID($A58,21,2)),codigos!$K$2:$L$12,2,FALSE)</f>
        <v>A/T S/I</v>
      </c>
      <c r="D58" s="11" t="s">
        <v>413</v>
      </c>
      <c r="E58" s="11" t="s">
        <v>340</v>
      </c>
      <c r="F58" s="13" t="s">
        <v>1138</v>
      </c>
      <c r="G58" s="11" t="s">
        <v>415</v>
      </c>
      <c r="H58" s="25">
        <v>4</v>
      </c>
      <c r="I58" s="25">
        <v>0</v>
      </c>
      <c r="J58" s="15">
        <f t="shared" si="0"/>
        <v>4</v>
      </c>
      <c r="K58" s="24"/>
      <c r="L58" s="18"/>
      <c r="M58" s="91">
        <v>45996</v>
      </c>
      <c r="N58" s="19"/>
    </row>
    <row r="59" spans="1:14" x14ac:dyDescent="0.25">
      <c r="A59" s="11" t="s">
        <v>226</v>
      </c>
      <c r="B59" s="11" t="str">
        <f>VLOOKUP(VALUE(MID($A59,13,2)), codigos!$A$2:$B$60, 2, 1) &amp; " " &amp; VLOOKUP(VALUE(MID($A59,15,4)), codigos!$E$2:$F$102, 2, FALSE)</f>
        <v>POCILLO 10</v>
      </c>
      <c r="C59" s="11" t="str">
        <f>VLOOKUP(VALUE(MID($A59,19,2)),codigos!$H$2:$I$62,2,1) &amp; " " &amp; VLOOKUP(VALUE(MID($A59,21,2)),codigos!$K$2:$L$12,2,FALSE)</f>
        <v>A/T S/I</v>
      </c>
      <c r="D59" s="11" t="s">
        <v>413</v>
      </c>
      <c r="E59" s="11" t="s">
        <v>340</v>
      </c>
      <c r="F59" s="13" t="s">
        <v>1138</v>
      </c>
      <c r="G59" s="11" t="s">
        <v>415</v>
      </c>
      <c r="H59" s="25">
        <v>120</v>
      </c>
      <c r="I59" s="25">
        <v>0</v>
      </c>
      <c r="J59" s="15">
        <f t="shared" si="0"/>
        <v>120</v>
      </c>
      <c r="K59" s="24"/>
      <c r="L59" s="18"/>
      <c r="M59" s="91">
        <v>45996</v>
      </c>
      <c r="N59" s="19"/>
    </row>
    <row r="60" spans="1:14" x14ac:dyDescent="0.25">
      <c r="A60" s="11" t="s">
        <v>180</v>
      </c>
      <c r="B60" s="11" t="str">
        <f>VLOOKUP(VALUE(MID($A60,13,2)), codigos!$A$2:$B$60, 2, 1) &amp; " " &amp; VLOOKUP(VALUE(MID($A60,15,4)), codigos!$E$2:$F$102, 2, FALSE)</f>
        <v>POCILLO 12</v>
      </c>
      <c r="C60" s="11" t="str">
        <f>VLOOKUP(VALUE(MID($A60,19,2)),codigos!$H$2:$I$62,2,1) &amp; " " &amp; VLOOKUP(VALUE(MID($A60,21,2)),codigos!$K$2:$L$12,2,FALSE)</f>
        <v>A/T S/I</v>
      </c>
      <c r="D60" s="11" t="s">
        <v>413</v>
      </c>
      <c r="E60" s="11" t="s">
        <v>340</v>
      </c>
      <c r="F60" s="13" t="s">
        <v>1138</v>
      </c>
      <c r="G60" s="11" t="s">
        <v>415</v>
      </c>
      <c r="H60" s="25">
        <v>120</v>
      </c>
      <c r="I60" s="25">
        <v>0</v>
      </c>
      <c r="J60" s="15">
        <f t="shared" si="0"/>
        <v>120</v>
      </c>
      <c r="K60" s="24"/>
      <c r="L60" s="18"/>
      <c r="M60" s="91">
        <v>45996</v>
      </c>
      <c r="N60" s="19"/>
    </row>
    <row r="61" spans="1:14" x14ac:dyDescent="0.25">
      <c r="A61" s="11" t="s">
        <v>182</v>
      </c>
      <c r="B61" s="11" t="str">
        <f>VLOOKUP(VALUE(MID($A61,13,2)), codigos!$A$2:$B$60, 2, 1) &amp; " " &amp; VLOOKUP(VALUE(MID($A61,15,4)), codigos!$E$2:$F$102, 2, FALSE)</f>
        <v>POCILLO 14</v>
      </c>
      <c r="C61" s="11" t="str">
        <f>VLOOKUP(VALUE(MID($A61,19,2)),codigos!$H$2:$I$62,2,1) &amp; " " &amp; VLOOKUP(VALUE(MID($A61,21,2)),codigos!$K$2:$L$12,2,FALSE)</f>
        <v>A/T S/I</v>
      </c>
      <c r="D61" s="11" t="s">
        <v>413</v>
      </c>
      <c r="E61" s="11" t="s">
        <v>340</v>
      </c>
      <c r="F61" s="13" t="s">
        <v>1138</v>
      </c>
      <c r="G61" s="11" t="s">
        <v>415</v>
      </c>
      <c r="H61" s="25">
        <v>60</v>
      </c>
      <c r="I61" s="25">
        <v>0</v>
      </c>
      <c r="J61" s="15">
        <f t="shared" si="0"/>
        <v>60</v>
      </c>
      <c r="K61" s="24"/>
      <c r="L61" s="18"/>
      <c r="M61" s="91">
        <v>45996</v>
      </c>
      <c r="N61" s="19"/>
    </row>
    <row r="62" spans="1:14" x14ac:dyDescent="0.25">
      <c r="A62" s="64" t="s">
        <v>227</v>
      </c>
      <c r="B62" s="11" t="str">
        <f>VLOOKUP(VALUE(MID($A62,13,2)), codigos!$A$2:$B$60, 2, 1) &amp; " " &amp; VLOOKUP(VALUE(MID($A62,15,4)), codigos!$E$2:$F$102, 2, FALSE)</f>
        <v>SARTEN 22</v>
      </c>
      <c r="C62" s="11" t="str">
        <f>VLOOKUP(VALUE(MID($A62,19,2)),codigos!$H$2:$I$62,2,1) &amp; " " &amp; VLOOKUP(VALUE(MID($A62,21,2)),codigos!$K$2:$L$12,2,FALSE)</f>
        <v>A/T S/I</v>
      </c>
      <c r="D62" s="11" t="s">
        <v>413</v>
      </c>
      <c r="E62" s="11" t="s">
        <v>340</v>
      </c>
      <c r="F62" s="13" t="s">
        <v>1138</v>
      </c>
      <c r="G62" s="11" t="s">
        <v>415</v>
      </c>
      <c r="H62" s="25">
        <v>12</v>
      </c>
      <c r="I62" s="25">
        <v>0</v>
      </c>
      <c r="J62" s="15">
        <f t="shared" si="0"/>
        <v>12</v>
      </c>
      <c r="K62" s="24"/>
      <c r="L62" s="18"/>
      <c r="M62" s="91">
        <v>45996</v>
      </c>
      <c r="N62" s="19"/>
    </row>
    <row r="63" spans="1:14" x14ac:dyDescent="0.25">
      <c r="A63" s="11" t="s">
        <v>44</v>
      </c>
      <c r="B63" s="11" t="str">
        <f>VLOOKUP(VALUE(MID($A63,13,2)), codigos!$A$2:$B$60, 2, 1) &amp; " " &amp; VLOOKUP(VALUE(MID($A63,15,4)), codigos!$E$2:$F$102, 2, FALSE)</f>
        <v>SARTEN 24</v>
      </c>
      <c r="C63" s="11" t="str">
        <f>VLOOKUP(VALUE(MID($A63,19,2)),codigos!$H$2:$I$62,2,1) &amp; " " &amp; VLOOKUP(VALUE(MID($A63,21,2)),codigos!$K$2:$L$12,2,FALSE)</f>
        <v>A/T S/I</v>
      </c>
      <c r="D63" s="11" t="s">
        <v>413</v>
      </c>
      <c r="E63" s="11" t="s">
        <v>340</v>
      </c>
      <c r="F63" s="13" t="s">
        <v>1138</v>
      </c>
      <c r="G63" s="11" t="s">
        <v>415</v>
      </c>
      <c r="H63" s="25">
        <v>12</v>
      </c>
      <c r="I63" s="25">
        <v>0</v>
      </c>
      <c r="J63" s="15">
        <f t="shared" si="0"/>
        <v>12</v>
      </c>
      <c r="K63" s="17">
        <f>(SUM(I48:I63))/(SUM(H48:H63))</f>
        <v>0</v>
      </c>
      <c r="L63" s="18"/>
      <c r="M63" s="91">
        <v>45996</v>
      </c>
      <c r="N63" s="19"/>
    </row>
    <row r="64" spans="1:14" x14ac:dyDescent="0.25">
      <c r="A64" s="11" t="s">
        <v>329</v>
      </c>
      <c r="B64" s="11" t="str">
        <f>VLOOKUP(VALUE(MID($A64,13,2)), codigos!$A$2:$B$60, 2, 1) &amp; " " &amp; VLOOKUP(VALUE(MID($A64,15,4)), codigos!$E$2:$F$102, 2, FALSE)</f>
        <v>BUDINERA 20</v>
      </c>
      <c r="C64" s="11" t="str">
        <f>VLOOKUP(VALUE(MID($A64,19,2)),codigos!$H$2:$I$62,2,1) &amp; " " &amp; VLOOKUP(VALUE(MID($A64,21,2)),codigos!$K$2:$L$12,2,FALSE)</f>
        <v>BICOLOR ROJO S/I</v>
      </c>
      <c r="D64" s="11" t="s">
        <v>330</v>
      </c>
      <c r="E64" s="11" t="s">
        <v>145</v>
      </c>
      <c r="F64" s="11" t="s">
        <v>331</v>
      </c>
      <c r="G64" s="11" t="s">
        <v>26</v>
      </c>
      <c r="H64" s="11">
        <v>18</v>
      </c>
      <c r="I64" s="11">
        <v>0</v>
      </c>
      <c r="J64" s="16">
        <f t="shared" si="0"/>
        <v>18</v>
      </c>
      <c r="K64" s="24"/>
      <c r="L64" s="18"/>
    </row>
    <row r="65" spans="1:12" x14ac:dyDescent="0.25">
      <c r="A65" s="11" t="s">
        <v>241</v>
      </c>
      <c r="B65" s="11" t="str">
        <f>VLOOKUP(VALUE(MID($A65,13,2)), codigos!$A$2:$B$60, 2, 1) &amp; " " &amp; VLOOKUP(VALUE(MID($A65,15,4)), codigos!$E$2:$F$102, 2, FALSE)</f>
        <v>BUDINERA 22</v>
      </c>
      <c r="C65" s="11" t="str">
        <f>VLOOKUP(VALUE(MID($A65,19,2)),codigos!$H$2:$I$62,2,1) &amp; " " &amp; VLOOKUP(VALUE(MID($A65,21,2)),codigos!$K$2:$L$12,2,FALSE)</f>
        <v>A/T S/I</v>
      </c>
      <c r="D65" s="11" t="s">
        <v>330</v>
      </c>
      <c r="E65" s="11" t="s">
        <v>145</v>
      </c>
      <c r="F65" s="11" t="s">
        <v>331</v>
      </c>
      <c r="G65" s="11" t="s">
        <v>26</v>
      </c>
      <c r="H65" s="11">
        <v>12</v>
      </c>
      <c r="I65" s="11">
        <v>0</v>
      </c>
      <c r="J65" s="16">
        <f t="shared" si="0"/>
        <v>12</v>
      </c>
      <c r="K65" s="24"/>
      <c r="L65" s="18"/>
    </row>
    <row r="66" spans="1:12" x14ac:dyDescent="0.25">
      <c r="A66" s="11" t="s">
        <v>143</v>
      </c>
      <c r="B66" s="11" t="str">
        <f>VLOOKUP(VALUE(MID($A66,13,2)), codigos!$A$2:$B$60, 2, 1) &amp; " " &amp; VLOOKUP(VALUE(MID($A66,15,4)), codigos!$E$2:$F$102, 2, FALSE)</f>
        <v>BUDINERA 24</v>
      </c>
      <c r="C66" s="11" t="str">
        <f>VLOOKUP(VALUE(MID($A66,19,2)),codigos!$H$2:$I$62,2,1) &amp; " " &amp; VLOOKUP(VALUE(MID($A66,21,2)),codigos!$K$2:$L$12,2,FALSE)</f>
        <v>A/T S/I</v>
      </c>
      <c r="D66" s="11" t="s">
        <v>330</v>
      </c>
      <c r="E66" s="11" t="s">
        <v>145</v>
      </c>
      <c r="F66" s="11" t="s">
        <v>331</v>
      </c>
      <c r="G66" s="11" t="s">
        <v>26</v>
      </c>
      <c r="H66" s="11">
        <v>12</v>
      </c>
      <c r="I66" s="11">
        <v>0</v>
      </c>
      <c r="J66" s="16">
        <f t="shared" si="0"/>
        <v>12</v>
      </c>
      <c r="K66" s="24"/>
      <c r="L66" s="18"/>
    </row>
    <row r="67" spans="1:12" x14ac:dyDescent="0.25">
      <c r="A67" s="11" t="s">
        <v>332</v>
      </c>
      <c r="B67" s="11" t="str">
        <f>VLOOKUP(VALUE(MID($A67,13,2)), codigos!$A$2:$B$60, 2, 1) &amp; " " &amp; VLOOKUP(VALUE(MID($A67,15,4)), codigos!$E$2:$F$102, 2, FALSE)</f>
        <v>BUDINERA 24</v>
      </c>
      <c r="C67" s="11" t="str">
        <f>VLOOKUP(VALUE(MID($A67,19,2)),codigos!$H$2:$I$62,2,1) &amp; " " &amp; VLOOKUP(VALUE(MID($A67,21,2)),codigos!$K$2:$L$12,2,FALSE)</f>
        <v>BICOLOR ROJO S/I</v>
      </c>
      <c r="D67" s="11" t="s">
        <v>330</v>
      </c>
      <c r="E67" s="11" t="s">
        <v>145</v>
      </c>
      <c r="F67" s="11" t="s">
        <v>331</v>
      </c>
      <c r="G67" s="11" t="s">
        <v>26</v>
      </c>
      <c r="H67" s="11">
        <v>12</v>
      </c>
      <c r="I67" s="11">
        <v>0</v>
      </c>
      <c r="J67" s="16">
        <f t="shared" si="0"/>
        <v>12</v>
      </c>
      <c r="K67" s="24"/>
      <c r="L67" s="18"/>
    </row>
    <row r="68" spans="1:12" x14ac:dyDescent="0.25">
      <c r="A68" s="11" t="s">
        <v>148</v>
      </c>
      <c r="B68" s="11" t="str">
        <f>VLOOKUP(VALUE(MID($A68,13,2)), codigos!$A$2:$B$60, 2, 1) &amp; " " &amp; VLOOKUP(VALUE(MID($A68,15,4)), codigos!$E$2:$F$102, 2, FALSE)</f>
        <v>BUDINERA 26</v>
      </c>
      <c r="C68" s="11" t="str">
        <f>VLOOKUP(VALUE(MID($A68,19,2)),codigos!$H$2:$I$62,2,1) &amp; " " &amp; VLOOKUP(VALUE(MID($A68,21,2)),codigos!$K$2:$L$12,2,FALSE)</f>
        <v>A/T S/I</v>
      </c>
      <c r="D68" s="11" t="s">
        <v>330</v>
      </c>
      <c r="E68" s="11" t="s">
        <v>145</v>
      </c>
      <c r="F68" s="11" t="s">
        <v>331</v>
      </c>
      <c r="G68" s="11" t="s">
        <v>26</v>
      </c>
      <c r="H68" s="11">
        <v>12</v>
      </c>
      <c r="I68" s="11">
        <v>0</v>
      </c>
      <c r="J68" s="16">
        <f t="shared" si="0"/>
        <v>12</v>
      </c>
      <c r="K68" s="24"/>
      <c r="L68" s="18"/>
    </row>
    <row r="69" spans="1:12" x14ac:dyDescent="0.25">
      <c r="A69" s="11" t="s">
        <v>169</v>
      </c>
      <c r="B69" s="11" t="str">
        <f>VLOOKUP(VALUE(MID($A69,13,2)), codigos!$A$2:$B$60, 2, 1) &amp; " " &amp; VLOOKUP(VALUE(MID($A69,15,4)), codigos!$E$2:$F$102, 2, FALSE)</f>
        <v>BUDINERA 30</v>
      </c>
      <c r="C69" s="11" t="str">
        <f>VLOOKUP(VALUE(MID($A69,19,2)),codigos!$H$2:$I$62,2,1) &amp; " " &amp; VLOOKUP(VALUE(MID($A69,21,2)),codigos!$K$2:$L$12,2,FALSE)</f>
        <v>A/T S/I</v>
      </c>
      <c r="D69" s="11" t="s">
        <v>330</v>
      </c>
      <c r="E69" s="11" t="s">
        <v>145</v>
      </c>
      <c r="F69" s="11" t="s">
        <v>331</v>
      </c>
      <c r="G69" s="11" t="s">
        <v>26</v>
      </c>
      <c r="H69" s="11">
        <v>12</v>
      </c>
      <c r="I69" s="11">
        <v>0</v>
      </c>
      <c r="J69" s="15">
        <f t="shared" si="0"/>
        <v>12</v>
      </c>
      <c r="K69" s="24"/>
      <c r="L69" s="18"/>
    </row>
    <row r="70" spans="1:12" x14ac:dyDescent="0.25">
      <c r="A70" s="11" t="s">
        <v>173</v>
      </c>
      <c r="B70" s="11" t="str">
        <f>VLOOKUP(VALUE(MID($A70,13,2)), codigos!$A$2:$B$60, 2, 1) &amp; " " &amp; VLOOKUP(VALUE(MID($A70,15,4)), codigos!$E$2:$F$102, 2, FALSE)</f>
        <v>BUDINERA 34</v>
      </c>
      <c r="C70" s="11" t="str">
        <f>VLOOKUP(VALUE(MID($A70,19,2)),codigos!$H$2:$I$62,2,1) &amp; " " &amp; VLOOKUP(VALUE(MID($A70,21,2)),codigos!$K$2:$L$12,2,FALSE)</f>
        <v>A/T S/I</v>
      </c>
      <c r="D70" s="11" t="s">
        <v>330</v>
      </c>
      <c r="E70" s="11" t="s">
        <v>145</v>
      </c>
      <c r="F70" s="11" t="s">
        <v>331</v>
      </c>
      <c r="G70" s="11" t="s">
        <v>26</v>
      </c>
      <c r="H70" s="11">
        <v>4</v>
      </c>
      <c r="I70" s="11">
        <v>0</v>
      </c>
      <c r="J70" s="15">
        <f t="shared" si="0"/>
        <v>4</v>
      </c>
      <c r="K70" s="24"/>
      <c r="L70" s="18"/>
    </row>
    <row r="71" spans="1:12" x14ac:dyDescent="0.25">
      <c r="A71" s="11" t="s">
        <v>242</v>
      </c>
      <c r="B71" s="11" t="str">
        <f>VLOOKUP(VALUE(MID($A71,13,2)), codigos!$A$2:$B$60, 2, 1) &amp; " " &amp; VLOOKUP(VALUE(MID($A71,15,4)), codigos!$E$2:$F$102, 2, FALSE)</f>
        <v>COMAL 22</v>
      </c>
      <c r="C71" s="11" t="str">
        <f>VLOOKUP(VALUE(MID($A71,19,2)),codigos!$H$2:$I$62,2,1) &amp; " " &amp; VLOOKUP(VALUE(MID($A71,21,2)),codigos!$K$2:$L$12,2,FALSE)</f>
        <v>NEGRO MOTAS S/I</v>
      </c>
      <c r="D71" s="11" t="s">
        <v>330</v>
      </c>
      <c r="E71" s="11" t="s">
        <v>145</v>
      </c>
      <c r="F71" s="11" t="s">
        <v>331</v>
      </c>
      <c r="G71" s="11" t="s">
        <v>26</v>
      </c>
      <c r="H71" s="11">
        <v>24</v>
      </c>
      <c r="I71" s="11">
        <v>0</v>
      </c>
      <c r="J71" s="15">
        <f t="shared" si="0"/>
        <v>24</v>
      </c>
      <c r="K71" s="24"/>
      <c r="L71" s="18"/>
    </row>
    <row r="72" spans="1:12" x14ac:dyDescent="0.25">
      <c r="A72" s="11" t="s">
        <v>149</v>
      </c>
      <c r="B72" s="11" t="str">
        <f>VLOOKUP(VALUE(MID($A72,13,2)), codigos!$A$2:$B$60, 2, 1) &amp; " " &amp; VLOOKUP(VALUE(MID($A72,15,4)), codigos!$E$2:$F$102, 2, FALSE)</f>
        <v>COMAL 28</v>
      </c>
      <c r="C72" s="11" t="str">
        <f>VLOOKUP(VALUE(MID($A72,19,2)),codigos!$H$2:$I$62,2,1) &amp; " " &amp; VLOOKUP(VALUE(MID($A72,21,2)),codigos!$K$2:$L$12,2,FALSE)</f>
        <v>NEGRO MOTAS S/I</v>
      </c>
      <c r="D72" s="11" t="s">
        <v>330</v>
      </c>
      <c r="E72" s="11" t="s">
        <v>145</v>
      </c>
      <c r="F72" s="11" t="s">
        <v>331</v>
      </c>
      <c r="G72" s="11" t="s">
        <v>26</v>
      </c>
      <c r="H72" s="11">
        <v>24</v>
      </c>
      <c r="I72" s="11">
        <v>0</v>
      </c>
      <c r="J72" s="16">
        <f t="shared" si="0"/>
        <v>24</v>
      </c>
      <c r="K72" s="24"/>
      <c r="L72" s="18"/>
    </row>
    <row r="73" spans="1:12" x14ac:dyDescent="0.25">
      <c r="A73" s="11" t="s">
        <v>333</v>
      </c>
      <c r="B73" s="11" t="str">
        <f>VLOOKUP(VALUE(MID($A73,13,2)), codigos!$A$2:$B$60, 2, 1) &amp; " " &amp; VLOOKUP(VALUE(MID($A73,15,4)), codigos!$E$2:$F$102, 2, FALSE)</f>
        <v>OLLA CONVEXA 14</v>
      </c>
      <c r="C73" s="11" t="str">
        <f>VLOOKUP(VALUE(MID($A73,19,2)),codigos!$H$2:$I$62,2,1) &amp; " " &amp; VLOOKUP(VALUE(MID($A73,21,2)),codigos!$K$2:$L$12,2,FALSE)</f>
        <v>A/T S/I</v>
      </c>
      <c r="D73" s="11" t="s">
        <v>330</v>
      </c>
      <c r="E73" s="11" t="s">
        <v>145</v>
      </c>
      <c r="F73" s="11" t="s">
        <v>331</v>
      </c>
      <c r="G73" s="11" t="s">
        <v>26</v>
      </c>
      <c r="H73" s="11">
        <v>36</v>
      </c>
      <c r="I73" s="11">
        <v>0</v>
      </c>
      <c r="J73" s="16">
        <f t="shared" si="0"/>
        <v>36</v>
      </c>
      <c r="K73" s="24"/>
      <c r="L73" s="18"/>
    </row>
    <row r="74" spans="1:12" x14ac:dyDescent="0.25">
      <c r="A74" s="11" t="s">
        <v>220</v>
      </c>
      <c r="B74" s="11" t="str">
        <f>VLOOKUP(VALUE(MID($A74,13,2)), codigos!$A$2:$B$60, 2, 1) &amp; " " &amp; VLOOKUP(VALUE(MID($A74,15,4)), codigos!$E$2:$F$102, 2, FALSE)</f>
        <v>OLLA CONVEXA 16</v>
      </c>
      <c r="C74" s="11" t="str">
        <f>VLOOKUP(VALUE(MID($A74,19,2)),codigos!$H$2:$I$62,2,1) &amp; " " &amp; VLOOKUP(VALUE(MID($A74,21,2)),codigos!$K$2:$L$12,2,FALSE)</f>
        <v>A/T S/I</v>
      </c>
      <c r="D74" s="11" t="s">
        <v>330</v>
      </c>
      <c r="E74" s="11" t="s">
        <v>145</v>
      </c>
      <c r="F74" s="11" t="s">
        <v>331</v>
      </c>
      <c r="G74" s="11" t="s">
        <v>26</v>
      </c>
      <c r="H74" s="11">
        <v>24</v>
      </c>
      <c r="I74" s="11">
        <v>0</v>
      </c>
      <c r="J74" s="16">
        <f t="shared" si="0"/>
        <v>24</v>
      </c>
      <c r="K74" s="24"/>
      <c r="L74" s="18"/>
    </row>
    <row r="75" spans="1:12" x14ac:dyDescent="0.25">
      <c r="A75" s="11" t="s">
        <v>150</v>
      </c>
      <c r="B75" s="11" t="str">
        <f>VLOOKUP(VALUE(MID($A75,13,2)), codigos!$A$2:$B$60, 2, 1) &amp; " " &amp; VLOOKUP(VALUE(MID($A75,15,4)), codigos!$E$2:$F$102, 2, FALSE)</f>
        <v>OLLA CONVEXA 18</v>
      </c>
      <c r="C75" s="11" t="str">
        <f>VLOOKUP(VALUE(MID($A75,19,2)),codigos!$H$2:$I$62,2,1) &amp; " " &amp; VLOOKUP(VALUE(MID($A75,21,2)),codigos!$K$2:$L$12,2,FALSE)</f>
        <v>A/T S/I</v>
      </c>
      <c r="D75" s="11" t="s">
        <v>330</v>
      </c>
      <c r="E75" s="11" t="s">
        <v>145</v>
      </c>
      <c r="F75" s="11" t="s">
        <v>331</v>
      </c>
      <c r="G75" s="11" t="s">
        <v>26</v>
      </c>
      <c r="H75" s="11">
        <v>24</v>
      </c>
      <c r="I75" s="11">
        <v>0</v>
      </c>
      <c r="J75" s="16">
        <f t="shared" si="0"/>
        <v>24</v>
      </c>
      <c r="K75" s="24"/>
      <c r="L75" s="18"/>
    </row>
    <row r="76" spans="1:12" x14ac:dyDescent="0.25">
      <c r="A76" s="11" t="s">
        <v>151</v>
      </c>
      <c r="B76" s="11" t="str">
        <f>VLOOKUP(VALUE(MID($A76,13,2)), codigos!$A$2:$B$60, 2, 1) &amp; " " &amp; VLOOKUP(VALUE(MID($A76,15,4)), codigos!$E$2:$F$102, 2, FALSE)</f>
        <v>OLLA CONVEXA 20</v>
      </c>
      <c r="C76" s="11" t="str">
        <f>VLOOKUP(VALUE(MID($A76,19,2)),codigos!$H$2:$I$62,2,1) &amp; " " &amp; VLOOKUP(VALUE(MID($A76,21,2)),codigos!$K$2:$L$12,2,FALSE)</f>
        <v>A/T S/I</v>
      </c>
      <c r="D76" s="11" t="s">
        <v>330</v>
      </c>
      <c r="E76" s="11" t="s">
        <v>145</v>
      </c>
      <c r="F76" s="11" t="s">
        <v>331</v>
      </c>
      <c r="G76" s="11" t="s">
        <v>26</v>
      </c>
      <c r="H76" s="11">
        <v>12</v>
      </c>
      <c r="I76" s="11">
        <v>0</v>
      </c>
      <c r="J76" s="16">
        <f t="shared" si="0"/>
        <v>12</v>
      </c>
      <c r="K76" s="24"/>
      <c r="L76" s="18"/>
    </row>
    <row r="77" spans="1:12" x14ac:dyDescent="0.25">
      <c r="A77" s="11" t="s">
        <v>43</v>
      </c>
      <c r="B77" s="11" t="str">
        <f>VLOOKUP(VALUE(MID($A77,13,2)), codigos!$A$2:$B$60, 2, 1) &amp; " " &amp; VLOOKUP(VALUE(MID($A77,15,4)), codigos!$E$2:$F$102, 2, FALSE)</f>
        <v>OLLA CONVEXA 22</v>
      </c>
      <c r="C77" s="11" t="str">
        <f>VLOOKUP(VALUE(MID($A77,19,2)),codigos!$H$2:$I$62,2,1) &amp; " " &amp; VLOOKUP(VALUE(MID($A77,21,2)),codigos!$K$2:$L$12,2,FALSE)</f>
        <v>A/T S/I</v>
      </c>
      <c r="D77" s="11" t="s">
        <v>330</v>
      </c>
      <c r="E77" s="11" t="s">
        <v>145</v>
      </c>
      <c r="F77" s="11" t="s">
        <v>331</v>
      </c>
      <c r="G77" s="11" t="s">
        <v>26</v>
      </c>
      <c r="H77" s="11">
        <v>12</v>
      </c>
      <c r="I77" s="11">
        <v>0</v>
      </c>
      <c r="J77" s="16">
        <f t="shared" si="0"/>
        <v>12</v>
      </c>
      <c r="K77" s="24"/>
      <c r="L77" s="18"/>
    </row>
    <row r="78" spans="1:12" x14ac:dyDescent="0.25">
      <c r="A78" s="11" t="s">
        <v>152</v>
      </c>
      <c r="B78" s="11" t="str">
        <f>VLOOKUP(VALUE(MID($A78,13,2)), codigos!$A$2:$B$60, 2, 1) &amp; " " &amp; VLOOKUP(VALUE(MID($A78,15,4)), codigos!$E$2:$F$102, 2, FALSE)</f>
        <v>OLLA CONVEXA 24</v>
      </c>
      <c r="C78" s="11" t="str">
        <f>VLOOKUP(VALUE(MID($A78,19,2)),codigos!$H$2:$I$62,2,1) &amp; " " &amp; VLOOKUP(VALUE(MID($A78,21,2)),codigos!$K$2:$L$12,2,FALSE)</f>
        <v>A/T S/I</v>
      </c>
      <c r="D78" s="11" t="s">
        <v>330</v>
      </c>
      <c r="E78" s="11" t="s">
        <v>145</v>
      </c>
      <c r="F78" s="11" t="s">
        <v>331</v>
      </c>
      <c r="G78" s="11" t="s">
        <v>26</v>
      </c>
      <c r="H78" s="11">
        <v>24</v>
      </c>
      <c r="I78" s="11">
        <v>0</v>
      </c>
      <c r="J78" s="16">
        <f t="shared" si="0"/>
        <v>24</v>
      </c>
      <c r="K78" s="24"/>
      <c r="L78" s="18"/>
    </row>
    <row r="79" spans="1:12" x14ac:dyDescent="0.25">
      <c r="A79" s="64" t="s">
        <v>154</v>
      </c>
      <c r="B79" s="11" t="str">
        <f>VLOOKUP(VALUE(MID($A79,13,2)), codigos!$A$2:$B$60, 2, 1) &amp; " " &amp; VLOOKUP(VALUE(MID($A79,15,4)), codigos!$E$2:$F$102, 2, FALSE)</f>
        <v>OLLA CONVEXA 30</v>
      </c>
      <c r="C79" s="11" t="str">
        <f>VLOOKUP(VALUE(MID($A79,19,2)),codigos!$H$2:$I$62,2,1) &amp; " " &amp; VLOOKUP(VALUE(MID($A79,21,2)),codigos!$K$2:$L$12,2,FALSE)</f>
        <v>A/T S/I</v>
      </c>
      <c r="D79" s="64" t="s">
        <v>330</v>
      </c>
      <c r="E79" s="64" t="s">
        <v>145</v>
      </c>
      <c r="F79" s="64" t="s">
        <v>331</v>
      </c>
      <c r="G79" s="67">
        <v>45692</v>
      </c>
      <c r="H79" s="64">
        <v>8</v>
      </c>
      <c r="I79" s="64">
        <v>0</v>
      </c>
      <c r="J79" s="29">
        <f t="shared" si="0"/>
        <v>8</v>
      </c>
      <c r="K79" s="24"/>
      <c r="L79" s="18"/>
    </row>
    <row r="80" spans="1:12" x14ac:dyDescent="0.25">
      <c r="A80" s="11" t="s">
        <v>221</v>
      </c>
      <c r="B80" s="11" t="str">
        <f>VLOOKUP(VALUE(MID($A80,13,2)), codigos!$A$2:$B$60, 2, 1) &amp; " " &amp; VLOOKUP(VALUE(MID($A80,15,4)), codigos!$E$2:$F$102, 2, FALSE)</f>
        <v>OLLA CONVEXA 34</v>
      </c>
      <c r="C80" s="11" t="str">
        <f>VLOOKUP(VALUE(MID($A80,19,2)),codigos!$H$2:$I$62,2,1) &amp; " " &amp; VLOOKUP(VALUE(MID($A80,21,2)),codigos!$K$2:$L$12,2,FALSE)</f>
        <v>A/T S/I</v>
      </c>
      <c r="D80" s="11" t="s">
        <v>330</v>
      </c>
      <c r="E80" s="11" t="s">
        <v>145</v>
      </c>
      <c r="F80" s="11" t="s">
        <v>331</v>
      </c>
      <c r="G80" s="11" t="s">
        <v>26</v>
      </c>
      <c r="H80" s="11">
        <v>10</v>
      </c>
      <c r="I80" s="11">
        <v>0</v>
      </c>
      <c r="J80" s="16">
        <f t="shared" si="0"/>
        <v>10</v>
      </c>
      <c r="K80" s="24"/>
      <c r="L80" s="18"/>
    </row>
    <row r="81" spans="1:12" x14ac:dyDescent="0.25">
      <c r="A81" s="11" t="s">
        <v>260</v>
      </c>
      <c r="B81" s="11" t="str">
        <f>VLOOKUP(VALUE(MID($A81,13,2)), codigos!$A$2:$B$60, 2, 1) &amp; " " &amp; VLOOKUP(VALUE(MID($A81,15,4)), codigos!$E$2:$F$102, 2, FALSE)</f>
        <v>OLLA RECTA 20</v>
      </c>
      <c r="C81" s="11" t="str">
        <f>VLOOKUP(VALUE(MID($A81,19,2)),codigos!$H$2:$I$62,2,1) &amp; " " &amp; VLOOKUP(VALUE(MID($A81,21,2)),codigos!$K$2:$L$12,2,FALSE)</f>
        <v>A/T S/I</v>
      </c>
      <c r="D81" s="11" t="s">
        <v>330</v>
      </c>
      <c r="E81" s="11" t="s">
        <v>145</v>
      </c>
      <c r="F81" s="11" t="s">
        <v>331</v>
      </c>
      <c r="G81" s="11" t="s">
        <v>26</v>
      </c>
      <c r="H81" s="11">
        <v>24</v>
      </c>
      <c r="I81" s="11">
        <v>0</v>
      </c>
      <c r="J81" s="16">
        <f t="shared" si="0"/>
        <v>24</v>
      </c>
      <c r="K81" s="24"/>
      <c r="L81" s="18"/>
    </row>
    <row r="82" spans="1:12" x14ac:dyDescent="0.25">
      <c r="A82" s="11" t="s">
        <v>334</v>
      </c>
      <c r="B82" s="11" t="str">
        <f>VLOOKUP(VALUE(MID($A82,13,2)), codigos!$A$2:$B$60, 2, 1) &amp; " " &amp; VLOOKUP(VALUE(MID($A82,15,4)), codigos!$E$2:$F$102, 2, FALSE)</f>
        <v>OLLA RECTA 20</v>
      </c>
      <c r="C82" s="11" t="str">
        <f>VLOOKUP(VALUE(MID($A82,19,2)),codigos!$H$2:$I$62,2,1) &amp; " " &amp; VLOOKUP(VALUE(MID($A82,21,2)),codigos!$K$2:$L$12,2,FALSE)</f>
        <v>BICOLOR NARANJA S/I</v>
      </c>
      <c r="D82" s="11" t="s">
        <v>330</v>
      </c>
      <c r="E82" s="11" t="s">
        <v>145</v>
      </c>
      <c r="F82" s="11" t="s">
        <v>331</v>
      </c>
      <c r="G82" s="11" t="s">
        <v>26</v>
      </c>
      <c r="H82" s="11">
        <v>12</v>
      </c>
      <c r="I82" s="11">
        <v>0</v>
      </c>
      <c r="J82" s="16">
        <f t="shared" si="0"/>
        <v>12</v>
      </c>
      <c r="K82" s="24"/>
      <c r="L82" s="18"/>
    </row>
    <row r="83" spans="1:12" x14ac:dyDescent="0.25">
      <c r="A83" s="11" t="s">
        <v>236</v>
      </c>
      <c r="B83" s="11" t="str">
        <f>VLOOKUP(VALUE(MID($A83,13,2)), codigos!$A$2:$B$60, 2, 1) &amp; " " &amp; VLOOKUP(VALUE(MID($A83,15,4)), codigos!$E$2:$F$102, 2, FALSE)</f>
        <v>OLLA RECTA 22</v>
      </c>
      <c r="C83" s="11" t="str">
        <f>VLOOKUP(VALUE(MID($A83,19,2)),codigos!$H$2:$I$62,2,1) &amp; " " &amp; VLOOKUP(VALUE(MID($A83,21,2)),codigos!$K$2:$L$12,2,FALSE)</f>
        <v>A/T S/I</v>
      </c>
      <c r="D83" s="11" t="s">
        <v>330</v>
      </c>
      <c r="E83" s="11" t="s">
        <v>145</v>
      </c>
      <c r="F83" s="11" t="s">
        <v>331</v>
      </c>
      <c r="G83" s="11" t="s">
        <v>26</v>
      </c>
      <c r="H83" s="11">
        <v>12</v>
      </c>
      <c r="I83" s="11">
        <v>0</v>
      </c>
      <c r="J83" s="16">
        <f t="shared" si="0"/>
        <v>12</v>
      </c>
      <c r="K83" s="24"/>
      <c r="L83" s="18"/>
    </row>
    <row r="84" spans="1:12" x14ac:dyDescent="0.25">
      <c r="A84" s="11" t="s">
        <v>237</v>
      </c>
      <c r="B84" s="11" t="str">
        <f>VLOOKUP(VALUE(MID($A84,13,2)), codigos!$A$2:$B$60, 2, 1) &amp; " " &amp; VLOOKUP(VALUE(MID($A84,15,4)), codigos!$E$2:$F$102, 2, FALSE)</f>
        <v>OLLA RECTA 24</v>
      </c>
      <c r="C84" s="11" t="str">
        <f>VLOOKUP(VALUE(MID($A84,19,2)),codigos!$H$2:$I$62,2,1) &amp; " " &amp; VLOOKUP(VALUE(MID($A84,21,2)),codigos!$K$2:$L$12,2,FALSE)</f>
        <v>A/T S/I</v>
      </c>
      <c r="D84" s="11" t="s">
        <v>330</v>
      </c>
      <c r="E84" s="11" t="s">
        <v>145</v>
      </c>
      <c r="F84" s="11" t="s">
        <v>331</v>
      </c>
      <c r="G84" s="11" t="s">
        <v>26</v>
      </c>
      <c r="H84" s="11">
        <v>12</v>
      </c>
      <c r="I84" s="11">
        <v>0</v>
      </c>
      <c r="J84" s="16">
        <f t="shared" ref="J84:J93" si="1">+H84-I84</f>
        <v>12</v>
      </c>
      <c r="K84" s="24"/>
      <c r="L84" s="18"/>
    </row>
    <row r="85" spans="1:12" x14ac:dyDescent="0.25">
      <c r="A85" s="11" t="s">
        <v>335</v>
      </c>
      <c r="B85" s="11" t="str">
        <f>VLOOKUP(VALUE(MID($A85,13,2)), codigos!$A$2:$B$60, 2, 1) &amp; " " &amp; VLOOKUP(VALUE(MID($A85,15,4)), codigos!$E$2:$F$102, 2, FALSE)</f>
        <v>OLLA RECTA 24</v>
      </c>
      <c r="C85" s="11" t="str">
        <f>VLOOKUP(VALUE(MID($A85,19,2)),codigos!$H$2:$I$62,2,1) &amp; " " &amp; VLOOKUP(VALUE(MID($A85,21,2)),codigos!$K$2:$L$12,2,FALSE)</f>
        <v>BICOLOR NARANJA S/I</v>
      </c>
      <c r="D85" s="11" t="s">
        <v>330</v>
      </c>
      <c r="E85" s="11" t="s">
        <v>145</v>
      </c>
      <c r="F85" s="11" t="s">
        <v>331</v>
      </c>
      <c r="G85" s="11" t="s">
        <v>26</v>
      </c>
      <c r="H85" s="11">
        <v>6</v>
      </c>
      <c r="I85" s="11">
        <v>0</v>
      </c>
      <c r="J85" s="16">
        <f t="shared" si="1"/>
        <v>6</v>
      </c>
      <c r="K85" s="24"/>
      <c r="L85" s="18"/>
    </row>
    <row r="86" spans="1:12" x14ac:dyDescent="0.25">
      <c r="A86" s="11" t="s">
        <v>224</v>
      </c>
      <c r="B86" s="11" t="str">
        <f>VLOOKUP(VALUE(MID($A86,13,2)), codigos!$A$2:$B$60, 2, 1) &amp; " " &amp; VLOOKUP(VALUE(MID($A86,15,4)), codigos!$E$2:$F$102, 2, FALSE)</f>
        <v>OLLA RECTA 26</v>
      </c>
      <c r="C86" s="11" t="str">
        <f>VLOOKUP(VALUE(MID($A86,19,2)),codigos!$H$2:$I$62,2,1) &amp; " " &amp; VLOOKUP(VALUE(MID($A86,21,2)),codigos!$K$2:$L$12,2,FALSE)</f>
        <v>A/T S/I</v>
      </c>
      <c r="D86" s="11" t="s">
        <v>330</v>
      </c>
      <c r="E86" s="11" t="s">
        <v>145</v>
      </c>
      <c r="F86" s="11" t="s">
        <v>331</v>
      </c>
      <c r="G86" s="11" t="s">
        <v>26</v>
      </c>
      <c r="H86" s="11">
        <v>6</v>
      </c>
      <c r="I86" s="11">
        <v>0</v>
      </c>
      <c r="J86" s="16">
        <f t="shared" si="1"/>
        <v>6</v>
      </c>
      <c r="K86" s="24"/>
      <c r="L86" s="18"/>
    </row>
    <row r="87" spans="1:12" x14ac:dyDescent="0.25">
      <c r="A87" s="11" t="s">
        <v>336</v>
      </c>
      <c r="B87" s="11" t="str">
        <f>VLOOKUP(VALUE(MID($A87,13,2)), codigos!$A$2:$B$60, 2, 1) &amp; " " &amp; VLOOKUP(VALUE(MID($A87,15,4)), codigos!$E$2:$F$102, 2, FALSE)</f>
        <v>OLLA RECTA 28</v>
      </c>
      <c r="C87" s="11" t="str">
        <f>VLOOKUP(VALUE(MID($A87,19,2)),codigos!$H$2:$I$62,2,1) &amp; " " &amp; VLOOKUP(VALUE(MID($A87,21,2)),codigos!$K$2:$L$12,2,FALSE)</f>
        <v>A/T S/I</v>
      </c>
      <c r="D87" s="11" t="s">
        <v>330</v>
      </c>
      <c r="E87" s="11" t="s">
        <v>145</v>
      </c>
      <c r="F87" s="11" t="s">
        <v>331</v>
      </c>
      <c r="G87" s="11" t="s">
        <v>26</v>
      </c>
      <c r="H87" s="11">
        <v>4</v>
      </c>
      <c r="I87" s="11">
        <v>0</v>
      </c>
      <c r="J87" s="16">
        <f t="shared" si="1"/>
        <v>4</v>
      </c>
      <c r="K87" s="24"/>
      <c r="L87" s="18"/>
    </row>
    <row r="88" spans="1:12" x14ac:dyDescent="0.25">
      <c r="A88" s="11" t="s">
        <v>155</v>
      </c>
      <c r="B88" s="11" t="str">
        <f>VLOOKUP(VALUE(MID($A88,13,2)), codigos!$A$2:$B$60, 2, 1) &amp; " " &amp; VLOOKUP(VALUE(MID($A88,15,4)), codigos!$E$2:$F$102, 2, FALSE)</f>
        <v>OLLA RECTA 30</v>
      </c>
      <c r="C88" s="11" t="str">
        <f>VLOOKUP(VALUE(MID($A88,19,2)),codigos!$H$2:$I$62,2,1) &amp; " " &amp; VLOOKUP(VALUE(MID($A88,21,2)),codigos!$K$2:$L$12,2,FALSE)</f>
        <v>A/T S/I</v>
      </c>
      <c r="D88" s="11" t="s">
        <v>330</v>
      </c>
      <c r="E88" s="11" t="s">
        <v>145</v>
      </c>
      <c r="F88" s="11" t="s">
        <v>331</v>
      </c>
      <c r="G88" s="11" t="s">
        <v>26</v>
      </c>
      <c r="H88" s="11">
        <v>15</v>
      </c>
      <c r="I88" s="11">
        <v>0</v>
      </c>
      <c r="J88" s="15">
        <f t="shared" si="1"/>
        <v>15</v>
      </c>
      <c r="K88" s="24"/>
      <c r="L88" s="18"/>
    </row>
    <row r="89" spans="1:12" x14ac:dyDescent="0.25">
      <c r="A89" s="11" t="s">
        <v>157</v>
      </c>
      <c r="B89" s="11" t="str">
        <f>VLOOKUP(VALUE(MID($A89,13,2)), codigos!$A$2:$B$60, 2, 1) &amp; " " &amp; VLOOKUP(VALUE(MID($A89,15,4)), codigos!$E$2:$F$102, 2, FALSE)</f>
        <v>OLLA RECTA 42</v>
      </c>
      <c r="C89" s="11" t="str">
        <f>VLOOKUP(VALUE(MID($A89,19,2)),codigos!$H$2:$I$62,2,1) &amp; " " &amp; VLOOKUP(VALUE(MID($A89,21,2)),codigos!$K$2:$L$12,2,FALSE)</f>
        <v>A/T S/I</v>
      </c>
      <c r="D89" s="11" t="s">
        <v>330</v>
      </c>
      <c r="E89" s="11" t="s">
        <v>145</v>
      </c>
      <c r="F89" s="11" t="s">
        <v>331</v>
      </c>
      <c r="G89" s="11" t="s">
        <v>26</v>
      </c>
      <c r="H89" s="11">
        <v>2</v>
      </c>
      <c r="I89" s="11">
        <v>0</v>
      </c>
      <c r="J89" s="16">
        <f t="shared" si="1"/>
        <v>2</v>
      </c>
      <c r="K89" s="24"/>
      <c r="L89" s="18"/>
    </row>
    <row r="90" spans="1:12" x14ac:dyDescent="0.25">
      <c r="A90" s="64" t="s">
        <v>227</v>
      </c>
      <c r="B90" s="11" t="str">
        <f>VLOOKUP(VALUE(MID($A90,13,2)), codigos!$A$2:$B$60, 2, 1) &amp; " " &amp; VLOOKUP(VALUE(MID($A90,15,4)), codigos!$E$2:$F$102, 2, FALSE)</f>
        <v>SARTEN 22</v>
      </c>
      <c r="C90" s="11" t="str">
        <f>VLOOKUP(VALUE(MID($A90,19,2)),codigos!$H$2:$I$62,2,1) &amp; " " &amp; VLOOKUP(VALUE(MID($A90,21,2)),codigos!$K$2:$L$12,2,FALSE)</f>
        <v>A/T S/I</v>
      </c>
      <c r="D90" s="64" t="s">
        <v>330</v>
      </c>
      <c r="E90" s="64" t="s">
        <v>145</v>
      </c>
      <c r="F90" s="64" t="s">
        <v>331</v>
      </c>
      <c r="G90" s="64" t="s">
        <v>26</v>
      </c>
      <c r="H90" s="64">
        <v>24</v>
      </c>
      <c r="I90" s="64">
        <v>0</v>
      </c>
      <c r="J90" s="29">
        <f t="shared" si="1"/>
        <v>24</v>
      </c>
      <c r="K90" s="24"/>
      <c r="L90" s="18"/>
    </row>
    <row r="91" spans="1:12" x14ac:dyDescent="0.25">
      <c r="A91" s="11" t="s">
        <v>239</v>
      </c>
      <c r="B91" s="11" t="str">
        <f>VLOOKUP(VALUE(MID($A91,13,2)), codigos!$A$2:$B$60, 2, 1) &amp; " " &amp; VLOOKUP(VALUE(MID($A91,15,4)), codigos!$E$2:$F$102, 2, FALSE)</f>
        <v>SARTEN 26</v>
      </c>
      <c r="C91" s="11" t="str">
        <f>VLOOKUP(VALUE(MID($A91,19,2)),codigos!$H$2:$I$62,2,1) &amp; " " &amp; VLOOKUP(VALUE(MID($A91,21,2)),codigos!$K$2:$L$12,2,FALSE)</f>
        <v>A/T S/I</v>
      </c>
      <c r="D91" s="11" t="s">
        <v>330</v>
      </c>
      <c r="E91" s="11" t="s">
        <v>145</v>
      </c>
      <c r="F91" s="11" t="s">
        <v>331</v>
      </c>
      <c r="G91" s="11" t="s">
        <v>26</v>
      </c>
      <c r="H91" s="11">
        <v>24</v>
      </c>
      <c r="I91" s="11">
        <v>0</v>
      </c>
      <c r="J91" s="16">
        <f t="shared" si="1"/>
        <v>24</v>
      </c>
      <c r="K91" s="24"/>
      <c r="L91" s="18"/>
    </row>
    <row r="92" spans="1:12" x14ac:dyDescent="0.25">
      <c r="A92" s="11" t="s">
        <v>240</v>
      </c>
      <c r="B92" s="11" t="str">
        <f>VLOOKUP(VALUE(MID($A92,13,2)), codigos!$A$2:$B$60, 2, 1) &amp; " " &amp; VLOOKUP(VALUE(MID($A92,15,4)), codigos!$E$2:$F$102, 2, FALSE)</f>
        <v>VAPORERA 34</v>
      </c>
      <c r="C92" s="11" t="str">
        <f>VLOOKUP(VALUE(MID($A92,19,2)),codigos!$H$2:$I$62,2,1) &amp; " " &amp; VLOOKUP(VALUE(MID($A92,21,2)),codigos!$K$2:$L$12,2,FALSE)</f>
        <v>A/T S/I</v>
      </c>
      <c r="D92" s="11" t="s">
        <v>330</v>
      </c>
      <c r="E92" s="11" t="s">
        <v>145</v>
      </c>
      <c r="F92" s="11" t="s">
        <v>331</v>
      </c>
      <c r="G92" s="11" t="s">
        <v>26</v>
      </c>
      <c r="H92" s="11">
        <v>8</v>
      </c>
      <c r="I92" s="11">
        <v>0</v>
      </c>
      <c r="J92" s="16">
        <f t="shared" si="1"/>
        <v>8</v>
      </c>
      <c r="K92" s="24"/>
      <c r="L92" s="18"/>
    </row>
    <row r="93" spans="1:12" x14ac:dyDescent="0.25">
      <c r="A93" s="11" t="s">
        <v>238</v>
      </c>
      <c r="B93" s="11" t="str">
        <f>VLOOKUP(VALUE(MID($A93,13,2)), codigos!$A$2:$B$60, 2, 1) &amp; " " &amp; VLOOKUP(VALUE(MID($A93,15,4)), codigos!$E$2:$F$102, 2, FALSE)</f>
        <v>OLLA RECTA 38</v>
      </c>
      <c r="C93" s="11" t="str">
        <f>VLOOKUP(VALUE(MID($A93,19,2)),codigos!$H$2:$I$62,2,1) &amp; " " &amp; VLOOKUP(VALUE(MID($A93,21,2)),codigos!$K$2:$L$12,2,FALSE)</f>
        <v>A/T S/I</v>
      </c>
      <c r="D93" s="11" t="s">
        <v>330</v>
      </c>
      <c r="E93" s="11" t="s">
        <v>145</v>
      </c>
      <c r="F93" s="11" t="s">
        <v>331</v>
      </c>
      <c r="G93" s="11" t="s">
        <v>26</v>
      </c>
      <c r="H93" s="11">
        <v>8</v>
      </c>
      <c r="I93" s="11">
        <v>0</v>
      </c>
      <c r="J93" s="16">
        <f t="shared" si="1"/>
        <v>8</v>
      </c>
      <c r="K93" s="17">
        <f>(SUM(I64:I93))/(SUM(H64:H93))</f>
        <v>0</v>
      </c>
      <c r="L93" s="18"/>
    </row>
    <row r="94" spans="1:12" x14ac:dyDescent="0.25">
      <c r="A94" s="155" t="s">
        <v>1139</v>
      </c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8"/>
    </row>
    <row r="95" spans="1:12" x14ac:dyDescent="0.25">
      <c r="A95" s="20" t="s">
        <v>211</v>
      </c>
      <c r="B95" s="11" t="str">
        <f>VLOOKUP(VALUE(MID($A95,13,2)), codigos!$A$2:$B$60, 2, 1) &amp; " " &amp; VLOOKUP(VALUE(MID($A95,15,4)), codigos!$E$2:$F$102, 2, FALSE)</f>
        <v>BAÑO 10</v>
      </c>
      <c r="C95" s="11" t="str">
        <f>VLOOKUP(VALUE(MID($A95,19,2)),codigos!$H$2:$I$62,2,1) &amp; " " &amp; VLOOKUP(VALUE(MID($A95,21,2)),codigos!$K$2:$L$12,2,FALSE)</f>
        <v>GALVANIZADO S/I</v>
      </c>
      <c r="D95" s="11" t="s">
        <v>1140</v>
      </c>
      <c r="E95" s="11" t="s">
        <v>145</v>
      </c>
      <c r="F95" s="20" t="s">
        <v>1141</v>
      </c>
      <c r="G95" s="20" t="s">
        <v>894</v>
      </c>
      <c r="H95" s="68">
        <v>30</v>
      </c>
      <c r="I95" s="25">
        <v>0</v>
      </c>
      <c r="J95" s="20">
        <f>+H95-I95</f>
        <v>30</v>
      </c>
      <c r="K95" s="156">
        <f>(SUM(I95:I96))/(SUM(H95:H96))</f>
        <v>0</v>
      </c>
    </row>
    <row r="96" spans="1:12" x14ac:dyDescent="0.25">
      <c r="A96" s="20" t="s">
        <v>212</v>
      </c>
      <c r="B96" s="11" t="str">
        <f>VLOOKUP(VALUE(MID($A96,13,2)), codigos!$A$2:$B$60, 2, 1) &amp; " " &amp; VLOOKUP(VALUE(MID($A96,15,4)), codigos!$E$2:$F$102, 2, FALSE)</f>
        <v>BAÑO 12</v>
      </c>
      <c r="C96" s="11" t="str">
        <f>VLOOKUP(VALUE(MID($A96,19,2)),codigos!$H$2:$I$62,2,1) &amp; " " &amp; VLOOKUP(VALUE(MID($A96,21,2)),codigos!$K$2:$L$12,2,FALSE)</f>
        <v>GALVANIZADO S/I</v>
      </c>
      <c r="D96" s="11" t="s">
        <v>1140</v>
      </c>
      <c r="E96" s="11" t="s">
        <v>145</v>
      </c>
      <c r="F96" s="20" t="s">
        <v>1141</v>
      </c>
      <c r="G96" s="20" t="s">
        <v>894</v>
      </c>
      <c r="H96" s="68">
        <v>30</v>
      </c>
      <c r="I96" s="25">
        <v>0</v>
      </c>
      <c r="J96" s="20">
        <f>+H96-I96</f>
        <v>30</v>
      </c>
      <c r="K96" s="156"/>
    </row>
    <row r="97" spans="1:15" x14ac:dyDescent="0.25">
      <c r="A97" s="20" t="s">
        <v>66</v>
      </c>
      <c r="B97" s="11" t="str">
        <f>VLOOKUP(VALUE(MID($A97,13,2)), codigos!$A$2:$B$60, 2, 1) &amp; " " &amp; VLOOKUP(VALUE(MID($A97,15,4)), codigos!$E$2:$F$102, 2, FALSE)</f>
        <v>PLATO AVENERO 20</v>
      </c>
      <c r="C97" s="11" t="str">
        <f>VLOOKUP(VALUE(MID($A97,19,2)),codigos!$H$2:$I$62,2,1) &amp; " " &amp; VLOOKUP(VALUE(MID($A97,21,2)),codigos!$K$2:$L$12,2,FALSE)</f>
        <v>A/T S/I</v>
      </c>
      <c r="D97" s="11" t="s">
        <v>1140</v>
      </c>
      <c r="E97" s="11" t="s">
        <v>145</v>
      </c>
      <c r="F97" s="20" t="s">
        <v>1142</v>
      </c>
      <c r="G97" s="20" t="s">
        <v>894</v>
      </c>
      <c r="H97" s="25">
        <v>480</v>
      </c>
      <c r="I97" s="25">
        <v>0</v>
      </c>
      <c r="J97" s="15">
        <f>+H97-I97</f>
        <v>480</v>
      </c>
      <c r="K97" s="156">
        <f>(SUM(I97:I98))/(SUM(H97:H98))</f>
        <v>0</v>
      </c>
    </row>
    <row r="98" spans="1:15" x14ac:dyDescent="0.25">
      <c r="A98" s="20" t="s">
        <v>283</v>
      </c>
      <c r="B98" s="11" t="str">
        <f>VLOOKUP(VALUE(MID($A98,13,2)), codigos!$A$2:$B$60, 2, 1) &amp; " " &amp; VLOOKUP(VALUE(MID($A98,15,4)), codigos!$E$2:$F$102, 2, FALSE)</f>
        <v>PLATO AVENERO 20</v>
      </c>
      <c r="C98" s="11" t="str">
        <f>VLOOKUP(VALUE(MID($A98,19,2)),codigos!$H$2:$I$62,2,1) &amp; " " &amp; VLOOKUP(VALUE(MID($A98,21,2)),codigos!$K$2:$L$12,2,FALSE)</f>
        <v>BLANCO  NEGRO</v>
      </c>
      <c r="D98" s="11" t="s">
        <v>1140</v>
      </c>
      <c r="E98" s="11" t="s">
        <v>145</v>
      </c>
      <c r="F98" s="20" t="s">
        <v>1142</v>
      </c>
      <c r="G98" s="20" t="s">
        <v>894</v>
      </c>
      <c r="H98" s="25">
        <v>480</v>
      </c>
      <c r="I98" s="25">
        <v>0</v>
      </c>
      <c r="J98" s="15">
        <f>+H98-I98</f>
        <v>480</v>
      </c>
      <c r="K98" s="156"/>
    </row>
    <row r="99" spans="1:15" s="11" customFormat="1" ht="15" customHeight="1" x14ac:dyDescent="0.2">
      <c r="A99" s="20" t="s">
        <v>229</v>
      </c>
      <c r="B99" s="20" t="str">
        <f>VLOOKUP(VALUE(MID($A99,13,2)), [2]codigos!$A$2:$B$60, 2, 1) &amp; " " &amp; VLOOKUP(VALUE(MID($A99,15,4)), [2]codigos!$E$2:$F$102, 2, FALSE)</f>
        <v>BATERIA ALASKA</v>
      </c>
      <c r="C99" s="20" t="str">
        <f>VLOOKUP(VALUE(MID($A99,19,2)),[2]codigos!$H$2:$I$62,2,1) &amp; " " &amp; VLOOKUP(VALUE(MID($A99,21,2)),[2]codigos!$K$2:$L$12,2,FALSE)</f>
        <v>S/I S/I</v>
      </c>
      <c r="D99" s="20" t="s">
        <v>982</v>
      </c>
      <c r="E99" s="20" t="s">
        <v>34</v>
      </c>
      <c r="F99" s="52" t="s">
        <v>1143</v>
      </c>
      <c r="G99" s="20" t="s">
        <v>1144</v>
      </c>
      <c r="H99" s="20">
        <v>20</v>
      </c>
      <c r="I99" s="20">
        <v>0</v>
      </c>
      <c r="J99" s="11">
        <f>H99-I99</f>
        <v>20</v>
      </c>
      <c r="K99" s="134">
        <f>(SUM(I99:I102))/(SUM(H99:H102))</f>
        <v>0</v>
      </c>
      <c r="L99" s="18"/>
      <c r="M99" s="92"/>
      <c r="N99" s="19"/>
      <c r="O99" s="20"/>
    </row>
    <row r="100" spans="1:15" s="11" customFormat="1" ht="12.75" x14ac:dyDescent="0.2">
      <c r="A100" s="20" t="s">
        <v>38</v>
      </c>
      <c r="B100" s="20" t="str">
        <f>VLOOKUP(VALUE(MID($A100,13,2)), [2]codigos!$A$2:$B$60, 2, 1) &amp; " " &amp; VLOOKUP(VALUE(MID($A100,15,4)), [2]codigos!$E$2:$F$102, 2, FALSE)</f>
        <v>BUDINERA   42</v>
      </c>
      <c r="C100" s="20" t="str">
        <f>VLOOKUP(VALUE(MID($A100,19,2)),[2]codigos!$H$2:$I$62,2,1) &amp; " " &amp; VLOOKUP(VALUE(MID($A100,21,2)),[2]codigos!$K$2:$L$12,2,FALSE)</f>
        <v>A/T S/I</v>
      </c>
      <c r="D100" s="20" t="s">
        <v>982</v>
      </c>
      <c r="E100" s="20" t="s">
        <v>34</v>
      </c>
      <c r="F100" s="52" t="s">
        <v>1143</v>
      </c>
      <c r="G100" s="20" t="s">
        <v>1144</v>
      </c>
      <c r="H100" s="20">
        <v>60</v>
      </c>
      <c r="I100" s="20">
        <v>0</v>
      </c>
      <c r="J100" s="11">
        <f>H100-I100</f>
        <v>60</v>
      </c>
      <c r="K100" s="134"/>
      <c r="L100" s="18"/>
      <c r="M100" s="92"/>
      <c r="N100" s="19"/>
      <c r="O100" s="20"/>
    </row>
    <row r="101" spans="1:15" s="11" customFormat="1" ht="12.75" x14ac:dyDescent="0.2">
      <c r="A101" s="20" t="s">
        <v>227</v>
      </c>
      <c r="B101" s="20" t="str">
        <f>VLOOKUP(VALUE(MID($A101,13,2)), [2]codigos!$A$2:$B$60, 2, 1) &amp; " " &amp; VLOOKUP(VALUE(MID($A101,15,4)), [2]codigos!$E$2:$F$102, 2, FALSE)</f>
        <v>SARTEN 22</v>
      </c>
      <c r="C101" s="20" t="str">
        <f>VLOOKUP(VALUE(MID($A101,19,2)),[2]codigos!$H$2:$I$62,2,1) &amp; " " &amp; VLOOKUP(VALUE(MID($A101,21,2)),[2]codigos!$K$2:$L$12,2,FALSE)</f>
        <v>A/T S/I</v>
      </c>
      <c r="D101" s="20" t="s">
        <v>982</v>
      </c>
      <c r="E101" s="20" t="s">
        <v>34</v>
      </c>
      <c r="F101" s="52" t="s">
        <v>1143</v>
      </c>
      <c r="G101" s="20" t="s">
        <v>1144</v>
      </c>
      <c r="H101" s="20">
        <v>120</v>
      </c>
      <c r="I101" s="20">
        <v>0</v>
      </c>
      <c r="J101" s="11">
        <f>H101-I101</f>
        <v>120</v>
      </c>
      <c r="K101" s="134"/>
      <c r="L101" s="18"/>
      <c r="M101" s="92"/>
      <c r="N101" s="19"/>
      <c r="O101" s="20"/>
    </row>
    <row r="102" spans="1:15" s="11" customFormat="1" ht="12.75" x14ac:dyDescent="0.2">
      <c r="A102" s="20" t="s">
        <v>44</v>
      </c>
      <c r="B102" s="20" t="str">
        <f>VLOOKUP(VALUE(MID($A102,13,2)), [2]codigos!$A$2:$B$60, 2, 1) &amp; " " &amp; VLOOKUP(VALUE(MID($A102,15,4)), [2]codigos!$E$2:$F$102, 2, FALSE)</f>
        <v>SARTEN 24</v>
      </c>
      <c r="C102" s="20" t="str">
        <f>VLOOKUP(VALUE(MID($A102,19,2)),[2]codigos!$H$2:$I$62,2,1) &amp; " " &amp; VLOOKUP(VALUE(MID($A102,21,2)),[2]codigos!$K$2:$L$12,2,FALSE)</f>
        <v>A/T S/I</v>
      </c>
      <c r="D102" s="20" t="s">
        <v>982</v>
      </c>
      <c r="E102" s="20" t="s">
        <v>34</v>
      </c>
      <c r="F102" s="52" t="s">
        <v>1143</v>
      </c>
      <c r="G102" s="20" t="s">
        <v>1144</v>
      </c>
      <c r="H102" s="20">
        <v>120</v>
      </c>
      <c r="I102" s="20">
        <v>0</v>
      </c>
      <c r="J102" s="11">
        <f>H102-I102</f>
        <v>120</v>
      </c>
      <c r="K102" s="134"/>
      <c r="L102" s="18"/>
      <c r="M102" s="92"/>
      <c r="N102" s="19"/>
      <c r="O102" s="20"/>
    </row>
    <row r="103" spans="1:15" x14ac:dyDescent="0.25">
      <c r="A103" s="20" t="s">
        <v>154</v>
      </c>
      <c r="B103" s="20" t="str">
        <f ca="1">VLOOKUP(VALUE(MID($C103,13,2)), [2]codigos!$A$2:$B$60, 2, 1) &amp; " " &amp; VLOOKUP(VALUE(MID($C103,15,4)), [2]codigos!$E$2:$F$102, 2, FALSE)</f>
        <v>OLLA CONVEXA 30</v>
      </c>
      <c r="C103" s="20" t="str">
        <f ca="1">VLOOKUP(VALUE(MID($C103,19,2)),[2]codigos!$H$2:$I$62,2,1) &amp; " " &amp; VLOOKUP(VALUE(MID($C103,21,2)),[2]codigos!$K$2:$L$12,2,FALSE)</f>
        <v>A/T S/I</v>
      </c>
      <c r="D103" s="20" t="s">
        <v>539</v>
      </c>
      <c r="E103" s="20" t="s">
        <v>34</v>
      </c>
      <c r="F103" s="52" t="s">
        <v>1029</v>
      </c>
      <c r="G103" s="20" t="s">
        <v>1145</v>
      </c>
      <c r="H103" s="20">
        <v>4</v>
      </c>
      <c r="I103" s="20">
        <v>0</v>
      </c>
      <c r="J103" s="11">
        <f>H103-I103</f>
        <v>4</v>
      </c>
      <c r="K103" s="134">
        <f>(SUM(I103:I127))/(SUM(H103:H127))</f>
        <v>0</v>
      </c>
    </row>
    <row r="104" spans="1:15" x14ac:dyDescent="0.25">
      <c r="A104" s="20" t="s">
        <v>255</v>
      </c>
      <c r="B104" s="20" t="str">
        <f ca="1">VLOOKUP(VALUE(MID($C104,13,2)), [2]codigos!$A$2:$B$60, 2, 1) &amp; " " &amp; VLOOKUP(VALUE(MID($C104,15,4)), [2]codigos!$E$2:$F$102, 2, FALSE)</f>
        <v>BUDINERA   12</v>
      </c>
      <c r="C104" s="20" t="str">
        <f ca="1">VLOOKUP(VALUE(MID($C104,19,2)),[2]codigos!$H$2:$I$62,2,1) &amp; " " &amp; VLOOKUP(VALUE(MID($C104,21,2)),[2]codigos!$K$2:$L$12,2,FALSE)</f>
        <v>A/T S/I</v>
      </c>
      <c r="D104" s="20" t="s">
        <v>539</v>
      </c>
      <c r="E104" s="20" t="s">
        <v>34</v>
      </c>
      <c r="F104" s="52" t="s">
        <v>1029</v>
      </c>
      <c r="G104" s="20" t="s">
        <v>865</v>
      </c>
      <c r="H104" s="20">
        <v>90</v>
      </c>
      <c r="I104" s="20">
        <v>0</v>
      </c>
      <c r="J104" s="11">
        <f t="shared" ref="J104:J132" si="2">H104-I104</f>
        <v>90</v>
      </c>
      <c r="K104" s="134"/>
    </row>
    <row r="105" spans="1:15" x14ac:dyDescent="0.25">
      <c r="A105" s="20" t="s">
        <v>256</v>
      </c>
      <c r="B105" s="20" t="str">
        <f ca="1">VLOOKUP(VALUE(MID($C105,13,2)), [2]codigos!$A$2:$B$60, 2, 1) &amp; " " &amp; VLOOKUP(VALUE(MID($C105,15,4)), [2]codigos!$E$2:$F$102, 2, FALSE)</f>
        <v>BUDINERA   14</v>
      </c>
      <c r="C105" s="20" t="str">
        <f ca="1">VLOOKUP(VALUE(MID($C105,19,2)),[2]codigos!$H$2:$I$62,2,1) &amp; " " &amp; VLOOKUP(VALUE(MID($C105,21,2)),[2]codigos!$K$2:$L$12,2,FALSE)</f>
        <v>A/T S/I</v>
      </c>
      <c r="D105" s="20" t="s">
        <v>539</v>
      </c>
      <c r="E105" s="20" t="s">
        <v>34</v>
      </c>
      <c r="F105" s="52" t="s">
        <v>1029</v>
      </c>
      <c r="G105" s="20" t="s">
        <v>865</v>
      </c>
      <c r="H105" s="20">
        <v>90</v>
      </c>
      <c r="I105" s="20">
        <v>0</v>
      </c>
      <c r="J105" s="11">
        <f t="shared" si="2"/>
        <v>90</v>
      </c>
      <c r="K105" s="134"/>
    </row>
    <row r="106" spans="1:15" x14ac:dyDescent="0.25">
      <c r="A106" s="20" t="s">
        <v>189</v>
      </c>
      <c r="B106" s="20" t="str">
        <f ca="1">VLOOKUP(VALUE(MID($C106,13,2)), [2]codigos!$A$2:$B$60, 2, 1) &amp; " " &amp; VLOOKUP(VALUE(MID($C106,15,4)), [2]codigos!$E$2:$F$102, 2, FALSE)</f>
        <v>BUDINERA   16</v>
      </c>
      <c r="C106" s="20" t="str">
        <f ca="1">VLOOKUP(VALUE(MID($C106,19,2)),[2]codigos!$H$2:$I$62,2,1) &amp; " " &amp; VLOOKUP(VALUE(MID($C106,21,2)),[2]codigos!$K$2:$L$12,2,FALSE)</f>
        <v>A/T S/I</v>
      </c>
      <c r="D106" s="20" t="s">
        <v>539</v>
      </c>
      <c r="E106" s="20" t="s">
        <v>34</v>
      </c>
      <c r="F106" s="52" t="s">
        <v>1029</v>
      </c>
      <c r="G106" s="20" t="s">
        <v>865</v>
      </c>
      <c r="H106" s="20">
        <v>72</v>
      </c>
      <c r="I106" s="20">
        <v>0</v>
      </c>
      <c r="J106" s="11">
        <f t="shared" si="2"/>
        <v>72</v>
      </c>
      <c r="K106" s="134"/>
    </row>
    <row r="107" spans="1:15" x14ac:dyDescent="0.25">
      <c r="A107" s="20" t="s">
        <v>214</v>
      </c>
      <c r="B107" s="20" t="str">
        <f ca="1">VLOOKUP(VALUE(MID($C107,13,2)), [2]codigos!$A$2:$B$60, 2, 1) &amp; " " &amp; VLOOKUP(VALUE(MID($C107,15,4)), [2]codigos!$E$2:$F$102, 2, FALSE)</f>
        <v>BUDINERA   18</v>
      </c>
      <c r="C107" s="20" t="str">
        <f ca="1">VLOOKUP(VALUE(MID($C107,19,2)),[2]codigos!$H$2:$I$62,2,1) &amp; " " &amp; VLOOKUP(VALUE(MID($C107,21,2)),[2]codigos!$K$2:$L$12,2,FALSE)</f>
        <v>A/T S/I</v>
      </c>
      <c r="D107" s="20" t="s">
        <v>539</v>
      </c>
      <c r="E107" s="20" t="s">
        <v>34</v>
      </c>
      <c r="F107" s="52" t="s">
        <v>1029</v>
      </c>
      <c r="G107" s="20" t="s">
        <v>865</v>
      </c>
      <c r="H107" s="20">
        <v>72</v>
      </c>
      <c r="I107" s="20">
        <v>0</v>
      </c>
      <c r="J107" s="11">
        <f t="shared" si="2"/>
        <v>72</v>
      </c>
      <c r="K107" s="134"/>
    </row>
    <row r="108" spans="1:15" x14ac:dyDescent="0.25">
      <c r="A108" s="20" t="s">
        <v>215</v>
      </c>
      <c r="B108" s="20" t="str">
        <f ca="1">VLOOKUP(VALUE(MID($C108,13,2)), [2]codigos!$A$2:$B$60, 2, 1) &amp; " " &amp; VLOOKUP(VALUE(MID($C108,15,4)), [2]codigos!$E$2:$F$102, 2, FALSE)</f>
        <v>BUDINERA   20</v>
      </c>
      <c r="C108" s="20" t="str">
        <f ca="1">VLOOKUP(VALUE(MID($C108,19,2)),[2]codigos!$H$2:$I$62,2,1) &amp; " " &amp; VLOOKUP(VALUE(MID($C108,21,2)),[2]codigos!$K$2:$L$12,2,FALSE)</f>
        <v>A/T S/I</v>
      </c>
      <c r="D108" s="20" t="s">
        <v>539</v>
      </c>
      <c r="E108" s="20" t="s">
        <v>34</v>
      </c>
      <c r="F108" s="52" t="s">
        <v>1029</v>
      </c>
      <c r="G108" s="20" t="s">
        <v>865</v>
      </c>
      <c r="H108" s="20">
        <v>72</v>
      </c>
      <c r="I108" s="20">
        <v>0</v>
      </c>
      <c r="J108" s="11">
        <f t="shared" si="2"/>
        <v>72</v>
      </c>
      <c r="K108" s="134"/>
    </row>
    <row r="109" spans="1:15" x14ac:dyDescent="0.25">
      <c r="A109" s="20" t="s">
        <v>241</v>
      </c>
      <c r="B109" s="20" t="str">
        <f ca="1">VLOOKUP(VALUE(MID($C109,13,2)), [2]codigos!$A$2:$B$60, 2, 1) &amp; " " &amp; VLOOKUP(VALUE(MID($C109,15,4)), [2]codigos!$E$2:$F$102, 2, FALSE)</f>
        <v>BUDINERA   22</v>
      </c>
      <c r="C109" s="20" t="str">
        <f ca="1">VLOOKUP(VALUE(MID($C109,19,2)),[2]codigos!$H$2:$I$62,2,1) &amp; " " &amp; VLOOKUP(VALUE(MID($C109,21,2)),[2]codigos!$K$2:$L$12,2,FALSE)</f>
        <v>A/T S/I</v>
      </c>
      <c r="D109" s="20" t="s">
        <v>539</v>
      </c>
      <c r="E109" s="20" t="s">
        <v>34</v>
      </c>
      <c r="F109" s="52" t="s">
        <v>1029</v>
      </c>
      <c r="G109" s="20" t="s">
        <v>865</v>
      </c>
      <c r="H109" s="20">
        <v>36</v>
      </c>
      <c r="I109" s="20">
        <v>0</v>
      </c>
      <c r="J109" s="11">
        <f t="shared" si="2"/>
        <v>36</v>
      </c>
      <c r="K109" s="134"/>
    </row>
    <row r="110" spans="1:15" x14ac:dyDescent="0.25">
      <c r="A110" s="20" t="s">
        <v>169</v>
      </c>
      <c r="B110" s="20" t="str">
        <f ca="1">VLOOKUP(VALUE(MID($C110,13,2)), [2]codigos!$A$2:$B$60, 2, 1) &amp; " " &amp; VLOOKUP(VALUE(MID($C110,15,4)), [2]codigos!$E$2:$F$102, 2, FALSE)</f>
        <v>BUDINERA   30</v>
      </c>
      <c r="C110" s="20" t="str">
        <f ca="1">VLOOKUP(VALUE(MID($C110,19,2)),[2]codigos!$H$2:$I$62,2,1) &amp; " " &amp; VLOOKUP(VALUE(MID($C110,21,2)),[2]codigos!$K$2:$L$12,2,FALSE)</f>
        <v>A/T S/I</v>
      </c>
      <c r="D110" s="20" t="s">
        <v>539</v>
      </c>
      <c r="E110" s="20" t="s">
        <v>34</v>
      </c>
      <c r="F110" s="52" t="s">
        <v>1029</v>
      </c>
      <c r="G110" s="20" t="s">
        <v>865</v>
      </c>
      <c r="H110" s="20">
        <v>20</v>
      </c>
      <c r="I110" s="20">
        <v>0</v>
      </c>
      <c r="J110" s="11">
        <f t="shared" si="2"/>
        <v>20</v>
      </c>
      <c r="K110" s="134"/>
    </row>
    <row r="111" spans="1:15" x14ac:dyDescent="0.25">
      <c r="A111" s="20" t="s">
        <v>173</v>
      </c>
      <c r="B111" s="20" t="str">
        <f ca="1">VLOOKUP(VALUE(MID($C111,13,2)), [2]codigos!$A$2:$B$60, 2, 1) &amp; " " &amp; VLOOKUP(VALUE(MID($C111,15,4)), [2]codigos!$E$2:$F$102, 2, FALSE)</f>
        <v>BUDINERA   34</v>
      </c>
      <c r="C111" s="20" t="str">
        <f ca="1">VLOOKUP(VALUE(MID($C111,19,2)),[2]codigos!$H$2:$I$62,2,1) &amp; " " &amp; VLOOKUP(VALUE(MID($C111,21,2)),[2]codigos!$K$2:$L$12,2,FALSE)</f>
        <v>A/T S/I</v>
      </c>
      <c r="D111" s="20" t="s">
        <v>539</v>
      </c>
      <c r="E111" s="20" t="s">
        <v>34</v>
      </c>
      <c r="F111" s="52" t="s">
        <v>1029</v>
      </c>
      <c r="G111" s="20" t="s">
        <v>865</v>
      </c>
      <c r="H111" s="20">
        <v>8</v>
      </c>
      <c r="I111" s="20">
        <v>0</v>
      </c>
      <c r="J111" s="11">
        <f t="shared" si="2"/>
        <v>8</v>
      </c>
      <c r="K111" s="134"/>
    </row>
    <row r="112" spans="1:15" x14ac:dyDescent="0.25">
      <c r="A112" s="20" t="s">
        <v>38</v>
      </c>
      <c r="B112" s="20" t="str">
        <f ca="1">VLOOKUP(VALUE(MID($C112,13,2)), [2]codigos!$A$2:$B$60, 2, 1) &amp; " " &amp; VLOOKUP(VALUE(MID($C112,15,4)), [2]codigos!$E$2:$F$102, 2, FALSE)</f>
        <v>BUDINERA   42</v>
      </c>
      <c r="C112" s="20" t="str">
        <f ca="1">VLOOKUP(VALUE(MID($C112,19,2)),[2]codigos!$H$2:$I$62,2,1) &amp; " " &amp; VLOOKUP(VALUE(MID($C112,21,2)),[2]codigos!$K$2:$L$12,2,FALSE)</f>
        <v>A/T S/I</v>
      </c>
      <c r="D112" s="20" t="s">
        <v>539</v>
      </c>
      <c r="E112" s="20" t="s">
        <v>34</v>
      </c>
      <c r="F112" s="52" t="s">
        <v>1029</v>
      </c>
      <c r="G112" s="20" t="s">
        <v>865</v>
      </c>
      <c r="H112" s="20">
        <v>4</v>
      </c>
      <c r="I112" s="20">
        <v>0</v>
      </c>
      <c r="J112" s="11">
        <f t="shared" si="2"/>
        <v>4</v>
      </c>
      <c r="K112" s="134"/>
    </row>
    <row r="113" spans="1:11" x14ac:dyDescent="0.25">
      <c r="A113" s="20" t="s">
        <v>344</v>
      </c>
      <c r="B113" s="20" t="str">
        <f ca="1">VLOOKUP(VALUE(MID($C113,13,2)), [2]codigos!$A$2:$B$60, 2, 1) &amp; " " &amp; VLOOKUP(VALUE(MID($C113,15,4)), [2]codigos!$E$2:$F$102, 2, FALSE)</f>
        <v>COMAL 36</v>
      </c>
      <c r="C113" s="20" t="str">
        <f ca="1">VLOOKUP(VALUE(MID($C113,19,2)),[2]codigos!$H$2:$I$62,2,1) &amp; " " &amp; VLOOKUP(VALUE(MID($C113,21,2)),[2]codigos!$K$2:$L$12,2,FALSE)</f>
        <v>NEGRO MOTAS S/I</v>
      </c>
      <c r="D113" s="20" t="s">
        <v>539</v>
      </c>
      <c r="E113" s="20" t="s">
        <v>34</v>
      </c>
      <c r="F113" s="52" t="s">
        <v>1029</v>
      </c>
      <c r="G113" s="20" t="s">
        <v>865</v>
      </c>
      <c r="H113" s="20">
        <v>120</v>
      </c>
      <c r="I113" s="20">
        <v>0</v>
      </c>
      <c r="J113" s="11">
        <f t="shared" si="2"/>
        <v>120</v>
      </c>
      <c r="K113" s="134"/>
    </row>
    <row r="114" spans="1:11" x14ac:dyDescent="0.25">
      <c r="A114" s="20" t="s">
        <v>187</v>
      </c>
      <c r="B114" s="20" t="str">
        <f ca="1">VLOOKUP(VALUE(MID($C114,13,2)), [2]codigos!$A$2:$B$60, 2, 1) &amp; " " &amp; VLOOKUP(VALUE(MID($C114,15,4)), [2]codigos!$E$2:$F$102, 2, FALSE)</f>
        <v>OLLA CONVEXA 12</v>
      </c>
      <c r="C114" s="20" t="str">
        <f ca="1">VLOOKUP(VALUE(MID($C114,19,2)),[2]codigos!$H$2:$I$62,2,1) &amp; " " &amp; VLOOKUP(VALUE(MID($C114,21,2)),[2]codigos!$K$2:$L$12,2,FALSE)</f>
        <v>A/T S/I</v>
      </c>
      <c r="D114" s="20" t="s">
        <v>539</v>
      </c>
      <c r="E114" s="20" t="s">
        <v>34</v>
      </c>
      <c r="F114" s="52" t="s">
        <v>1029</v>
      </c>
      <c r="G114" s="20" t="s">
        <v>865</v>
      </c>
      <c r="H114" s="20">
        <v>72</v>
      </c>
      <c r="I114" s="20">
        <v>0</v>
      </c>
      <c r="J114" s="11">
        <f t="shared" si="2"/>
        <v>72</v>
      </c>
      <c r="K114" s="134"/>
    </row>
    <row r="115" spans="1:11" x14ac:dyDescent="0.25">
      <c r="A115" s="20" t="s">
        <v>333</v>
      </c>
      <c r="B115" s="20" t="str">
        <f ca="1">VLOOKUP(VALUE(MID($C115,13,2)), [2]codigos!$A$2:$B$60, 2, 1) &amp; " " &amp; VLOOKUP(VALUE(MID($C115,15,4)), [2]codigos!$E$2:$F$102, 2, FALSE)</f>
        <v>OLLA CONVEXA 14</v>
      </c>
      <c r="C115" s="20" t="str">
        <f ca="1">VLOOKUP(VALUE(MID($C115,19,2)),[2]codigos!$H$2:$I$62,2,1) &amp; " " &amp; VLOOKUP(VALUE(MID($C115,21,2)),[2]codigos!$K$2:$L$12,2,FALSE)</f>
        <v>A/T S/I</v>
      </c>
      <c r="D115" s="20" t="s">
        <v>539</v>
      </c>
      <c r="E115" s="20" t="s">
        <v>34</v>
      </c>
      <c r="F115" s="52" t="s">
        <v>1029</v>
      </c>
      <c r="G115" s="20" t="s">
        <v>865</v>
      </c>
      <c r="H115" s="20">
        <v>90</v>
      </c>
      <c r="I115" s="20">
        <v>0</v>
      </c>
      <c r="J115" s="11">
        <f t="shared" si="2"/>
        <v>90</v>
      </c>
      <c r="K115" s="134"/>
    </row>
    <row r="116" spans="1:11" x14ac:dyDescent="0.25">
      <c r="A116" s="20" t="s">
        <v>220</v>
      </c>
      <c r="B116" s="20" t="str">
        <f ca="1">VLOOKUP(VALUE(MID($C116,13,2)), [2]codigos!$A$2:$B$60, 2, 1) &amp; " " &amp; VLOOKUP(VALUE(MID($C116,15,4)), [2]codigos!$E$2:$F$102, 2, FALSE)</f>
        <v>OLLA CONVEXA 16</v>
      </c>
      <c r="C116" s="20" t="str">
        <f ca="1">VLOOKUP(VALUE(MID($C116,19,2)),[2]codigos!$H$2:$I$62,2,1) &amp; " " &amp; VLOOKUP(VALUE(MID($C116,21,2)),[2]codigos!$K$2:$L$12,2,FALSE)</f>
        <v>A/T S/I</v>
      </c>
      <c r="D116" s="20" t="s">
        <v>539</v>
      </c>
      <c r="E116" s="20" t="s">
        <v>34</v>
      </c>
      <c r="F116" s="52" t="s">
        <v>1029</v>
      </c>
      <c r="G116" s="20" t="s">
        <v>865</v>
      </c>
      <c r="H116" s="20">
        <v>48</v>
      </c>
      <c r="I116" s="20">
        <v>0</v>
      </c>
      <c r="J116" s="11">
        <f t="shared" si="2"/>
        <v>48</v>
      </c>
      <c r="K116" s="134"/>
    </row>
    <row r="117" spans="1:11" x14ac:dyDescent="0.25">
      <c r="A117" s="20" t="s">
        <v>150</v>
      </c>
      <c r="B117" s="20" t="str">
        <f ca="1">VLOOKUP(VALUE(MID($C117,13,2)), [2]codigos!$A$2:$B$60, 2, 1) &amp; " " &amp; VLOOKUP(VALUE(MID($C117,15,4)), [2]codigos!$E$2:$F$102, 2, FALSE)</f>
        <v>OLLA CONVEXA 18</v>
      </c>
      <c r="C117" s="20" t="str">
        <f ca="1">VLOOKUP(VALUE(MID($C117,19,2)),[2]codigos!$H$2:$I$62,2,1) &amp; " " &amp; VLOOKUP(VALUE(MID($C117,21,2)),[2]codigos!$K$2:$L$12,2,FALSE)</f>
        <v>A/T S/I</v>
      </c>
      <c r="D117" s="20" t="s">
        <v>539</v>
      </c>
      <c r="E117" s="20" t="s">
        <v>34</v>
      </c>
      <c r="F117" s="52" t="s">
        <v>1029</v>
      </c>
      <c r="G117" s="20" t="s">
        <v>865</v>
      </c>
      <c r="H117" s="20">
        <v>48</v>
      </c>
      <c r="I117" s="20">
        <v>0</v>
      </c>
      <c r="J117" s="11">
        <f t="shared" si="2"/>
        <v>48</v>
      </c>
      <c r="K117" s="134"/>
    </row>
    <row r="118" spans="1:11" x14ac:dyDescent="0.25">
      <c r="A118" s="20" t="s">
        <v>152</v>
      </c>
      <c r="B118" s="20" t="str">
        <f ca="1">VLOOKUP(VALUE(MID($C118,13,2)), [2]codigos!$A$2:$B$60, 2, 1) &amp; " " &amp; VLOOKUP(VALUE(MID($C118,15,4)), [2]codigos!$E$2:$F$102, 2, FALSE)</f>
        <v>OLLA CONVEXA 24</v>
      </c>
      <c r="C118" s="20" t="str">
        <f ca="1">VLOOKUP(VALUE(MID($C118,19,2)),[2]codigos!$H$2:$I$62,2,1) &amp; " " &amp; VLOOKUP(VALUE(MID($C118,21,2)),[2]codigos!$K$2:$L$12,2,FALSE)</f>
        <v>A/T S/I</v>
      </c>
      <c r="D118" s="20" t="s">
        <v>539</v>
      </c>
      <c r="E118" s="20" t="s">
        <v>34</v>
      </c>
      <c r="F118" s="52" t="s">
        <v>1029</v>
      </c>
      <c r="G118" s="20" t="s">
        <v>1146</v>
      </c>
      <c r="H118" s="20">
        <v>18</v>
      </c>
      <c r="I118" s="20">
        <v>0</v>
      </c>
      <c r="J118" s="11">
        <f t="shared" si="2"/>
        <v>18</v>
      </c>
      <c r="K118" s="134"/>
    </row>
    <row r="119" spans="1:11" x14ac:dyDescent="0.25">
      <c r="A119" s="20" t="s">
        <v>154</v>
      </c>
      <c r="B119" s="20" t="str">
        <f ca="1">VLOOKUP(VALUE(MID($C119,13,2)), [2]codigos!$A$2:$B$60, 2, 1) &amp; " " &amp; VLOOKUP(VALUE(MID($C119,15,4)), [2]codigos!$E$2:$F$102, 2, FALSE)</f>
        <v>OLLA CONVEXA 30</v>
      </c>
      <c r="C119" s="20" t="str">
        <f ca="1">VLOOKUP(VALUE(MID($C119,19,2)),[2]codigos!$H$2:$I$62,2,1) &amp; " " &amp; VLOOKUP(VALUE(MID($C119,21,2)),[2]codigos!$K$2:$L$12,2,FALSE)</f>
        <v>A/T S/I</v>
      </c>
      <c r="D119" s="20" t="s">
        <v>539</v>
      </c>
      <c r="E119" s="20" t="s">
        <v>34</v>
      </c>
      <c r="F119" s="52" t="s">
        <v>1029</v>
      </c>
      <c r="G119" s="20" t="s">
        <v>865</v>
      </c>
      <c r="H119" s="20">
        <v>8</v>
      </c>
      <c r="I119" s="20">
        <v>0</v>
      </c>
      <c r="J119" s="11">
        <f t="shared" si="2"/>
        <v>8</v>
      </c>
      <c r="K119" s="134"/>
    </row>
    <row r="120" spans="1:11" x14ac:dyDescent="0.25">
      <c r="A120" s="20" t="s">
        <v>257</v>
      </c>
      <c r="B120" s="20" t="str">
        <f ca="1">VLOOKUP(VALUE(MID($C120,13,2)), [2]codigos!$A$2:$B$60, 2, 1) &amp; " " &amp; VLOOKUP(VALUE(MID($C120,15,4)), [2]codigos!$E$2:$F$102, 2, FALSE)</f>
        <v>OLLA RECTA 14</v>
      </c>
      <c r="C120" s="20" t="str">
        <f ca="1">VLOOKUP(VALUE(MID($C120,19,2)),[2]codigos!$H$2:$I$62,2,1) &amp; " " &amp; VLOOKUP(VALUE(MID($C120,21,2)),[2]codigos!$K$2:$L$12,2,FALSE)</f>
        <v>A/T S/I</v>
      </c>
      <c r="D120" s="20" t="s">
        <v>539</v>
      </c>
      <c r="E120" s="20" t="s">
        <v>34</v>
      </c>
      <c r="F120" s="52" t="s">
        <v>1029</v>
      </c>
      <c r="G120" s="20" t="s">
        <v>865</v>
      </c>
      <c r="H120" s="20">
        <v>72</v>
      </c>
      <c r="I120" s="20">
        <v>0</v>
      </c>
      <c r="J120" s="11">
        <f t="shared" si="2"/>
        <v>72</v>
      </c>
      <c r="K120" s="134"/>
    </row>
    <row r="121" spans="1:11" x14ac:dyDescent="0.25">
      <c r="A121" s="20" t="s">
        <v>260</v>
      </c>
      <c r="B121" s="20" t="str">
        <f ca="1">VLOOKUP(VALUE(MID($C121,13,2)), [2]codigos!$A$2:$B$60, 2, 1) &amp; " " &amp; VLOOKUP(VALUE(MID($C121,15,4)), [2]codigos!$E$2:$F$102, 2, FALSE)</f>
        <v>OLLA RECTA 20</v>
      </c>
      <c r="C121" s="20" t="str">
        <f ca="1">VLOOKUP(VALUE(MID($C121,19,2)),[2]codigos!$H$2:$I$62,2,1) &amp; " " &amp; VLOOKUP(VALUE(MID($C121,21,2)),[2]codigos!$K$2:$L$12,2,FALSE)</f>
        <v>A/T S/I</v>
      </c>
      <c r="D121" s="20" t="s">
        <v>539</v>
      </c>
      <c r="E121" s="20" t="s">
        <v>34</v>
      </c>
      <c r="F121" s="52" t="s">
        <v>1029</v>
      </c>
      <c r="G121" s="20" t="s">
        <v>865</v>
      </c>
      <c r="H121" s="20">
        <v>24</v>
      </c>
      <c r="I121" s="20">
        <v>0</v>
      </c>
      <c r="J121" s="11">
        <f t="shared" si="2"/>
        <v>24</v>
      </c>
      <c r="K121" s="134"/>
    </row>
    <row r="122" spans="1:11" x14ac:dyDescent="0.25">
      <c r="A122" s="20" t="s">
        <v>155</v>
      </c>
      <c r="B122" s="20" t="str">
        <f ca="1">VLOOKUP(VALUE(MID($C122,13,2)), [2]codigos!$A$2:$B$60, 2, 1) &amp; " " &amp; VLOOKUP(VALUE(MID($C122,15,4)), [2]codigos!$E$2:$F$102, 2, FALSE)</f>
        <v>OLLA RECTA 30</v>
      </c>
      <c r="C122" s="20" t="str">
        <f ca="1">VLOOKUP(VALUE(MID($C122,19,2)),[2]codigos!$H$2:$I$62,2,1) &amp; " " &amp; VLOOKUP(VALUE(MID($C122,21,2)),[2]codigos!$K$2:$L$12,2,FALSE)</f>
        <v>A/T S/I</v>
      </c>
      <c r="D122" s="20" t="s">
        <v>539</v>
      </c>
      <c r="E122" s="20" t="s">
        <v>34</v>
      </c>
      <c r="F122" s="52" t="s">
        <v>1029</v>
      </c>
      <c r="G122" s="20" t="s">
        <v>865</v>
      </c>
      <c r="H122" s="20">
        <v>8</v>
      </c>
      <c r="I122" s="20">
        <v>0</v>
      </c>
      <c r="J122" s="11">
        <f t="shared" si="2"/>
        <v>8</v>
      </c>
      <c r="K122" s="134"/>
    </row>
    <row r="123" spans="1:11" x14ac:dyDescent="0.25">
      <c r="A123" s="20" t="s">
        <v>156</v>
      </c>
      <c r="B123" s="20" t="str">
        <f ca="1">VLOOKUP(VALUE(MID($C123,13,2)), [2]codigos!$A$2:$B$60, 2, 1) &amp; " " &amp; VLOOKUP(VALUE(MID($C123,15,4)), [2]codigos!$E$2:$F$102, 2, FALSE)</f>
        <v>OLLA RECTA 34</v>
      </c>
      <c r="C123" s="20" t="str">
        <f ca="1">VLOOKUP(VALUE(MID($C123,19,2)),[2]codigos!$H$2:$I$62,2,1) &amp; " " &amp; VLOOKUP(VALUE(MID($C123,21,2)),[2]codigos!$K$2:$L$12,2,FALSE)</f>
        <v>A/T S/I</v>
      </c>
      <c r="D123" s="20" t="s">
        <v>539</v>
      </c>
      <c r="E123" s="20" t="s">
        <v>34</v>
      </c>
      <c r="F123" s="52" t="s">
        <v>1029</v>
      </c>
      <c r="G123" s="20" t="s">
        <v>865</v>
      </c>
      <c r="H123" s="20">
        <v>6</v>
      </c>
      <c r="I123" s="20">
        <v>0</v>
      </c>
      <c r="J123" s="11">
        <f t="shared" si="2"/>
        <v>6</v>
      </c>
      <c r="K123" s="134"/>
    </row>
    <row r="124" spans="1:11" x14ac:dyDescent="0.25">
      <c r="A124" s="20" t="s">
        <v>66</v>
      </c>
      <c r="B124" s="20" t="str">
        <f ca="1">VLOOKUP(VALUE(MID($C124,13,2)), [2]codigos!$A$2:$B$60, 2, 1) &amp; " " &amp; VLOOKUP(VALUE(MID($C124,15,4)), [2]codigos!$E$2:$F$102, 2, FALSE)</f>
        <v>PLATO AVENERO 20</v>
      </c>
      <c r="C124" s="20" t="str">
        <f ca="1">VLOOKUP(VALUE(MID($C124,19,2)),[2]codigos!$H$2:$I$62,2,1) &amp; " " &amp; VLOOKUP(VALUE(MID($C124,21,2)),[2]codigos!$K$2:$L$12,2,FALSE)</f>
        <v>A/T S/I</v>
      </c>
      <c r="D124" s="20" t="s">
        <v>539</v>
      </c>
      <c r="E124" s="20" t="s">
        <v>34</v>
      </c>
      <c r="F124" s="52" t="s">
        <v>1029</v>
      </c>
      <c r="G124" s="20" t="s">
        <v>865</v>
      </c>
      <c r="H124" s="20">
        <v>72</v>
      </c>
      <c r="I124" s="20">
        <v>0</v>
      </c>
      <c r="J124" s="11">
        <f t="shared" si="2"/>
        <v>72</v>
      </c>
      <c r="K124" s="134"/>
    </row>
    <row r="125" spans="1:11" x14ac:dyDescent="0.25">
      <c r="A125" s="20" t="s">
        <v>180</v>
      </c>
      <c r="B125" s="20" t="str">
        <f ca="1">VLOOKUP(VALUE(MID($C125,13,2)), [2]codigos!$A$2:$B$60, 2, 1) &amp; " " &amp; VLOOKUP(VALUE(MID($C125,15,4)), [2]codigos!$E$2:$F$102, 2, FALSE)</f>
        <v>POCILLO 12</v>
      </c>
      <c r="C125" s="20" t="str">
        <f ca="1">VLOOKUP(VALUE(MID($C125,19,2)),[2]codigos!$H$2:$I$62,2,1) &amp; " " &amp; VLOOKUP(VALUE(MID($C125,21,2)),[2]codigos!$K$2:$L$12,2,FALSE)</f>
        <v>A/T S/I</v>
      </c>
      <c r="D125" s="20" t="s">
        <v>539</v>
      </c>
      <c r="E125" s="20" t="s">
        <v>34</v>
      </c>
      <c r="F125" s="52" t="s">
        <v>1029</v>
      </c>
      <c r="G125" s="20" t="s">
        <v>865</v>
      </c>
      <c r="H125" s="20">
        <v>180</v>
      </c>
      <c r="I125" s="20">
        <v>0</v>
      </c>
      <c r="J125" s="11">
        <f t="shared" si="2"/>
        <v>180</v>
      </c>
      <c r="K125" s="134"/>
    </row>
    <row r="126" spans="1:11" x14ac:dyDescent="0.25">
      <c r="A126" s="20" t="s">
        <v>182</v>
      </c>
      <c r="B126" s="20" t="str">
        <f ca="1">VLOOKUP(VALUE(MID($C126,13,2)), [2]codigos!$A$2:$B$60, 2, 1) &amp; " " &amp; VLOOKUP(VALUE(MID($C126,15,4)), [2]codigos!$E$2:$F$102, 2, FALSE)</f>
        <v>POCILLO 14</v>
      </c>
      <c r="C126" s="20" t="str">
        <f ca="1">VLOOKUP(VALUE(MID($C126,19,2)),[2]codigos!$H$2:$I$62,2,1) &amp; " " &amp; VLOOKUP(VALUE(MID($C126,21,2)),[2]codigos!$K$2:$L$12,2,FALSE)</f>
        <v>A/T S/I</v>
      </c>
      <c r="D126" s="20" t="s">
        <v>539</v>
      </c>
      <c r="E126" s="20" t="s">
        <v>34</v>
      </c>
      <c r="F126" s="52" t="s">
        <v>1029</v>
      </c>
      <c r="G126" s="20" t="s">
        <v>865</v>
      </c>
      <c r="H126" s="20">
        <v>90</v>
      </c>
      <c r="I126" s="20">
        <v>0</v>
      </c>
      <c r="J126" s="11">
        <f t="shared" si="2"/>
        <v>90</v>
      </c>
      <c r="K126" s="134"/>
    </row>
    <row r="127" spans="1:11" x14ac:dyDescent="0.25">
      <c r="A127" s="20" t="s">
        <v>125</v>
      </c>
      <c r="B127" s="20" t="str">
        <f ca="1">VLOOKUP(VALUE(MID($C127,13,2)), [2]codigos!$A$2:$B$60, 2, 1) &amp; " " &amp; VLOOKUP(VALUE(MID($C127,15,4)), [2]codigos!$E$2:$F$102, 2, FALSE)</f>
        <v>POCILLO 14</v>
      </c>
      <c r="C127" s="20" t="str">
        <f ca="1">VLOOKUP(VALUE(MID($C127,19,2)),[2]codigos!$H$2:$I$62,2,1) &amp; " " &amp; VLOOKUP(VALUE(MID($C127,21,2)),[2]codigos!$K$2:$L$12,2,FALSE)</f>
        <v>BICOLOR AZUL S/I</v>
      </c>
      <c r="D127" s="20" t="s">
        <v>539</v>
      </c>
      <c r="E127" s="20" t="s">
        <v>34</v>
      </c>
      <c r="F127" s="52" t="s">
        <v>1029</v>
      </c>
      <c r="G127" s="20" t="s">
        <v>865</v>
      </c>
      <c r="H127" s="20">
        <v>36</v>
      </c>
      <c r="I127" s="20">
        <v>0</v>
      </c>
      <c r="J127" s="11">
        <f t="shared" si="2"/>
        <v>36</v>
      </c>
      <c r="K127" s="134"/>
    </row>
    <row r="128" spans="1:11" x14ac:dyDescent="0.25">
      <c r="A128" s="20" t="s">
        <v>72</v>
      </c>
      <c r="B128" s="20" t="str">
        <f ca="1">VLOOKUP(VALUE(MID($C128,13,2)), [2]codigos!$A$2:$B$60, 2, 1) &amp; " " &amp; VLOOKUP(VALUE(MID($C128,15,4)), [2]codigos!$E$2:$F$102, 2, FALSE)</f>
        <v>PLATO LISO 27</v>
      </c>
      <c r="C128" s="20" t="str">
        <f ca="1">VLOOKUP(VALUE(MID($C128,19,2)),[2]codigos!$H$2:$I$62,2,1) &amp; " " &amp; VLOOKUP(VALUE(MID($C128,21,2)),[2]codigos!$K$2:$L$12,2,FALSE)</f>
        <v>BLANCO  NEGRO</v>
      </c>
      <c r="D128" s="20" t="s">
        <v>539</v>
      </c>
      <c r="E128" s="20" t="s">
        <v>34</v>
      </c>
      <c r="F128" s="52" t="s">
        <v>1027</v>
      </c>
      <c r="G128" s="20" t="s">
        <v>865</v>
      </c>
      <c r="H128" s="20">
        <v>120</v>
      </c>
      <c r="I128" s="20">
        <v>0</v>
      </c>
      <c r="J128" s="11">
        <f t="shared" si="2"/>
        <v>120</v>
      </c>
      <c r="K128" s="134">
        <f>(SUM(I128:I132))/(SUM(H128:H132))</f>
        <v>0</v>
      </c>
    </row>
    <row r="129" spans="1:11" x14ac:dyDescent="0.25">
      <c r="A129" s="20" t="s">
        <v>73</v>
      </c>
      <c r="B129" s="20" t="str">
        <f ca="1">VLOOKUP(VALUE(MID($C129,13,2)), [2]codigos!$A$2:$B$60, 2, 1) &amp; " " &amp; VLOOKUP(VALUE(MID($C129,15,4)), [2]codigos!$E$2:$F$102, 2, FALSE)</f>
        <v>POCILLO 5</v>
      </c>
      <c r="C129" s="20" t="str">
        <f ca="1">VLOOKUP(VALUE(MID($C129,19,2)),[2]codigos!$H$2:$I$62,2,1) &amp; " " &amp; VLOOKUP(VALUE(MID($C129,21,2)),[2]codigos!$K$2:$L$12,2,FALSE)</f>
        <v>A/T S/I</v>
      </c>
      <c r="D129" s="20" t="s">
        <v>539</v>
      </c>
      <c r="E129" s="20" t="s">
        <v>34</v>
      </c>
      <c r="F129" s="52" t="s">
        <v>1027</v>
      </c>
      <c r="G129" s="20" t="s">
        <v>865</v>
      </c>
      <c r="H129" s="20">
        <v>48</v>
      </c>
      <c r="I129" s="20">
        <v>0</v>
      </c>
      <c r="J129" s="11">
        <f t="shared" si="2"/>
        <v>48</v>
      </c>
      <c r="K129" s="134"/>
    </row>
    <row r="130" spans="1:11" x14ac:dyDescent="0.25">
      <c r="A130" s="20" t="s">
        <v>75</v>
      </c>
      <c r="B130" s="20" t="str">
        <f ca="1">VLOOKUP(VALUE(MID($C130,13,2)), [2]codigos!$A$2:$B$60, 2, 1) &amp; " " &amp; VLOOKUP(VALUE(MID($C130,15,4)), [2]codigos!$E$2:$F$102, 2, FALSE)</f>
        <v>POCILLO 5</v>
      </c>
      <c r="C130" s="20" t="str">
        <f ca="1">VLOOKUP(VALUE(MID($C130,19,2)),[2]codigos!$H$2:$I$62,2,1) &amp; " " &amp; VLOOKUP(VALUE(MID($C130,21,2)),[2]codigos!$K$2:$L$12,2,FALSE)</f>
        <v>BLANCO  NEGRO</v>
      </c>
      <c r="D130" s="20" t="s">
        <v>539</v>
      </c>
      <c r="E130" s="20" t="s">
        <v>34</v>
      </c>
      <c r="F130" s="52" t="s">
        <v>1027</v>
      </c>
      <c r="G130" s="20" t="s">
        <v>865</v>
      </c>
      <c r="H130" s="20">
        <v>120</v>
      </c>
      <c r="I130" s="20">
        <v>0</v>
      </c>
      <c r="J130" s="11">
        <f t="shared" si="2"/>
        <v>120</v>
      </c>
      <c r="K130" s="134"/>
    </row>
    <row r="131" spans="1:11" x14ac:dyDescent="0.25">
      <c r="A131" s="20" t="s">
        <v>299</v>
      </c>
      <c r="B131" s="20" t="str">
        <f ca="1">VLOOKUP(VALUE(MID($C131,13,2)), [2]codigos!$A$2:$B$60, 2, 1) &amp; " " &amp; VLOOKUP(VALUE(MID($C131,15,4)), [2]codigos!$E$2:$F$102, 2, FALSE)</f>
        <v>POCILLO 8</v>
      </c>
      <c r="C131" s="20" t="str">
        <f ca="1">VLOOKUP(VALUE(MID($C131,19,2)),[2]codigos!$H$2:$I$62,2,1) &amp; " " &amp; VLOOKUP(VALUE(MID($C131,21,2)),[2]codigos!$K$2:$L$12,2,FALSE)</f>
        <v>BLANCO  NEGRO</v>
      </c>
      <c r="D131" s="20" t="s">
        <v>539</v>
      </c>
      <c r="E131" s="20" t="s">
        <v>34</v>
      </c>
      <c r="F131" s="52" t="s">
        <v>1027</v>
      </c>
      <c r="G131" s="20" t="s">
        <v>865</v>
      </c>
      <c r="H131" s="20">
        <v>72</v>
      </c>
      <c r="I131" s="20">
        <v>0</v>
      </c>
      <c r="J131" s="11">
        <f t="shared" si="2"/>
        <v>72</v>
      </c>
      <c r="K131" s="134"/>
    </row>
    <row r="132" spans="1:11" x14ac:dyDescent="0.25">
      <c r="A132" s="20" t="s">
        <v>1147</v>
      </c>
      <c r="B132" s="20" t="str">
        <f ca="1">VLOOKUP(VALUE(MID($C132,13,2)), [2]codigos!$A$2:$B$60, 2, 1) &amp; " " &amp; VLOOKUP(VALUE(MID($C132,15,4)), [2]codigos!$E$2:$F$102, 2, FALSE)</f>
        <v>POCILLO 5</v>
      </c>
      <c r="C132" s="20" t="str">
        <f ca="1">VLOOKUP(VALUE(MID($C132,19,2)),[2]codigos!$H$2:$I$62,2,1) &amp; " " &amp; VLOOKUP(VALUE(MID($C132,21,2)),[2]codigos!$K$2:$L$12,2,FALSE)</f>
        <v>NEGRO S/I</v>
      </c>
      <c r="D132" s="20" t="s">
        <v>539</v>
      </c>
      <c r="E132" s="20" t="s">
        <v>34</v>
      </c>
      <c r="F132" s="52" t="s">
        <v>1027</v>
      </c>
      <c r="G132" s="20" t="s">
        <v>865</v>
      </c>
      <c r="H132" s="20">
        <v>24</v>
      </c>
      <c r="I132" s="20">
        <v>0</v>
      </c>
      <c r="J132" s="11">
        <f t="shared" si="2"/>
        <v>24</v>
      </c>
      <c r="K132" s="134"/>
    </row>
    <row r="133" spans="1:11" x14ac:dyDescent="0.25">
      <c r="A133" s="20" t="s">
        <v>209</v>
      </c>
      <c r="B133" s="20" t="str">
        <f ca="1">VLOOKUP(VALUE(MID($C133,13,2)), codigos!$A$2:$B$60, 2, 1) &amp; " " &amp; VLOOKUP(VALUE(MID($C133,15,4)), codigos!$E$2:$F$102, 2, FALSE)</f>
        <v>BAÑO 2</v>
      </c>
      <c r="C133" s="20" t="str">
        <f ca="1">VLOOKUP(VALUE(MID($C133,19,2)),codigos!$H$2:$I$62,2,1) &amp; " " &amp; VLOOKUP(VALUE(MID($C133,21,2)),codigos!$K$2:$L$12,2,FALSE)</f>
        <v>GALVANIZADO S/I</v>
      </c>
      <c r="D133" s="20" t="s">
        <v>207</v>
      </c>
      <c r="E133" s="20" t="s">
        <v>34</v>
      </c>
      <c r="F133" s="52" t="s">
        <v>837</v>
      </c>
      <c r="G133" s="20" t="s">
        <v>838</v>
      </c>
      <c r="H133" s="20">
        <v>20</v>
      </c>
      <c r="I133" s="20">
        <v>20</v>
      </c>
      <c r="J133" s="11">
        <f t="shared" ref="J133:J196" si="3">+H133-I133</f>
        <v>0</v>
      </c>
      <c r="K133" s="20"/>
    </row>
    <row r="134" spans="1:11" x14ac:dyDescent="0.25">
      <c r="A134" s="20" t="s">
        <v>158</v>
      </c>
      <c r="B134" s="20" t="str">
        <f ca="1">VLOOKUP(VALUE(MID($C134,13,2)), codigos!$A$2:$B$60, 2, 1) &amp; " " &amp; VLOOKUP(VALUE(MID($C134,15,4)), codigos!$E$2:$F$102, 2, FALSE)</f>
        <v>BAÑO 3</v>
      </c>
      <c r="C134" s="20" t="str">
        <f ca="1">VLOOKUP(VALUE(MID($C134,19,2)),codigos!$H$2:$I$62,2,1) &amp; " " &amp; VLOOKUP(VALUE(MID($C134,21,2)),codigos!$K$2:$L$12,2,FALSE)</f>
        <v>GALVANIZADO S/I</v>
      </c>
      <c r="D134" s="20" t="s">
        <v>207</v>
      </c>
      <c r="E134" s="20" t="s">
        <v>34</v>
      </c>
      <c r="F134" s="52" t="s">
        <v>837</v>
      </c>
      <c r="G134" s="20" t="s">
        <v>838</v>
      </c>
      <c r="H134" s="20">
        <v>3</v>
      </c>
      <c r="I134" s="20">
        <v>0</v>
      </c>
      <c r="J134" s="11">
        <f t="shared" si="3"/>
        <v>3</v>
      </c>
      <c r="K134" s="20"/>
    </row>
    <row r="135" spans="1:11" x14ac:dyDescent="0.25">
      <c r="A135" s="20" t="s">
        <v>32</v>
      </c>
      <c r="B135" s="20" t="str">
        <f ca="1">VLOOKUP(VALUE(MID($C135,13,2)), codigos!$A$2:$B$60, 2, 1) &amp; " " &amp; VLOOKUP(VALUE(MID($C135,15,4)), codigos!$E$2:$F$102, 2, FALSE)</f>
        <v>BAÑO 5</v>
      </c>
      <c r="C135" s="20" t="str">
        <f ca="1">VLOOKUP(VALUE(MID($C135,19,2)),codigos!$H$2:$I$62,2,1) &amp; " " &amp; VLOOKUP(VALUE(MID($C135,21,2)),codigos!$K$2:$L$12,2,FALSE)</f>
        <v>GALVANIZADO S/I</v>
      </c>
      <c r="D135" s="20" t="s">
        <v>207</v>
      </c>
      <c r="E135" s="20" t="s">
        <v>34</v>
      </c>
      <c r="F135" s="52" t="s">
        <v>837</v>
      </c>
      <c r="G135" s="20" t="s">
        <v>838</v>
      </c>
      <c r="H135" s="20">
        <v>20</v>
      </c>
      <c r="I135" s="20">
        <v>0</v>
      </c>
      <c r="J135" s="11">
        <f t="shared" si="3"/>
        <v>20</v>
      </c>
      <c r="K135" s="20">
        <f>(SUM(I133:I135))/(SUM(H133:H135))</f>
        <v>0.46511627906976744</v>
      </c>
    </row>
    <row r="136" spans="1:11" x14ac:dyDescent="0.25">
      <c r="A136" s="20" t="s">
        <v>19</v>
      </c>
      <c r="B136" s="20" t="str">
        <f ca="1">VLOOKUP(VALUE(MID($C136,13,2)), codigos!$A$2:$B$60, 2, 1) &amp; " " &amp; VLOOKUP(VALUE(MID($C136,15,4)), codigos!$E$2:$F$102, 2, FALSE)</f>
        <v>BACINICA 24</v>
      </c>
      <c r="C136" s="20" t="str">
        <f ca="1">VLOOKUP(VALUE(MID($C136,19,2)),codigos!$H$2:$I$62,2,1) &amp; " " &amp; VLOOKUP(VALUE(MID($C136,21,2)),codigos!$K$2:$L$12,2,FALSE)</f>
        <v>BLANCO  NEGRO</v>
      </c>
      <c r="D136" s="20" t="s">
        <v>207</v>
      </c>
      <c r="E136" s="20" t="s">
        <v>34</v>
      </c>
      <c r="F136" s="52" t="s">
        <v>839</v>
      </c>
      <c r="G136" s="20" t="s">
        <v>838</v>
      </c>
      <c r="H136" s="20">
        <v>36</v>
      </c>
      <c r="I136" s="20">
        <f>29+7</f>
        <v>36</v>
      </c>
      <c r="J136" s="11">
        <f t="shared" si="3"/>
        <v>0</v>
      </c>
      <c r="K136" s="20"/>
    </row>
    <row r="137" spans="1:11" x14ac:dyDescent="0.25">
      <c r="A137" s="20" t="s">
        <v>217</v>
      </c>
      <c r="B137" s="20" t="str">
        <f ca="1">VLOOKUP(VALUE(MID($C137,13,2)), codigos!$A$2:$B$60, 2, 1) &amp; " " &amp; VLOOKUP(VALUE(MID($C137,15,4)), codigos!$E$2:$F$102, 2, FALSE)</f>
        <v>BUDINERA   24</v>
      </c>
      <c r="C137" s="20" t="str">
        <f ca="1">VLOOKUP(VALUE(MID($C137,19,2)),codigos!$H$2:$I$62,2,1) &amp; " " &amp; VLOOKUP(VALUE(MID($C137,21,2)),codigos!$K$2:$L$12,2,FALSE)</f>
        <v>BICOLOR AZUL S/I</v>
      </c>
      <c r="D137" s="20" t="s">
        <v>207</v>
      </c>
      <c r="E137" s="20" t="s">
        <v>34</v>
      </c>
      <c r="F137" s="52" t="s">
        <v>839</v>
      </c>
      <c r="G137" s="20" t="s">
        <v>838</v>
      </c>
      <c r="H137" s="20">
        <v>36</v>
      </c>
      <c r="I137" s="20">
        <f>11+24+1</f>
        <v>36</v>
      </c>
      <c r="J137" s="11">
        <f t="shared" si="3"/>
        <v>0</v>
      </c>
      <c r="K137" s="20"/>
    </row>
    <row r="138" spans="1:11" x14ac:dyDescent="0.25">
      <c r="A138" s="20" t="s">
        <v>38</v>
      </c>
      <c r="B138" s="20" t="str">
        <f ca="1">VLOOKUP(VALUE(MID($C138,13,2)), codigos!$A$2:$B$60, 2, 1) &amp; " " &amp; VLOOKUP(VALUE(MID($C138,15,4)), codigos!$E$2:$F$102, 2, FALSE)</f>
        <v>BUDINERA   42</v>
      </c>
      <c r="C138" s="20" t="str">
        <f ca="1">VLOOKUP(VALUE(MID($C138,19,2)),codigos!$H$2:$I$62,2,1) &amp; " " &amp; VLOOKUP(VALUE(MID($C138,21,2)),codigos!$K$2:$L$12,2,FALSE)</f>
        <v>A/T S/I</v>
      </c>
      <c r="D138" s="20" t="s">
        <v>207</v>
      </c>
      <c r="E138" s="20" t="s">
        <v>34</v>
      </c>
      <c r="F138" s="52" t="s">
        <v>839</v>
      </c>
      <c r="G138" s="20" t="s">
        <v>838</v>
      </c>
      <c r="H138" s="20">
        <v>40</v>
      </c>
      <c r="I138" s="20">
        <v>0</v>
      </c>
      <c r="J138" s="11">
        <f t="shared" si="3"/>
        <v>40</v>
      </c>
      <c r="K138" s="20"/>
    </row>
    <row r="139" spans="1:11" x14ac:dyDescent="0.25">
      <c r="A139" s="20" t="s">
        <v>150</v>
      </c>
      <c r="B139" s="20" t="str">
        <f ca="1">VLOOKUP(VALUE(MID($C139,13,2)), codigos!$A$2:$B$60, 2, 1) &amp; " " &amp; VLOOKUP(VALUE(MID($C139,15,4)), codigos!$E$2:$F$102, 2, FALSE)</f>
        <v>OLLA CONVEXA 18</v>
      </c>
      <c r="C139" s="20" t="str">
        <f ca="1">VLOOKUP(VALUE(MID($C139,19,2)),codigos!$H$2:$I$62,2,1) &amp; " " &amp; VLOOKUP(VALUE(MID($C139,21,2)),codigos!$K$2:$L$12,2,FALSE)</f>
        <v>A/T S/I</v>
      </c>
      <c r="D139" s="20" t="s">
        <v>207</v>
      </c>
      <c r="E139" s="20" t="s">
        <v>34</v>
      </c>
      <c r="F139" s="52" t="s">
        <v>839</v>
      </c>
      <c r="G139" s="20" t="s">
        <v>838</v>
      </c>
      <c r="H139" s="20">
        <v>48</v>
      </c>
      <c r="I139" s="20">
        <v>0</v>
      </c>
      <c r="J139" s="11">
        <f t="shared" si="3"/>
        <v>48</v>
      </c>
      <c r="K139" s="20"/>
    </row>
    <row r="140" spans="1:11" x14ac:dyDescent="0.25">
      <c r="A140" s="20" t="s">
        <v>151</v>
      </c>
      <c r="B140" s="20" t="str">
        <f ca="1">VLOOKUP(VALUE(MID($C140,13,2)), codigos!$A$2:$B$60, 2, 1) &amp; " " &amp; VLOOKUP(VALUE(MID($C140,15,4)), codigos!$E$2:$F$102, 2, FALSE)</f>
        <v>OLLA CONVEXA 20</v>
      </c>
      <c r="C140" s="20" t="str">
        <f ca="1">VLOOKUP(VALUE(MID($C140,19,2)),codigos!$H$2:$I$62,2,1) &amp; " " &amp; VLOOKUP(VALUE(MID($C140,21,2)),codigos!$K$2:$L$12,2,FALSE)</f>
        <v>A/T S/I</v>
      </c>
      <c r="D140" s="20" t="s">
        <v>207</v>
      </c>
      <c r="E140" s="20" t="s">
        <v>34</v>
      </c>
      <c r="F140" s="52" t="s">
        <v>839</v>
      </c>
      <c r="G140" s="20" t="s">
        <v>838</v>
      </c>
      <c r="H140" s="20">
        <v>12</v>
      </c>
      <c r="I140" s="20">
        <v>0</v>
      </c>
      <c r="J140" s="11">
        <f t="shared" si="3"/>
        <v>12</v>
      </c>
      <c r="K140" s="20"/>
    </row>
    <row r="141" spans="1:11" x14ac:dyDescent="0.25">
      <c r="A141" s="20" t="s">
        <v>223</v>
      </c>
      <c r="B141" s="20" t="str">
        <f ca="1">VLOOKUP(VALUE(MID($C141,13,2)), codigos!$A$2:$B$60, 2, 1) &amp; " " &amp; VLOOKUP(VALUE(MID($C141,15,4)), codigos!$E$2:$F$102, 2, FALSE)</f>
        <v>OLLA RECTA 24</v>
      </c>
      <c r="C141" s="20" t="str">
        <f ca="1">VLOOKUP(VALUE(MID($C141,19,2)),codigos!$H$2:$I$62,2,1) &amp; " " &amp; VLOOKUP(VALUE(MID($C141,21,2)),codigos!$K$2:$L$12,2,FALSE)</f>
        <v>BICOLOR AZUL S/I</v>
      </c>
      <c r="D141" s="20" t="s">
        <v>207</v>
      </c>
      <c r="E141" s="20" t="s">
        <v>34</v>
      </c>
      <c r="F141" s="52" t="s">
        <v>839</v>
      </c>
      <c r="G141" s="20" t="s">
        <v>838</v>
      </c>
      <c r="H141" s="20">
        <v>2</v>
      </c>
      <c r="I141" s="20">
        <f>1+1</f>
        <v>2</v>
      </c>
      <c r="J141" s="11">
        <f t="shared" si="3"/>
        <v>0</v>
      </c>
      <c r="K141" s="20"/>
    </row>
    <row r="142" spans="1:11" x14ac:dyDescent="0.25">
      <c r="A142" s="20" t="s">
        <v>156</v>
      </c>
      <c r="B142" s="20" t="str">
        <f ca="1">VLOOKUP(VALUE(MID($C142,13,2)), codigos!$A$2:$B$60, 2, 1) &amp; " " &amp; VLOOKUP(VALUE(MID($C142,15,4)), codigos!$E$2:$F$102, 2, FALSE)</f>
        <v>OLLA RECTA 34</v>
      </c>
      <c r="C142" s="20" t="str">
        <f ca="1">VLOOKUP(VALUE(MID($C142,19,2)),codigos!$H$2:$I$62,2,1) &amp; " " &amp; VLOOKUP(VALUE(MID($C142,21,2)),codigos!$K$2:$L$12,2,FALSE)</f>
        <v>A/T S/I</v>
      </c>
      <c r="D142" s="20" t="s">
        <v>207</v>
      </c>
      <c r="E142" s="20" t="s">
        <v>34</v>
      </c>
      <c r="F142" s="52" t="s">
        <v>839</v>
      </c>
      <c r="G142" s="20" t="s">
        <v>838</v>
      </c>
      <c r="H142" s="20">
        <v>10</v>
      </c>
      <c r="I142" s="20">
        <v>0</v>
      </c>
      <c r="J142" s="11">
        <f t="shared" si="3"/>
        <v>10</v>
      </c>
      <c r="K142" s="20"/>
    </row>
    <row r="143" spans="1:11" x14ac:dyDescent="0.25">
      <c r="A143" s="20" t="s">
        <v>227</v>
      </c>
      <c r="B143" s="20" t="str">
        <f ca="1">VLOOKUP(VALUE(MID($C143,13,2)), codigos!$A$2:$B$60, 2, 1) &amp; " " &amp; VLOOKUP(VALUE(MID($C143,15,4)), codigos!$E$2:$F$102, 2, FALSE)</f>
        <v>SARTEN 22</v>
      </c>
      <c r="C143" s="20" t="str">
        <f ca="1">VLOOKUP(VALUE(MID($C143,19,2)),codigos!$H$2:$I$62,2,1) &amp; " " &amp; VLOOKUP(VALUE(MID($C143,21,2)),codigos!$K$2:$L$12,2,FALSE)</f>
        <v>A/T S/I</v>
      </c>
      <c r="D143" s="20" t="s">
        <v>207</v>
      </c>
      <c r="E143" s="20" t="s">
        <v>34</v>
      </c>
      <c r="F143" s="52" t="s">
        <v>839</v>
      </c>
      <c r="G143" s="20" t="s">
        <v>838</v>
      </c>
      <c r="H143" s="20">
        <v>120</v>
      </c>
      <c r="I143" s="20">
        <f>2+3</f>
        <v>5</v>
      </c>
      <c r="J143" s="11">
        <f t="shared" si="3"/>
        <v>115</v>
      </c>
      <c r="K143" s="20"/>
    </row>
    <row r="144" spans="1:11" x14ac:dyDescent="0.25">
      <c r="A144" s="20" t="s">
        <v>44</v>
      </c>
      <c r="B144" s="20" t="str">
        <f ca="1">VLOOKUP(VALUE(MID($C144,13,2)), codigos!$A$2:$B$60, 2, 1) &amp; " " &amp; VLOOKUP(VALUE(MID($C144,15,4)), codigos!$E$2:$F$102, 2, FALSE)</f>
        <v>SARTEN 24</v>
      </c>
      <c r="C144" s="20" t="str">
        <f ca="1">VLOOKUP(VALUE(MID($C144,19,2)),codigos!$H$2:$I$62,2,1) &amp; " " &amp; VLOOKUP(VALUE(MID($C144,21,2)),codigos!$K$2:$L$12,2,FALSE)</f>
        <v>A/T S/I</v>
      </c>
      <c r="D144" s="20" t="s">
        <v>207</v>
      </c>
      <c r="E144" s="20" t="s">
        <v>34</v>
      </c>
      <c r="F144" s="52" t="s">
        <v>839</v>
      </c>
      <c r="G144" s="20" t="s">
        <v>838</v>
      </c>
      <c r="H144" s="20">
        <v>120</v>
      </c>
      <c r="I144" s="20">
        <v>0</v>
      </c>
      <c r="J144" s="11">
        <f t="shared" si="3"/>
        <v>120</v>
      </c>
      <c r="K144" s="20">
        <f>(SUM(I136:I144))/(SUM(H136:H144))</f>
        <v>0.18632075471698112</v>
      </c>
    </row>
    <row r="145" spans="1:11" x14ac:dyDescent="0.25">
      <c r="A145" s="20" t="s">
        <v>394</v>
      </c>
      <c r="B145" s="20" t="str">
        <f ca="1">VLOOKUP(VALUE(MID($C145,13,2)), codigos!$A$2:$B$60, 2, 1) &amp; " " &amp; VLOOKUP(VALUE(MID($C145,15,4)), codigos!$E$2:$F$102, 2, FALSE)</f>
        <v>JUEGO 5+5</v>
      </c>
      <c r="C145" s="20" t="str">
        <f ca="1">VLOOKUP(VALUE(MID($C145,19,2)),codigos!$H$2:$I$62,2,1) &amp; " " &amp; VLOOKUP(VALUE(MID($C145,21,2)),codigos!$K$2:$L$12,2,FALSE)</f>
        <v>S/I S/I</v>
      </c>
      <c r="D145" s="20" t="s">
        <v>391</v>
      </c>
      <c r="E145" s="20" t="s">
        <v>34</v>
      </c>
      <c r="F145" s="52" t="s">
        <v>876</v>
      </c>
      <c r="G145" s="20" t="s">
        <v>877</v>
      </c>
      <c r="H145" s="20">
        <v>30</v>
      </c>
      <c r="I145" s="20">
        <v>0</v>
      </c>
      <c r="J145" s="11">
        <f t="shared" si="3"/>
        <v>30</v>
      </c>
      <c r="K145" s="131">
        <f>(SUM(I145:I146))/(SUM(H145:H146))</f>
        <v>0</v>
      </c>
    </row>
    <row r="146" spans="1:11" x14ac:dyDescent="0.25">
      <c r="A146" s="20" t="s">
        <v>387</v>
      </c>
      <c r="B146" s="20" t="str">
        <f ca="1">VLOOKUP(VALUE(MID($C146,13,2)), codigos!$A$2:$B$60, 2, 1) &amp; " " &amp; VLOOKUP(VALUE(MID($C146,15,4)), codigos!$E$2:$F$102, 2, FALSE)</f>
        <v>TAZON  20</v>
      </c>
      <c r="C146" s="20" t="str">
        <f ca="1">VLOOKUP(VALUE(MID($C146,19,2)),codigos!$H$2:$I$62,2,1) &amp; " " &amp; VLOOKUP(VALUE(MID($C146,21,2)),codigos!$K$2:$L$12,2,FALSE)</f>
        <v>BICOLOR AZUL S/I</v>
      </c>
      <c r="D146" s="20" t="s">
        <v>391</v>
      </c>
      <c r="E146" s="20" t="s">
        <v>34</v>
      </c>
      <c r="F146" s="52" t="s">
        <v>876</v>
      </c>
      <c r="G146" s="20" t="s">
        <v>877</v>
      </c>
      <c r="H146" s="20">
        <v>18</v>
      </c>
      <c r="I146" s="20">
        <v>0</v>
      </c>
      <c r="J146" s="11">
        <f t="shared" si="3"/>
        <v>18</v>
      </c>
      <c r="K146" s="131"/>
    </row>
    <row r="147" spans="1:11" x14ac:dyDescent="0.25">
      <c r="A147" s="20" t="s">
        <v>484</v>
      </c>
      <c r="B147" s="20" t="str">
        <f ca="1">VLOOKUP(VALUE(MID($C147,13,2)), codigos!$A$2:$B$60, 2, 1) &amp; " " &amp; VLOOKUP(VALUE(MID($C147,15,4)), codigos!$E$2:$F$102, 2, FALSE)</f>
        <v>BUDINERA   20</v>
      </c>
      <c r="C147" s="20" t="str">
        <f ca="1">VLOOKUP(VALUE(MID($C147,19,2)),codigos!$H$2:$I$62,2,1) &amp; " " &amp; VLOOKUP(VALUE(MID($C147,21,2)),codigos!$K$2:$L$12,2,FALSE)</f>
        <v>BICOLOR NARANJA S/I</v>
      </c>
      <c r="D147" s="20" t="s">
        <v>330</v>
      </c>
      <c r="E147" s="20" t="s">
        <v>340</v>
      </c>
      <c r="F147" s="52" t="s">
        <v>874</v>
      </c>
      <c r="G147" s="20" t="s">
        <v>875</v>
      </c>
      <c r="H147" s="20">
        <v>6</v>
      </c>
      <c r="I147" s="20">
        <v>0</v>
      </c>
      <c r="J147" s="11">
        <f t="shared" si="3"/>
        <v>6</v>
      </c>
      <c r="K147" s="131">
        <f>(SUM(I147:I151))/(SUM(H147:H151))</f>
        <v>0.27272727272727271</v>
      </c>
    </row>
    <row r="148" spans="1:11" x14ac:dyDescent="0.25">
      <c r="A148" s="20" t="s">
        <v>329</v>
      </c>
      <c r="B148" s="20" t="str">
        <f ca="1">VLOOKUP(VALUE(MID($C148,13,2)), codigos!$A$2:$B$60, 2, 1) &amp; " " &amp; VLOOKUP(VALUE(MID($C148,15,4)), codigos!$E$2:$F$102, 2, FALSE)</f>
        <v>BUDINERA   20</v>
      </c>
      <c r="C148" s="20" t="str">
        <f ca="1">VLOOKUP(VALUE(MID($C148,19,2)),codigos!$H$2:$I$62,2,1) &amp; " " &amp; VLOOKUP(VALUE(MID($C148,21,2)),codigos!$K$2:$L$12,2,FALSE)</f>
        <v>BICOLOR ROJO S/I</v>
      </c>
      <c r="D148" s="20" t="s">
        <v>330</v>
      </c>
      <c r="E148" s="20" t="s">
        <v>340</v>
      </c>
      <c r="F148" s="52" t="s">
        <v>874</v>
      </c>
      <c r="G148" s="20" t="s">
        <v>875</v>
      </c>
      <c r="H148" s="20">
        <v>18</v>
      </c>
      <c r="I148" s="20">
        <f>5+12+1</f>
        <v>18</v>
      </c>
      <c r="J148" s="11">
        <f t="shared" si="3"/>
        <v>0</v>
      </c>
      <c r="K148" s="131"/>
    </row>
    <row r="149" spans="1:11" x14ac:dyDescent="0.25">
      <c r="A149" s="20" t="s">
        <v>485</v>
      </c>
      <c r="B149" s="20" t="str">
        <f ca="1">VLOOKUP(VALUE(MID($C149,13,2)), codigos!$A$2:$B$60, 2, 1) &amp; " " &amp; VLOOKUP(VALUE(MID($C149,15,4)), codigos!$E$2:$F$102, 2, FALSE)</f>
        <v>BUDINERA   24</v>
      </c>
      <c r="C149" s="20" t="str">
        <f ca="1">VLOOKUP(VALUE(MID($C149,19,2)),codigos!$H$2:$I$62,2,1) &amp; " " &amp; VLOOKUP(VALUE(MID($C149,21,2)),codigos!$K$2:$L$12,2,FALSE)</f>
        <v>BICOLOR NARANJA S/I</v>
      </c>
      <c r="D149" s="20" t="s">
        <v>330</v>
      </c>
      <c r="E149" s="20" t="s">
        <v>340</v>
      </c>
      <c r="F149" s="52" t="s">
        <v>874</v>
      </c>
      <c r="G149" s="20" t="s">
        <v>875</v>
      </c>
      <c r="H149" s="20">
        <v>12</v>
      </c>
      <c r="I149" s="20">
        <v>0</v>
      </c>
      <c r="J149" s="11">
        <f t="shared" si="3"/>
        <v>12</v>
      </c>
      <c r="K149" s="131"/>
    </row>
    <row r="150" spans="1:11" x14ac:dyDescent="0.25">
      <c r="A150" s="20" t="s">
        <v>227</v>
      </c>
      <c r="B150" s="20" t="str">
        <f ca="1">VLOOKUP(VALUE(MID($C150,13,2)), codigos!$A$2:$B$60, 2, 1) &amp; " " &amp; VLOOKUP(VALUE(MID($C150,15,4)), codigos!$E$2:$F$102, 2, FALSE)</f>
        <v>SARTEN 22</v>
      </c>
      <c r="C150" s="20" t="str">
        <f ca="1">VLOOKUP(VALUE(MID($C150,19,2)),codigos!$H$2:$I$62,2,1) &amp; " " &amp; VLOOKUP(VALUE(MID($C150,21,2)),codigos!$K$2:$L$12,2,FALSE)</f>
        <v>A/T S/I</v>
      </c>
      <c r="D150" s="20" t="s">
        <v>330</v>
      </c>
      <c r="E150" s="20" t="s">
        <v>340</v>
      </c>
      <c r="F150" s="52" t="s">
        <v>874</v>
      </c>
      <c r="G150" s="20" t="s">
        <v>875</v>
      </c>
      <c r="H150" s="20">
        <v>24</v>
      </c>
      <c r="I150" s="20">
        <v>0</v>
      </c>
      <c r="J150" s="11">
        <f t="shared" si="3"/>
        <v>24</v>
      </c>
      <c r="K150" s="131"/>
    </row>
    <row r="151" spans="1:11" x14ac:dyDescent="0.25">
      <c r="A151" s="20" t="s">
        <v>240</v>
      </c>
      <c r="B151" s="20" t="str">
        <f ca="1">VLOOKUP(VALUE(MID($C151,13,2)), codigos!$A$2:$B$60, 2, 1) &amp; " " &amp; VLOOKUP(VALUE(MID($C151,15,4)), codigos!$E$2:$F$102, 2, FALSE)</f>
        <v>VAPORERA 34</v>
      </c>
      <c r="C151" s="20" t="str">
        <f ca="1">VLOOKUP(VALUE(MID($C151,19,2)),codigos!$H$2:$I$62,2,1) &amp; " " &amp; VLOOKUP(VALUE(MID($C151,21,2)),codigos!$K$2:$L$12,2,FALSE)</f>
        <v>A/T S/I</v>
      </c>
      <c r="D151" s="20" t="s">
        <v>330</v>
      </c>
      <c r="E151" s="20" t="s">
        <v>340</v>
      </c>
      <c r="F151" s="52" t="s">
        <v>874</v>
      </c>
      <c r="G151" s="20" t="s">
        <v>875</v>
      </c>
      <c r="H151" s="20">
        <v>6</v>
      </c>
      <c r="I151" s="20">
        <v>0</v>
      </c>
      <c r="J151" s="11">
        <f t="shared" si="3"/>
        <v>6</v>
      </c>
      <c r="K151" s="131"/>
    </row>
    <row r="152" spans="1:11" x14ac:dyDescent="0.25">
      <c r="A152" s="11" t="s">
        <v>856</v>
      </c>
      <c r="B152" s="11" t="str">
        <f ca="1">VLOOKUP(VALUE(MID($C152,13,2)), codigos!$A$2:$B$60, 2, 1) &amp; " " &amp; VLOOKUP(VALUE(MID($C152,15,4)), codigos!$E$2:$F$102, 2, FALSE)</f>
        <v>PLATO LISO 20</v>
      </c>
      <c r="C152" s="11" t="str">
        <f ca="1">VLOOKUP(VALUE(MID($C152,19,2)),codigos!$H$2:$I$62,2,1) &amp; " " &amp; VLOOKUP(VALUE(MID($C152,21,2)),codigos!$K$2:$L$12,2,FALSE)</f>
        <v>BLANCO  NEVADO</v>
      </c>
      <c r="D152" s="11" t="s">
        <v>857</v>
      </c>
      <c r="E152" s="11" t="s">
        <v>858</v>
      </c>
      <c r="F152" s="52" t="s">
        <v>859</v>
      </c>
      <c r="G152" s="20" t="s">
        <v>860</v>
      </c>
      <c r="H152" s="11">
        <v>45</v>
      </c>
      <c r="I152" s="11">
        <f>42+3</f>
        <v>45</v>
      </c>
      <c r="J152" s="11">
        <f t="shared" si="3"/>
        <v>0</v>
      </c>
      <c r="K152" s="143">
        <f>(SUM(I152:I153))/(SUM(H152:H153))</f>
        <v>1</v>
      </c>
    </row>
    <row r="153" spans="1:11" x14ac:dyDescent="0.25">
      <c r="A153" s="11" t="s">
        <v>861</v>
      </c>
      <c r="B153" s="11" t="str">
        <f ca="1">VLOOKUP(VALUE(MID($C153,13,2)), codigos!$A$2:$B$60, 2, 1) &amp; " " &amp; VLOOKUP(VALUE(MID($C153,15,4)), codigos!$E$2:$F$102, 2, FALSE)</f>
        <v>POCILLO 5</v>
      </c>
      <c r="C153" s="11" t="str">
        <f ca="1">VLOOKUP(VALUE(MID($C153,19,2)),codigos!$H$2:$I$62,2,1) &amp; " " &amp; VLOOKUP(VALUE(MID($C153,21,2)),codigos!$K$2:$L$12,2,FALSE)</f>
        <v>BLANCO  NEVADO</v>
      </c>
      <c r="D153" s="11" t="s">
        <v>857</v>
      </c>
      <c r="E153" s="11" t="s">
        <v>858</v>
      </c>
      <c r="F153" s="52" t="s">
        <v>859</v>
      </c>
      <c r="G153" s="20" t="s">
        <v>860</v>
      </c>
      <c r="H153" s="11">
        <v>45</v>
      </c>
      <c r="I153" s="11">
        <f>24+21</f>
        <v>45</v>
      </c>
      <c r="J153" s="11">
        <f t="shared" si="3"/>
        <v>0</v>
      </c>
      <c r="K153" s="143"/>
    </row>
    <row r="154" spans="1:11" x14ac:dyDescent="0.25">
      <c r="A154" s="11" t="s">
        <v>189</v>
      </c>
      <c r="B154" s="11" t="str">
        <f ca="1">VLOOKUP(VALUE(MID($C154,13,2)), codigos!$A$2:$B$60, 2, 1) &amp; " " &amp; VLOOKUP(VALUE(MID($C154,15,4)), codigos!$E$2:$F$102, 2, FALSE)</f>
        <v>BUDINERA   16</v>
      </c>
      <c r="C154" s="11" t="str">
        <f ca="1">VLOOKUP(VALUE(MID($C154,19,2)),codigos!$H$2:$I$62,2,1) &amp; " " &amp; VLOOKUP(VALUE(MID($C154,21,2)),codigos!$K$2:$L$12,2,FALSE)</f>
        <v>A/T S/I</v>
      </c>
      <c r="D154" s="11" t="s">
        <v>350</v>
      </c>
      <c r="E154" s="11" t="s">
        <v>34</v>
      </c>
      <c r="F154" s="52" t="s">
        <v>888</v>
      </c>
      <c r="G154" s="20" t="s">
        <v>889</v>
      </c>
      <c r="H154" s="11">
        <v>18</v>
      </c>
      <c r="I154" s="11">
        <v>0</v>
      </c>
      <c r="J154" s="11">
        <f t="shared" si="3"/>
        <v>18</v>
      </c>
      <c r="K154" s="131">
        <f>(SUM(I154:I161))/(SUM(H154:H161))</f>
        <v>0</v>
      </c>
    </row>
    <row r="155" spans="1:11" x14ac:dyDescent="0.25">
      <c r="A155" s="11" t="s">
        <v>241</v>
      </c>
      <c r="B155" s="11" t="str">
        <f ca="1">VLOOKUP(VALUE(MID($C155,13,2)), codigos!$A$2:$B$60, 2, 1) &amp; " " &amp; VLOOKUP(VALUE(MID($C155,15,4)), codigos!$E$2:$F$102, 2, FALSE)</f>
        <v>BUDINERA   22</v>
      </c>
      <c r="C155" s="11" t="str">
        <f ca="1">VLOOKUP(VALUE(MID($C155,19,2)),codigos!$H$2:$I$62,2,1) &amp; " " &amp; VLOOKUP(VALUE(MID($C155,21,2)),codigos!$K$2:$L$12,2,FALSE)</f>
        <v>A/T S/I</v>
      </c>
      <c r="D155" s="11" t="s">
        <v>350</v>
      </c>
      <c r="E155" s="11" t="s">
        <v>34</v>
      </c>
      <c r="F155" s="52" t="s">
        <v>888</v>
      </c>
      <c r="G155" s="20" t="s">
        <v>889</v>
      </c>
      <c r="H155" s="11">
        <v>12</v>
      </c>
      <c r="I155" s="11">
        <v>0</v>
      </c>
      <c r="J155" s="11">
        <f t="shared" si="3"/>
        <v>12</v>
      </c>
      <c r="K155" s="131"/>
    </row>
    <row r="156" spans="1:11" x14ac:dyDescent="0.25">
      <c r="A156" s="11" t="s">
        <v>169</v>
      </c>
      <c r="B156" s="11" t="str">
        <f ca="1">VLOOKUP(VALUE(MID($C156,13,2)), codigos!$A$2:$B$60, 2, 1) &amp; " " &amp; VLOOKUP(VALUE(MID($C156,15,4)), codigos!$E$2:$F$102, 2, FALSE)</f>
        <v>BUDINERA   30</v>
      </c>
      <c r="C156" s="11" t="str">
        <f ca="1">VLOOKUP(VALUE(MID($C156,19,2)),codigos!$H$2:$I$62,2,1) &amp; " " &amp; VLOOKUP(VALUE(MID($C156,21,2)),codigos!$K$2:$L$12,2,FALSE)</f>
        <v>A/T S/I</v>
      </c>
      <c r="D156" s="11" t="s">
        <v>350</v>
      </c>
      <c r="E156" s="11" t="s">
        <v>34</v>
      </c>
      <c r="F156" s="52" t="s">
        <v>888</v>
      </c>
      <c r="G156" s="20" t="s">
        <v>889</v>
      </c>
      <c r="H156" s="11">
        <v>12</v>
      </c>
      <c r="I156" s="11">
        <v>0</v>
      </c>
      <c r="J156" s="11">
        <f t="shared" si="3"/>
        <v>12</v>
      </c>
      <c r="K156" s="131"/>
    </row>
    <row r="157" spans="1:11" x14ac:dyDescent="0.25">
      <c r="A157" s="11" t="s">
        <v>173</v>
      </c>
      <c r="B157" s="11" t="str">
        <f ca="1">VLOOKUP(VALUE(MID($C157,13,2)), codigos!$A$2:$B$60, 2, 1) &amp; " " &amp; VLOOKUP(VALUE(MID($C157,15,4)), codigos!$E$2:$F$102, 2, FALSE)</f>
        <v>BUDINERA   34</v>
      </c>
      <c r="C157" s="11" t="str">
        <f ca="1">VLOOKUP(VALUE(MID($C157,19,2)),codigos!$H$2:$I$62,2,1) &amp; " " &amp; VLOOKUP(VALUE(MID($C157,21,2)),codigos!$K$2:$L$12,2,FALSE)</f>
        <v>A/T S/I</v>
      </c>
      <c r="D157" s="11" t="s">
        <v>350</v>
      </c>
      <c r="E157" s="11" t="s">
        <v>34</v>
      </c>
      <c r="F157" s="52" t="s">
        <v>888</v>
      </c>
      <c r="G157" s="20" t="s">
        <v>889</v>
      </c>
      <c r="H157" s="11">
        <v>12</v>
      </c>
      <c r="I157" s="11">
        <v>0</v>
      </c>
      <c r="J157" s="11">
        <f t="shared" si="3"/>
        <v>12</v>
      </c>
      <c r="K157" s="131"/>
    </row>
    <row r="158" spans="1:11" x14ac:dyDescent="0.25">
      <c r="A158" s="11" t="s">
        <v>344</v>
      </c>
      <c r="B158" s="11" t="str">
        <f ca="1">VLOOKUP(VALUE(MID($C158,13,2)), codigos!$A$2:$B$60, 2, 1) &amp; " " &amp; VLOOKUP(VALUE(MID($C158,15,4)), codigos!$E$2:$F$102, 2, FALSE)</f>
        <v>COMAL 36</v>
      </c>
      <c r="C158" s="11" t="str">
        <f ca="1">VLOOKUP(VALUE(MID($C158,19,2)),codigos!$H$2:$I$62,2,1) &amp; " " &amp; VLOOKUP(VALUE(MID($C158,21,2)),codigos!$K$2:$L$12,2,FALSE)</f>
        <v>NEGRO MOTAS S/I</v>
      </c>
      <c r="D158" s="11" t="s">
        <v>350</v>
      </c>
      <c r="E158" s="11" t="s">
        <v>34</v>
      </c>
      <c r="F158" s="52" t="s">
        <v>888</v>
      </c>
      <c r="G158" s="20" t="s">
        <v>889</v>
      </c>
      <c r="H158" s="11">
        <v>12</v>
      </c>
      <c r="I158" s="11">
        <v>0</v>
      </c>
      <c r="J158" s="11">
        <f t="shared" si="3"/>
        <v>12</v>
      </c>
      <c r="K158" s="131"/>
    </row>
    <row r="159" spans="1:11" x14ac:dyDescent="0.25">
      <c r="A159" s="11" t="s">
        <v>220</v>
      </c>
      <c r="B159" s="11" t="str">
        <f ca="1">VLOOKUP(VALUE(MID($C159,13,2)), codigos!$A$2:$B$60, 2, 1) &amp; " " &amp; VLOOKUP(VALUE(MID($C159,15,4)), codigos!$E$2:$F$102, 2, FALSE)</f>
        <v>OLLA CONVEXA 16</v>
      </c>
      <c r="C159" s="11" t="str">
        <f ca="1">VLOOKUP(VALUE(MID($C159,19,2)),codigos!$H$2:$I$62,2,1) &amp; " " &amp; VLOOKUP(VALUE(MID($C159,21,2)),codigos!$K$2:$L$12,2,FALSE)</f>
        <v>A/T S/I</v>
      </c>
      <c r="D159" s="11" t="s">
        <v>350</v>
      </c>
      <c r="E159" s="11" t="s">
        <v>34</v>
      </c>
      <c r="F159" s="52" t="s">
        <v>888</v>
      </c>
      <c r="G159" s="20" t="s">
        <v>889</v>
      </c>
      <c r="H159" s="11">
        <v>12</v>
      </c>
      <c r="I159" s="11">
        <v>0</v>
      </c>
      <c r="J159" s="11">
        <f t="shared" si="3"/>
        <v>12</v>
      </c>
      <c r="K159" s="131"/>
    </row>
    <row r="160" spans="1:11" x14ac:dyDescent="0.25">
      <c r="A160" s="11" t="s">
        <v>154</v>
      </c>
      <c r="B160" s="11" t="str">
        <f ca="1">VLOOKUP(VALUE(MID($C160,13,2)), codigos!$A$2:$B$60, 2, 1) &amp; " " &amp; VLOOKUP(VALUE(MID($C160,15,4)), codigos!$E$2:$F$102, 2, FALSE)</f>
        <v>OLLA CONVEXA 30</v>
      </c>
      <c r="C160" s="11" t="str">
        <f ca="1">VLOOKUP(VALUE(MID($C160,19,2)),codigos!$H$2:$I$62,2,1) &amp; " " &amp; VLOOKUP(VALUE(MID($C160,21,2)),codigos!$K$2:$L$12,2,FALSE)</f>
        <v>A/T S/I</v>
      </c>
      <c r="D160" s="11" t="s">
        <v>350</v>
      </c>
      <c r="E160" s="11" t="s">
        <v>34</v>
      </c>
      <c r="F160" s="52" t="s">
        <v>888</v>
      </c>
      <c r="G160" s="20" t="s">
        <v>889</v>
      </c>
      <c r="H160" s="11">
        <v>4</v>
      </c>
      <c r="I160" s="11">
        <v>0</v>
      </c>
      <c r="J160" s="11">
        <f t="shared" si="3"/>
        <v>4</v>
      </c>
      <c r="K160" s="131"/>
    </row>
    <row r="161" spans="1:11" x14ac:dyDescent="0.25">
      <c r="A161" s="11" t="s">
        <v>155</v>
      </c>
      <c r="B161" s="11" t="str">
        <f ca="1">VLOOKUP(VALUE(MID($C161,13,2)), codigos!$A$2:$B$60, 2, 1) &amp; " " &amp; VLOOKUP(VALUE(MID($C161,15,4)), codigos!$E$2:$F$102, 2, FALSE)</f>
        <v>OLLA RECTA 30</v>
      </c>
      <c r="C161" s="11" t="str">
        <f ca="1">VLOOKUP(VALUE(MID($C161,19,2)),codigos!$H$2:$I$62,2,1) &amp; " " &amp; VLOOKUP(VALUE(MID($C161,21,2)),codigos!$K$2:$L$12,2,FALSE)</f>
        <v>A/T S/I</v>
      </c>
      <c r="D161" s="11" t="s">
        <v>350</v>
      </c>
      <c r="E161" s="11" t="s">
        <v>34</v>
      </c>
      <c r="F161" s="52" t="s">
        <v>888</v>
      </c>
      <c r="G161" s="20" t="s">
        <v>889</v>
      </c>
      <c r="H161" s="11">
        <v>6</v>
      </c>
      <c r="I161" s="11">
        <v>0</v>
      </c>
      <c r="J161" s="11">
        <f t="shared" si="3"/>
        <v>6</v>
      </c>
      <c r="K161" s="131"/>
    </row>
    <row r="162" spans="1:11" x14ac:dyDescent="0.25">
      <c r="A162" s="11" t="s">
        <v>215</v>
      </c>
      <c r="B162" s="11" t="str">
        <f ca="1">VLOOKUP(VALUE(MID($C162,13,2)), codigos!$A$2:$B$60, 2, 1) &amp; " " &amp; VLOOKUP(VALUE(MID($C162,15,4)), codigos!$E$2:$F$102, 2, FALSE)</f>
        <v>BUDINERA   20</v>
      </c>
      <c r="C162" s="11" t="str">
        <f ca="1">VLOOKUP(VALUE(MID($C162,19,2)),codigos!$H$2:$I$62,2,1) &amp; " " &amp; VLOOKUP(VALUE(MID($C162,21,2)),codigos!$K$2:$L$12,2,FALSE)</f>
        <v>A/T S/I</v>
      </c>
      <c r="D162" s="113" t="s">
        <v>841</v>
      </c>
      <c r="E162" s="113" t="s">
        <v>11</v>
      </c>
      <c r="F162" s="114" t="s">
        <v>842</v>
      </c>
      <c r="G162" s="39" t="s">
        <v>843</v>
      </c>
      <c r="H162" s="113">
        <v>360</v>
      </c>
      <c r="I162" s="113">
        <v>0</v>
      </c>
      <c r="J162" s="11">
        <f t="shared" si="3"/>
        <v>360</v>
      </c>
      <c r="K162" s="143">
        <f>(SUM(I162:I171))/(SUM(H162:H171))</f>
        <v>0</v>
      </c>
    </row>
    <row r="163" spans="1:11" x14ac:dyDescent="0.25">
      <c r="A163" s="11" t="s">
        <v>241</v>
      </c>
      <c r="B163" s="11" t="str">
        <f ca="1">VLOOKUP(VALUE(MID($C163,13,2)), codigos!$A$2:$B$60, 2, 1) &amp; " " &amp; VLOOKUP(VALUE(MID($C163,15,4)), codigos!$E$2:$F$102, 2, FALSE)</f>
        <v>BUDINERA   22</v>
      </c>
      <c r="C163" s="11" t="str">
        <f ca="1">VLOOKUP(VALUE(MID($C163,19,2)),codigos!$H$2:$I$62,2,1) &amp; " " &amp; VLOOKUP(VALUE(MID($C163,21,2)),codigos!$K$2:$L$12,2,FALSE)</f>
        <v>A/T S/I</v>
      </c>
      <c r="D163" s="11" t="s">
        <v>841</v>
      </c>
      <c r="E163" s="11" t="s">
        <v>11</v>
      </c>
      <c r="F163" s="52" t="s">
        <v>842</v>
      </c>
      <c r="G163" s="20" t="s">
        <v>843</v>
      </c>
      <c r="H163" s="11">
        <v>480</v>
      </c>
      <c r="I163" s="11">
        <v>0</v>
      </c>
      <c r="J163" s="11">
        <f t="shared" si="3"/>
        <v>480</v>
      </c>
      <c r="K163" s="143"/>
    </row>
    <row r="164" spans="1:11" x14ac:dyDescent="0.25">
      <c r="A164" s="11" t="s">
        <v>143</v>
      </c>
      <c r="B164" s="11" t="str">
        <f ca="1">VLOOKUP(VALUE(MID($C164,13,2)), codigos!$A$2:$B$60, 2, 1) &amp; " " &amp; VLOOKUP(VALUE(MID($C164,15,4)), codigos!$E$2:$F$102, 2, FALSE)</f>
        <v>BUDINERA   24</v>
      </c>
      <c r="C164" s="11" t="str">
        <f ca="1">VLOOKUP(VALUE(MID($C164,19,2)),codigos!$H$2:$I$62,2,1) &amp; " " &amp; VLOOKUP(VALUE(MID($C164,21,2)),codigos!$K$2:$L$12,2,FALSE)</f>
        <v>A/T S/I</v>
      </c>
      <c r="D164" s="113" t="s">
        <v>841</v>
      </c>
      <c r="E164" s="113" t="s">
        <v>11</v>
      </c>
      <c r="F164" s="114" t="s">
        <v>842</v>
      </c>
      <c r="G164" s="39" t="s">
        <v>843</v>
      </c>
      <c r="H164" s="113">
        <v>240</v>
      </c>
      <c r="I164" s="113">
        <v>0</v>
      </c>
      <c r="J164" s="11">
        <f t="shared" si="3"/>
        <v>240</v>
      </c>
      <c r="K164" s="143"/>
    </row>
    <row r="165" spans="1:11" x14ac:dyDescent="0.25">
      <c r="A165" s="11" t="s">
        <v>148</v>
      </c>
      <c r="B165" s="11" t="str">
        <f ca="1">VLOOKUP(VALUE(MID($C165,13,2)), codigos!$A$2:$B$60, 2, 1) &amp; " " &amp; VLOOKUP(VALUE(MID($C165,15,4)), codigos!$E$2:$F$102, 2, FALSE)</f>
        <v>BUDINERA   26</v>
      </c>
      <c r="C165" s="11" t="str">
        <f ca="1">VLOOKUP(VALUE(MID($C165,19,2)),codigos!$H$2:$I$62,2,1) &amp; " " &amp; VLOOKUP(VALUE(MID($C165,21,2)),codigos!$K$2:$L$12,2,FALSE)</f>
        <v>A/T S/I</v>
      </c>
      <c r="D165" s="11" t="s">
        <v>841</v>
      </c>
      <c r="E165" s="11" t="s">
        <v>11</v>
      </c>
      <c r="F165" s="52" t="s">
        <v>842</v>
      </c>
      <c r="G165" s="20" t="s">
        <v>843</v>
      </c>
      <c r="H165" s="11">
        <f>360+144</f>
        <v>504</v>
      </c>
      <c r="I165" s="11">
        <v>0</v>
      </c>
      <c r="J165" s="11">
        <f t="shared" si="3"/>
        <v>504</v>
      </c>
      <c r="K165" s="143"/>
    </row>
    <row r="166" spans="1:11" x14ac:dyDescent="0.25">
      <c r="A166" s="11" t="s">
        <v>169</v>
      </c>
      <c r="B166" s="11" t="str">
        <f ca="1">VLOOKUP(VALUE(MID($C166,13,2)), codigos!$A$2:$B$60, 2, 1) &amp; " " &amp; VLOOKUP(VALUE(MID($C166,15,4)), codigos!$E$2:$F$102, 2, FALSE)</f>
        <v>BUDINERA   30</v>
      </c>
      <c r="C166" s="11" t="str">
        <f ca="1">VLOOKUP(VALUE(MID($C166,19,2)),codigos!$H$2:$I$62,2,1) &amp; " " &amp; VLOOKUP(VALUE(MID($C166,21,2)),codigos!$K$2:$L$12,2,FALSE)</f>
        <v>A/T S/I</v>
      </c>
      <c r="D166" s="113" t="s">
        <v>841</v>
      </c>
      <c r="E166" s="113" t="s">
        <v>11</v>
      </c>
      <c r="F166" s="114" t="s">
        <v>842</v>
      </c>
      <c r="G166" s="39" t="s">
        <v>843</v>
      </c>
      <c r="H166" s="113">
        <v>300</v>
      </c>
      <c r="I166" s="113">
        <v>0</v>
      </c>
      <c r="J166" s="11">
        <f t="shared" si="3"/>
        <v>300</v>
      </c>
      <c r="K166" s="143"/>
    </row>
    <row r="167" spans="1:11" x14ac:dyDescent="0.25">
      <c r="A167" s="11" t="s">
        <v>173</v>
      </c>
      <c r="B167" s="11" t="str">
        <f ca="1">VLOOKUP(VALUE(MID($C167,13,2)), codigos!$A$2:$B$60, 2, 1) &amp; " " &amp; VLOOKUP(VALUE(MID($C167,15,4)), codigos!$E$2:$F$102, 2, FALSE)</f>
        <v>BUDINERA   34</v>
      </c>
      <c r="C167" s="11" t="str">
        <f ca="1">VLOOKUP(VALUE(MID($C167,19,2)),codigos!$H$2:$I$62,2,1) &amp; " " &amp; VLOOKUP(VALUE(MID($C167,21,2)),codigos!$K$2:$L$12,2,FALSE)</f>
        <v>A/T S/I</v>
      </c>
      <c r="D167" s="11" t="s">
        <v>841</v>
      </c>
      <c r="E167" s="11" t="s">
        <v>11</v>
      </c>
      <c r="F167" s="52" t="s">
        <v>842</v>
      </c>
      <c r="G167" s="20" t="s">
        <v>843</v>
      </c>
      <c r="H167" s="11">
        <v>120</v>
      </c>
      <c r="I167" s="11">
        <v>0</v>
      </c>
      <c r="J167" s="11">
        <f t="shared" si="3"/>
        <v>120</v>
      </c>
      <c r="K167" s="143"/>
    </row>
    <row r="168" spans="1:11" x14ac:dyDescent="0.25">
      <c r="A168" s="11" t="s">
        <v>218</v>
      </c>
      <c r="B168" s="11" t="str">
        <f ca="1">VLOOKUP(VALUE(MID($C168,13,2)), codigos!$A$2:$B$60, 2, 1) &amp; " " &amp; VLOOKUP(VALUE(MID($C168,15,4)), codigos!$E$2:$F$102, 2, FALSE)</f>
        <v>CAZO 14</v>
      </c>
      <c r="C168" s="11" t="str">
        <f ca="1">VLOOKUP(VALUE(MID($C168,19,2)),codigos!$H$2:$I$62,2,1) &amp; " " &amp; VLOOKUP(VALUE(MID($C168,21,2)),codigos!$K$2:$L$12,2,FALSE)</f>
        <v>A/T S/I</v>
      </c>
      <c r="D168" s="11" t="s">
        <v>841</v>
      </c>
      <c r="E168" s="11" t="s">
        <v>11</v>
      </c>
      <c r="F168" s="52" t="s">
        <v>842</v>
      </c>
      <c r="G168" s="20" t="s">
        <v>843</v>
      </c>
      <c r="H168" s="11">
        <v>60</v>
      </c>
      <c r="I168" s="11">
        <v>0</v>
      </c>
      <c r="J168" s="11">
        <f t="shared" si="3"/>
        <v>60</v>
      </c>
      <c r="K168" s="143"/>
    </row>
    <row r="169" spans="1:11" x14ac:dyDescent="0.25">
      <c r="A169" s="11" t="s">
        <v>219</v>
      </c>
      <c r="B169" s="11" t="str">
        <f ca="1">VLOOKUP(VALUE(MID($C169,13,2)), codigos!$A$2:$B$60, 2, 1) &amp; " " &amp; VLOOKUP(VALUE(MID($C169,15,4)), codigos!$E$2:$F$102, 2, FALSE)</f>
        <v>CAZO 16</v>
      </c>
      <c r="C169" s="11" t="str">
        <f ca="1">VLOOKUP(VALUE(MID($C169,19,2)),codigos!$H$2:$I$62,2,1) &amp; " " &amp; VLOOKUP(VALUE(MID($C169,21,2)),codigos!$K$2:$L$12,2,FALSE)</f>
        <v>A/T S/I</v>
      </c>
      <c r="D169" s="11" t="s">
        <v>841</v>
      </c>
      <c r="E169" s="11" t="s">
        <v>11</v>
      </c>
      <c r="F169" s="52" t="s">
        <v>842</v>
      </c>
      <c r="G169" s="20" t="s">
        <v>843</v>
      </c>
      <c r="H169" s="11">
        <v>60</v>
      </c>
      <c r="I169" s="11">
        <v>0</v>
      </c>
      <c r="J169" s="11">
        <f t="shared" si="3"/>
        <v>60</v>
      </c>
      <c r="K169" s="143"/>
    </row>
    <row r="170" spans="1:11" x14ac:dyDescent="0.25">
      <c r="A170" s="11" t="s">
        <v>150</v>
      </c>
      <c r="B170" s="11" t="str">
        <f ca="1">VLOOKUP(VALUE(MID($C170,13,2)), codigos!$A$2:$B$60, 2, 1) &amp; " " &amp; VLOOKUP(VALUE(MID($C170,15,4)), codigos!$E$2:$F$102, 2, FALSE)</f>
        <v>OLLA CONVEXA 18</v>
      </c>
      <c r="C170" s="11" t="str">
        <f ca="1">VLOOKUP(VALUE(MID($C170,19,2)),codigos!$H$2:$I$62,2,1) &amp; " " &amp; VLOOKUP(VALUE(MID($C170,21,2)),codigos!$K$2:$L$12,2,FALSE)</f>
        <v>A/T S/I</v>
      </c>
      <c r="D170" s="11" t="s">
        <v>841</v>
      </c>
      <c r="E170" s="11" t="s">
        <v>11</v>
      </c>
      <c r="F170" s="52" t="s">
        <v>842</v>
      </c>
      <c r="G170" s="20" t="s">
        <v>843</v>
      </c>
      <c r="H170" s="11">
        <v>108</v>
      </c>
      <c r="I170" s="11">
        <v>0</v>
      </c>
      <c r="J170" s="11">
        <f t="shared" si="3"/>
        <v>108</v>
      </c>
      <c r="K170" s="143"/>
    </row>
    <row r="171" spans="1:11" x14ac:dyDescent="0.25">
      <c r="A171" s="11" t="s">
        <v>151</v>
      </c>
      <c r="B171" s="11" t="str">
        <f ca="1">VLOOKUP(VALUE(MID($C171,13,2)), codigos!$A$2:$B$60, 2, 1) &amp; " " &amp; VLOOKUP(VALUE(MID($C171,15,4)), codigos!$E$2:$F$102, 2, FALSE)</f>
        <v>OLLA CONVEXA 20</v>
      </c>
      <c r="C171" s="11" t="str">
        <f ca="1">VLOOKUP(VALUE(MID($C171,19,2)),codigos!$H$2:$I$62,2,1) &amp; " " &amp; VLOOKUP(VALUE(MID($C171,21,2)),codigos!$K$2:$L$12,2,FALSE)</f>
        <v>A/T S/I</v>
      </c>
      <c r="D171" s="113" t="s">
        <v>841</v>
      </c>
      <c r="E171" s="113" t="s">
        <v>11</v>
      </c>
      <c r="F171" s="114" t="s">
        <v>842</v>
      </c>
      <c r="G171" s="39" t="s">
        <v>843</v>
      </c>
      <c r="H171" s="113">
        <v>120</v>
      </c>
      <c r="I171" s="113">
        <v>0</v>
      </c>
      <c r="J171" s="11">
        <f t="shared" si="3"/>
        <v>120</v>
      </c>
      <c r="K171" s="143"/>
    </row>
    <row r="172" spans="1:11" x14ac:dyDescent="0.25">
      <c r="A172" s="11" t="s">
        <v>151</v>
      </c>
      <c r="B172" s="11" t="str">
        <f ca="1">VLOOKUP(VALUE(MID($C172,13,2)), codigos!$A$2:$B$60, 2, 1) &amp; " " &amp; VLOOKUP(VALUE(MID($C172,15,4)), codigos!$E$2:$F$102, 2, FALSE)</f>
        <v>OLLA CONVEXA 20</v>
      </c>
      <c r="C172" s="11" t="str">
        <f ca="1">VLOOKUP(VALUE(MID($C172,19,2)),codigos!$H$2:$I$62,2,1) &amp; " " &amp; VLOOKUP(VALUE(MID($C172,21,2)),codigos!$K$2:$L$12,2,FALSE)</f>
        <v>A/T S/I</v>
      </c>
      <c r="D172" s="11" t="s">
        <v>841</v>
      </c>
      <c r="E172" s="11" t="s">
        <v>11</v>
      </c>
      <c r="F172" s="52" t="s">
        <v>844</v>
      </c>
      <c r="G172" s="20" t="s">
        <v>843</v>
      </c>
      <c r="H172" s="11">
        <v>120</v>
      </c>
      <c r="I172" s="11">
        <v>0</v>
      </c>
      <c r="J172" s="11">
        <f t="shared" si="3"/>
        <v>120</v>
      </c>
      <c r="K172" s="143">
        <f>(SUM(I172:I189))/(SUM(H172:H189))</f>
        <v>0</v>
      </c>
    </row>
    <row r="173" spans="1:11" x14ac:dyDescent="0.25">
      <c r="A173" s="11" t="s">
        <v>43</v>
      </c>
      <c r="B173" s="11" t="str">
        <f ca="1">VLOOKUP(VALUE(MID($C173,13,2)), codigos!$A$2:$B$60, 2, 1) &amp; " " &amp; VLOOKUP(VALUE(MID($C173,15,4)), codigos!$E$2:$F$102, 2, FALSE)</f>
        <v>OLLA CONVEXA 22</v>
      </c>
      <c r="C173" s="11" t="str">
        <f ca="1">VLOOKUP(VALUE(MID($C173,19,2)),codigos!$H$2:$I$62,2,1) &amp; " " &amp; VLOOKUP(VALUE(MID($C173,21,2)),codigos!$K$2:$L$12,2,FALSE)</f>
        <v>A/T S/I</v>
      </c>
      <c r="D173" s="11" t="s">
        <v>841</v>
      </c>
      <c r="E173" s="11" t="s">
        <v>11</v>
      </c>
      <c r="F173" s="52" t="s">
        <v>844</v>
      </c>
      <c r="G173" s="20" t="s">
        <v>843</v>
      </c>
      <c r="H173" s="11">
        <v>180</v>
      </c>
      <c r="I173" s="11">
        <v>0</v>
      </c>
      <c r="J173" s="11">
        <f t="shared" si="3"/>
        <v>180</v>
      </c>
      <c r="K173" s="143"/>
    </row>
    <row r="174" spans="1:11" x14ac:dyDescent="0.25">
      <c r="A174" s="11" t="s">
        <v>152</v>
      </c>
      <c r="B174" s="11" t="str">
        <f ca="1">VLOOKUP(VALUE(MID($C174,13,2)), codigos!$A$2:$B$60, 2, 1) &amp; " " &amp; VLOOKUP(VALUE(MID($C174,15,4)), codigos!$E$2:$F$102, 2, FALSE)</f>
        <v>OLLA CONVEXA 24</v>
      </c>
      <c r="C174" s="11" t="str">
        <f ca="1">VLOOKUP(VALUE(MID($C174,19,2)),codigos!$H$2:$I$62,2,1) &amp; " " &amp; VLOOKUP(VALUE(MID($C174,21,2)),codigos!$K$2:$L$12,2,FALSE)</f>
        <v>A/T S/I</v>
      </c>
      <c r="D174" s="113" t="s">
        <v>841</v>
      </c>
      <c r="E174" s="113" t="s">
        <v>11</v>
      </c>
      <c r="F174" s="114" t="s">
        <v>844</v>
      </c>
      <c r="G174" s="39" t="s">
        <v>843</v>
      </c>
      <c r="H174" s="113">
        <v>180</v>
      </c>
      <c r="I174" s="113">
        <v>0</v>
      </c>
      <c r="J174" s="11">
        <f t="shared" si="3"/>
        <v>180</v>
      </c>
      <c r="K174" s="143"/>
    </row>
    <row r="175" spans="1:11" x14ac:dyDescent="0.25">
      <c r="A175" s="11" t="s">
        <v>153</v>
      </c>
      <c r="B175" s="11" t="str">
        <f ca="1">VLOOKUP(VALUE(MID($C175,13,2)), codigos!$A$2:$B$60, 2, 1) &amp; " " &amp; VLOOKUP(VALUE(MID($C175,15,4)), codigos!$E$2:$F$102, 2, FALSE)</f>
        <v>OLLA CONVEXA 26</v>
      </c>
      <c r="C175" s="11" t="str">
        <f ca="1">VLOOKUP(VALUE(MID($C175,19,2)),codigos!$H$2:$I$62,2,1) &amp; " " &amp; VLOOKUP(VALUE(MID($C175,21,2)),codigos!$K$2:$L$12,2,FALSE)</f>
        <v>A/T S/I</v>
      </c>
      <c r="D175" s="11" t="s">
        <v>841</v>
      </c>
      <c r="E175" s="11" t="s">
        <v>11</v>
      </c>
      <c r="F175" s="52" t="s">
        <v>844</v>
      </c>
      <c r="G175" s="20" t="s">
        <v>843</v>
      </c>
      <c r="H175" s="11">
        <v>180</v>
      </c>
      <c r="I175" s="11">
        <v>0</v>
      </c>
      <c r="J175" s="11">
        <f t="shared" si="3"/>
        <v>180</v>
      </c>
      <c r="K175" s="143"/>
    </row>
    <row r="176" spans="1:11" x14ac:dyDescent="0.25">
      <c r="A176" s="11" t="s">
        <v>154</v>
      </c>
      <c r="B176" s="11" t="str">
        <f ca="1">VLOOKUP(VALUE(MID($C176,13,2)), codigos!$A$2:$B$60, 2, 1) &amp; " " &amp; VLOOKUP(VALUE(MID($C176,15,4)), codigos!$E$2:$F$102, 2, FALSE)</f>
        <v>OLLA CONVEXA 30</v>
      </c>
      <c r="C176" s="11" t="str">
        <f ca="1">VLOOKUP(VALUE(MID($C176,19,2)),codigos!$H$2:$I$62,2,1) &amp; " " &amp; VLOOKUP(VALUE(MID($C176,21,2)),codigos!$K$2:$L$12,2,FALSE)</f>
        <v>A/T S/I</v>
      </c>
      <c r="D176" s="113" t="s">
        <v>841</v>
      </c>
      <c r="E176" s="113" t="s">
        <v>11</v>
      </c>
      <c r="F176" s="114" t="s">
        <v>844</v>
      </c>
      <c r="G176" s="39" t="s">
        <v>843</v>
      </c>
      <c r="H176" s="113">
        <v>60</v>
      </c>
      <c r="I176" s="113">
        <v>0</v>
      </c>
      <c r="J176" s="11">
        <f t="shared" si="3"/>
        <v>60</v>
      </c>
      <c r="K176" s="143"/>
    </row>
    <row r="177" spans="1:11" x14ac:dyDescent="0.25">
      <c r="A177" s="11" t="s">
        <v>221</v>
      </c>
      <c r="B177" s="11" t="str">
        <f ca="1">VLOOKUP(VALUE(MID($C177,13,2)), codigos!$A$2:$B$60, 2, 1) &amp; " " &amp; VLOOKUP(VALUE(MID($C177,15,4)), codigos!$E$2:$F$102, 2, FALSE)</f>
        <v>OLLA CONVEXA 34</v>
      </c>
      <c r="C177" s="11" t="str">
        <f ca="1">VLOOKUP(VALUE(MID($C177,19,2)),codigos!$H$2:$I$62,2,1) &amp; " " &amp; VLOOKUP(VALUE(MID($C177,21,2)),codigos!$K$2:$L$12,2,FALSE)</f>
        <v>A/T S/I</v>
      </c>
      <c r="D177" s="11" t="s">
        <v>841</v>
      </c>
      <c r="E177" s="11" t="s">
        <v>11</v>
      </c>
      <c r="F177" s="52" t="s">
        <v>844</v>
      </c>
      <c r="G177" s="20" t="s">
        <v>843</v>
      </c>
      <c r="H177" s="11">
        <v>30</v>
      </c>
      <c r="I177" s="11">
        <v>0</v>
      </c>
      <c r="J177" s="11">
        <f t="shared" si="3"/>
        <v>30</v>
      </c>
      <c r="K177" s="143"/>
    </row>
    <row r="178" spans="1:11" x14ac:dyDescent="0.25">
      <c r="A178" s="11" t="s">
        <v>259</v>
      </c>
      <c r="B178" s="11" t="str">
        <f ca="1">VLOOKUP(VALUE(MID($C178,13,2)), codigos!$A$2:$B$60, 2, 1) &amp; " " &amp; VLOOKUP(VALUE(MID($C178,15,4)), codigos!$E$2:$F$102, 2, FALSE)</f>
        <v>OLLA RECTA 18</v>
      </c>
      <c r="C178" s="11" t="str">
        <f ca="1">VLOOKUP(VALUE(MID($C178,19,2)),codigos!$H$2:$I$62,2,1) &amp; " " &amp; VLOOKUP(VALUE(MID($C178,21,2)),codigos!$K$2:$L$12,2,FALSE)</f>
        <v>A/T S/I</v>
      </c>
      <c r="D178" s="11" t="s">
        <v>841</v>
      </c>
      <c r="E178" s="11" t="s">
        <v>11</v>
      </c>
      <c r="F178" s="52" t="s">
        <v>844</v>
      </c>
      <c r="G178" s="20" t="s">
        <v>843</v>
      </c>
      <c r="H178" s="11">
        <v>240</v>
      </c>
      <c r="I178" s="11">
        <v>0</v>
      </c>
      <c r="J178" s="11">
        <f t="shared" si="3"/>
        <v>240</v>
      </c>
      <c r="K178" s="143"/>
    </row>
    <row r="179" spans="1:11" x14ac:dyDescent="0.25">
      <c r="A179" s="11" t="s">
        <v>260</v>
      </c>
      <c r="B179" s="11" t="str">
        <f ca="1">VLOOKUP(VALUE(MID($C179,13,2)), codigos!$A$2:$B$60, 2, 1) &amp; " " &amp; VLOOKUP(VALUE(MID($C179,15,4)), codigos!$E$2:$F$102, 2, FALSE)</f>
        <v>OLLA RECTA 20</v>
      </c>
      <c r="C179" s="11" t="str">
        <f ca="1">VLOOKUP(VALUE(MID($C179,19,2)),codigos!$H$2:$I$62,2,1) &amp; " " &amp; VLOOKUP(VALUE(MID($C179,21,2)),codigos!$K$2:$L$12,2,FALSE)</f>
        <v>A/T S/I</v>
      </c>
      <c r="D179" s="113" t="s">
        <v>841</v>
      </c>
      <c r="E179" s="113" t="s">
        <v>11</v>
      </c>
      <c r="F179" s="114" t="s">
        <v>844</v>
      </c>
      <c r="G179" s="39" t="s">
        <v>843</v>
      </c>
      <c r="H179" s="113">
        <v>120</v>
      </c>
      <c r="I179" s="113">
        <v>0</v>
      </c>
      <c r="J179" s="11">
        <f t="shared" si="3"/>
        <v>120</v>
      </c>
      <c r="K179" s="143"/>
    </row>
    <row r="180" spans="1:11" x14ac:dyDescent="0.25">
      <c r="A180" s="11" t="s">
        <v>236</v>
      </c>
      <c r="B180" s="11" t="str">
        <f ca="1">VLOOKUP(VALUE(MID($C180,13,2)), codigos!$A$2:$B$60, 2, 1) &amp; " " &amp; VLOOKUP(VALUE(MID($C180,15,4)), codigos!$E$2:$F$102, 2, FALSE)</f>
        <v>OLLA RECTA 22</v>
      </c>
      <c r="C180" s="11" t="str">
        <f ca="1">VLOOKUP(VALUE(MID($C180,19,2)),codigos!$H$2:$I$62,2,1) &amp; " " &amp; VLOOKUP(VALUE(MID($C180,21,2)),codigos!$K$2:$L$12,2,FALSE)</f>
        <v>A/T S/I</v>
      </c>
      <c r="D180" s="11" t="s">
        <v>841</v>
      </c>
      <c r="E180" s="11" t="s">
        <v>11</v>
      </c>
      <c r="F180" s="52" t="s">
        <v>844</v>
      </c>
      <c r="G180" s="20" t="s">
        <v>843</v>
      </c>
      <c r="H180" s="11">
        <v>60</v>
      </c>
      <c r="I180" s="11">
        <v>0</v>
      </c>
      <c r="J180" s="11">
        <f t="shared" si="3"/>
        <v>60</v>
      </c>
      <c r="K180" s="143"/>
    </row>
    <row r="181" spans="1:11" x14ac:dyDescent="0.25">
      <c r="A181" s="11" t="s">
        <v>237</v>
      </c>
      <c r="B181" s="11" t="str">
        <f ca="1">VLOOKUP(VALUE(MID($C181,13,2)), codigos!$A$2:$B$60, 2, 1) &amp; " " &amp; VLOOKUP(VALUE(MID($C181,15,4)), codigos!$E$2:$F$102, 2, FALSE)</f>
        <v>OLLA RECTA 24</v>
      </c>
      <c r="C181" s="11" t="str">
        <f ca="1">VLOOKUP(VALUE(MID($C181,19,2)),codigos!$H$2:$I$62,2,1) &amp; " " &amp; VLOOKUP(VALUE(MID($C181,21,2)),codigos!$K$2:$L$12,2,FALSE)</f>
        <v>A/T S/I</v>
      </c>
      <c r="D181" s="113" t="s">
        <v>841</v>
      </c>
      <c r="E181" s="113" t="s">
        <v>11</v>
      </c>
      <c r="F181" s="114" t="s">
        <v>844</v>
      </c>
      <c r="G181" s="39" t="s">
        <v>843</v>
      </c>
      <c r="H181" s="113">
        <v>60</v>
      </c>
      <c r="I181" s="113">
        <v>0</v>
      </c>
      <c r="J181" s="11">
        <f t="shared" si="3"/>
        <v>60</v>
      </c>
      <c r="K181" s="143"/>
    </row>
    <row r="182" spans="1:11" x14ac:dyDescent="0.25">
      <c r="A182" s="11" t="s">
        <v>224</v>
      </c>
      <c r="B182" s="11" t="str">
        <f ca="1">VLOOKUP(VALUE(MID($C182,13,2)), codigos!$A$2:$B$60, 2, 1) &amp; " " &amp; VLOOKUP(VALUE(MID($C182,15,4)), codigos!$E$2:$F$102, 2, FALSE)</f>
        <v>OLLA RECTA 26</v>
      </c>
      <c r="C182" s="11" t="str">
        <f ca="1">VLOOKUP(VALUE(MID($C182,19,2)),codigos!$H$2:$I$62,2,1) &amp; " " &amp; VLOOKUP(VALUE(MID($C182,21,2)),codigos!$K$2:$L$12,2,FALSE)</f>
        <v>A/T S/I</v>
      </c>
      <c r="D182" s="11" t="s">
        <v>841</v>
      </c>
      <c r="E182" s="11" t="s">
        <v>11</v>
      </c>
      <c r="F182" s="52" t="s">
        <v>844</v>
      </c>
      <c r="G182" s="20" t="s">
        <v>843</v>
      </c>
      <c r="H182" s="11">
        <v>60</v>
      </c>
      <c r="I182" s="11">
        <v>0</v>
      </c>
      <c r="J182" s="11">
        <f t="shared" si="3"/>
        <v>60</v>
      </c>
      <c r="K182" s="143"/>
    </row>
    <row r="183" spans="1:11" x14ac:dyDescent="0.25">
      <c r="A183" s="11" t="s">
        <v>336</v>
      </c>
      <c r="B183" s="11" t="str">
        <f ca="1">VLOOKUP(VALUE(MID($C183,13,2)), codigos!$A$2:$B$60, 2, 1) &amp; " " &amp; VLOOKUP(VALUE(MID($C183,15,4)), codigos!$E$2:$F$102, 2, FALSE)</f>
        <v>OLLA RECTA 28</v>
      </c>
      <c r="C183" s="11" t="str">
        <f ca="1">VLOOKUP(VALUE(MID($C183,19,2)),codigos!$H$2:$I$62,2,1) &amp; " " &amp; VLOOKUP(VALUE(MID($C183,21,2)),codigos!$K$2:$L$12,2,FALSE)</f>
        <v>A/T S/I</v>
      </c>
      <c r="D183" s="113" t="s">
        <v>841</v>
      </c>
      <c r="E183" s="113" t="s">
        <v>11</v>
      </c>
      <c r="F183" s="114" t="s">
        <v>844</v>
      </c>
      <c r="G183" s="39" t="s">
        <v>843</v>
      </c>
      <c r="H183" s="113">
        <v>60</v>
      </c>
      <c r="I183" s="113">
        <v>0</v>
      </c>
      <c r="J183" s="11">
        <f t="shared" si="3"/>
        <v>60</v>
      </c>
      <c r="K183" s="143"/>
    </row>
    <row r="184" spans="1:11" x14ac:dyDescent="0.25">
      <c r="A184" s="11" t="s">
        <v>155</v>
      </c>
      <c r="B184" s="11" t="str">
        <f ca="1">VLOOKUP(VALUE(MID($C184,13,2)), codigos!$A$2:$B$60, 2, 1) &amp; " " &amp; VLOOKUP(VALUE(MID($C184,15,4)), codigos!$E$2:$F$102, 2, FALSE)</f>
        <v>OLLA RECTA 30</v>
      </c>
      <c r="C184" s="11" t="str">
        <f ca="1">VLOOKUP(VALUE(MID($C184,19,2)),codigos!$H$2:$I$62,2,1) &amp; " " &amp; VLOOKUP(VALUE(MID($C184,21,2)),codigos!$K$2:$L$12,2,FALSE)</f>
        <v>A/T S/I</v>
      </c>
      <c r="D184" s="11" t="s">
        <v>841</v>
      </c>
      <c r="E184" s="11" t="s">
        <v>11</v>
      </c>
      <c r="F184" s="52" t="s">
        <v>844</v>
      </c>
      <c r="G184" s="20" t="s">
        <v>843</v>
      </c>
      <c r="H184" s="11">
        <v>30</v>
      </c>
      <c r="I184" s="11">
        <v>0</v>
      </c>
      <c r="J184" s="11">
        <f t="shared" si="3"/>
        <v>30</v>
      </c>
      <c r="K184" s="143"/>
    </row>
    <row r="185" spans="1:11" x14ac:dyDescent="0.25">
      <c r="A185" s="11" t="s">
        <v>156</v>
      </c>
      <c r="B185" s="11" t="str">
        <f ca="1">VLOOKUP(VALUE(MID($C185,13,2)), codigos!$A$2:$B$60, 2, 1) &amp; " " &amp; VLOOKUP(VALUE(MID($C185,15,4)), codigos!$E$2:$F$102, 2, FALSE)</f>
        <v>OLLA RECTA 34</v>
      </c>
      <c r="C185" s="11" t="str">
        <f ca="1">VLOOKUP(VALUE(MID($C185,19,2)),codigos!$H$2:$I$62,2,1) &amp; " " &amp; VLOOKUP(VALUE(MID($C185,21,2)),codigos!$K$2:$L$12,2,FALSE)</f>
        <v>A/T S/I</v>
      </c>
      <c r="D185" s="11" t="s">
        <v>841</v>
      </c>
      <c r="E185" s="11" t="s">
        <v>11</v>
      </c>
      <c r="F185" s="52" t="s">
        <v>844</v>
      </c>
      <c r="G185" s="20" t="s">
        <v>843</v>
      </c>
      <c r="H185" s="11">
        <v>30</v>
      </c>
      <c r="I185" s="11">
        <v>0</v>
      </c>
      <c r="J185" s="11">
        <f t="shared" si="3"/>
        <v>30</v>
      </c>
      <c r="K185" s="143"/>
    </row>
    <row r="186" spans="1:11" x14ac:dyDescent="0.25">
      <c r="A186" s="11" t="s">
        <v>66</v>
      </c>
      <c r="B186" s="11" t="str">
        <f ca="1">VLOOKUP(VALUE(MID($C186,13,2)), codigos!$A$2:$B$60, 2, 1) &amp; " " &amp; VLOOKUP(VALUE(MID($C186,15,4)), codigos!$E$2:$F$102, 2, FALSE)</f>
        <v>PLATO AVENERO 20</v>
      </c>
      <c r="C186" s="11" t="str">
        <f ca="1">VLOOKUP(VALUE(MID($C186,19,2)),codigos!$H$2:$I$62,2,1) &amp; " " &amp; VLOOKUP(VALUE(MID($C186,21,2)),codigos!$K$2:$L$12,2,FALSE)</f>
        <v>A/T S/I</v>
      </c>
      <c r="D186" s="11" t="s">
        <v>841</v>
      </c>
      <c r="E186" s="11" t="s">
        <v>11</v>
      </c>
      <c r="F186" s="52" t="s">
        <v>844</v>
      </c>
      <c r="G186" s="20" t="s">
        <v>843</v>
      </c>
      <c r="H186" s="11">
        <v>720</v>
      </c>
      <c r="I186" s="11">
        <v>0</v>
      </c>
      <c r="J186" s="11">
        <f t="shared" si="3"/>
        <v>720</v>
      </c>
      <c r="K186" s="143"/>
    </row>
    <row r="187" spans="1:11" x14ac:dyDescent="0.25">
      <c r="A187" s="11" t="s">
        <v>283</v>
      </c>
      <c r="B187" s="11" t="str">
        <f ca="1">VLOOKUP(VALUE(MID($C187,13,2)), codigos!$A$2:$B$60, 2, 1) &amp; " " &amp; VLOOKUP(VALUE(MID($C187,15,4)), codigos!$E$2:$F$102, 2, FALSE)</f>
        <v>PLATO AVENERO 20</v>
      </c>
      <c r="C187" s="11" t="str">
        <f ca="1">VLOOKUP(VALUE(MID($C187,19,2)),codigos!$H$2:$I$62,2,1) &amp; " " &amp; VLOOKUP(VALUE(MID($C187,21,2)),codigos!$K$2:$L$12,2,FALSE)</f>
        <v>BLANCO  NEGRO</v>
      </c>
      <c r="D187" s="11" t="s">
        <v>841</v>
      </c>
      <c r="E187" s="11" t="s">
        <v>11</v>
      </c>
      <c r="F187" s="52" t="s">
        <v>844</v>
      </c>
      <c r="G187" s="20" t="s">
        <v>843</v>
      </c>
      <c r="H187" s="11">
        <v>720</v>
      </c>
      <c r="I187" s="11">
        <v>0</v>
      </c>
      <c r="J187" s="11">
        <f t="shared" si="3"/>
        <v>720</v>
      </c>
      <c r="K187" s="143"/>
    </row>
    <row r="188" spans="1:11" x14ac:dyDescent="0.25">
      <c r="A188" s="11" t="s">
        <v>225</v>
      </c>
      <c r="B188" s="11" t="str">
        <f ca="1">VLOOKUP(VALUE(MID($C188,13,2)), codigos!$A$2:$B$60, 2, 1) &amp; " " &amp; VLOOKUP(VALUE(MID($C188,15,4)), codigos!$E$2:$F$102, 2, FALSE)</f>
        <v>POCILLO 8</v>
      </c>
      <c r="C188" s="11" t="str">
        <f ca="1">VLOOKUP(VALUE(MID($C188,19,2)),codigos!$H$2:$I$62,2,1) &amp; " " &amp; VLOOKUP(VALUE(MID($C188,21,2)),codigos!$K$2:$L$12,2,FALSE)</f>
        <v>A/T S/I</v>
      </c>
      <c r="D188" s="113" t="s">
        <v>841</v>
      </c>
      <c r="E188" s="113" t="s">
        <v>11</v>
      </c>
      <c r="F188" s="114" t="s">
        <v>844</v>
      </c>
      <c r="G188" s="39" t="s">
        <v>843</v>
      </c>
      <c r="H188" s="113">
        <v>480</v>
      </c>
      <c r="I188" s="113">
        <v>0</v>
      </c>
      <c r="J188" s="11">
        <f t="shared" si="3"/>
        <v>480</v>
      </c>
      <c r="K188" s="143"/>
    </row>
    <row r="189" spans="1:11" x14ac:dyDescent="0.25">
      <c r="A189" s="11" t="s">
        <v>226</v>
      </c>
      <c r="B189" s="11" t="str">
        <f ca="1">VLOOKUP(VALUE(MID($C189,13,2)), codigos!$A$2:$B$60, 2, 1) &amp; " " &amp; VLOOKUP(VALUE(MID($C189,15,4)), codigos!$E$2:$F$102, 2, FALSE)</f>
        <v>POCILLO 10</v>
      </c>
      <c r="C189" s="11" t="str">
        <f ca="1">VLOOKUP(VALUE(MID($C189,19,2)),codigos!$H$2:$I$62,2,1) &amp; " " &amp; VLOOKUP(VALUE(MID($C189,21,2)),codigos!$K$2:$L$12,2,FALSE)</f>
        <v>A/T S/I</v>
      </c>
      <c r="D189" s="113" t="s">
        <v>841</v>
      </c>
      <c r="E189" s="113" t="s">
        <v>11</v>
      </c>
      <c r="F189" s="114" t="s">
        <v>844</v>
      </c>
      <c r="G189" s="39" t="s">
        <v>843</v>
      </c>
      <c r="H189" s="113">
        <v>360</v>
      </c>
      <c r="I189" s="113">
        <v>0</v>
      </c>
      <c r="J189" s="11">
        <f t="shared" si="3"/>
        <v>360</v>
      </c>
      <c r="K189" s="143"/>
    </row>
    <row r="190" spans="1:11" x14ac:dyDescent="0.25">
      <c r="A190" s="11" t="s">
        <v>180</v>
      </c>
      <c r="B190" s="11" t="str">
        <f ca="1">VLOOKUP(VALUE(MID($C190,13,2)), codigos!$A$2:$B$60, 2, 1) &amp; " " &amp; VLOOKUP(VALUE(MID($C190,15,4)), codigos!$E$2:$F$102, 2, FALSE)</f>
        <v>POCILLO 12</v>
      </c>
      <c r="C190" s="11" t="str">
        <f ca="1">VLOOKUP(VALUE(MID($C190,19,2)),codigos!$H$2:$I$62,2,1) &amp; " " &amp; VLOOKUP(VALUE(MID($C190,21,2)),codigos!$K$2:$L$12,2,FALSE)</f>
        <v>A/T S/I</v>
      </c>
      <c r="D190" s="113" t="s">
        <v>841</v>
      </c>
      <c r="E190" s="113" t="s">
        <v>11</v>
      </c>
      <c r="F190" s="114" t="s">
        <v>845</v>
      </c>
      <c r="G190" s="39" t="s">
        <v>843</v>
      </c>
      <c r="H190" s="113">
        <v>600</v>
      </c>
      <c r="I190" s="113">
        <v>0</v>
      </c>
      <c r="J190" s="11">
        <f t="shared" si="3"/>
        <v>600</v>
      </c>
      <c r="K190" s="143">
        <f>(SUM(I190:I200))/(SUM(H190:H200))</f>
        <v>0</v>
      </c>
    </row>
    <row r="191" spans="1:11" x14ac:dyDescent="0.25">
      <c r="A191" s="11" t="s">
        <v>182</v>
      </c>
      <c r="B191" s="11" t="str">
        <f ca="1">VLOOKUP(VALUE(MID($C191,13,2)), codigos!$A$2:$B$60, 2, 1) &amp; " " &amp; VLOOKUP(VALUE(MID($C191,15,4)), codigos!$E$2:$F$102, 2, FALSE)</f>
        <v>POCILLO 14</v>
      </c>
      <c r="C191" s="11" t="str">
        <f ca="1">VLOOKUP(VALUE(MID($C191,19,2)),codigos!$H$2:$I$62,2,1) &amp; " " &amp; VLOOKUP(VALUE(MID($C191,21,2)),codigos!$K$2:$L$12,2,FALSE)</f>
        <v>A/T S/I</v>
      </c>
      <c r="D191" s="113" t="s">
        <v>841</v>
      </c>
      <c r="E191" s="113" t="s">
        <v>11</v>
      </c>
      <c r="F191" s="114" t="s">
        <v>845</v>
      </c>
      <c r="G191" s="39" t="s">
        <v>843</v>
      </c>
      <c r="H191" s="113">
        <v>600</v>
      </c>
      <c r="I191" s="113">
        <v>0</v>
      </c>
      <c r="J191" s="11">
        <f t="shared" si="3"/>
        <v>600</v>
      </c>
      <c r="K191" s="143"/>
    </row>
    <row r="192" spans="1:11" x14ac:dyDescent="0.25">
      <c r="A192" s="11" t="s">
        <v>83</v>
      </c>
      <c r="B192" s="11" t="str">
        <f ca="1">VLOOKUP(VALUE(MID($C192,13,2)), codigos!$A$2:$B$60, 2, 1) &amp; " " &amp; VLOOKUP(VALUE(MID($C192,15,4)), codigos!$E$2:$F$102, 2, FALSE)</f>
        <v>TAZON  15.5</v>
      </c>
      <c r="C192" s="11" t="str">
        <f ca="1">VLOOKUP(VALUE(MID($C192,19,2)),codigos!$H$2:$I$62,2,1) &amp; " " &amp; VLOOKUP(VALUE(MID($C192,21,2)),codigos!$K$2:$L$12,2,FALSE)</f>
        <v>BLANCO  NEGRO</v>
      </c>
      <c r="D192" s="11" t="s">
        <v>841</v>
      </c>
      <c r="E192" s="11" t="s">
        <v>11</v>
      </c>
      <c r="F192" s="52" t="s">
        <v>845</v>
      </c>
      <c r="G192" s="20" t="s">
        <v>843</v>
      </c>
      <c r="H192" s="11">
        <v>1200</v>
      </c>
      <c r="I192" s="11">
        <v>0</v>
      </c>
      <c r="J192" s="11">
        <f t="shared" si="3"/>
        <v>1200</v>
      </c>
      <c r="K192" s="143"/>
    </row>
    <row r="193" spans="1:12" x14ac:dyDescent="0.25">
      <c r="A193" s="11" t="s">
        <v>85</v>
      </c>
      <c r="B193" s="11" t="str">
        <f ca="1">VLOOKUP(VALUE(MID($C193,13,2)), codigos!$A$2:$B$60, 2, 1) &amp; " " &amp; VLOOKUP(VALUE(MID($C193,15,4)), codigos!$E$2:$F$102, 2, FALSE)</f>
        <v>TAZON  20</v>
      </c>
      <c r="C193" s="11" t="str">
        <f ca="1">VLOOKUP(VALUE(MID($C193,19,2)),codigos!$H$2:$I$62,2,1) &amp; " " &amp; VLOOKUP(VALUE(MID($C193,21,2)),codigos!$K$2:$L$12,2,FALSE)</f>
        <v>A/T S/I</v>
      </c>
      <c r="D193" s="113" t="s">
        <v>841</v>
      </c>
      <c r="E193" s="113" t="s">
        <v>11</v>
      </c>
      <c r="F193" s="114" t="s">
        <v>845</v>
      </c>
      <c r="G193" s="39" t="s">
        <v>843</v>
      </c>
      <c r="H193" s="113">
        <v>720</v>
      </c>
      <c r="I193" s="113">
        <v>0</v>
      </c>
      <c r="J193" s="11">
        <f>+H193-I193</f>
        <v>720</v>
      </c>
      <c r="K193" s="143"/>
    </row>
    <row r="194" spans="1:12" x14ac:dyDescent="0.25">
      <c r="A194" s="11" t="s">
        <v>390</v>
      </c>
      <c r="B194" s="11" t="str">
        <f ca="1">VLOOKUP(VALUE(MID($C194,13,2)), codigos!$A$2:$B$60, 2, 1) &amp; " " &amp; VLOOKUP(VALUE(MID($C194,15,4)), codigos!$E$2:$F$102, 2, FALSE)</f>
        <v>TAZON  20</v>
      </c>
      <c r="C194" s="11" t="str">
        <f ca="1">VLOOKUP(VALUE(MID($C194,19,2)),codigos!$H$2:$I$62,2,1) &amp; " " &amp; VLOOKUP(VALUE(MID($C194,21,2)),codigos!$K$2:$L$12,2,FALSE)</f>
        <v>BLANCO  NEGRO</v>
      </c>
      <c r="D194" s="11" t="s">
        <v>841</v>
      </c>
      <c r="E194" s="11" t="s">
        <v>11</v>
      </c>
      <c r="F194" s="52" t="s">
        <v>845</v>
      </c>
      <c r="G194" s="20" t="s">
        <v>843</v>
      </c>
      <c r="H194" s="11">
        <v>600</v>
      </c>
      <c r="I194" s="11">
        <v>0</v>
      </c>
      <c r="J194" s="11">
        <f t="shared" si="3"/>
        <v>600</v>
      </c>
      <c r="K194" s="143"/>
    </row>
    <row r="195" spans="1:12" x14ac:dyDescent="0.25">
      <c r="A195" s="11" t="s">
        <v>487</v>
      </c>
      <c r="B195" s="11" t="str">
        <f ca="1">VLOOKUP(VALUE(MID($C195,13,2)), codigos!$A$2:$B$60, 2, 1) &amp; " " &amp; VLOOKUP(VALUE(MID($C195,15,4)), codigos!$E$2:$F$102, 2, FALSE)</f>
        <v>VAPORERA 30</v>
      </c>
      <c r="C195" s="11" t="str">
        <f ca="1">VLOOKUP(VALUE(MID($C195,19,2)),codigos!$H$2:$I$62,2,1) &amp; " " &amp; VLOOKUP(VALUE(MID($C195,21,2)),codigos!$K$2:$L$12,2,FALSE)</f>
        <v>A/T S/I</v>
      </c>
      <c r="D195" s="11" t="s">
        <v>841</v>
      </c>
      <c r="E195" s="11" t="s">
        <v>11</v>
      </c>
      <c r="F195" s="52" t="s">
        <v>845</v>
      </c>
      <c r="G195" s="20" t="s">
        <v>843</v>
      </c>
      <c r="H195" s="11">
        <v>100</v>
      </c>
      <c r="I195" s="11">
        <v>0</v>
      </c>
      <c r="J195" s="11">
        <f t="shared" si="3"/>
        <v>100</v>
      </c>
      <c r="K195" s="143"/>
    </row>
    <row r="196" spans="1:12" x14ac:dyDescent="0.25">
      <c r="A196" s="11" t="s">
        <v>240</v>
      </c>
      <c r="B196" s="11" t="str">
        <f ca="1">VLOOKUP(VALUE(MID($C196,13,2)), codigos!$A$2:$B$60, 2, 1) &amp; " " &amp; VLOOKUP(VALUE(MID($C196,15,4)), codigos!$E$2:$F$102, 2, FALSE)</f>
        <v>VAPORERA 34</v>
      </c>
      <c r="C196" s="11" t="str">
        <f ca="1">VLOOKUP(VALUE(MID($C196,19,2)),codigos!$H$2:$I$62,2,1) &amp; " " &amp; VLOOKUP(VALUE(MID($C196,21,2)),codigos!$K$2:$L$12,2,FALSE)</f>
        <v>A/T S/I</v>
      </c>
      <c r="D196" s="11" t="s">
        <v>841</v>
      </c>
      <c r="E196" s="11" t="s">
        <v>11</v>
      </c>
      <c r="F196" s="52" t="s">
        <v>845</v>
      </c>
      <c r="G196" s="20" t="s">
        <v>843</v>
      </c>
      <c r="H196" s="11">
        <v>80</v>
      </c>
      <c r="I196" s="11">
        <v>0</v>
      </c>
      <c r="J196" s="11">
        <f t="shared" si="3"/>
        <v>80</v>
      </c>
      <c r="K196" s="143"/>
    </row>
    <row r="197" spans="1:12" x14ac:dyDescent="0.25">
      <c r="A197" s="11" t="s">
        <v>846</v>
      </c>
      <c r="B197" s="11" t="str">
        <f ca="1">VLOOKUP(VALUE(MID($C197,13,2)), codigos!$A$2:$B$60, 2, 1) &amp; " " &amp; VLOOKUP(VALUE(MID($C197,15,4)), codigos!$E$2:$F$102, 2, FALSE)</f>
        <v>VAPORERA 42</v>
      </c>
      <c r="C197" s="11" t="str">
        <f ca="1">VLOOKUP(VALUE(MID($C197,19,2)),codigos!$H$2:$I$62,2,1) &amp; " " &amp; VLOOKUP(VALUE(MID($C197,21,2)),codigos!$K$2:$L$12,2,FALSE)</f>
        <v>A/T S/I</v>
      </c>
      <c r="D197" s="11" t="s">
        <v>841</v>
      </c>
      <c r="E197" s="11" t="s">
        <v>11</v>
      </c>
      <c r="F197" s="52" t="s">
        <v>845</v>
      </c>
      <c r="G197" s="20" t="s">
        <v>843</v>
      </c>
      <c r="H197" s="11">
        <v>50</v>
      </c>
      <c r="I197" s="11">
        <v>0</v>
      </c>
      <c r="J197" s="11">
        <f t="shared" ref="J197:J202" si="4">+H197-I197</f>
        <v>50</v>
      </c>
      <c r="K197" s="143"/>
    </row>
    <row r="198" spans="1:12" x14ac:dyDescent="0.25">
      <c r="A198" s="11" t="s">
        <v>847</v>
      </c>
      <c r="B198" s="11" t="str">
        <f ca="1">VLOOKUP(VALUE(MID($C198,13,2)), codigos!$A$2:$B$60, 2, 1) &amp; " " &amp; VLOOKUP(VALUE(MID($C198,15,4)), codigos!$E$2:$F$102, 2, FALSE)</f>
        <v>VASO RECTO 14</v>
      </c>
      <c r="C198" s="11" t="str">
        <f ca="1">VLOOKUP(VALUE(MID($C198,19,2)),codigos!$H$2:$I$62,2,1) &amp; " " &amp; VLOOKUP(VALUE(MID($C198,21,2)),codigos!$K$2:$L$12,2,FALSE)</f>
        <v>A/T S/I</v>
      </c>
      <c r="D198" s="11" t="s">
        <v>841</v>
      </c>
      <c r="E198" s="11" t="s">
        <v>11</v>
      </c>
      <c r="F198" s="52" t="s">
        <v>845</v>
      </c>
      <c r="G198" s="20" t="s">
        <v>843</v>
      </c>
      <c r="H198" s="11">
        <v>240</v>
      </c>
      <c r="I198" s="11">
        <v>0</v>
      </c>
      <c r="J198" s="11">
        <f t="shared" si="4"/>
        <v>240</v>
      </c>
      <c r="K198" s="143"/>
    </row>
    <row r="199" spans="1:12" x14ac:dyDescent="0.25">
      <c r="A199" s="64" t="s">
        <v>848</v>
      </c>
      <c r="B199" s="64" t="str">
        <f ca="1">VLOOKUP(VALUE(MID($C199,13,2)), codigos!$A$2:$B$60, 2, 1) &amp; " " &amp; VLOOKUP(VALUE(MID($C199,15,4)), codigos!$E$2:$F$102, 2, FALSE)</f>
        <v>PAVERA OVAL 18"</v>
      </c>
      <c r="C199" s="64" t="str">
        <f ca="1">VLOOKUP(VALUE(MID($C199,19,2)),codigos!$H$2:$I$62,2,1) &amp; " " &amp; VLOOKUP(VALUE(MID($C199,21,2)),codigos!$K$2:$L$12,2,FALSE)</f>
        <v>NAVY (WM) S/I</v>
      </c>
      <c r="D199" s="64" t="s">
        <v>841</v>
      </c>
      <c r="E199" s="64" t="s">
        <v>11</v>
      </c>
      <c r="F199" s="66" t="s">
        <v>845</v>
      </c>
      <c r="G199" s="64" t="s">
        <v>843</v>
      </c>
      <c r="H199" s="64">
        <v>100</v>
      </c>
      <c r="I199" s="64">
        <v>0</v>
      </c>
      <c r="J199" s="64">
        <f t="shared" si="4"/>
        <v>100</v>
      </c>
      <c r="K199" s="143"/>
    </row>
    <row r="200" spans="1:12" x14ac:dyDescent="0.25">
      <c r="A200" s="11" t="s">
        <v>849</v>
      </c>
      <c r="B200" s="11" t="str">
        <f ca="1">VLOOKUP(VALUE(MID($C200,13,2)), codigos!$A$2:$B$60, 2, 1) &amp; " " &amp; VLOOKUP(VALUE(MID($C200,15,4)), codigos!$E$2:$F$102, 2, FALSE)</f>
        <v>PAVERA OVAL 15"</v>
      </c>
      <c r="C200" s="11" t="str">
        <f ca="1">VLOOKUP(VALUE(MID($C200,19,2)),codigos!$H$2:$I$62,2,1) &amp; " " &amp; VLOOKUP(VALUE(MID($C200,21,2)),codigos!$K$2:$L$12,2,FALSE)</f>
        <v>NEGRO MOTAS S/I</v>
      </c>
      <c r="D200" s="11" t="s">
        <v>841</v>
      </c>
      <c r="E200" s="11" t="s">
        <v>11</v>
      </c>
      <c r="F200" s="52" t="s">
        <v>845</v>
      </c>
      <c r="G200" s="20" t="s">
        <v>843</v>
      </c>
      <c r="H200" s="11">
        <v>100</v>
      </c>
      <c r="I200" s="11">
        <v>0</v>
      </c>
      <c r="J200" s="11">
        <f t="shared" si="4"/>
        <v>100</v>
      </c>
      <c r="K200" s="143"/>
    </row>
    <row r="201" spans="1:12" x14ac:dyDescent="0.25">
      <c r="A201" s="11" t="s">
        <v>1053</v>
      </c>
      <c r="B201" s="11" t="str">
        <f ca="1">VLOOKUP(VALUE(MID($C201,13,2)), codigos!$A$2:$B$60, 2, 1) &amp; " " &amp; VLOOKUP(VALUE(MID($C201,15,4)), codigos!$E$2:$F$102, 2, FALSE)</f>
        <v>VASO 8</v>
      </c>
      <c r="C201" s="11" t="str">
        <f ca="1">VLOOKUP(VALUE(MID($C201,19,2)),codigos!$H$2:$I$62,2,1) &amp; " " &amp; VLOOKUP(VALUE(MID($C201,21,2)),codigos!$K$2:$L$12,2,FALSE)</f>
        <v>NEGRO MOTAS S/I</v>
      </c>
      <c r="D201" s="11" t="s">
        <v>1054</v>
      </c>
      <c r="E201" s="11" t="s">
        <v>34</v>
      </c>
      <c r="F201" s="13" t="s">
        <v>1055</v>
      </c>
      <c r="G201" s="11" t="s">
        <v>1056</v>
      </c>
      <c r="H201" s="25">
        <v>40</v>
      </c>
      <c r="I201" s="25">
        <v>0</v>
      </c>
      <c r="J201" s="15">
        <f t="shared" si="4"/>
        <v>40</v>
      </c>
      <c r="K201" s="95">
        <f>(SUM(I201))/(SUM(H201))</f>
        <v>0</v>
      </c>
    </row>
    <row r="202" spans="1:12" x14ac:dyDescent="0.25">
      <c r="A202" s="11" t="s">
        <v>251</v>
      </c>
      <c r="B202" s="11" t="str">
        <f ca="1">VLOOKUP(VALUE(MID($C202,13,2)), codigos!$A$2:$B$60, 2, 1) &amp; " " &amp; VLOOKUP(VALUE(MID($C202,15,4)), codigos!$E$2:$F$102, 2, FALSE)</f>
        <v>PLATO OVAL 28</v>
      </c>
      <c r="C202" s="11" t="str">
        <f ca="1">VLOOKUP(VALUE(MID($C202,19,2)),codigos!$H$2:$I$62,2,1) &amp; " " &amp; VLOOKUP(VALUE(MID($C202,21,2)),codigos!$K$2:$L$12,2,FALSE)</f>
        <v>NEGRO MOTAS S/I</v>
      </c>
      <c r="D202" s="52" t="s">
        <v>1054</v>
      </c>
      <c r="E202" s="20" t="s">
        <v>11</v>
      </c>
      <c r="F202" s="11" t="s">
        <v>1057</v>
      </c>
      <c r="G202" s="11" t="s">
        <v>1058</v>
      </c>
      <c r="H202" s="11">
        <v>330</v>
      </c>
      <c r="I202" s="11">
        <v>0</v>
      </c>
      <c r="J202" s="11">
        <f t="shared" si="4"/>
        <v>330</v>
      </c>
      <c r="K202" s="95">
        <f>(SUM(I202))/(SUM(H202))</f>
        <v>0</v>
      </c>
    </row>
    <row r="203" spans="1:12" x14ac:dyDescent="0.25">
      <c r="A203" s="11" t="s">
        <v>1446</v>
      </c>
      <c r="B203" s="11" t="str">
        <f ca="1">VLOOKUP(VALUE(MID($C203,13,2)), [2]codigos!$A$2:$B$60, 2, 1) &amp; " " &amp; VLOOKUP(VALUE(MID($C203,15,4)), [2]codigos!$E$2:$F$102, 2, FALSE)</f>
        <v>BACINICA 24</v>
      </c>
      <c r="C203" s="11" t="str">
        <f ca="1">VLOOKUP(VALUE(MID($C203,19,2)),[2]codigos!$H$2:$I$62,2,1) &amp; " " &amp; VLOOKUP(VALUE(MID($C203,21,2)),[2]codigos!$K$2:$L$12,2,FALSE)</f>
        <v>S/I S/I</v>
      </c>
      <c r="D203" s="52" t="s">
        <v>1247</v>
      </c>
      <c r="E203" s="20" t="s">
        <v>145</v>
      </c>
      <c r="F203" s="11" t="s">
        <v>442</v>
      </c>
      <c r="G203" s="11" t="s">
        <v>1445</v>
      </c>
      <c r="H203" s="11">
        <v>60</v>
      </c>
      <c r="I203" s="11">
        <v>0</v>
      </c>
      <c r="J203" s="11">
        <f t="shared" ref="J203:J263" si="5">H203-I203</f>
        <v>60</v>
      </c>
      <c r="K203" s="151">
        <f>(SUM(I203:I263))/(SUM(J203:J263))</f>
        <v>2.3423423423423424E-2</v>
      </c>
      <c r="L203" s="153" t="s">
        <v>1549</v>
      </c>
    </row>
    <row r="204" spans="1:12" x14ac:dyDescent="0.25">
      <c r="A204" s="11" t="s">
        <v>1447</v>
      </c>
      <c r="B204" s="11" t="str">
        <f ca="1">VLOOKUP(VALUE(MID($C204,13,2)), [2]codigos!$A$2:$B$60, 2, 1) &amp; " " &amp; VLOOKUP(VALUE(MID($C204,15,4)), [2]codigos!$E$2:$F$102, 2, FALSE)</f>
        <v>BUDINERA   14</v>
      </c>
      <c r="C204" s="11" t="str">
        <f ca="1">VLOOKUP(VALUE(MID($C204,19,2)),[2]codigos!$H$2:$I$62,2,1) &amp; " " &amp; VLOOKUP(VALUE(MID($C204,21,2)),[2]codigos!$K$2:$L$12,2,FALSE)</f>
        <v>S/I S/I</v>
      </c>
      <c r="D204" s="52" t="s">
        <v>1247</v>
      </c>
      <c r="E204" s="20" t="s">
        <v>145</v>
      </c>
      <c r="F204" s="11" t="s">
        <v>442</v>
      </c>
      <c r="G204" s="11" t="s">
        <v>1445</v>
      </c>
      <c r="H204" s="11">
        <v>72</v>
      </c>
      <c r="I204" s="11">
        <v>0</v>
      </c>
      <c r="J204" s="11">
        <f t="shared" si="5"/>
        <v>72</v>
      </c>
      <c r="K204" s="151"/>
      <c r="L204" s="154"/>
    </row>
    <row r="205" spans="1:12" x14ac:dyDescent="0.25">
      <c r="A205" s="11" t="s">
        <v>1448</v>
      </c>
      <c r="B205" s="11" t="str">
        <f ca="1">VLOOKUP(VALUE(MID($C205,13,2)), [2]codigos!$A$2:$B$60, 2, 1) &amp; " " &amp; VLOOKUP(VALUE(MID($C205,15,4)), [2]codigos!$E$2:$F$102, 2, FALSE)</f>
        <v>BUDINERA   16</v>
      </c>
      <c r="C205" s="11" t="str">
        <f ca="1">VLOOKUP(VALUE(MID($C205,19,2)),[2]codigos!$H$2:$I$62,2,1) &amp; " " &amp; VLOOKUP(VALUE(MID($C205,21,2)),[2]codigos!$K$2:$L$12,2,FALSE)</f>
        <v>S/I S/I</v>
      </c>
      <c r="D205" s="52" t="s">
        <v>1247</v>
      </c>
      <c r="E205" s="20" t="s">
        <v>145</v>
      </c>
      <c r="F205" s="11" t="s">
        <v>442</v>
      </c>
      <c r="G205" s="11" t="s">
        <v>1445</v>
      </c>
      <c r="H205" s="11">
        <v>72</v>
      </c>
      <c r="I205" s="11">
        <v>0</v>
      </c>
      <c r="J205" s="11">
        <f t="shared" si="5"/>
        <v>72</v>
      </c>
      <c r="K205" s="151"/>
      <c r="L205" s="154"/>
    </row>
    <row r="206" spans="1:12" x14ac:dyDescent="0.25">
      <c r="A206" s="11" t="s">
        <v>1449</v>
      </c>
      <c r="B206" s="11" t="str">
        <f ca="1">VLOOKUP(VALUE(MID($C206,13,2)), [2]codigos!$A$2:$B$60, 2, 1) &amp; " " &amp; VLOOKUP(VALUE(MID($C206,15,4)), [2]codigos!$E$2:$F$102, 2, FALSE)</f>
        <v>BUDINERA   18</v>
      </c>
      <c r="C206" s="11" t="str">
        <f ca="1">VLOOKUP(VALUE(MID($C206,19,2)),[2]codigos!$H$2:$I$62,2,1) &amp; " " &amp; VLOOKUP(VALUE(MID($C206,21,2)),[2]codigos!$K$2:$L$12,2,FALSE)</f>
        <v>S/I S/I</v>
      </c>
      <c r="D206" s="52" t="s">
        <v>1247</v>
      </c>
      <c r="E206" s="20" t="s">
        <v>145</v>
      </c>
      <c r="F206" s="11" t="s">
        <v>442</v>
      </c>
      <c r="G206" s="11" t="s">
        <v>1445</v>
      </c>
      <c r="H206" s="11">
        <v>72</v>
      </c>
      <c r="I206" s="11">
        <v>0</v>
      </c>
      <c r="J206" s="11">
        <f t="shared" si="5"/>
        <v>72</v>
      </c>
      <c r="K206" s="151"/>
      <c r="L206" s="154"/>
    </row>
    <row r="207" spans="1:12" x14ac:dyDescent="0.25">
      <c r="A207" s="11" t="s">
        <v>1450</v>
      </c>
      <c r="B207" s="11" t="str">
        <f ca="1">VLOOKUP(VALUE(MID($C207,13,2)), [2]codigos!$A$2:$B$60, 2, 1) &amp; " " &amp; VLOOKUP(VALUE(MID($C207,15,4)), [2]codigos!$E$2:$F$102, 2, FALSE)</f>
        <v>BUDINERA   20</v>
      </c>
      <c r="C207" s="11" t="str">
        <f ca="1">VLOOKUP(VALUE(MID($C207,19,2)),[2]codigos!$H$2:$I$62,2,1) &amp; " " &amp; VLOOKUP(VALUE(MID($C207,21,2)),[2]codigos!$K$2:$L$12,2,FALSE)</f>
        <v>S/I S/I</v>
      </c>
      <c r="D207" s="52" t="s">
        <v>1247</v>
      </c>
      <c r="E207" s="20" t="s">
        <v>145</v>
      </c>
      <c r="F207" s="11" t="s">
        <v>442</v>
      </c>
      <c r="G207" s="11" t="s">
        <v>1445</v>
      </c>
      <c r="H207" s="11">
        <v>72</v>
      </c>
      <c r="I207" s="11">
        <v>0</v>
      </c>
      <c r="J207" s="11">
        <f t="shared" si="5"/>
        <v>72</v>
      </c>
      <c r="K207" s="151"/>
      <c r="L207" s="154"/>
    </row>
    <row r="208" spans="1:12" x14ac:dyDescent="0.25">
      <c r="A208" s="11" t="s">
        <v>1338</v>
      </c>
      <c r="B208" s="11" t="str">
        <f ca="1">VLOOKUP(VALUE(MID($C208,13,2)), [2]codigos!$A$2:$B$60, 2, 1) &amp; " " &amp; VLOOKUP(VALUE(MID($C208,15,4)), [2]codigos!$E$2:$F$102, 2, FALSE)</f>
        <v>BUDINERA   22</v>
      </c>
      <c r="C208" s="11" t="str">
        <f ca="1">VLOOKUP(VALUE(MID($C208,19,2)),[2]codigos!$H$2:$I$62,2,1) &amp; " " &amp; VLOOKUP(VALUE(MID($C208,21,2)),[2]codigos!$K$2:$L$12,2,FALSE)</f>
        <v>S/I S/I</v>
      </c>
      <c r="D208" s="52" t="s">
        <v>1247</v>
      </c>
      <c r="E208" s="20" t="s">
        <v>145</v>
      </c>
      <c r="F208" s="11" t="s">
        <v>442</v>
      </c>
      <c r="G208" s="11" t="s">
        <v>1445</v>
      </c>
      <c r="H208" s="11">
        <v>48</v>
      </c>
      <c r="I208" s="11">
        <v>0</v>
      </c>
      <c r="J208" s="11">
        <f t="shared" si="5"/>
        <v>48</v>
      </c>
      <c r="K208" s="151"/>
      <c r="L208" s="154"/>
    </row>
    <row r="209" spans="1:12" x14ac:dyDescent="0.25">
      <c r="A209" s="11" t="s">
        <v>1340</v>
      </c>
      <c r="B209" s="11" t="str">
        <f ca="1">VLOOKUP(VALUE(MID($C209,13,2)), [2]codigos!$A$2:$B$60, 2, 1) &amp; " " &amp; VLOOKUP(VALUE(MID($C209,15,4)), [2]codigos!$E$2:$F$102, 2, FALSE)</f>
        <v>BUDINERA   24</v>
      </c>
      <c r="C209" s="11" t="str">
        <f ca="1">VLOOKUP(VALUE(MID($C209,19,2)),[2]codigos!$H$2:$I$62,2,1) &amp; " " &amp; VLOOKUP(VALUE(MID($C209,21,2)),[2]codigos!$K$2:$L$12,2,FALSE)</f>
        <v>S/I S/I</v>
      </c>
      <c r="D209" s="52" t="s">
        <v>1247</v>
      </c>
      <c r="E209" s="20" t="s">
        <v>145</v>
      </c>
      <c r="F209" s="11" t="s">
        <v>442</v>
      </c>
      <c r="G209" s="11" t="s">
        <v>1445</v>
      </c>
      <c r="H209" s="11">
        <v>48</v>
      </c>
      <c r="I209" s="11">
        <v>0</v>
      </c>
      <c r="J209" s="11">
        <f t="shared" si="5"/>
        <v>48</v>
      </c>
      <c r="K209" s="151"/>
      <c r="L209" s="154"/>
    </row>
    <row r="210" spans="1:12" x14ac:dyDescent="0.25">
      <c r="A210" s="11" t="s">
        <v>1341</v>
      </c>
      <c r="B210" s="11" t="str">
        <f ca="1">VLOOKUP(VALUE(MID($C210,13,2)), [2]codigos!$A$2:$B$60, 2, 1) &amp; " " &amp; VLOOKUP(VALUE(MID($C210,15,4)), [2]codigos!$E$2:$F$102, 2, FALSE)</f>
        <v>BUDINERA   26</v>
      </c>
      <c r="C210" s="11" t="str">
        <f ca="1">VLOOKUP(VALUE(MID($C210,19,2)),[2]codigos!$H$2:$I$62,2,1) &amp; " " &amp; VLOOKUP(VALUE(MID($C210,21,2)),[2]codigos!$K$2:$L$12,2,FALSE)</f>
        <v>S/I S/I</v>
      </c>
      <c r="D210" s="52" t="s">
        <v>1247</v>
      </c>
      <c r="E210" s="20" t="s">
        <v>145</v>
      </c>
      <c r="F210" s="11" t="s">
        <v>442</v>
      </c>
      <c r="G210" s="11" t="s">
        <v>1445</v>
      </c>
      <c r="H210" s="11">
        <v>48</v>
      </c>
      <c r="I210" s="11">
        <v>0</v>
      </c>
      <c r="J210" s="11">
        <f t="shared" si="5"/>
        <v>48</v>
      </c>
      <c r="K210" s="151"/>
      <c r="L210" s="154"/>
    </row>
    <row r="211" spans="1:12" x14ac:dyDescent="0.25">
      <c r="A211" s="11" t="s">
        <v>1342</v>
      </c>
      <c r="B211" s="11" t="str">
        <f ca="1">VLOOKUP(VALUE(MID($C211,13,2)), [2]codigos!$A$2:$B$60, 2, 1) &amp; " " &amp; VLOOKUP(VALUE(MID($C211,15,4)), [2]codigos!$E$2:$F$102, 2, FALSE)</f>
        <v>BUDINERA   30</v>
      </c>
      <c r="C211" s="11" t="str">
        <f ca="1">VLOOKUP(VALUE(MID($C211,19,2)),[2]codigos!$H$2:$I$62,2,1) &amp; " " &amp; VLOOKUP(VALUE(MID($C211,21,2)),[2]codigos!$K$2:$L$12,2,FALSE)</f>
        <v>S/I S/I</v>
      </c>
      <c r="D211" s="52" t="s">
        <v>1247</v>
      </c>
      <c r="E211" s="20" t="s">
        <v>145</v>
      </c>
      <c r="F211" s="11" t="s">
        <v>442</v>
      </c>
      <c r="G211" s="11" t="s">
        <v>1445</v>
      </c>
      <c r="H211" s="11">
        <v>16</v>
      </c>
      <c r="I211" s="11">
        <v>0</v>
      </c>
      <c r="J211" s="11">
        <f t="shared" si="5"/>
        <v>16</v>
      </c>
      <c r="K211" s="151"/>
      <c r="L211" s="154"/>
    </row>
    <row r="212" spans="1:12" x14ac:dyDescent="0.25">
      <c r="A212" s="11" t="s">
        <v>1343</v>
      </c>
      <c r="B212" s="11" t="str">
        <f ca="1">VLOOKUP(VALUE(MID($C212,13,2)), [2]codigos!$A$2:$B$60, 2, 1) &amp; " " &amp; VLOOKUP(VALUE(MID($C212,15,4)), [2]codigos!$E$2:$F$102, 2, FALSE)</f>
        <v>BUDINERA   34</v>
      </c>
      <c r="C212" s="11" t="str">
        <f ca="1">VLOOKUP(VALUE(MID($C212,19,2)),[2]codigos!$H$2:$I$62,2,1) &amp; " " &amp; VLOOKUP(VALUE(MID($C212,21,2)),[2]codigos!$K$2:$L$12,2,FALSE)</f>
        <v>S/I S/I</v>
      </c>
      <c r="D212" s="52" t="s">
        <v>1247</v>
      </c>
      <c r="E212" s="20" t="s">
        <v>145</v>
      </c>
      <c r="F212" s="11" t="s">
        <v>442</v>
      </c>
      <c r="G212" s="11" t="s">
        <v>1445</v>
      </c>
      <c r="H212" s="11">
        <v>16</v>
      </c>
      <c r="I212" s="11">
        <v>0</v>
      </c>
      <c r="J212" s="11">
        <f t="shared" si="5"/>
        <v>16</v>
      </c>
      <c r="K212" s="151"/>
      <c r="L212" s="154"/>
    </row>
    <row r="213" spans="1:12" x14ac:dyDescent="0.25">
      <c r="A213" s="11" t="s">
        <v>1344</v>
      </c>
      <c r="B213" s="11" t="str">
        <f ca="1">VLOOKUP(VALUE(MID($C213,13,2)), [2]codigos!$A$2:$B$60, 2, 1) &amp; " " &amp; VLOOKUP(VALUE(MID($C213,15,4)), [2]codigos!$E$2:$F$102, 2, FALSE)</f>
        <v>BUDINERA   42</v>
      </c>
      <c r="C213" s="11" t="str">
        <f ca="1">VLOOKUP(VALUE(MID($C213,19,2)),[2]codigos!$H$2:$I$62,2,1) &amp; " " &amp; VLOOKUP(VALUE(MID($C213,21,2)),[2]codigos!$K$2:$L$12,2,FALSE)</f>
        <v>S/I S/I</v>
      </c>
      <c r="D213" s="52" t="s">
        <v>1247</v>
      </c>
      <c r="E213" s="20" t="s">
        <v>145</v>
      </c>
      <c r="F213" s="11" t="s">
        <v>442</v>
      </c>
      <c r="G213" s="11" t="s">
        <v>1445</v>
      </c>
      <c r="H213" s="11">
        <v>8</v>
      </c>
      <c r="I213" s="11">
        <v>0</v>
      </c>
      <c r="J213" s="11">
        <f t="shared" si="5"/>
        <v>8</v>
      </c>
      <c r="K213" s="151"/>
      <c r="L213" s="154"/>
    </row>
    <row r="214" spans="1:12" x14ac:dyDescent="0.25">
      <c r="A214" s="11" t="s">
        <v>1451</v>
      </c>
      <c r="B214" s="11" t="str">
        <f ca="1">VLOOKUP(VALUE(MID($C214,13,2)), [2]codigos!$A$2:$B$60, 2, 1) &amp; " " &amp; VLOOKUP(VALUE(MID($C214,15,4)), [2]codigos!$E$2:$F$102, 2, FALSE)</f>
        <v>CAZO 14</v>
      </c>
      <c r="C214" s="11" t="str">
        <f ca="1">VLOOKUP(VALUE(MID($C214,19,2)),[2]codigos!$H$2:$I$62,2,1) &amp; " " &amp; VLOOKUP(VALUE(MID($C214,21,2)),[2]codigos!$K$2:$L$12,2,FALSE)</f>
        <v>S/I S/I</v>
      </c>
      <c r="D214" s="52" t="s">
        <v>1247</v>
      </c>
      <c r="E214" s="20" t="s">
        <v>145</v>
      </c>
      <c r="F214" s="11" t="s">
        <v>442</v>
      </c>
      <c r="G214" s="11" t="s">
        <v>1445</v>
      </c>
      <c r="H214" s="11">
        <v>36</v>
      </c>
      <c r="I214" s="11">
        <v>0</v>
      </c>
      <c r="J214" s="11">
        <f t="shared" si="5"/>
        <v>36</v>
      </c>
      <c r="K214" s="151"/>
      <c r="L214" s="154"/>
    </row>
    <row r="215" spans="1:12" x14ac:dyDescent="0.25">
      <c r="A215" s="11" t="s">
        <v>1452</v>
      </c>
      <c r="B215" s="11" t="str">
        <f ca="1">VLOOKUP(VALUE(MID($C215,13,2)), [2]codigos!$A$2:$B$60, 2, 1) &amp; " " &amp; VLOOKUP(VALUE(MID($C215,15,4)), [2]codigos!$E$2:$F$102, 2, FALSE)</f>
        <v>CAZO 16</v>
      </c>
      <c r="C215" s="11" t="str">
        <f ca="1">VLOOKUP(VALUE(MID($C215,19,2)),[2]codigos!$H$2:$I$62,2,1) &amp; " " &amp; VLOOKUP(VALUE(MID($C215,21,2)),[2]codigos!$K$2:$L$12,2,FALSE)</f>
        <v>S/I S/I</v>
      </c>
      <c r="D215" s="52" t="s">
        <v>1247</v>
      </c>
      <c r="E215" s="20" t="s">
        <v>145</v>
      </c>
      <c r="F215" s="11" t="s">
        <v>442</v>
      </c>
      <c r="G215" s="11" t="s">
        <v>1445</v>
      </c>
      <c r="H215" s="11">
        <v>36</v>
      </c>
      <c r="I215" s="11">
        <v>0</v>
      </c>
      <c r="J215" s="11">
        <f t="shared" si="5"/>
        <v>36</v>
      </c>
      <c r="K215" s="151"/>
      <c r="L215" s="154"/>
    </row>
    <row r="216" spans="1:12" x14ac:dyDescent="0.25">
      <c r="A216" s="11" t="s">
        <v>1453</v>
      </c>
      <c r="B216" s="11" t="str">
        <f ca="1">VLOOKUP(VALUE(MID($C216,13,2)), [2]codigos!$A$2:$B$60, 2, 1) &amp; " " &amp; VLOOKUP(VALUE(MID($C216,15,4)), [2]codigos!$E$2:$F$102, 2, FALSE)</f>
        <v>COMAL 28</v>
      </c>
      <c r="C216" s="11" t="str">
        <f ca="1">VLOOKUP(VALUE(MID($C216,19,2)),[2]codigos!$H$2:$I$62,2,1) &amp; " " &amp; VLOOKUP(VALUE(MID($C216,21,2)),[2]codigos!$K$2:$L$12,2,FALSE)</f>
        <v>S/I S/I</v>
      </c>
      <c r="D216" s="52" t="s">
        <v>1247</v>
      </c>
      <c r="E216" s="20" t="s">
        <v>145</v>
      </c>
      <c r="F216" s="11" t="s">
        <v>442</v>
      </c>
      <c r="G216" s="11" t="s">
        <v>1445</v>
      </c>
      <c r="H216" s="11">
        <v>240</v>
      </c>
      <c r="I216" s="11">
        <v>0</v>
      </c>
      <c r="J216" s="11">
        <f t="shared" si="5"/>
        <v>240</v>
      </c>
      <c r="K216" s="151"/>
      <c r="L216" s="154"/>
    </row>
    <row r="217" spans="1:12" x14ac:dyDescent="0.25">
      <c r="A217" s="11" t="s">
        <v>1454</v>
      </c>
      <c r="B217" s="11" t="str">
        <f ca="1">VLOOKUP(VALUE(MID($C217,13,2)), [2]codigos!$A$2:$B$60, 2, 1) &amp; " " &amp; VLOOKUP(VALUE(MID($C217,15,4)), [2]codigos!$E$2:$F$102, 2, FALSE)</f>
        <v>OLLA CONVEXA 12</v>
      </c>
      <c r="C217" s="11" t="str">
        <f ca="1">VLOOKUP(VALUE(MID($C217,19,2)),[2]codigos!$H$2:$I$62,2,1) &amp; " " &amp; VLOOKUP(VALUE(MID($C217,21,2)),[2]codigos!$K$2:$L$12,2,FALSE)</f>
        <v>S/I S/I</v>
      </c>
      <c r="D217" s="52" t="s">
        <v>1247</v>
      </c>
      <c r="E217" s="20" t="s">
        <v>145</v>
      </c>
      <c r="F217" s="11" t="s">
        <v>442</v>
      </c>
      <c r="G217" s="11" t="s">
        <v>1445</v>
      </c>
      <c r="H217" s="11">
        <v>72</v>
      </c>
      <c r="I217" s="11">
        <v>0</v>
      </c>
      <c r="J217" s="11">
        <f t="shared" si="5"/>
        <v>72</v>
      </c>
      <c r="K217" s="151"/>
      <c r="L217" s="154"/>
    </row>
    <row r="218" spans="1:12" x14ac:dyDescent="0.25">
      <c r="A218" s="11" t="s">
        <v>1455</v>
      </c>
      <c r="B218" s="11" t="str">
        <f ca="1">VLOOKUP(VALUE(MID($C218,13,2)), [2]codigos!$A$2:$B$60, 2, 1) &amp; " " &amp; VLOOKUP(VALUE(MID($C218,15,4)), [2]codigos!$E$2:$F$102, 2, FALSE)</f>
        <v>OLLA CONVEXA 14</v>
      </c>
      <c r="C218" s="11" t="str">
        <f ca="1">VLOOKUP(VALUE(MID($C218,19,2)),[2]codigos!$H$2:$I$62,2,1) &amp; " " &amp; VLOOKUP(VALUE(MID($C218,21,2)),[2]codigos!$K$2:$L$12,2,FALSE)</f>
        <v>S/I S/I</v>
      </c>
      <c r="D218" s="52" t="s">
        <v>1247</v>
      </c>
      <c r="E218" s="20" t="s">
        <v>145</v>
      </c>
      <c r="F218" s="11" t="s">
        <v>442</v>
      </c>
      <c r="G218" s="11" t="s">
        <v>1445</v>
      </c>
      <c r="H218" s="11">
        <v>72</v>
      </c>
      <c r="I218" s="11">
        <v>0</v>
      </c>
      <c r="J218" s="11">
        <f t="shared" si="5"/>
        <v>72</v>
      </c>
      <c r="K218" s="151"/>
      <c r="L218" s="154"/>
    </row>
    <row r="219" spans="1:12" x14ac:dyDescent="0.25">
      <c r="A219" s="11" t="s">
        <v>1345</v>
      </c>
      <c r="B219" s="11" t="str">
        <f ca="1">VLOOKUP(VALUE(MID($C219,13,2)), [2]codigos!$A$2:$B$60, 2, 1) &amp; " " &amp; VLOOKUP(VALUE(MID($C219,15,4)), [2]codigos!$E$2:$F$102, 2, FALSE)</f>
        <v>OLLA CONVEXA 16</v>
      </c>
      <c r="C219" s="11" t="str">
        <f ca="1">VLOOKUP(VALUE(MID($C219,19,2)),[2]codigos!$H$2:$I$62,2,1) &amp; " " &amp; VLOOKUP(VALUE(MID($C219,21,2)),[2]codigos!$K$2:$L$12,2,FALSE)</f>
        <v>S/I S/I</v>
      </c>
      <c r="D219" s="52" t="s">
        <v>1247</v>
      </c>
      <c r="E219" s="20" t="s">
        <v>145</v>
      </c>
      <c r="F219" s="11" t="s">
        <v>442</v>
      </c>
      <c r="G219" s="11" t="s">
        <v>1445</v>
      </c>
      <c r="H219" s="11">
        <v>48</v>
      </c>
      <c r="I219" s="11">
        <v>0</v>
      </c>
      <c r="J219" s="11">
        <f t="shared" si="5"/>
        <v>48</v>
      </c>
      <c r="K219" s="151"/>
      <c r="L219" s="154"/>
    </row>
    <row r="220" spans="1:12" x14ac:dyDescent="0.25">
      <c r="A220" s="11" t="s">
        <v>1456</v>
      </c>
      <c r="B220" s="11" t="str">
        <f ca="1">VLOOKUP(VALUE(MID($C220,13,2)), [2]codigos!$A$2:$B$60, 2, 1) &amp; " " &amp; VLOOKUP(VALUE(MID($C220,15,4)), [2]codigos!$E$2:$F$102, 2, FALSE)</f>
        <v>OLLA CONVEXA 18</v>
      </c>
      <c r="C220" s="11" t="str">
        <f ca="1">VLOOKUP(VALUE(MID($C220,19,2)),[2]codigos!$H$2:$I$62,2,1) &amp; " " &amp; VLOOKUP(VALUE(MID($C220,21,2)),[2]codigos!$K$2:$L$12,2,FALSE)</f>
        <v>S/I S/I</v>
      </c>
      <c r="D220" s="52" t="s">
        <v>1247</v>
      </c>
      <c r="E220" s="20" t="s">
        <v>145</v>
      </c>
      <c r="F220" s="11" t="s">
        <v>442</v>
      </c>
      <c r="G220" s="11" t="s">
        <v>1445</v>
      </c>
      <c r="H220" s="11">
        <v>48</v>
      </c>
      <c r="I220" s="11">
        <v>0</v>
      </c>
      <c r="J220" s="11">
        <f t="shared" si="5"/>
        <v>48</v>
      </c>
      <c r="K220" s="151"/>
      <c r="L220" s="154"/>
    </row>
    <row r="221" spans="1:12" x14ac:dyDescent="0.25">
      <c r="A221" s="11" t="s">
        <v>1346</v>
      </c>
      <c r="B221" s="11" t="str">
        <f ca="1">VLOOKUP(VALUE(MID($C221,13,2)), [2]codigos!$A$2:$B$60, 2, 1) &amp; " " &amp; VLOOKUP(VALUE(MID($C221,15,4)), [2]codigos!$E$2:$F$102, 2, FALSE)</f>
        <v>OLLA CONVEXA 20</v>
      </c>
      <c r="C221" s="11" t="str">
        <f ca="1">VLOOKUP(VALUE(MID($C221,19,2)),[2]codigos!$H$2:$I$62,2,1) &amp; " " &amp; VLOOKUP(VALUE(MID($C221,21,2)),[2]codigos!$K$2:$L$12,2,FALSE)</f>
        <v>S/I S/I</v>
      </c>
      <c r="D221" s="52" t="s">
        <v>1247</v>
      </c>
      <c r="E221" s="20" t="s">
        <v>145</v>
      </c>
      <c r="F221" s="11" t="s">
        <v>442</v>
      </c>
      <c r="G221" s="11" t="s">
        <v>1445</v>
      </c>
      <c r="H221" s="11">
        <v>48</v>
      </c>
      <c r="I221" s="11">
        <v>24</v>
      </c>
      <c r="J221" s="11">
        <f t="shared" si="5"/>
        <v>24</v>
      </c>
      <c r="K221" s="151"/>
      <c r="L221" s="154"/>
    </row>
    <row r="222" spans="1:12" x14ac:dyDescent="0.25">
      <c r="A222" s="11" t="s">
        <v>1347</v>
      </c>
      <c r="B222" s="11" t="str">
        <f ca="1">VLOOKUP(VALUE(MID($C222,13,2)), [2]codigos!$A$2:$B$60, 2, 1) &amp; " " &amp; VLOOKUP(VALUE(MID($C222,15,4)), [2]codigos!$E$2:$F$102, 2, FALSE)</f>
        <v>OLLA CONVEXA 22</v>
      </c>
      <c r="C222" s="11" t="str">
        <f ca="1">VLOOKUP(VALUE(MID($C222,19,2)),[2]codigos!$H$2:$I$62,2,1) &amp; " " &amp; VLOOKUP(VALUE(MID($C222,21,2)),[2]codigos!$K$2:$L$12,2,FALSE)</f>
        <v>S/I S/I</v>
      </c>
      <c r="D222" s="52" t="s">
        <v>1247</v>
      </c>
      <c r="E222" s="20" t="s">
        <v>145</v>
      </c>
      <c r="F222" s="11" t="s">
        <v>442</v>
      </c>
      <c r="G222" s="11" t="s">
        <v>1445</v>
      </c>
      <c r="H222" s="11">
        <v>24</v>
      </c>
      <c r="I222" s="11">
        <v>0</v>
      </c>
      <c r="J222" s="11">
        <f t="shared" si="5"/>
        <v>24</v>
      </c>
      <c r="K222" s="151"/>
      <c r="L222" s="154"/>
    </row>
    <row r="223" spans="1:12" x14ac:dyDescent="0.25">
      <c r="A223" s="11" t="s">
        <v>1348</v>
      </c>
      <c r="B223" s="11" t="str">
        <f ca="1">VLOOKUP(VALUE(MID($C223,13,2)), [2]codigos!$A$2:$B$60, 2, 1) &amp; " " &amp; VLOOKUP(VALUE(MID($C223,15,4)), [2]codigos!$E$2:$F$102, 2, FALSE)</f>
        <v>OLLA CONVEXA 24</v>
      </c>
      <c r="C223" s="11" t="str">
        <f ca="1">VLOOKUP(VALUE(MID($C223,19,2)),[2]codigos!$H$2:$I$62,2,1) &amp; " " &amp; VLOOKUP(VALUE(MID($C223,21,2)),[2]codigos!$K$2:$L$12,2,FALSE)</f>
        <v>S/I S/I</v>
      </c>
      <c r="D223" s="52" t="s">
        <v>1247</v>
      </c>
      <c r="E223" s="20" t="s">
        <v>145</v>
      </c>
      <c r="F223" s="11" t="s">
        <v>442</v>
      </c>
      <c r="G223" s="11" t="s">
        <v>1445</v>
      </c>
      <c r="H223" s="11">
        <v>24</v>
      </c>
      <c r="I223" s="11">
        <v>0</v>
      </c>
      <c r="J223" s="11">
        <f t="shared" si="5"/>
        <v>24</v>
      </c>
      <c r="K223" s="151"/>
      <c r="L223" s="154"/>
    </row>
    <row r="224" spans="1:12" x14ac:dyDescent="0.25">
      <c r="A224" s="11" t="s">
        <v>1349</v>
      </c>
      <c r="B224" s="11" t="str">
        <f ca="1">VLOOKUP(VALUE(MID($C224,13,2)), [2]codigos!$A$2:$B$60, 2, 1) &amp; " " &amp; VLOOKUP(VALUE(MID($C224,15,4)), [2]codigos!$E$2:$F$102, 2, FALSE)</f>
        <v>OLLA CONVEXA 26</v>
      </c>
      <c r="C224" s="11" t="str">
        <f ca="1">VLOOKUP(VALUE(MID($C224,19,2)),[2]codigos!$H$2:$I$62,2,1) &amp; " " &amp; VLOOKUP(VALUE(MID($C224,21,2)),[2]codigos!$K$2:$L$12,2,FALSE)</f>
        <v>S/I S/I</v>
      </c>
      <c r="D224" s="52" t="s">
        <v>1247</v>
      </c>
      <c r="E224" s="20" t="s">
        <v>145</v>
      </c>
      <c r="F224" s="11" t="s">
        <v>442</v>
      </c>
      <c r="G224" s="11" t="s">
        <v>1445</v>
      </c>
      <c r="H224" s="11">
        <v>24</v>
      </c>
      <c r="I224" s="11">
        <v>0</v>
      </c>
      <c r="J224" s="11">
        <f t="shared" si="5"/>
        <v>24</v>
      </c>
      <c r="K224" s="151"/>
      <c r="L224" s="154"/>
    </row>
    <row r="225" spans="1:12" x14ac:dyDescent="0.25">
      <c r="A225" s="11" t="s">
        <v>1350</v>
      </c>
      <c r="B225" s="11" t="str">
        <f ca="1">VLOOKUP(VALUE(MID($C225,13,2)), [2]codigos!$A$2:$B$60, 2, 1) &amp; " " &amp; VLOOKUP(VALUE(MID($C225,15,4)), [2]codigos!$E$2:$F$102, 2, FALSE)</f>
        <v>OLLA CONVEXA 30</v>
      </c>
      <c r="C225" s="11" t="str">
        <f ca="1">VLOOKUP(VALUE(MID($C225,19,2)),[2]codigos!$H$2:$I$62,2,1) &amp; " " &amp; VLOOKUP(VALUE(MID($C225,21,2)),[2]codigos!$K$2:$L$12,2,FALSE)</f>
        <v>S/I S/I</v>
      </c>
      <c r="D225" s="52" t="s">
        <v>1247</v>
      </c>
      <c r="E225" s="20" t="s">
        <v>145</v>
      </c>
      <c r="F225" s="11" t="s">
        <v>442</v>
      </c>
      <c r="G225" s="11" t="s">
        <v>1445</v>
      </c>
      <c r="H225" s="11">
        <v>8</v>
      </c>
      <c r="I225" s="11">
        <v>0</v>
      </c>
      <c r="J225" s="11">
        <f t="shared" si="5"/>
        <v>8</v>
      </c>
      <c r="K225" s="151"/>
      <c r="L225" s="154"/>
    </row>
    <row r="226" spans="1:12" x14ac:dyDescent="0.25">
      <c r="A226" s="11" t="s">
        <v>1351</v>
      </c>
      <c r="B226" s="11" t="str">
        <f ca="1">VLOOKUP(VALUE(MID($C226,13,2)), [2]codigos!$A$2:$B$60, 2, 1) &amp; " " &amp; VLOOKUP(VALUE(MID($C226,15,4)), [2]codigos!$E$2:$F$102, 2, FALSE)</f>
        <v>OLLA CONVEXA 34</v>
      </c>
      <c r="C226" s="11" t="str">
        <f ca="1">VLOOKUP(VALUE(MID($C226,19,2)),[2]codigos!$H$2:$I$62,2,1) &amp; " " &amp; VLOOKUP(VALUE(MID($C226,21,2)),[2]codigos!$K$2:$L$12,2,FALSE)</f>
        <v>S/I S/I</v>
      </c>
      <c r="D226" s="52" t="s">
        <v>1247</v>
      </c>
      <c r="E226" s="20" t="s">
        <v>145</v>
      </c>
      <c r="F226" s="11" t="s">
        <v>442</v>
      </c>
      <c r="G226" s="11" t="s">
        <v>1445</v>
      </c>
      <c r="H226" s="11">
        <v>8</v>
      </c>
      <c r="I226" s="11">
        <v>0</v>
      </c>
      <c r="J226" s="11">
        <f t="shared" si="5"/>
        <v>8</v>
      </c>
      <c r="K226" s="151"/>
      <c r="L226" s="154"/>
    </row>
    <row r="227" spans="1:12" x14ac:dyDescent="0.25">
      <c r="A227" s="11" t="s">
        <v>1457</v>
      </c>
      <c r="B227" s="11" t="str">
        <f ca="1">VLOOKUP(VALUE(MID($C227,13,2)), [2]codigos!$A$2:$B$60, 2, 1) &amp; " " &amp; VLOOKUP(VALUE(MID($C227,15,4)), [2]codigos!$E$2:$F$102, 2, FALSE)</f>
        <v>OLLA RECTA 12</v>
      </c>
      <c r="C227" s="11" t="str">
        <f ca="1">VLOOKUP(VALUE(MID($C227,19,2)),[2]codigos!$H$2:$I$62,2,1) &amp; " " &amp; VLOOKUP(VALUE(MID($C227,21,2)),[2]codigos!$K$2:$L$12,2,FALSE)</f>
        <v>S/I S/I</v>
      </c>
      <c r="D227" s="52" t="s">
        <v>1247</v>
      </c>
      <c r="E227" s="20" t="s">
        <v>145</v>
      </c>
      <c r="F227" s="11" t="s">
        <v>442</v>
      </c>
      <c r="G227" s="11" t="s">
        <v>1445</v>
      </c>
      <c r="H227" s="11">
        <v>72</v>
      </c>
      <c r="I227" s="11">
        <v>0</v>
      </c>
      <c r="J227" s="11">
        <f t="shared" si="5"/>
        <v>72</v>
      </c>
      <c r="K227" s="151"/>
      <c r="L227" s="154"/>
    </row>
    <row r="228" spans="1:12" x14ac:dyDescent="0.25">
      <c r="A228" s="11" t="s">
        <v>1458</v>
      </c>
      <c r="B228" s="11" t="str">
        <f ca="1">VLOOKUP(VALUE(MID($C228,13,2)), [2]codigos!$A$2:$B$60, 2, 1) &amp; " " &amp; VLOOKUP(VALUE(MID($C228,15,4)), [2]codigos!$E$2:$F$102, 2, FALSE)</f>
        <v>OLLA RECTA 14</v>
      </c>
      <c r="C228" s="11" t="str">
        <f ca="1">VLOOKUP(VALUE(MID($C228,19,2)),[2]codigos!$H$2:$I$62,2,1) &amp; " " &amp; VLOOKUP(VALUE(MID($C228,21,2)),[2]codigos!$K$2:$L$12,2,FALSE)</f>
        <v>S/I S/I</v>
      </c>
      <c r="D228" s="52" t="s">
        <v>1247</v>
      </c>
      <c r="E228" s="20" t="s">
        <v>145</v>
      </c>
      <c r="F228" s="11" t="s">
        <v>442</v>
      </c>
      <c r="G228" s="11" t="s">
        <v>1445</v>
      </c>
      <c r="H228" s="11">
        <v>72</v>
      </c>
      <c r="I228" s="11">
        <v>0</v>
      </c>
      <c r="J228" s="11">
        <f t="shared" si="5"/>
        <v>72</v>
      </c>
      <c r="K228" s="151"/>
      <c r="L228" s="154"/>
    </row>
    <row r="229" spans="1:12" x14ac:dyDescent="0.25">
      <c r="A229" s="11" t="s">
        <v>1459</v>
      </c>
      <c r="B229" s="11" t="str">
        <f ca="1">VLOOKUP(VALUE(MID($C229,13,2)), [2]codigos!$A$2:$B$60, 2, 1) &amp; " " &amp; VLOOKUP(VALUE(MID($C229,15,4)), [2]codigos!$E$2:$F$102, 2, FALSE)</f>
        <v>OLLA RECTA 16</v>
      </c>
      <c r="C229" s="11" t="str">
        <f ca="1">VLOOKUP(VALUE(MID($C229,19,2)),[2]codigos!$H$2:$I$62,2,1) &amp; " " &amp; VLOOKUP(VALUE(MID($C229,21,2)),[2]codigos!$K$2:$L$12,2,FALSE)</f>
        <v>S/I S/I</v>
      </c>
      <c r="D229" s="52" t="s">
        <v>1247</v>
      </c>
      <c r="E229" s="20" t="s">
        <v>145</v>
      </c>
      <c r="F229" s="11" t="s">
        <v>442</v>
      </c>
      <c r="G229" s="11" t="s">
        <v>1445</v>
      </c>
      <c r="H229" s="11">
        <v>48</v>
      </c>
      <c r="I229" s="11">
        <v>0</v>
      </c>
      <c r="J229" s="11">
        <f t="shared" si="5"/>
        <v>48</v>
      </c>
      <c r="K229" s="151"/>
      <c r="L229" s="154"/>
    </row>
    <row r="230" spans="1:12" x14ac:dyDescent="0.25">
      <c r="A230" s="11" t="s">
        <v>1460</v>
      </c>
      <c r="B230" s="11" t="str">
        <f ca="1">VLOOKUP(VALUE(MID($C230,13,2)), [2]codigos!$A$2:$B$60, 2, 1) &amp; " " &amp; VLOOKUP(VALUE(MID($C230,15,4)), [2]codigos!$E$2:$F$102, 2, FALSE)</f>
        <v>OLLA RECTA 18</v>
      </c>
      <c r="C230" s="11" t="str">
        <f ca="1">VLOOKUP(VALUE(MID($C230,19,2)),[2]codigos!$H$2:$I$62,2,1) &amp; " " &amp; VLOOKUP(VALUE(MID($C230,21,2)),[2]codigos!$K$2:$L$12,2,FALSE)</f>
        <v>S/I S/I</v>
      </c>
      <c r="D230" s="52" t="s">
        <v>1247</v>
      </c>
      <c r="E230" s="20" t="s">
        <v>145</v>
      </c>
      <c r="F230" s="11" t="s">
        <v>442</v>
      </c>
      <c r="G230" s="11" t="s">
        <v>1445</v>
      </c>
      <c r="H230" s="11">
        <v>48</v>
      </c>
      <c r="I230" s="11">
        <v>0</v>
      </c>
      <c r="J230" s="11">
        <f t="shared" si="5"/>
        <v>48</v>
      </c>
      <c r="K230" s="151"/>
      <c r="L230" s="154"/>
    </row>
    <row r="231" spans="1:12" x14ac:dyDescent="0.25">
      <c r="A231" s="11" t="s">
        <v>1461</v>
      </c>
      <c r="B231" s="11" t="str">
        <f ca="1">VLOOKUP(VALUE(MID($C231,13,2)), [2]codigos!$A$2:$B$60, 2, 1) &amp; " " &amp; VLOOKUP(VALUE(MID($C231,15,4)), [2]codigos!$E$2:$F$102, 2, FALSE)</f>
        <v>OLLA RECTA 20</v>
      </c>
      <c r="C231" s="11" t="str">
        <f ca="1">VLOOKUP(VALUE(MID($C231,19,2)),[2]codigos!$H$2:$I$62,2,1) &amp; " " &amp; VLOOKUP(VALUE(MID($C231,21,2)),[2]codigos!$K$2:$L$12,2,FALSE)</f>
        <v>S/I S/I</v>
      </c>
      <c r="D231" s="52" t="s">
        <v>1247</v>
      </c>
      <c r="E231" s="20" t="s">
        <v>145</v>
      </c>
      <c r="F231" s="11" t="s">
        <v>442</v>
      </c>
      <c r="G231" s="11" t="s">
        <v>1445</v>
      </c>
      <c r="H231" s="11">
        <v>48</v>
      </c>
      <c r="I231" s="11">
        <v>0</v>
      </c>
      <c r="J231" s="11">
        <f t="shared" si="5"/>
        <v>48</v>
      </c>
      <c r="K231" s="151"/>
      <c r="L231" s="154"/>
    </row>
    <row r="232" spans="1:12" x14ac:dyDescent="0.25">
      <c r="A232" s="11" t="s">
        <v>1462</v>
      </c>
      <c r="B232" s="11" t="str">
        <f ca="1">VLOOKUP(VALUE(MID($C232,13,2)), [2]codigos!$A$2:$B$60, 2, 1) &amp; " " &amp; VLOOKUP(VALUE(MID($C232,15,4)), [2]codigos!$E$2:$F$102, 2, FALSE)</f>
        <v>OLLA RECTA 22</v>
      </c>
      <c r="C232" s="11" t="str">
        <f ca="1">VLOOKUP(VALUE(MID($C232,19,2)),[2]codigos!$H$2:$I$62,2,1) &amp; " " &amp; VLOOKUP(VALUE(MID($C232,21,2)),[2]codigos!$K$2:$L$12,2,FALSE)</f>
        <v>S/I S/I</v>
      </c>
      <c r="D232" s="52" t="s">
        <v>1247</v>
      </c>
      <c r="E232" s="20" t="s">
        <v>145</v>
      </c>
      <c r="F232" s="11" t="s">
        <v>442</v>
      </c>
      <c r="G232" s="11" t="s">
        <v>1445</v>
      </c>
      <c r="H232" s="11">
        <v>24</v>
      </c>
      <c r="I232" s="11">
        <v>0</v>
      </c>
      <c r="J232" s="11">
        <f t="shared" si="5"/>
        <v>24</v>
      </c>
      <c r="K232" s="151"/>
      <c r="L232" s="154"/>
    </row>
    <row r="233" spans="1:12" x14ac:dyDescent="0.25">
      <c r="A233" s="11" t="s">
        <v>1463</v>
      </c>
      <c r="B233" s="11" t="str">
        <f ca="1">VLOOKUP(VALUE(MID($C233,13,2)), [2]codigos!$A$2:$B$60, 2, 1) &amp; " " &amp; VLOOKUP(VALUE(MID($C233,15,4)), [2]codigos!$E$2:$F$102, 2, FALSE)</f>
        <v>OLLA RECTA 24</v>
      </c>
      <c r="C233" s="11" t="str">
        <f ca="1">VLOOKUP(VALUE(MID($C233,19,2)),[2]codigos!$H$2:$I$62,2,1) &amp; " " &amp; VLOOKUP(VALUE(MID($C233,21,2)),[2]codigos!$K$2:$L$12,2,FALSE)</f>
        <v>S/I S/I</v>
      </c>
      <c r="D233" s="52" t="s">
        <v>1247</v>
      </c>
      <c r="E233" s="20" t="s">
        <v>145</v>
      </c>
      <c r="F233" s="11" t="s">
        <v>442</v>
      </c>
      <c r="G233" s="11" t="s">
        <v>1445</v>
      </c>
      <c r="H233" s="11">
        <v>24</v>
      </c>
      <c r="I233" s="11">
        <v>0</v>
      </c>
      <c r="J233" s="11">
        <f t="shared" si="5"/>
        <v>24</v>
      </c>
      <c r="K233" s="151"/>
      <c r="L233" s="154"/>
    </row>
    <row r="234" spans="1:12" x14ac:dyDescent="0.25">
      <c r="A234" s="11" t="s">
        <v>1352</v>
      </c>
      <c r="B234" s="11" t="str">
        <f ca="1">VLOOKUP(VALUE(MID($C234,13,2)), [2]codigos!$A$2:$B$60, 2, 1) &amp; " " &amp; VLOOKUP(VALUE(MID($C234,15,4)), [2]codigos!$E$2:$F$102, 2, FALSE)</f>
        <v>OLLA RECTA 26</v>
      </c>
      <c r="C234" s="11" t="str">
        <f ca="1">VLOOKUP(VALUE(MID($C234,19,2)),[2]codigos!$H$2:$I$62,2,1) &amp; " " &amp; VLOOKUP(VALUE(MID($C234,21,2)),[2]codigos!$K$2:$L$12,2,FALSE)</f>
        <v>S/I S/I</v>
      </c>
      <c r="D234" s="52" t="s">
        <v>1247</v>
      </c>
      <c r="E234" s="20" t="s">
        <v>145</v>
      </c>
      <c r="F234" s="11" t="s">
        <v>442</v>
      </c>
      <c r="G234" s="11" t="s">
        <v>1445</v>
      </c>
      <c r="H234" s="11">
        <v>24</v>
      </c>
      <c r="I234" s="11">
        <v>0</v>
      </c>
      <c r="J234" s="11">
        <f t="shared" si="5"/>
        <v>24</v>
      </c>
      <c r="K234" s="151"/>
      <c r="L234" s="154"/>
    </row>
    <row r="235" spans="1:12" x14ac:dyDescent="0.25">
      <c r="A235" s="11" t="s">
        <v>1464</v>
      </c>
      <c r="B235" s="11" t="str">
        <f ca="1">VLOOKUP(VALUE(MID($C235,13,2)), [2]codigos!$A$2:$B$60, 2, 1) &amp; " " &amp; VLOOKUP(VALUE(MID($C235,15,4)), [2]codigos!$E$2:$F$102, 2, FALSE)</f>
        <v>OLLA RECTA 28</v>
      </c>
      <c r="C235" s="11" t="str">
        <f ca="1">VLOOKUP(VALUE(MID($C235,19,2)),[2]codigos!$H$2:$I$62,2,1) &amp; " " &amp; VLOOKUP(VALUE(MID($C235,21,2)),[2]codigos!$K$2:$L$12,2,FALSE)</f>
        <v>S/I S/I</v>
      </c>
      <c r="D235" s="52" t="s">
        <v>1247</v>
      </c>
      <c r="E235" s="20" t="s">
        <v>145</v>
      </c>
      <c r="F235" s="11" t="s">
        <v>442</v>
      </c>
      <c r="G235" s="11" t="s">
        <v>1445</v>
      </c>
      <c r="H235" s="11">
        <v>8</v>
      </c>
      <c r="I235" s="11">
        <v>0</v>
      </c>
      <c r="J235" s="11">
        <f t="shared" si="5"/>
        <v>8</v>
      </c>
      <c r="K235" s="151"/>
      <c r="L235" s="154"/>
    </row>
    <row r="236" spans="1:12" x14ac:dyDescent="0.25">
      <c r="A236" s="11" t="s">
        <v>1465</v>
      </c>
      <c r="B236" s="11" t="str">
        <f ca="1">VLOOKUP(VALUE(MID($C236,13,2)), [2]codigos!$A$2:$B$60, 2, 1) &amp; " " &amp; VLOOKUP(VALUE(MID($C236,15,4)), [2]codigos!$E$2:$F$102, 2, FALSE)</f>
        <v>OLLA RECTA 30</v>
      </c>
      <c r="C236" s="11" t="str">
        <f ca="1">VLOOKUP(VALUE(MID($C236,19,2)),[2]codigos!$H$2:$I$62,2,1) &amp; " " &amp; VLOOKUP(VALUE(MID($C236,21,2)),[2]codigos!$K$2:$L$12,2,FALSE)</f>
        <v>S/I S/I</v>
      </c>
      <c r="D236" s="52" t="s">
        <v>1247</v>
      </c>
      <c r="E236" s="20" t="s">
        <v>145</v>
      </c>
      <c r="F236" s="11" t="s">
        <v>442</v>
      </c>
      <c r="G236" s="11" t="s">
        <v>1445</v>
      </c>
      <c r="H236" s="11">
        <v>8</v>
      </c>
      <c r="I236" s="11">
        <v>0</v>
      </c>
      <c r="J236" s="11">
        <f t="shared" si="5"/>
        <v>8</v>
      </c>
      <c r="K236" s="151"/>
      <c r="L236" s="154"/>
    </row>
    <row r="237" spans="1:12" x14ac:dyDescent="0.25">
      <c r="A237" s="11" t="s">
        <v>1466</v>
      </c>
      <c r="B237" s="11" t="str">
        <f ca="1">VLOOKUP(VALUE(MID($C237,13,2)), [2]codigos!$A$2:$B$60, 2, 1) &amp; " " &amp; VLOOKUP(VALUE(MID($C237,15,4)), [2]codigos!$E$2:$F$102, 2, FALSE)</f>
        <v>OLLA RECTA 34</v>
      </c>
      <c r="C237" s="11" t="str">
        <f ca="1">VLOOKUP(VALUE(MID($C237,19,2)),[2]codigos!$H$2:$I$62,2,1) &amp; " " &amp; VLOOKUP(VALUE(MID($C237,21,2)),[2]codigos!$K$2:$L$12,2,FALSE)</f>
        <v>S/I S/I</v>
      </c>
      <c r="D237" s="52" t="s">
        <v>1247</v>
      </c>
      <c r="E237" s="20" t="s">
        <v>145</v>
      </c>
      <c r="F237" s="11" t="s">
        <v>442</v>
      </c>
      <c r="G237" s="11" t="s">
        <v>1445</v>
      </c>
      <c r="H237" s="11">
        <v>8</v>
      </c>
      <c r="I237" s="11">
        <v>0</v>
      </c>
      <c r="J237" s="11">
        <f t="shared" si="5"/>
        <v>8</v>
      </c>
      <c r="K237" s="151"/>
      <c r="L237" s="154"/>
    </row>
    <row r="238" spans="1:12" x14ac:dyDescent="0.25">
      <c r="A238" s="11" t="s">
        <v>1467</v>
      </c>
      <c r="B238" s="11" t="str">
        <f ca="1">VLOOKUP(VALUE(MID($C238,13,2)), [2]codigos!$A$2:$B$60, 2, 1) &amp; " " &amp; VLOOKUP(VALUE(MID($C238,15,4)), [2]codigos!$E$2:$F$102, 2, FALSE)</f>
        <v>OLLA RECTA 42</v>
      </c>
      <c r="C238" s="11" t="str">
        <f ca="1">VLOOKUP(VALUE(MID($C238,19,2)),[2]codigos!$H$2:$I$62,2,1) &amp; " " &amp; VLOOKUP(VALUE(MID($C238,21,2)),[2]codigos!$K$2:$L$12,2,FALSE)</f>
        <v>A/T S/I</v>
      </c>
      <c r="D238" s="52" t="s">
        <v>1247</v>
      </c>
      <c r="E238" s="20" t="s">
        <v>145</v>
      </c>
      <c r="F238" s="11" t="s">
        <v>442</v>
      </c>
      <c r="G238" s="11" t="s">
        <v>1445</v>
      </c>
      <c r="H238" s="11">
        <v>4</v>
      </c>
      <c r="I238" s="11">
        <v>0</v>
      </c>
      <c r="J238" s="11">
        <f t="shared" si="5"/>
        <v>4</v>
      </c>
      <c r="K238" s="151"/>
      <c r="L238" s="154"/>
    </row>
    <row r="239" spans="1:12" x14ac:dyDescent="0.25">
      <c r="A239" s="11" t="s">
        <v>1353</v>
      </c>
      <c r="B239" s="11" t="str">
        <f ca="1">VLOOKUP(VALUE(MID($C239,13,2)), [2]codigos!$A$2:$B$60, 2, 1) &amp; " " &amp; VLOOKUP(VALUE(MID($C239,15,4)), [2]codigos!$E$2:$F$102, 2, FALSE)</f>
        <v>POCILLO 14</v>
      </c>
      <c r="C239" s="11" t="str">
        <f ca="1">VLOOKUP(VALUE(MID($C239,19,2)),[2]codigos!$H$2:$I$62,2,1) &amp; " " &amp; VLOOKUP(VALUE(MID($C239,21,2)),[2]codigos!$K$2:$L$12,2,FALSE)</f>
        <v>A/T S/I</v>
      </c>
      <c r="D239" s="52" t="s">
        <v>1247</v>
      </c>
      <c r="E239" s="20" t="s">
        <v>145</v>
      </c>
      <c r="F239" s="11" t="s">
        <v>442</v>
      </c>
      <c r="G239" s="11" t="s">
        <v>1445</v>
      </c>
      <c r="H239" s="11">
        <v>60</v>
      </c>
      <c r="I239" s="11">
        <v>0</v>
      </c>
      <c r="J239" s="11">
        <f t="shared" si="5"/>
        <v>60</v>
      </c>
      <c r="K239" s="151"/>
      <c r="L239" s="154"/>
    </row>
    <row r="240" spans="1:12" x14ac:dyDescent="0.25">
      <c r="A240" s="11" t="s">
        <v>1468</v>
      </c>
      <c r="B240" s="11" t="str">
        <f ca="1">VLOOKUP(VALUE(MID($C240,13,2)), [2]codigos!$A$2:$B$60, 2, 1) &amp; " " &amp; VLOOKUP(VALUE(MID($C240,15,4)), [2]codigos!$E$2:$F$102, 2, FALSE)</f>
        <v>POCILLO 14</v>
      </c>
      <c r="C240" s="11" t="str">
        <f ca="1">VLOOKUP(VALUE(MID($C240,19,2)),[2]codigos!$H$2:$I$62,2,1) &amp; " " &amp; VLOOKUP(VALUE(MID($C240,21,2)),[2]codigos!$K$2:$L$12,2,FALSE)</f>
        <v>BICOLOR S/I</v>
      </c>
      <c r="D240" s="52" t="s">
        <v>1247</v>
      </c>
      <c r="E240" s="20" t="s">
        <v>145</v>
      </c>
      <c r="F240" s="11" t="s">
        <v>442</v>
      </c>
      <c r="G240" s="11" t="s">
        <v>1445</v>
      </c>
      <c r="H240" s="11">
        <v>30</v>
      </c>
      <c r="I240" s="11">
        <v>0</v>
      </c>
      <c r="J240" s="11">
        <f t="shared" si="5"/>
        <v>30</v>
      </c>
      <c r="K240" s="151"/>
      <c r="L240" s="154"/>
    </row>
    <row r="241" spans="1:12" x14ac:dyDescent="0.25">
      <c r="A241" s="11" t="s">
        <v>1469</v>
      </c>
      <c r="B241" s="11" t="str">
        <f ca="1">VLOOKUP(VALUE(MID($C241,13,2)), [2]codigos!$A$2:$B$60, 2, 1) &amp; " " &amp; VLOOKUP(VALUE(MID($C241,15,4)), [2]codigos!$E$2:$F$102, 2, FALSE)</f>
        <v>SARTEN 20</v>
      </c>
      <c r="C241" s="11" t="str">
        <f ca="1">VLOOKUP(VALUE(MID($C241,19,2)),[2]codigos!$H$2:$I$62,2,1) &amp; " " &amp; VLOOKUP(VALUE(MID($C241,21,2)),[2]codigos!$K$2:$L$12,2,FALSE)</f>
        <v>S/I S/I</v>
      </c>
      <c r="D241" s="52" t="s">
        <v>1247</v>
      </c>
      <c r="E241" s="20" t="s">
        <v>145</v>
      </c>
      <c r="F241" s="11" t="s">
        <v>442</v>
      </c>
      <c r="G241" s="11" t="s">
        <v>1445</v>
      </c>
      <c r="H241" s="11">
        <v>36</v>
      </c>
      <c r="I241" s="11">
        <v>0</v>
      </c>
      <c r="J241" s="11">
        <f t="shared" si="5"/>
        <v>36</v>
      </c>
      <c r="K241" s="151"/>
      <c r="L241" s="154"/>
    </row>
    <row r="242" spans="1:12" x14ac:dyDescent="0.25">
      <c r="A242" s="11" t="s">
        <v>1354</v>
      </c>
      <c r="B242" s="11" t="str">
        <f ca="1">VLOOKUP(VALUE(MID($C242,13,2)), [2]codigos!$A$2:$B$60, 2, 1) &amp; " " &amp; VLOOKUP(VALUE(MID($C242,15,4)), [2]codigos!$E$2:$F$102, 2, FALSE)</f>
        <v>SARTEN 24</v>
      </c>
      <c r="C242" s="11" t="str">
        <f ca="1">VLOOKUP(VALUE(MID($C242,19,2)),[2]codigos!$H$2:$I$62,2,1) &amp; " " &amp; VLOOKUP(VALUE(MID($C242,21,2)),[2]codigos!$K$2:$L$12,2,FALSE)</f>
        <v>S/I S/I</v>
      </c>
      <c r="D242" s="52" t="s">
        <v>1247</v>
      </c>
      <c r="E242" s="20" t="s">
        <v>145</v>
      </c>
      <c r="F242" s="11" t="s">
        <v>442</v>
      </c>
      <c r="G242" s="11" t="s">
        <v>1445</v>
      </c>
      <c r="H242" s="11">
        <v>36</v>
      </c>
      <c r="I242" s="11">
        <v>0</v>
      </c>
      <c r="J242" s="11">
        <f t="shared" si="5"/>
        <v>36</v>
      </c>
      <c r="K242" s="151"/>
      <c r="L242" s="154"/>
    </row>
    <row r="243" spans="1:12" x14ac:dyDescent="0.25">
      <c r="A243" s="11" t="s">
        <v>1470</v>
      </c>
      <c r="B243" s="11" t="str">
        <f ca="1">VLOOKUP(VALUE(MID($C243,13,2)), [2]codigos!$A$2:$B$60, 2, 1) &amp; " " &amp; VLOOKUP(VALUE(MID($C243,15,4)), [2]codigos!$E$2:$F$102, 2, FALSE)</f>
        <v>VASO RECTO 14</v>
      </c>
      <c r="C243" s="11" t="str">
        <f ca="1">VLOOKUP(VALUE(MID($C243,19,2)),[2]codigos!$H$2:$I$62,2,1) &amp; " " &amp; VLOOKUP(VALUE(MID($C243,21,2)),[2]codigos!$K$2:$L$12,2,FALSE)</f>
        <v>S/I S/I</v>
      </c>
      <c r="D243" s="52" t="s">
        <v>1247</v>
      </c>
      <c r="E243" s="20" t="s">
        <v>145</v>
      </c>
      <c r="F243" s="11" t="s">
        <v>442</v>
      </c>
      <c r="G243" s="11" t="s">
        <v>1445</v>
      </c>
      <c r="H243" s="11">
        <v>48</v>
      </c>
      <c r="I243" s="11">
        <v>0</v>
      </c>
      <c r="J243" s="11">
        <f t="shared" si="5"/>
        <v>48</v>
      </c>
      <c r="K243" s="151"/>
      <c r="L243" s="154"/>
    </row>
    <row r="244" spans="1:12" x14ac:dyDescent="0.25">
      <c r="A244" s="11" t="s">
        <v>1471</v>
      </c>
      <c r="B244" s="11" t="str">
        <f ca="1">VLOOKUP(VALUE(MID($C244,13,2)), [2]codigos!$A$2:$B$60, 2, 1) &amp; " " &amp; VLOOKUP(VALUE(MID($C244,15,4)), [2]codigos!$E$2:$F$102, 2, FALSE)</f>
        <v>MULTIUSOS S/I</v>
      </c>
      <c r="C244" s="11" t="str">
        <f ca="1">VLOOKUP(VALUE(MID($C244,19,2)),[2]codigos!$H$2:$I$62,2,1) &amp; " " &amp; VLOOKUP(VALUE(MID($C244,21,2)),[2]codigos!$K$2:$L$12,2,FALSE)</f>
        <v>BLANCO  NEGRO</v>
      </c>
      <c r="D244" s="52" t="s">
        <v>1247</v>
      </c>
      <c r="E244" s="20" t="s">
        <v>145</v>
      </c>
      <c r="F244" s="11" t="s">
        <v>442</v>
      </c>
      <c r="G244" s="11" t="s">
        <v>1445</v>
      </c>
      <c r="H244" s="11">
        <v>180</v>
      </c>
      <c r="I244" s="11">
        <v>0</v>
      </c>
      <c r="J244" s="11">
        <f t="shared" si="5"/>
        <v>180</v>
      </c>
      <c r="K244" s="151"/>
      <c r="L244" s="154"/>
    </row>
    <row r="245" spans="1:12" x14ac:dyDescent="0.25">
      <c r="A245" s="11" t="s">
        <v>1472</v>
      </c>
      <c r="B245" s="11" t="str">
        <f ca="1">VLOOKUP(VALUE(MID($C245,13,2)), [2]codigos!$A$2:$B$60, 2, 1) &amp; " " &amp; VLOOKUP(VALUE(MID($C245,15,4)), [2]codigos!$E$2:$F$102, 2, FALSE)</f>
        <v>PLATO AVENERO 20</v>
      </c>
      <c r="C245" s="11" t="str">
        <f ca="1">VLOOKUP(VALUE(MID($C245,19,2)),[2]codigos!$H$2:$I$62,2,1) &amp; " " &amp; VLOOKUP(VALUE(MID($C245,21,2)),[2]codigos!$K$2:$L$12,2,FALSE)</f>
        <v>A/T S/I</v>
      </c>
      <c r="D245" s="52" t="s">
        <v>1247</v>
      </c>
      <c r="E245" s="20" t="s">
        <v>145</v>
      </c>
      <c r="F245" s="11" t="s">
        <v>442</v>
      </c>
      <c r="G245" s="11" t="s">
        <v>1445</v>
      </c>
      <c r="H245" s="11">
        <v>72</v>
      </c>
      <c r="I245" s="11">
        <v>0</v>
      </c>
      <c r="J245" s="11">
        <f t="shared" si="5"/>
        <v>72</v>
      </c>
      <c r="K245" s="151"/>
      <c r="L245" s="154"/>
    </row>
    <row r="246" spans="1:12" x14ac:dyDescent="0.25">
      <c r="A246" s="11" t="s">
        <v>1473</v>
      </c>
      <c r="B246" s="11" t="str">
        <f ca="1">VLOOKUP(VALUE(MID($C246,13,2)), [2]codigos!$A$2:$B$60, 2, 1) &amp; " " &amp; VLOOKUP(VALUE(MID($C246,15,4)), [2]codigos!$E$2:$F$102, 2, FALSE)</f>
        <v>PLATO AVENERO 20</v>
      </c>
      <c r="C246" s="11" t="str">
        <f ca="1">VLOOKUP(VALUE(MID($C246,19,2)),[2]codigos!$H$2:$I$62,2,1) &amp; " " &amp; VLOOKUP(VALUE(MID($C246,21,2)),[2]codigos!$K$2:$L$12,2,FALSE)</f>
        <v>BLANCO  NEGRO</v>
      </c>
      <c r="D246" s="52" t="s">
        <v>1247</v>
      </c>
      <c r="E246" s="20" t="s">
        <v>145</v>
      </c>
      <c r="F246" s="11" t="s">
        <v>442</v>
      </c>
      <c r="G246" s="11" t="s">
        <v>1445</v>
      </c>
      <c r="H246" s="11">
        <v>120</v>
      </c>
      <c r="I246" s="11">
        <v>0</v>
      </c>
      <c r="J246" s="11">
        <f t="shared" si="5"/>
        <v>120</v>
      </c>
      <c r="K246" s="151"/>
      <c r="L246" s="154"/>
    </row>
    <row r="247" spans="1:12" x14ac:dyDescent="0.25">
      <c r="A247" s="11" t="s">
        <v>1474</v>
      </c>
      <c r="B247" s="11" t="str">
        <f ca="1">VLOOKUP(VALUE(MID($C247,13,2)), [2]codigos!$A$2:$B$60, 2, 1) &amp; " " &amp; VLOOKUP(VALUE(MID($C247,15,4)), [2]codigos!$E$2:$F$102, 2, FALSE)</f>
        <v>PLATO LISO 16</v>
      </c>
      <c r="C247" s="11" t="str">
        <f ca="1">VLOOKUP(VALUE(MID($C247,19,2)),[2]codigos!$H$2:$I$62,2,1) &amp; " " &amp; VLOOKUP(VALUE(MID($C247,21,2)),[2]codigos!$K$2:$L$12,2,FALSE)</f>
        <v>BLANCO  NEGRO</v>
      </c>
      <c r="D247" s="52" t="s">
        <v>1247</v>
      </c>
      <c r="E247" s="20" t="s">
        <v>145</v>
      </c>
      <c r="F247" s="11" t="s">
        <v>442</v>
      </c>
      <c r="G247" s="11" t="s">
        <v>1445</v>
      </c>
      <c r="H247" s="11">
        <v>30</v>
      </c>
      <c r="I247" s="11">
        <v>0</v>
      </c>
      <c r="J247" s="11">
        <f t="shared" si="5"/>
        <v>30</v>
      </c>
      <c r="K247" s="151"/>
      <c r="L247" s="154"/>
    </row>
    <row r="248" spans="1:12" x14ac:dyDescent="0.25">
      <c r="A248" s="11" t="s">
        <v>1475</v>
      </c>
      <c r="B248" s="11" t="str">
        <f ca="1">VLOOKUP(VALUE(MID($C248,13,2)), [2]codigos!$A$2:$B$60, 2, 1) &amp; " " &amp; VLOOKUP(VALUE(MID($C248,15,4)), [2]codigos!$E$2:$F$102, 2, FALSE)</f>
        <v>PLATO LISO 20</v>
      </c>
      <c r="C248" s="11" t="str">
        <f ca="1">VLOOKUP(VALUE(MID($C248,19,2)),[2]codigos!$H$2:$I$62,2,1) &amp; " " &amp; VLOOKUP(VALUE(MID($C248,21,2)),[2]codigos!$K$2:$L$12,2,FALSE)</f>
        <v>BLANCO  NEGRO</v>
      </c>
      <c r="D248" s="52" t="s">
        <v>1247</v>
      </c>
      <c r="E248" s="20" t="s">
        <v>145</v>
      </c>
      <c r="F248" s="11" t="s">
        <v>442</v>
      </c>
      <c r="G248" s="11" t="s">
        <v>1445</v>
      </c>
      <c r="H248" s="11">
        <v>30</v>
      </c>
      <c r="I248" s="11">
        <v>0</v>
      </c>
      <c r="J248" s="11">
        <f t="shared" si="5"/>
        <v>30</v>
      </c>
      <c r="K248" s="151"/>
      <c r="L248" s="154"/>
    </row>
    <row r="249" spans="1:12" x14ac:dyDescent="0.25">
      <c r="A249" s="11" t="s">
        <v>1476</v>
      </c>
      <c r="B249" s="11" t="str">
        <f ca="1">VLOOKUP(VALUE(MID($C249,13,2)), [2]codigos!$A$2:$B$60, 2, 1) &amp; " " &amp; VLOOKUP(VALUE(MID($C249,15,4)), [2]codigos!$E$2:$F$102, 2, FALSE)</f>
        <v>PLATO LISO 24</v>
      </c>
      <c r="C249" s="11" t="str">
        <f ca="1">VLOOKUP(VALUE(MID($C249,19,2)),[2]codigos!$H$2:$I$62,2,1) &amp; " " &amp; VLOOKUP(VALUE(MID($C249,21,2)),[2]codigos!$K$2:$L$12,2,FALSE)</f>
        <v>BLANCO  NEGRO</v>
      </c>
      <c r="D249" s="52" t="s">
        <v>1247</v>
      </c>
      <c r="E249" s="20" t="s">
        <v>145</v>
      </c>
      <c r="F249" s="11" t="s">
        <v>442</v>
      </c>
      <c r="G249" s="11" t="s">
        <v>1445</v>
      </c>
      <c r="H249" s="11">
        <v>30</v>
      </c>
      <c r="I249" s="11">
        <v>0</v>
      </c>
      <c r="J249" s="11">
        <f t="shared" si="5"/>
        <v>30</v>
      </c>
      <c r="K249" s="151"/>
      <c r="L249" s="154"/>
    </row>
    <row r="250" spans="1:12" x14ac:dyDescent="0.25">
      <c r="A250" s="11" t="s">
        <v>1477</v>
      </c>
      <c r="B250" s="11" t="str">
        <f ca="1">VLOOKUP(VALUE(MID($C250,13,2)), [2]codigos!$A$2:$B$60, 2, 1) &amp; " " &amp; VLOOKUP(VALUE(MID($C250,15,4)), [2]codigos!$E$2:$F$102, 2, FALSE)</f>
        <v>PLATO LISO 27</v>
      </c>
      <c r="C250" s="11" t="str">
        <f ca="1">VLOOKUP(VALUE(MID($C250,19,2)),[2]codigos!$H$2:$I$62,2,1) &amp; " " &amp; VLOOKUP(VALUE(MID($C250,21,2)),[2]codigos!$K$2:$L$12,2,FALSE)</f>
        <v>BLANCO  NEGRO</v>
      </c>
      <c r="D250" s="52" t="s">
        <v>1247</v>
      </c>
      <c r="E250" s="20" t="s">
        <v>145</v>
      </c>
      <c r="F250" s="11" t="s">
        <v>442</v>
      </c>
      <c r="G250" s="11" t="s">
        <v>1445</v>
      </c>
      <c r="H250" s="11">
        <v>30</v>
      </c>
      <c r="I250" s="11">
        <v>30</v>
      </c>
      <c r="J250" s="11">
        <f t="shared" si="5"/>
        <v>0</v>
      </c>
      <c r="K250" s="151"/>
      <c r="L250" s="154"/>
    </row>
    <row r="251" spans="1:12" x14ac:dyDescent="0.25">
      <c r="A251" s="11" t="s">
        <v>1478</v>
      </c>
      <c r="B251" s="11" t="str">
        <f ca="1">VLOOKUP(VALUE(MID($C251,13,2)), [2]codigos!$A$2:$B$60, 2, 1) &amp; " " &amp; VLOOKUP(VALUE(MID($C251,15,4)), [2]codigos!$E$2:$F$102, 2, FALSE)</f>
        <v>PLATO LISO 32</v>
      </c>
      <c r="C251" s="11" t="str">
        <f ca="1">VLOOKUP(VALUE(MID($C251,19,2)),[2]codigos!$H$2:$I$62,2,1) &amp; " " &amp; VLOOKUP(VALUE(MID($C251,21,2)),[2]codigos!$K$2:$L$12,2,FALSE)</f>
        <v>BLANCO  NEGRO</v>
      </c>
      <c r="D251" s="52" t="s">
        <v>1247</v>
      </c>
      <c r="E251" s="20" t="s">
        <v>145</v>
      </c>
      <c r="F251" s="11" t="s">
        <v>442</v>
      </c>
      <c r="G251" s="11" t="s">
        <v>1445</v>
      </c>
      <c r="H251" s="11">
        <v>30</v>
      </c>
      <c r="I251" s="11">
        <v>0</v>
      </c>
      <c r="J251" s="11">
        <f t="shared" si="5"/>
        <v>30</v>
      </c>
      <c r="K251" s="151"/>
      <c r="L251" s="154"/>
    </row>
    <row r="252" spans="1:12" x14ac:dyDescent="0.25">
      <c r="A252" s="11" t="s">
        <v>1479</v>
      </c>
      <c r="B252" s="11" t="str">
        <f ca="1">VLOOKUP(VALUE(MID($C252,13,2)), [2]codigos!$A$2:$B$60, 2, 1) &amp; " " &amp; VLOOKUP(VALUE(MID($C252,15,4)), [2]codigos!$E$2:$F$102, 2, FALSE)</f>
        <v>POCILLO 5</v>
      </c>
      <c r="C252" s="11" t="str">
        <f ca="1">VLOOKUP(VALUE(MID($C252,19,2)),[2]codigos!$H$2:$I$62,2,1) &amp; " " &amp; VLOOKUP(VALUE(MID($C252,21,2)),[2]codigos!$K$2:$L$12,2,FALSE)</f>
        <v>A/T S/I</v>
      </c>
      <c r="D252" s="52" t="s">
        <v>1247</v>
      </c>
      <c r="E252" s="20" t="s">
        <v>145</v>
      </c>
      <c r="F252" s="11" t="s">
        <v>442</v>
      </c>
      <c r="G252" s="11" t="s">
        <v>1445</v>
      </c>
      <c r="H252" s="11">
        <v>120</v>
      </c>
      <c r="I252" s="11">
        <v>0</v>
      </c>
      <c r="J252" s="11">
        <f t="shared" si="5"/>
        <v>120</v>
      </c>
      <c r="K252" s="151"/>
      <c r="L252" s="154"/>
    </row>
    <row r="253" spans="1:12" x14ac:dyDescent="0.25">
      <c r="A253" s="11" t="s">
        <v>124</v>
      </c>
      <c r="B253" s="11" t="str">
        <f ca="1">VLOOKUP(VALUE(MID($C253,13,2)), [2]codigos!$A$2:$B$60, 2, 1) &amp; " " &amp; VLOOKUP(VALUE(MID($C253,15,4)), [2]codigos!$E$2:$F$102, 2, FALSE)</f>
        <v>POCILLO 5</v>
      </c>
      <c r="C253" s="11" t="str">
        <f ca="1">VLOOKUP(VALUE(MID($C253,19,2)),[2]codigos!$H$2:$I$62,2,1) &amp; " " &amp; VLOOKUP(VALUE(MID($C253,21,2)),[2]codigos!$K$2:$L$12,2,FALSE)</f>
        <v>BLANCO  NEGRO</v>
      </c>
      <c r="D253" s="52" t="s">
        <v>1247</v>
      </c>
      <c r="E253" s="20" t="s">
        <v>145</v>
      </c>
      <c r="F253" s="11" t="s">
        <v>442</v>
      </c>
      <c r="G253" s="11" t="s">
        <v>1445</v>
      </c>
      <c r="H253" s="11">
        <v>120</v>
      </c>
      <c r="I253" s="11">
        <v>0</v>
      </c>
      <c r="J253" s="11">
        <f t="shared" si="5"/>
        <v>120</v>
      </c>
      <c r="K253" s="151"/>
      <c r="L253" s="154"/>
    </row>
    <row r="254" spans="1:12" x14ac:dyDescent="0.25">
      <c r="A254" s="11" t="s">
        <v>1480</v>
      </c>
      <c r="B254" s="11" t="str">
        <f ca="1">VLOOKUP(VALUE(MID($C254,13,2)), [2]codigos!$A$2:$B$60, 2, 1) &amp; " " &amp; VLOOKUP(VALUE(MID($C254,15,4)), [2]codigos!$E$2:$F$102, 2, FALSE)</f>
        <v>POCILLO 6</v>
      </c>
      <c r="C254" s="11" t="str">
        <f ca="1">VLOOKUP(VALUE(MID($C254,19,2)),[2]codigos!$H$2:$I$62,2,1) &amp; " " &amp; VLOOKUP(VALUE(MID($C254,21,2)),[2]codigos!$K$2:$L$12,2,FALSE)</f>
        <v>BLANCO  NEGRO</v>
      </c>
      <c r="D254" s="52" t="s">
        <v>1247</v>
      </c>
      <c r="E254" s="20" t="s">
        <v>145</v>
      </c>
      <c r="F254" s="11" t="s">
        <v>442</v>
      </c>
      <c r="G254" s="11" t="s">
        <v>1445</v>
      </c>
      <c r="H254" s="11">
        <v>120</v>
      </c>
      <c r="I254" s="11">
        <v>0</v>
      </c>
      <c r="J254" s="11">
        <f t="shared" si="5"/>
        <v>120</v>
      </c>
      <c r="K254" s="151"/>
      <c r="L254" s="154"/>
    </row>
    <row r="255" spans="1:12" x14ac:dyDescent="0.25">
      <c r="A255" s="11" t="s">
        <v>1481</v>
      </c>
      <c r="B255" s="11" t="str">
        <f ca="1">VLOOKUP(VALUE(MID($C255,13,2)), [2]codigos!$A$2:$B$60, 2, 1) &amp; " " &amp; VLOOKUP(VALUE(MID($C255,15,4)), [2]codigos!$E$2:$F$102, 2, FALSE)</f>
        <v>POCILLO 8</v>
      </c>
      <c r="C255" s="11" t="str">
        <f ca="1">VLOOKUP(VALUE(MID($C255,19,2)),[2]codigos!$H$2:$I$62,2,1) &amp; " " &amp; VLOOKUP(VALUE(MID($C255,21,2)),[2]codigos!$K$2:$L$12,2,FALSE)</f>
        <v>BLANCO  NEGRO</v>
      </c>
      <c r="D255" s="52" t="s">
        <v>1247</v>
      </c>
      <c r="E255" s="20" t="s">
        <v>145</v>
      </c>
      <c r="F255" s="11" t="s">
        <v>442</v>
      </c>
      <c r="G255" s="11" t="s">
        <v>1445</v>
      </c>
      <c r="H255" s="11">
        <v>120</v>
      </c>
      <c r="I255" s="11">
        <v>24</v>
      </c>
      <c r="J255" s="11">
        <f t="shared" si="5"/>
        <v>96</v>
      </c>
      <c r="K255" s="151"/>
      <c r="L255" s="154"/>
    </row>
    <row r="256" spans="1:12" x14ac:dyDescent="0.25">
      <c r="A256" s="11" t="s">
        <v>1356</v>
      </c>
      <c r="B256" s="11" t="str">
        <f ca="1">VLOOKUP(VALUE(MID($C256,13,2)), [2]codigos!$A$2:$B$60, 2, 1) &amp; " " &amp; VLOOKUP(VALUE(MID($C256,15,4)), [2]codigos!$E$2:$F$102, 2, FALSE)</f>
        <v>POCILLO 12</v>
      </c>
      <c r="C256" s="11" t="str">
        <f ca="1">VLOOKUP(VALUE(MID($C256,19,2)),[2]codigos!$H$2:$I$62,2,1) &amp; " " &amp; VLOOKUP(VALUE(MID($C256,21,2)),[2]codigos!$K$2:$L$12,2,FALSE)</f>
        <v>A/T S/I</v>
      </c>
      <c r="D256" s="52" t="s">
        <v>1247</v>
      </c>
      <c r="E256" s="20" t="s">
        <v>145</v>
      </c>
      <c r="F256" s="11" t="s">
        <v>442</v>
      </c>
      <c r="G256" s="11" t="s">
        <v>1445</v>
      </c>
      <c r="H256" s="11">
        <v>60</v>
      </c>
      <c r="I256" s="11">
        <v>0</v>
      </c>
      <c r="J256" s="11">
        <f t="shared" si="5"/>
        <v>60</v>
      </c>
      <c r="K256" s="151"/>
      <c r="L256" s="154"/>
    </row>
    <row r="257" spans="1:13" x14ac:dyDescent="0.25">
      <c r="A257" s="11" t="s">
        <v>1482</v>
      </c>
      <c r="B257" s="11" t="str">
        <f ca="1">VLOOKUP(VALUE(MID($C257,13,2)), [2]codigos!$A$2:$B$60, 2, 1) &amp; " " &amp; VLOOKUP(VALUE(MID($C257,15,4)), [2]codigos!$E$2:$F$102, 2, FALSE)</f>
        <v>TAZON  8</v>
      </c>
      <c r="C257" s="11" t="str">
        <f ca="1">VLOOKUP(VALUE(MID($C257,19,2)),[2]codigos!$H$2:$I$62,2,1) &amp; " " &amp; VLOOKUP(VALUE(MID($C257,21,2)),[2]codigos!$K$2:$L$12,2,FALSE)</f>
        <v>BLANCO  NEGRO</v>
      </c>
      <c r="D257" s="52" t="s">
        <v>1247</v>
      </c>
      <c r="E257" s="20" t="s">
        <v>145</v>
      </c>
      <c r="F257" s="11" t="s">
        <v>442</v>
      </c>
      <c r="G257" s="11" t="s">
        <v>1445</v>
      </c>
      <c r="H257" s="11">
        <v>180</v>
      </c>
      <c r="I257" s="11">
        <v>0</v>
      </c>
      <c r="J257" s="11">
        <f t="shared" si="5"/>
        <v>180</v>
      </c>
      <c r="K257" s="151"/>
      <c r="L257" s="154"/>
    </row>
    <row r="258" spans="1:13" x14ac:dyDescent="0.25">
      <c r="A258" s="11" t="s">
        <v>1483</v>
      </c>
      <c r="B258" s="11" t="str">
        <f ca="1">VLOOKUP(VALUE(MID($C258,13,2)), [2]codigos!$A$2:$B$60, 2, 1) &amp; " " &amp; VLOOKUP(VALUE(MID($C258,15,4)), [2]codigos!$E$2:$F$102, 2, FALSE)</f>
        <v>TAZON  15.5</v>
      </c>
      <c r="C258" s="11" t="str">
        <f ca="1">VLOOKUP(VALUE(MID($C258,19,2)),[2]codigos!$H$2:$I$62,2,1) &amp; " " &amp; VLOOKUP(VALUE(MID($C258,21,2)),[2]codigos!$K$2:$L$12,2,FALSE)</f>
        <v>BLANCO  NEGRO</v>
      </c>
      <c r="D258" s="52" t="s">
        <v>1247</v>
      </c>
      <c r="E258" s="20" t="s">
        <v>145</v>
      </c>
      <c r="F258" s="11" t="s">
        <v>442</v>
      </c>
      <c r="G258" s="11" t="s">
        <v>1445</v>
      </c>
      <c r="H258" s="11">
        <v>48</v>
      </c>
      <c r="I258" s="11">
        <v>0</v>
      </c>
      <c r="J258" s="11">
        <f t="shared" si="5"/>
        <v>48</v>
      </c>
      <c r="K258" s="151"/>
      <c r="L258" s="154"/>
    </row>
    <row r="259" spans="1:13" x14ac:dyDescent="0.25">
      <c r="A259" s="11" t="s">
        <v>1484</v>
      </c>
      <c r="B259" s="11" t="str">
        <f ca="1">VLOOKUP(VALUE(MID($C259,13,2)), [2]codigos!$A$2:$B$60, 2, 1) &amp; " " &amp; VLOOKUP(VALUE(MID($C259,15,4)), [2]codigos!$E$2:$F$102, 2, FALSE)</f>
        <v>TAZON  20</v>
      </c>
      <c r="C259" s="11" t="str">
        <f ca="1">VLOOKUP(VALUE(MID($C259,19,2)),[2]codigos!$H$2:$I$62,2,1) &amp; " " &amp; VLOOKUP(VALUE(MID($C259,21,2)),[2]codigos!$K$2:$L$12,2,FALSE)</f>
        <v>BLANCO  NEGRO</v>
      </c>
      <c r="D259" s="52" t="s">
        <v>1247</v>
      </c>
      <c r="E259" s="20" t="s">
        <v>145</v>
      </c>
      <c r="F259" s="11" t="s">
        <v>442</v>
      </c>
      <c r="G259" s="11" t="s">
        <v>1445</v>
      </c>
      <c r="H259" s="11">
        <v>30</v>
      </c>
      <c r="I259" s="11">
        <v>0</v>
      </c>
      <c r="J259" s="11">
        <f t="shared" si="5"/>
        <v>30</v>
      </c>
      <c r="K259" s="151"/>
      <c r="L259" s="154"/>
    </row>
    <row r="260" spans="1:13" x14ac:dyDescent="0.25">
      <c r="A260" s="11" t="s">
        <v>1485</v>
      </c>
      <c r="B260" s="11" t="str">
        <f ca="1">VLOOKUP(VALUE(MID($C260,13,2)), [2]codigos!$A$2:$B$60, 2, 1) &amp; " " &amp; VLOOKUP(VALUE(MID($C260,15,4)), [2]codigos!$E$2:$F$102, 2, FALSE)</f>
        <v>BUDINERA   12</v>
      </c>
      <c r="C260" s="11" t="str">
        <f ca="1">VLOOKUP(VALUE(MID($C260,19,2)),[2]codigos!$H$2:$I$62,2,1) &amp; " " &amp; VLOOKUP(VALUE(MID($C260,21,2)),[2]codigos!$K$2:$L$12,2,FALSE)</f>
        <v>A/T S/I</v>
      </c>
      <c r="D260" s="52" t="s">
        <v>1247</v>
      </c>
      <c r="E260" s="20" t="s">
        <v>145</v>
      </c>
      <c r="F260" s="11" t="s">
        <v>442</v>
      </c>
      <c r="G260" s="11" t="s">
        <v>1445</v>
      </c>
      <c r="H260" s="11">
        <v>90</v>
      </c>
      <c r="I260" s="11">
        <v>0</v>
      </c>
      <c r="J260" s="11">
        <f t="shared" si="5"/>
        <v>90</v>
      </c>
      <c r="K260" s="151"/>
      <c r="L260" s="154"/>
    </row>
    <row r="261" spans="1:13" x14ac:dyDescent="0.25">
      <c r="A261" s="11" t="s">
        <v>1357</v>
      </c>
      <c r="B261" s="11" t="str">
        <f ca="1">VLOOKUP(VALUE(MID($C261,13,2)), [2]codigos!$A$2:$B$60, 2, 1) &amp; " " &amp; VLOOKUP(VALUE(MID($C261,15,4)), [2]codigos!$E$2:$F$102, 2, FALSE)</f>
        <v>POCILLO 10</v>
      </c>
      <c r="C261" s="11" t="str">
        <f ca="1">VLOOKUP(VALUE(MID($C261,19,2)),[2]codigos!$H$2:$I$62,2,1) &amp; " " &amp; VLOOKUP(VALUE(MID($C261,21,2)),[2]codigos!$K$2:$L$12,2,FALSE)</f>
        <v>A/T S/I</v>
      </c>
      <c r="D261" s="52" t="s">
        <v>1247</v>
      </c>
      <c r="E261" s="20" t="s">
        <v>145</v>
      </c>
      <c r="F261" s="11" t="s">
        <v>442</v>
      </c>
      <c r="G261" s="11" t="s">
        <v>1445</v>
      </c>
      <c r="H261" s="11">
        <v>120</v>
      </c>
      <c r="I261" s="11">
        <v>0</v>
      </c>
      <c r="J261" s="11">
        <f t="shared" si="5"/>
        <v>120</v>
      </c>
      <c r="K261" s="151"/>
      <c r="L261" s="154"/>
    </row>
    <row r="262" spans="1:13" x14ac:dyDescent="0.25">
      <c r="A262" s="11" t="s">
        <v>1486</v>
      </c>
      <c r="B262" s="11" t="str">
        <f ca="1">VLOOKUP(VALUE(MID($C262,13,2)), [2]codigos!$A$2:$B$60, 2, 1) &amp; " " &amp; VLOOKUP(VALUE(MID($C262,15,4)), [2]codigos!$E$2:$F$102, 2, FALSE)</f>
        <v>PLATO OVAL 36</v>
      </c>
      <c r="C262" s="11" t="str">
        <f ca="1">VLOOKUP(VALUE(MID($C262,19,2)),[2]codigos!$H$2:$I$62,2,1) &amp; " " &amp; VLOOKUP(VALUE(MID($C262,21,2)),[2]codigos!$K$2:$L$12,2,FALSE)</f>
        <v>BLANCO  NEGRO</v>
      </c>
      <c r="D262" s="52" t="s">
        <v>1247</v>
      </c>
      <c r="E262" s="20" t="s">
        <v>145</v>
      </c>
      <c r="F262" s="11" t="s">
        <v>442</v>
      </c>
      <c r="G262" s="11" t="s">
        <v>1445</v>
      </c>
      <c r="H262" s="11">
        <v>30</v>
      </c>
      <c r="I262" s="11">
        <v>0</v>
      </c>
      <c r="J262" s="11">
        <f t="shared" si="5"/>
        <v>30</v>
      </c>
      <c r="K262" s="151"/>
      <c r="L262" s="154"/>
    </row>
    <row r="263" spans="1:13" x14ac:dyDescent="0.25">
      <c r="A263" s="11" t="s">
        <v>1487</v>
      </c>
      <c r="B263" s="11" t="str">
        <f ca="1">VLOOKUP(VALUE(MID($C263,13,2)), [2]codigos!$A$2:$B$60, 2, 1) &amp; " " &amp; VLOOKUP(VALUE(MID($C263,15,4)), [2]codigos!$E$2:$F$102, 2, FALSE)</f>
        <v>PLATO OVAL 32</v>
      </c>
      <c r="C263" s="11" t="str">
        <f ca="1">VLOOKUP(VALUE(MID($C263,19,2)),[2]codigos!$H$2:$I$62,2,1) &amp; " " &amp; VLOOKUP(VALUE(MID($C263,21,2)),[2]codigos!$K$2:$L$12,2,FALSE)</f>
        <v>BLANCO  NEGRO</v>
      </c>
      <c r="D263" s="52" t="s">
        <v>1247</v>
      </c>
      <c r="E263" s="20" t="s">
        <v>145</v>
      </c>
      <c r="F263" s="11" t="s">
        <v>442</v>
      </c>
      <c r="G263" s="11" t="s">
        <v>1445</v>
      </c>
      <c r="H263" s="11">
        <v>30</v>
      </c>
      <c r="I263" s="11">
        <v>0</v>
      </c>
      <c r="J263" s="11">
        <f t="shared" si="5"/>
        <v>30</v>
      </c>
      <c r="K263" s="151"/>
      <c r="L263" s="154"/>
    </row>
    <row r="264" spans="1:13" x14ac:dyDescent="0.25">
      <c r="A264" s="127" t="s">
        <v>277</v>
      </c>
      <c r="B264" s="11" t="str">
        <f>VLOOKUP(VALUE(MID($A264,13,2)), codigos!$A$2:$B$60, 2, 1) &amp; " " &amp; VLOOKUP(VALUE(MID($A264,15,4)), codigos!$E$2:$F$102, 2, FALSE)</f>
        <v>BUDINERA 12</v>
      </c>
      <c r="C264" s="11" t="str">
        <f>VLOOKUP(VALUE(MID($A264,19,2)),codigos!$H$2:$I$62,2,1) &amp; " " &amp; VLOOKUP(VALUE(MID($A264,21,2)),codigos!$K$2:$L$12,2,FALSE)</f>
        <v>BLANCO  NEGRO</v>
      </c>
      <c r="D264" s="11" t="s">
        <v>1196</v>
      </c>
      <c r="E264" s="11" t="s">
        <v>16</v>
      </c>
      <c r="F264" s="11" t="s">
        <v>1279</v>
      </c>
      <c r="G264" s="11" t="s">
        <v>1280</v>
      </c>
      <c r="H264" s="25">
        <v>36</v>
      </c>
      <c r="I264" s="25">
        <f>6+4+18+3+3+2</f>
        <v>36</v>
      </c>
      <c r="J264" s="15">
        <f t="shared" ref="J264:J278" si="6">+H264-I264</f>
        <v>0</v>
      </c>
      <c r="K264" s="131">
        <f>(SUM(I264:I278))/(SUM(H264:H278))</f>
        <v>0.79297693920335433</v>
      </c>
      <c r="L264" s="18"/>
      <c r="M264" s="93">
        <v>46108</v>
      </c>
    </row>
    <row r="265" spans="1:13" x14ac:dyDescent="0.25">
      <c r="A265" s="113" t="s">
        <v>283</v>
      </c>
      <c r="B265" s="11" t="str">
        <f>VLOOKUP(VALUE(MID($A265,13,2)), codigos!$A$2:$B$60, 2, 1) &amp; " " &amp; VLOOKUP(VALUE(MID($A265,15,4)), codigos!$E$2:$F$102, 2, FALSE)</f>
        <v>PLATO AVENERO 20</v>
      </c>
      <c r="C265" s="11" t="str">
        <f>VLOOKUP(VALUE(MID($A265,19,2)),codigos!$H$2:$I$62,2,1) &amp; " " &amp; VLOOKUP(VALUE(MID($A265,21,2)),codigos!$K$2:$L$12,2,FALSE)</f>
        <v>BLANCO  NEGRO</v>
      </c>
      <c r="D265" s="11" t="s">
        <v>1196</v>
      </c>
      <c r="E265" s="11" t="s">
        <v>16</v>
      </c>
      <c r="F265" s="11" t="s">
        <v>1279</v>
      </c>
      <c r="G265" s="11" t="s">
        <v>1280</v>
      </c>
      <c r="H265" s="25">
        <v>312</v>
      </c>
      <c r="I265" s="25">
        <v>312</v>
      </c>
      <c r="J265" s="15">
        <f t="shared" si="6"/>
        <v>0</v>
      </c>
      <c r="K265" s="131"/>
      <c r="L265" s="18"/>
      <c r="M265" s="93">
        <v>46108</v>
      </c>
    </row>
    <row r="266" spans="1:13" x14ac:dyDescent="0.25">
      <c r="A266" s="11" t="s">
        <v>285</v>
      </c>
      <c r="B266" s="11" t="str">
        <f>VLOOKUP(VALUE(MID($A266,13,2)), codigos!$A$2:$B$60, 2, 1) &amp; " " &amp; VLOOKUP(VALUE(MID($A266,15,4)), codigos!$E$2:$F$102, 2, FALSE)</f>
        <v>PLATO LISO 16</v>
      </c>
      <c r="C266" s="11" t="str">
        <f>VLOOKUP(VALUE(MID($A266,19,2)),codigos!$H$2:$I$62,2,1) &amp; " " &amp; VLOOKUP(VALUE(MID($A266,21,2)),codigos!$K$2:$L$12,2,FALSE)</f>
        <v>BLANCO  NEGRO</v>
      </c>
      <c r="D266" s="11" t="s">
        <v>1196</v>
      </c>
      <c r="E266" s="11" t="s">
        <v>16</v>
      </c>
      <c r="F266" s="11" t="s">
        <v>1279</v>
      </c>
      <c r="G266" s="11" t="s">
        <v>1280</v>
      </c>
      <c r="H266" s="25">
        <v>48</v>
      </c>
      <c r="I266" s="25">
        <f>39+6+3</f>
        <v>48</v>
      </c>
      <c r="J266" s="15">
        <f t="shared" si="6"/>
        <v>0</v>
      </c>
      <c r="K266" s="131"/>
      <c r="L266" s="18"/>
      <c r="M266" s="93">
        <v>46108</v>
      </c>
    </row>
    <row r="267" spans="1:13" x14ac:dyDescent="0.25">
      <c r="A267" s="11" t="s">
        <v>288</v>
      </c>
      <c r="B267" s="11" t="str">
        <f>VLOOKUP(VALUE(MID($A267,13,2)), codigos!$A$2:$B$60, 2, 1) &amp; " " &amp; VLOOKUP(VALUE(MID($A267,15,4)), codigos!$E$2:$F$102, 2, FALSE)</f>
        <v>PLATO LISO 20</v>
      </c>
      <c r="C267" s="11" t="str">
        <f>VLOOKUP(VALUE(MID($A267,19,2)),codigos!$H$2:$I$62,2,1) &amp; " " &amp; VLOOKUP(VALUE(MID($A267,21,2)),codigos!$K$2:$L$12,2,FALSE)</f>
        <v>BLANCO  NEGRO</v>
      </c>
      <c r="D267" s="11" t="s">
        <v>1196</v>
      </c>
      <c r="E267" s="11" t="s">
        <v>16</v>
      </c>
      <c r="F267" s="11" t="s">
        <v>1279</v>
      </c>
      <c r="G267" s="11" t="s">
        <v>1280</v>
      </c>
      <c r="H267" s="25">
        <v>96</v>
      </c>
      <c r="I267" s="25">
        <v>96</v>
      </c>
      <c r="J267" s="15">
        <f t="shared" si="6"/>
        <v>0</v>
      </c>
      <c r="K267" s="131"/>
      <c r="L267" s="18"/>
      <c r="M267" s="93">
        <v>46108</v>
      </c>
    </row>
    <row r="268" spans="1:13" x14ac:dyDescent="0.25">
      <c r="A268" s="113" t="s">
        <v>69</v>
      </c>
      <c r="B268" s="11" t="str">
        <f>VLOOKUP(VALUE(MID($A268,13,2)), codigos!$A$2:$B$60, 2, 1) &amp; " " &amp; VLOOKUP(VALUE(MID($A268,15,4)), codigos!$E$2:$F$102, 2, FALSE)</f>
        <v>PLATO LISO 24</v>
      </c>
      <c r="C268" s="11" t="str">
        <f>VLOOKUP(VALUE(MID($A268,19,2)),codigos!$H$2:$I$62,2,1) &amp; " " &amp; VLOOKUP(VALUE(MID($A268,21,2)),codigos!$K$2:$L$12,2,FALSE)</f>
        <v>BLANCO  NEGRO</v>
      </c>
      <c r="D268" s="11" t="s">
        <v>1196</v>
      </c>
      <c r="E268" s="11" t="s">
        <v>16</v>
      </c>
      <c r="F268" s="11" t="s">
        <v>1279</v>
      </c>
      <c r="G268" s="11" t="s">
        <v>1280</v>
      </c>
      <c r="H268" s="25">
        <v>300</v>
      </c>
      <c r="I268" s="25">
        <v>150</v>
      </c>
      <c r="J268" s="15">
        <f t="shared" si="6"/>
        <v>150</v>
      </c>
      <c r="K268" s="131"/>
      <c r="L268" s="18"/>
      <c r="M268" s="93">
        <v>46108</v>
      </c>
    </row>
    <row r="269" spans="1:13" x14ac:dyDescent="0.25">
      <c r="A269" s="113" t="s">
        <v>72</v>
      </c>
      <c r="B269" s="11" t="str">
        <f>VLOOKUP(VALUE(MID($A269,13,2)), codigos!$A$2:$B$60, 2, 1) &amp; " " &amp; VLOOKUP(VALUE(MID($A269,15,4)), codigos!$E$2:$F$102, 2, FALSE)</f>
        <v>PLATO LISO 27</v>
      </c>
      <c r="C269" s="11" t="str">
        <f>VLOOKUP(VALUE(MID($A269,19,2)),codigos!$H$2:$I$62,2,1) &amp; " " &amp; VLOOKUP(VALUE(MID($A269,21,2)),codigos!$K$2:$L$12,2,FALSE)</f>
        <v>BLANCO  NEGRO</v>
      </c>
      <c r="D269" s="11" t="s">
        <v>1196</v>
      </c>
      <c r="E269" s="11" t="s">
        <v>16</v>
      </c>
      <c r="F269" s="11" t="s">
        <v>1279</v>
      </c>
      <c r="G269" s="11" t="s">
        <v>1280</v>
      </c>
      <c r="H269" s="25">
        <v>96</v>
      </c>
      <c r="I269" s="25">
        <v>96</v>
      </c>
      <c r="J269" s="15">
        <f t="shared" si="6"/>
        <v>0</v>
      </c>
      <c r="K269" s="131"/>
      <c r="L269" s="18"/>
      <c r="M269" s="93">
        <v>46108</v>
      </c>
    </row>
    <row r="270" spans="1:13" x14ac:dyDescent="0.25">
      <c r="A270" s="11" t="s">
        <v>294</v>
      </c>
      <c r="B270" s="11" t="str">
        <f>VLOOKUP(VALUE(MID($A270,13,2)), codigos!$A$2:$B$60, 2, 1) &amp; " " &amp; VLOOKUP(VALUE(MID($A270,15,4)), codigos!$E$2:$F$102, 2, FALSE)</f>
        <v>PLATO LISO 27</v>
      </c>
      <c r="C270" s="11" t="str">
        <f>VLOOKUP(VALUE(MID($A270,19,2)),codigos!$H$2:$I$62,2,1) &amp; " " &amp; VLOOKUP(VALUE(MID($A270,21,2)),codigos!$K$2:$L$12,2,FALSE)</f>
        <v>NEGRO S/I</v>
      </c>
      <c r="D270" s="11" t="s">
        <v>1196</v>
      </c>
      <c r="E270" s="11" t="s">
        <v>16</v>
      </c>
      <c r="F270" s="11" t="s">
        <v>1279</v>
      </c>
      <c r="G270" s="11" t="s">
        <v>1280</v>
      </c>
      <c r="H270" s="25">
        <v>96</v>
      </c>
      <c r="I270" s="25">
        <v>96</v>
      </c>
      <c r="J270" s="15">
        <f t="shared" si="6"/>
        <v>0</v>
      </c>
      <c r="K270" s="131"/>
      <c r="L270" s="18"/>
      <c r="M270" s="93">
        <v>46108</v>
      </c>
    </row>
    <row r="271" spans="1:13" x14ac:dyDescent="0.25">
      <c r="A271" s="113" t="s">
        <v>295</v>
      </c>
      <c r="B271" s="11" t="str">
        <f>VLOOKUP(VALUE(MID($A271,13,2)), codigos!$A$2:$B$60, 2, 1) &amp; " " &amp; VLOOKUP(VALUE(MID($A271,15,4)), codigos!$E$2:$F$102, 2, FALSE)</f>
        <v>PLATO LISO 32</v>
      </c>
      <c r="C271" s="11" t="str">
        <f>VLOOKUP(VALUE(MID($A271,19,2)),codigos!$H$2:$I$62,2,1) &amp; " " &amp; VLOOKUP(VALUE(MID($A271,21,2)),codigos!$K$2:$L$12,2,FALSE)</f>
        <v>BLANCO  NEGRO</v>
      </c>
      <c r="D271" s="11" t="s">
        <v>1196</v>
      </c>
      <c r="E271" s="11" t="s">
        <v>16</v>
      </c>
      <c r="F271" s="11" t="s">
        <v>1279</v>
      </c>
      <c r="G271" s="11" t="s">
        <v>1280</v>
      </c>
      <c r="H271" s="25">
        <v>60</v>
      </c>
      <c r="I271" s="25">
        <f>30+3</f>
        <v>33</v>
      </c>
      <c r="J271" s="15">
        <f t="shared" si="6"/>
        <v>27</v>
      </c>
      <c r="K271" s="131"/>
      <c r="L271" s="18"/>
      <c r="M271" s="93">
        <v>46108</v>
      </c>
    </row>
    <row r="272" spans="1:13" x14ac:dyDescent="0.25">
      <c r="A272" s="11" t="s">
        <v>302</v>
      </c>
      <c r="B272" s="11" t="str">
        <f>VLOOKUP(VALUE(MID($A272,13,2)), codigos!$A$2:$B$60, 2, 1) &amp; " " &amp; VLOOKUP(VALUE(MID($A272,15,4)), codigos!$E$2:$F$102, 2, FALSE)</f>
        <v>TAZON 8</v>
      </c>
      <c r="C272" s="11" t="str">
        <f>VLOOKUP(VALUE(MID($A272,19,2)),codigos!$H$2:$I$62,2,1) &amp; " " &amp; VLOOKUP(VALUE(MID($A272,21,2)),codigos!$K$2:$L$12,2,FALSE)</f>
        <v>BLANCO  NEGRO</v>
      </c>
      <c r="D272" s="11" t="s">
        <v>1196</v>
      </c>
      <c r="E272" s="11" t="s">
        <v>16</v>
      </c>
      <c r="F272" s="11" t="s">
        <v>1279</v>
      </c>
      <c r="G272" s="11" t="s">
        <v>1280</v>
      </c>
      <c r="H272" s="25">
        <v>504</v>
      </c>
      <c r="I272" s="25">
        <f>300+7</f>
        <v>307</v>
      </c>
      <c r="J272" s="15">
        <f t="shared" si="6"/>
        <v>197</v>
      </c>
      <c r="K272" s="131"/>
      <c r="L272" s="18"/>
      <c r="M272" s="93">
        <v>46108</v>
      </c>
    </row>
    <row r="273" spans="1:13" x14ac:dyDescent="0.25">
      <c r="A273" s="11" t="s">
        <v>304</v>
      </c>
      <c r="B273" s="11" t="str">
        <f>VLOOKUP(VALUE(MID($A273,13,2)), codigos!$A$2:$B$60, 2, 1) &amp; " " &amp; VLOOKUP(VALUE(MID($A273,15,4)), codigos!$E$2:$F$102, 2, FALSE)</f>
        <v>TAZON 8</v>
      </c>
      <c r="C273" s="11" t="str">
        <f>VLOOKUP(VALUE(MID($A273,19,2)),codigos!$H$2:$I$62,2,1) &amp; " " &amp; VLOOKUP(VALUE(MID($A273,21,2)),codigos!$K$2:$L$12,2,FALSE)</f>
        <v>NEGRO S/I</v>
      </c>
      <c r="D273" s="11" t="s">
        <v>1196</v>
      </c>
      <c r="E273" s="11" t="s">
        <v>16</v>
      </c>
      <c r="F273" s="11" t="s">
        <v>1279</v>
      </c>
      <c r="G273" s="11" t="s">
        <v>1280</v>
      </c>
      <c r="H273" s="25">
        <v>144</v>
      </c>
      <c r="I273" s="25">
        <f>50+72+1</f>
        <v>123</v>
      </c>
      <c r="J273" s="15">
        <f t="shared" si="6"/>
        <v>21</v>
      </c>
      <c r="K273" s="131"/>
      <c r="L273" s="18"/>
      <c r="M273" s="93">
        <v>46108</v>
      </c>
    </row>
    <row r="274" spans="1:13" x14ac:dyDescent="0.25">
      <c r="A274" s="11" t="s">
        <v>831</v>
      </c>
      <c r="B274" s="11" t="str">
        <f>VLOOKUP(VALUE(MID($A274,13,2)), codigos!$A$2:$B$60, 2, 1) &amp; " " &amp; VLOOKUP(VALUE(MID($A274,15,4)), codigos!$E$2:$F$102, 2, FALSE)</f>
        <v>TORTILLERO  18</v>
      </c>
      <c r="C274" s="11" t="str">
        <f>VLOOKUP(VALUE(MID($A274,19,2)),codigos!$H$2:$I$62,2,1) &amp; " " &amp; VLOOKUP(VALUE(MID($A274,21,2)),codigos!$K$2:$L$12,2,FALSE)</f>
        <v>COBALTO S/I</v>
      </c>
      <c r="D274" s="11" t="s">
        <v>1196</v>
      </c>
      <c r="E274" s="11" t="s">
        <v>16</v>
      </c>
      <c r="F274" s="11" t="s">
        <v>1279</v>
      </c>
      <c r="G274" s="11" t="s">
        <v>1280</v>
      </c>
      <c r="H274" s="25">
        <v>48</v>
      </c>
      <c r="I274" s="25">
        <f>10+36+2</f>
        <v>48</v>
      </c>
      <c r="J274" s="15">
        <f t="shared" si="6"/>
        <v>0</v>
      </c>
      <c r="K274" s="131"/>
      <c r="L274" s="18"/>
      <c r="M274" s="93">
        <v>46108</v>
      </c>
    </row>
    <row r="275" spans="1:13" x14ac:dyDescent="0.25">
      <c r="A275" s="11" t="s">
        <v>307</v>
      </c>
      <c r="B275" s="11" t="str">
        <f>VLOOKUP(VALUE(MID($A275,13,2)), codigos!$A$2:$B$60, 2, 1) &amp; " " &amp; VLOOKUP(VALUE(MID($A275,15,4)), codigos!$E$2:$F$102, 2, FALSE)</f>
        <v>TORTILLERO  18</v>
      </c>
      <c r="C275" s="11" t="str">
        <f>VLOOKUP(VALUE(MID($A275,19,2)),codigos!$H$2:$I$62,2,1) &amp; " " &amp; VLOOKUP(VALUE(MID($A275,21,2)),codigos!$K$2:$L$12,2,FALSE)</f>
        <v>NEGRO S/I</v>
      </c>
      <c r="D275" s="11" t="s">
        <v>1196</v>
      </c>
      <c r="E275" s="11" t="s">
        <v>16</v>
      </c>
      <c r="F275" s="11" t="s">
        <v>1279</v>
      </c>
      <c r="G275" s="11" t="s">
        <v>1280</v>
      </c>
      <c r="H275" s="25">
        <v>24</v>
      </c>
      <c r="I275" s="25">
        <v>24</v>
      </c>
      <c r="J275" s="15">
        <f t="shared" si="6"/>
        <v>0</v>
      </c>
      <c r="K275" s="131"/>
      <c r="L275" s="18"/>
      <c r="M275" s="93">
        <v>46108</v>
      </c>
    </row>
    <row r="276" spans="1:13" x14ac:dyDescent="0.25">
      <c r="A276" s="11" t="s">
        <v>23</v>
      </c>
      <c r="B276" s="11" t="str">
        <f>VLOOKUP(VALUE(MID($A276,13,2)), codigos!$A$2:$B$60, 2, 1) &amp; " " &amp; VLOOKUP(VALUE(MID($A276,15,4)), codigos!$E$2:$F$102, 2, FALSE)</f>
        <v>TORTILLERO  18</v>
      </c>
      <c r="C276" s="11" t="str">
        <f>VLOOKUP(VALUE(MID($A276,19,2)),codigos!$H$2:$I$62,2,1) &amp; " " &amp; VLOOKUP(VALUE(MID($A276,21,2)),codigos!$K$2:$L$12,2,FALSE)</f>
        <v>ROJO S/I</v>
      </c>
      <c r="D276" s="11" t="s">
        <v>1196</v>
      </c>
      <c r="E276" s="11" t="s">
        <v>16</v>
      </c>
      <c r="F276" s="11" t="s">
        <v>1279</v>
      </c>
      <c r="G276" s="11" t="s">
        <v>1280</v>
      </c>
      <c r="H276" s="25">
        <v>24</v>
      </c>
      <c r="I276" s="25">
        <v>24</v>
      </c>
      <c r="J276" s="15">
        <f t="shared" si="6"/>
        <v>0</v>
      </c>
      <c r="K276" s="131"/>
      <c r="L276" s="18"/>
      <c r="M276" s="93">
        <v>46108</v>
      </c>
    </row>
    <row r="277" spans="1:13" x14ac:dyDescent="0.25">
      <c r="A277" s="11" t="s">
        <v>1281</v>
      </c>
      <c r="B277" s="11" t="str">
        <f>VLOOKUP(VALUE(MID($A277,13,2)), codigos!$A$2:$B$60, 2, 1) &amp; " " &amp; VLOOKUP(VALUE(MID($A277,15,4)), codigos!$E$2:$F$102, 2, FALSE)</f>
        <v>PLATO HONDO 27</v>
      </c>
      <c r="C277" s="11" t="str">
        <f>VLOOKUP(VALUE(MID($A277,19,2)),codigos!$H$2:$I$62,2,1) &amp; " " &amp; VLOOKUP(VALUE(MID($A277,21,2)),codigos!$K$2:$L$12,2,FALSE)</f>
        <v>NEGRO S/I</v>
      </c>
      <c r="D277" s="11" t="s">
        <v>1196</v>
      </c>
      <c r="E277" s="11" t="s">
        <v>16</v>
      </c>
      <c r="F277" s="11" t="s">
        <v>1279</v>
      </c>
      <c r="G277" s="11" t="s">
        <v>1280</v>
      </c>
      <c r="H277" s="25">
        <v>24</v>
      </c>
      <c r="I277" s="25">
        <v>24</v>
      </c>
      <c r="J277" s="15">
        <f t="shared" si="6"/>
        <v>0</v>
      </c>
      <c r="K277" s="131"/>
      <c r="L277" s="18"/>
      <c r="M277" s="93">
        <v>46108</v>
      </c>
    </row>
    <row r="278" spans="1:13" x14ac:dyDescent="0.25">
      <c r="A278" s="11" t="s">
        <v>290</v>
      </c>
      <c r="B278" s="11" t="str">
        <f>VLOOKUP(VALUE(MID($A278,13,2)), codigos!$A$2:$B$60, 2, 1) &amp; " " &amp; VLOOKUP(VALUE(MID($A278,15,4)), codigos!$E$2:$F$102, 2, FALSE)</f>
        <v>PLATO LISO 20</v>
      </c>
      <c r="C278" s="11" t="str">
        <f>VLOOKUP(VALUE(MID($A278,19,2)),codigos!$H$2:$I$62,2,1) &amp; " " &amp; VLOOKUP(VALUE(MID($A278,21,2)),codigos!$K$2:$L$12,2,FALSE)</f>
        <v>NEGRO S/I</v>
      </c>
      <c r="D278" s="11" t="s">
        <v>1196</v>
      </c>
      <c r="E278" s="11" t="s">
        <v>16</v>
      </c>
      <c r="F278" s="11" t="s">
        <v>1279</v>
      </c>
      <c r="G278" s="11" t="s">
        <v>1280</v>
      </c>
      <c r="H278" s="25">
        <v>96</v>
      </c>
      <c r="I278" s="25">
        <v>96</v>
      </c>
      <c r="J278" s="15">
        <f t="shared" si="6"/>
        <v>0</v>
      </c>
      <c r="K278" s="131"/>
      <c r="L278" s="18"/>
      <c r="M278" s="93">
        <v>46108</v>
      </c>
    </row>
  </sheetData>
  <autoFilter ref="A1:O278" xr:uid="{00000000-0009-0000-0000-000004000000}"/>
  <mergeCells count="16">
    <mergeCell ref="K154:K161"/>
    <mergeCell ref="K203:K263"/>
    <mergeCell ref="A94:K94"/>
    <mergeCell ref="K103:K127"/>
    <mergeCell ref="K145:K146"/>
    <mergeCell ref="K147:K151"/>
    <mergeCell ref="K152:K153"/>
    <mergeCell ref="K128:K132"/>
    <mergeCell ref="K95:K96"/>
    <mergeCell ref="K97:K98"/>
    <mergeCell ref="K99:K102"/>
    <mergeCell ref="K264:K278"/>
    <mergeCell ref="L203:L263"/>
    <mergeCell ref="K162:K171"/>
    <mergeCell ref="K172:K189"/>
    <mergeCell ref="K190:K200"/>
  </mergeCells>
  <conditionalFormatting sqref="A2:A19 D2:G19 J2:J19">
    <cfRule type="expression" dxfId="1915" priority="104504">
      <formula>$J2:$J802&lt;=0</formula>
    </cfRule>
  </conditionalFormatting>
  <conditionalFormatting sqref="A20:A43 D20:G43 J20:J43 A45:A54 D45:G54 J45:J54 A56:A63 D56:G63 J56:J63">
    <cfRule type="expression" dxfId="1914" priority="104507">
      <formula>$J20:$J795&lt;=0</formula>
    </cfRule>
  </conditionalFormatting>
  <conditionalFormatting sqref="A44 J44">
    <cfRule type="expression" dxfId="1913" priority="218">
      <formula>$J44:$J1002&lt;=0</formula>
    </cfRule>
  </conditionalFormatting>
  <conditionalFormatting sqref="A55 D55:G55 J55">
    <cfRule type="expression" dxfId="1912" priority="219">
      <formula>$J55:$J1002&lt;=0</formula>
    </cfRule>
  </conditionalFormatting>
  <conditionalFormatting sqref="A95 D95:G95 J95">
    <cfRule type="expression" dxfId="1911" priority="211">
      <formula>$J95:$J257&lt;=0</formula>
    </cfRule>
  </conditionalFormatting>
  <conditionalFormatting sqref="A96:A97 F96:G97 F99:F102">
    <cfRule type="expression" dxfId="1910" priority="210">
      <formula>$J96:$J257&lt;=0</formula>
    </cfRule>
  </conditionalFormatting>
  <conditionalFormatting sqref="A98">
    <cfRule type="expression" dxfId="1909" priority="209">
      <formula>$J98:$J257&lt;=0</formula>
    </cfRule>
  </conditionalFormatting>
  <conditionalFormatting sqref="A99:A151 D99:D151 G99:I151 K133:K144">
    <cfRule type="expression" dxfId="1908" priority="190">
      <formula>$J99:$J158&lt;=0</formula>
    </cfRule>
  </conditionalFormatting>
  <conditionalFormatting sqref="A99:A151 K133:K144">
    <cfRule type="expression" dxfId="1907" priority="104519">
      <formula>$J99:$J475&lt;=0</formula>
    </cfRule>
  </conditionalFormatting>
  <conditionalFormatting sqref="A154:A156 D154:D156 G154:I156 B154:C161">
    <cfRule type="expression" dxfId="1906" priority="36">
      <formula>$L154:$L202&lt;=0</formula>
    </cfRule>
  </conditionalFormatting>
  <conditionalFormatting sqref="A157:A161 D157:D161 G157:I161">
    <cfRule type="expression" dxfId="1905" priority="40">
      <formula>$L157:$L202&lt;=0</formula>
    </cfRule>
  </conditionalFormatting>
  <conditionalFormatting sqref="A162:A180 D162:D180 G162:I180 B162:C194">
    <cfRule type="expression" dxfId="1904" priority="39">
      <formula>$L162:$L202&lt;=0</formula>
    </cfRule>
  </conditionalFormatting>
  <conditionalFormatting sqref="A181:A189 D181:D189 G181:I189">
    <cfRule type="expression" dxfId="1903" priority="109">
      <formula>$L181:$L263&lt;=0</formula>
    </cfRule>
  </conditionalFormatting>
  <conditionalFormatting sqref="A190 D190 G190:I190 G191:G194">
    <cfRule type="expression" dxfId="1902" priority="108">
      <formula>$L190:$L264&lt;=0</formula>
    </cfRule>
  </conditionalFormatting>
  <conditionalFormatting sqref="A191:A198 D191:D198 G191:I198">
    <cfRule type="expression" dxfId="1901" priority="104528">
      <formula>$L191:$L264&lt;=0</formula>
    </cfRule>
  </conditionalFormatting>
  <conditionalFormatting sqref="A199:A200 D199:D200 G199:I200">
    <cfRule type="expression" dxfId="1900" priority="104531">
      <formula>$L199:$L264&lt;=0</formula>
    </cfRule>
  </conditionalFormatting>
  <conditionalFormatting sqref="A202:A263 J202:J263">
    <cfRule type="expression" dxfId="1899" priority="60">
      <formula>$L202:$L202&lt;=0</formula>
    </cfRule>
  </conditionalFormatting>
  <conditionalFormatting sqref="A264 D264:J264">
    <cfRule type="expression" dxfId="1898" priority="1">
      <formula>$L264:$L278&lt;=0</formula>
    </cfRule>
  </conditionalFormatting>
  <conditionalFormatting sqref="A274:A275 D274:G275 J274:J275">
    <cfRule type="expression" dxfId="1897" priority="7">
      <formula>$L274:$L285&lt;=0</formula>
    </cfRule>
  </conditionalFormatting>
  <conditionalFormatting sqref="A276 D276:G276 J276">
    <cfRule type="expression" dxfId="1896" priority="6">
      <formula>$L276:$L286&lt;=0</formula>
    </cfRule>
  </conditionalFormatting>
  <conditionalFormatting sqref="A277 D277:G277 J277">
    <cfRule type="expression" dxfId="1895" priority="3">
      <formula>$L277:$L285&lt;=0</formula>
    </cfRule>
  </conditionalFormatting>
  <conditionalFormatting sqref="A152:D153 G152:I153">
    <cfRule type="expression" dxfId="1894" priority="102197">
      <formula>$L152:$L202&lt;=0</formula>
    </cfRule>
  </conditionalFormatting>
  <conditionalFormatting sqref="A201:J201">
    <cfRule type="expression" dxfId="1893" priority="102219">
      <formula>$L201:$L202&lt;=0</formula>
    </cfRule>
  </conditionalFormatting>
  <conditionalFormatting sqref="B202:B263 E202:G263 I202:I263">
    <cfRule type="expression" dxfId="1892" priority="104534">
      <formula>$L202:$L264&lt;=0</formula>
    </cfRule>
  </conditionalFormatting>
  <conditionalFormatting sqref="B2:C19">
    <cfRule type="expression" dxfId="1891" priority="104537">
      <formula>$J2:$J498&lt;=0</formula>
    </cfRule>
  </conditionalFormatting>
  <conditionalFormatting sqref="B20:C27">
    <cfRule type="expression" dxfId="1890" priority="104538">
      <formula>$J20:$J505&lt;=0</formula>
    </cfRule>
  </conditionalFormatting>
  <conditionalFormatting sqref="B28:C59">
    <cfRule type="expression" dxfId="1889" priority="104539">
      <formula>$J28:$J512&lt;=0</formula>
    </cfRule>
  </conditionalFormatting>
  <conditionalFormatting sqref="B60:C63">
    <cfRule type="expression" dxfId="1888" priority="104540">
      <formula>$J60:$J543&lt;=0</formula>
    </cfRule>
  </conditionalFormatting>
  <conditionalFormatting sqref="B64:C73">
    <cfRule type="expression" dxfId="1887" priority="77020">
      <formula>$J64:$J347&lt;=0</formula>
    </cfRule>
  </conditionalFormatting>
  <conditionalFormatting sqref="B74:C93">
    <cfRule type="expression" dxfId="1886" priority="104542">
      <formula>$J74:$J336&lt;=0</formula>
    </cfRule>
  </conditionalFormatting>
  <conditionalFormatting sqref="B95:C95 H95:I95">
    <cfRule type="expression" dxfId="1885" priority="208">
      <formula>$J95:$J196&lt;=0</formula>
    </cfRule>
  </conditionalFormatting>
  <conditionalFormatting sqref="B96:C96">
    <cfRule type="expression" dxfId="1884" priority="207">
      <formula>$J96:$J153&lt;=0</formula>
    </cfRule>
  </conditionalFormatting>
  <conditionalFormatting sqref="B97:C97">
    <cfRule type="expression" dxfId="1883" priority="206">
      <formula>$J97:$J153&lt;=0</formula>
    </cfRule>
  </conditionalFormatting>
  <conditionalFormatting sqref="B98:C98">
    <cfRule type="expression" dxfId="1882" priority="205">
      <formula>$J98:$J153&lt;=0</formula>
    </cfRule>
  </conditionalFormatting>
  <conditionalFormatting sqref="B99:C151">
    <cfRule type="expression" dxfId="1881" priority="136">
      <formula>$J99:$J157&lt;=0</formula>
    </cfRule>
    <cfRule type="expression" dxfId="1880" priority="137">
      <formula>$J99:$J156&lt;=0</formula>
    </cfRule>
  </conditionalFormatting>
  <conditionalFormatting sqref="B195:C200">
    <cfRule type="expression" dxfId="1879" priority="104543">
      <formula>$L195:$L263&lt;=0</formula>
    </cfRule>
  </conditionalFormatting>
  <conditionalFormatting sqref="B264:C265">
    <cfRule type="expression" dxfId="1878" priority="10">
      <formula>$L264:$L285&lt;=0</formula>
    </cfRule>
  </conditionalFormatting>
  <conditionalFormatting sqref="B266:C278">
    <cfRule type="expression" dxfId="1877" priority="9">
      <formula>$L266:$L286&lt;=0</formula>
    </cfRule>
  </conditionalFormatting>
  <conditionalFormatting sqref="C202:C263">
    <cfRule type="expression" dxfId="1876" priority="102232">
      <formula>$L201:$L202&lt;=0</formula>
    </cfRule>
  </conditionalFormatting>
  <conditionalFormatting sqref="D99:D151">
    <cfRule type="expression" dxfId="1875" priority="104544">
      <formula>$J99:$J279&lt;=0</formula>
    </cfRule>
  </conditionalFormatting>
  <conditionalFormatting sqref="D202:D263">
    <cfRule type="expression" dxfId="1874" priority="104545">
      <formula>$L202:$L326&lt;=0</formula>
    </cfRule>
    <cfRule type="expression" dxfId="1873" priority="104546">
      <formula>$L202:$L308&lt;=0</formula>
    </cfRule>
  </conditionalFormatting>
  <conditionalFormatting sqref="D96:E97">
    <cfRule type="expression" dxfId="1872" priority="212">
      <formula>$J96:$J247&lt;=0</formula>
    </cfRule>
  </conditionalFormatting>
  <conditionalFormatting sqref="D98:E98">
    <cfRule type="expression" dxfId="1871" priority="204">
      <formula>$J98:$J248&lt;=0</formula>
    </cfRule>
  </conditionalFormatting>
  <conditionalFormatting sqref="D44:G44">
    <cfRule type="expression" dxfId="1870" priority="217">
      <formula>$J44:$J1002&lt;=0</formula>
    </cfRule>
  </conditionalFormatting>
  <conditionalFormatting sqref="D64:J93 A64:A94">
    <cfRule type="expression" dxfId="1869" priority="104547">
      <formula>$J64:$J338&lt;=0</formula>
    </cfRule>
  </conditionalFormatting>
  <conditionalFormatting sqref="E99:E151">
    <cfRule type="expression" dxfId="1868" priority="104549">
      <formula>$J99:$J500&lt;=0</formula>
    </cfRule>
    <cfRule type="expression" dxfId="1867" priority="104550">
      <formula>$J99:$J468&lt;=0</formula>
    </cfRule>
  </conditionalFormatting>
  <conditionalFormatting sqref="E152:E153">
    <cfRule type="expression" dxfId="1866" priority="131">
      <formula>$L152:$L167&lt;=0</formula>
    </cfRule>
  </conditionalFormatting>
  <conditionalFormatting sqref="E154:E161">
    <cfRule type="expression" dxfId="1865" priority="121">
      <formula>$L145:$L171&lt;=0</formula>
    </cfRule>
  </conditionalFormatting>
  <conditionalFormatting sqref="E162:E164">
    <cfRule type="expression" dxfId="1864" priority="106">
      <formula>$L162:$L191&lt;=0</formula>
    </cfRule>
  </conditionalFormatting>
  <conditionalFormatting sqref="E165:E167">
    <cfRule type="expression" dxfId="1863" priority="105">
      <formula>$L159:$L194&lt;=0</formula>
    </cfRule>
  </conditionalFormatting>
  <conditionalFormatting sqref="E168:E171">
    <cfRule type="expression" dxfId="1862" priority="104">
      <formula>$L159:$L197&lt;=0</formula>
    </cfRule>
  </conditionalFormatting>
  <conditionalFormatting sqref="E172:E174">
    <cfRule type="expression" dxfId="1861" priority="103">
      <formula>$L163:$L200&lt;=0</formula>
    </cfRule>
  </conditionalFormatting>
  <conditionalFormatting sqref="E175">
    <cfRule type="expression" dxfId="1860" priority="102">
      <formula>$L166:$L201&lt;=0</formula>
    </cfRule>
  </conditionalFormatting>
  <conditionalFormatting sqref="E176">
    <cfRule type="expression" dxfId="1859" priority="101">
      <formula>$L167:$L201&lt;=0</formula>
    </cfRule>
  </conditionalFormatting>
  <conditionalFormatting sqref="E177:E178">
    <cfRule type="expression" dxfId="1858" priority="100">
      <formula>$L168:$L201&lt;=0</formula>
    </cfRule>
  </conditionalFormatting>
  <conditionalFormatting sqref="E179">
    <cfRule type="expression" dxfId="1857" priority="99">
      <formula>$L170:$L202&lt;=0</formula>
    </cfRule>
  </conditionalFormatting>
  <conditionalFormatting sqref="E180:E189">
    <cfRule type="expression" dxfId="1856" priority="102236">
      <formula>$L171:$L202&lt;=0</formula>
    </cfRule>
  </conditionalFormatting>
  <conditionalFormatting sqref="E190:E191">
    <cfRule type="expression" dxfId="1855" priority="98">
      <formula>$L181:$L201&lt;=0</formula>
    </cfRule>
  </conditionalFormatting>
  <conditionalFormatting sqref="E192:E193">
    <cfRule type="expression" dxfId="1854" priority="97">
      <formula>$L183:$L201&lt;=0</formula>
    </cfRule>
  </conditionalFormatting>
  <conditionalFormatting sqref="E194">
    <cfRule type="expression" dxfId="1853" priority="96">
      <formula>$L185:$L202&lt;=0</formula>
    </cfRule>
  </conditionalFormatting>
  <conditionalFormatting sqref="E195">
    <cfRule type="expression" dxfId="1852" priority="95">
      <formula>$L186:$L202&lt;=0</formula>
    </cfRule>
  </conditionalFormatting>
  <conditionalFormatting sqref="E196:E199">
    <cfRule type="expression" dxfId="1851" priority="94">
      <formula>$L187:$L202&lt;=0</formula>
    </cfRule>
  </conditionalFormatting>
  <conditionalFormatting sqref="E200">
    <cfRule type="expression" dxfId="1850" priority="102240">
      <formula>$L191:$L202&lt;=0</formula>
    </cfRule>
  </conditionalFormatting>
  <conditionalFormatting sqref="E202:E263">
    <cfRule type="expression" dxfId="1849" priority="69">
      <formula>$L202:$L273&lt;=0</formula>
    </cfRule>
  </conditionalFormatting>
  <conditionalFormatting sqref="F103:F111">
    <cfRule type="expression" dxfId="1848" priority="104554">
      <formula>$J103:$J263&lt;=0</formula>
    </cfRule>
  </conditionalFormatting>
  <conditionalFormatting sqref="F112:F151">
    <cfRule type="expression" dxfId="1847" priority="104553">
      <formula>$J112:$J264&lt;=0</formula>
    </cfRule>
  </conditionalFormatting>
  <conditionalFormatting sqref="F152:F153">
    <cfRule type="expression" dxfId="1846" priority="104555">
      <formula>$L152:$L344&lt;=0</formula>
    </cfRule>
    <cfRule type="expression" dxfId="1845" priority="104556">
      <formula>$L152:$L284&lt;=0</formula>
    </cfRule>
  </conditionalFormatting>
  <conditionalFormatting sqref="F154:F155">
    <cfRule type="expression" dxfId="1844" priority="104557">
      <formula>$L154:$L270&lt;=0</formula>
    </cfRule>
  </conditionalFormatting>
  <conditionalFormatting sqref="F154:F161 F189:F196">
    <cfRule type="expression" dxfId="1843" priority="104558">
      <formula>$L154:$L317&lt;=0</formula>
    </cfRule>
  </conditionalFormatting>
  <conditionalFormatting sqref="F156:F159">
    <cfRule type="expression" dxfId="1842" priority="118">
      <formula>$L156:$L271&lt;=0</formula>
    </cfRule>
  </conditionalFormatting>
  <conditionalFormatting sqref="F160:F161">
    <cfRule type="expression" dxfId="1841" priority="104561">
      <formula>$L160:$L266&lt;=0</formula>
    </cfRule>
  </conditionalFormatting>
  <conditionalFormatting sqref="F162:F164">
    <cfRule type="expression" dxfId="1840" priority="78">
      <formula>$L162:$L274&lt;=0</formula>
    </cfRule>
  </conditionalFormatting>
  <conditionalFormatting sqref="F162:F170">
    <cfRule type="expression" dxfId="1839" priority="104563">
      <formula>$L162:$L338&lt;=0</formula>
    </cfRule>
  </conditionalFormatting>
  <conditionalFormatting sqref="F171:F177">
    <cfRule type="expression" dxfId="1838" priority="104565">
      <formula>$L171:$L346&lt;=0</formula>
    </cfRule>
  </conditionalFormatting>
  <conditionalFormatting sqref="F178:F182">
    <cfRule type="expression" dxfId="1837" priority="104566">
      <formula>$L178:$L352&lt;=0</formula>
    </cfRule>
  </conditionalFormatting>
  <conditionalFormatting sqref="F183:F188">
    <cfRule type="expression" dxfId="1836" priority="104567">
      <formula>$L183:$L347&lt;=0</formula>
    </cfRule>
  </conditionalFormatting>
  <conditionalFormatting sqref="F197:F199">
    <cfRule type="expression" dxfId="1835" priority="104568">
      <formula>$L197:$L359&lt;=0</formula>
    </cfRule>
  </conditionalFormatting>
  <conditionalFormatting sqref="F200">
    <cfRule type="expression" dxfId="1834" priority="104569">
      <formula>$L200:$L308&lt;=0</formula>
    </cfRule>
    <cfRule type="expression" dxfId="1833" priority="104570">
      <formula>$L200:$L361&lt;=0</formula>
    </cfRule>
  </conditionalFormatting>
  <conditionalFormatting sqref="F98:G98">
    <cfRule type="expression" dxfId="1832" priority="203">
      <formula>$J98:$J257&lt;=0</formula>
    </cfRule>
  </conditionalFormatting>
  <conditionalFormatting sqref="F99:H151">
    <cfRule type="expression" dxfId="1831" priority="104571">
      <formula>$J99:$J159&lt;=0</formula>
    </cfRule>
    <cfRule type="expression" dxfId="1830" priority="104572">
      <formula>$J99:$J475&lt;=0</formula>
    </cfRule>
  </conditionalFormatting>
  <conditionalFormatting sqref="G154:G159 F165:F199">
    <cfRule type="expression" dxfId="1829" priority="104564">
      <formula>$L154:$L263&lt;=0</formula>
    </cfRule>
  </conditionalFormatting>
  <conditionalFormatting sqref="G160:G161">
    <cfRule type="expression" dxfId="1828" priority="102260">
      <formula>$L160:$L202&lt;=0</formula>
    </cfRule>
  </conditionalFormatting>
  <conditionalFormatting sqref="G172:G180 J182:J185">
    <cfRule type="expression" dxfId="1827" priority="82">
      <formula>$L172:$L263&lt;=0</formula>
    </cfRule>
  </conditionalFormatting>
  <conditionalFormatting sqref="G181">
    <cfRule type="expression" dxfId="1826" priority="110">
      <formula>$L181:$L264&lt;=0</formula>
    </cfRule>
  </conditionalFormatting>
  <conditionalFormatting sqref="G199:G200">
    <cfRule type="expression" dxfId="1825" priority="104577">
      <formula>$L199:$L271&lt;=0</formula>
    </cfRule>
  </conditionalFormatting>
  <conditionalFormatting sqref="H202:H263">
    <cfRule type="expression" dxfId="1824" priority="104578">
      <formula>$L202:$L301&lt;=0</formula>
    </cfRule>
    <cfRule type="expression" dxfId="1823" priority="104579">
      <formula>$L202:$L440&lt;=0</formula>
    </cfRule>
  </conditionalFormatting>
  <conditionalFormatting sqref="H2:I19">
    <cfRule type="expression" dxfId="1822" priority="104580">
      <formula>$J2:$J711&lt;=0</formula>
    </cfRule>
  </conditionalFormatting>
  <conditionalFormatting sqref="H20:I39">
    <cfRule type="expression" dxfId="1821" priority="104581">
      <formula>$J20:$J543&lt;=0</formula>
    </cfRule>
  </conditionalFormatting>
  <conditionalFormatting sqref="H40:I51 H53:I63">
    <cfRule type="expression" dxfId="1820" priority="104582">
      <formula>$J40:$J544&lt;=0</formula>
    </cfRule>
  </conditionalFormatting>
  <conditionalFormatting sqref="H52:I52">
    <cfRule type="expression" dxfId="1819" priority="220">
      <formula>$J52:$J1002&lt;=0</formula>
    </cfRule>
  </conditionalFormatting>
  <conditionalFormatting sqref="H96:I97">
    <cfRule type="expression" dxfId="1818" priority="202">
      <formula>$J96:$J196&lt;=0</formula>
    </cfRule>
  </conditionalFormatting>
  <conditionalFormatting sqref="H98:I98">
    <cfRule type="expression" dxfId="1817" priority="201">
      <formula>$J98:$J196&lt;=0</formula>
    </cfRule>
  </conditionalFormatting>
  <conditionalFormatting sqref="H265:I265 A265:A272 D265:G272 J265:J272">
    <cfRule type="expression" dxfId="1816" priority="4">
      <formula>$L265:$L278&lt;=0</formula>
    </cfRule>
  </conditionalFormatting>
  <conditionalFormatting sqref="H266:I270 A273 D273:G273 J273">
    <cfRule type="expression" dxfId="1815" priority="8">
      <formula>$L266:$L278&lt;=0</formula>
    </cfRule>
  </conditionalFormatting>
  <conditionalFormatting sqref="H271:I271 A278 D278:G278 J278">
    <cfRule type="expression" dxfId="1814" priority="2">
      <formula>$L271:$L278&lt;=0</formula>
    </cfRule>
  </conditionalFormatting>
  <conditionalFormatting sqref="H272:I278">
    <cfRule type="expression" dxfId="1813" priority="5">
      <formula>$L272:$L278&lt;=0</formula>
    </cfRule>
  </conditionalFormatting>
  <conditionalFormatting sqref="J96">
    <cfRule type="expression" dxfId="1812" priority="200">
      <formula>$J96:$J257&lt;=0</formula>
    </cfRule>
  </conditionalFormatting>
  <conditionalFormatting sqref="J99:J151">
    <cfRule type="expression" dxfId="1811" priority="104584">
      <formula>$J99:$J911&lt;=0</formula>
    </cfRule>
    <cfRule type="expression" dxfId="1810" priority="104585">
      <formula>$J99:$J507&lt;=0</formula>
    </cfRule>
  </conditionalFormatting>
  <conditionalFormatting sqref="J152">
    <cfRule type="expression" dxfId="1809" priority="126">
      <formula>$L152:$L472&lt;=0</formula>
    </cfRule>
  </conditionalFormatting>
  <conditionalFormatting sqref="J152:J153">
    <cfRule type="expression" dxfId="1808" priority="104586">
      <formula>$L152:$L272&lt;=0</formula>
    </cfRule>
  </conditionalFormatting>
  <conditionalFormatting sqref="J153">
    <cfRule type="expression" dxfId="1807" priority="127">
      <formula>$L153:$L461&lt;=0</formula>
    </cfRule>
  </conditionalFormatting>
  <conditionalFormatting sqref="J154:J155">
    <cfRule type="expression" dxfId="1806" priority="104587">
      <formula>$L154:$L471&lt;=0</formula>
    </cfRule>
  </conditionalFormatting>
  <conditionalFormatting sqref="J154:J157">
    <cfRule type="expression" dxfId="1805" priority="111">
      <formula>$L154:$L271&lt;=0</formula>
    </cfRule>
  </conditionalFormatting>
  <conditionalFormatting sqref="J156:J161">
    <cfRule type="expression" dxfId="1804" priority="104589">
      <formula>$L156:$L472&lt;=0</formula>
    </cfRule>
  </conditionalFormatting>
  <conditionalFormatting sqref="J158:J161">
    <cfRule type="expression" dxfId="1803" priority="104590">
      <formula>$L158:$L266&lt;=0</formula>
    </cfRule>
  </conditionalFormatting>
  <conditionalFormatting sqref="J162:J164">
    <cfRule type="expression" dxfId="1802" priority="104591">
      <formula>$L162:$L266&lt;=0</formula>
    </cfRule>
  </conditionalFormatting>
  <conditionalFormatting sqref="J162:J200">
    <cfRule type="expression" dxfId="1801" priority="104592">
      <formula>$L162:$L412&lt;=0</formula>
    </cfRule>
  </conditionalFormatting>
  <conditionalFormatting sqref="J165:J168">
    <cfRule type="expression" dxfId="1800" priority="76">
      <formula>$L165:$L268&lt;=0</formula>
    </cfRule>
  </conditionalFormatting>
  <conditionalFormatting sqref="J169:J170">
    <cfRule type="expression" dxfId="1799" priority="123">
      <formula>$L169:$L271&lt;=0</formula>
    </cfRule>
  </conditionalFormatting>
  <conditionalFormatting sqref="J171:J174">
    <cfRule type="expression" dxfId="1798" priority="18">
      <formula>$L171:$L265&lt;=0</formula>
    </cfRule>
  </conditionalFormatting>
  <conditionalFormatting sqref="J175:J178">
    <cfRule type="expression" dxfId="1797" priority="17">
      <formula>$L175:$L268&lt;=0</formula>
    </cfRule>
  </conditionalFormatting>
  <conditionalFormatting sqref="J179:J181">
    <cfRule type="expression" dxfId="1796" priority="83">
      <formula>$L179:$L271&lt;=0</formula>
    </cfRule>
  </conditionalFormatting>
  <conditionalFormatting sqref="J186:J200">
    <cfRule type="expression" dxfId="1795" priority="104599">
      <formula>$L186:$L274&lt;=0</formula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l Cliente no coincide" error="Asegurate que estes capturando el nombre del Cliente correctamente." xr:uid="{00000000-0002-0000-0400-000000000000}">
          <x14:formula1>
            <xm:f>'CLIENTES '!$B$2:$B$211</xm:f>
          </x14:formula1>
          <xm:sqref>D133:D278 F203:F263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0"/>
  <dimension ref="C4:K10"/>
  <sheetViews>
    <sheetView topLeftCell="A2" workbookViewId="0">
      <selection activeCell="M5" sqref="M5:M6"/>
    </sheetView>
  </sheetViews>
  <sheetFormatPr baseColWidth="10" defaultColWidth="11.42578125" defaultRowHeight="15" x14ac:dyDescent="0.25"/>
  <cols>
    <col min="8" max="8" width="14.85546875" customWidth="1"/>
  </cols>
  <sheetData>
    <row r="4" spans="3:11" ht="45" x14ac:dyDescent="0.25">
      <c r="C4" s="85"/>
      <c r="D4" s="84" t="s">
        <v>1252</v>
      </c>
      <c r="E4" s="84" t="s">
        <v>1253</v>
      </c>
      <c r="F4" s="84" t="s">
        <v>1254</v>
      </c>
      <c r="G4" s="84" t="s">
        <v>1255</v>
      </c>
      <c r="H4" s="84" t="s">
        <v>1256</v>
      </c>
      <c r="I4" s="84" t="s">
        <v>1257</v>
      </c>
      <c r="J4" s="84" t="s">
        <v>1258</v>
      </c>
      <c r="K4" s="83" t="s">
        <v>1259</v>
      </c>
    </row>
    <row r="5" spans="3:11" x14ac:dyDescent="0.25">
      <c r="C5" s="75">
        <v>45918</v>
      </c>
      <c r="D5" s="82">
        <v>-57.826879271070617</v>
      </c>
      <c r="E5" s="70">
        <v>120979</v>
      </c>
      <c r="F5" s="70">
        <v>41767</v>
      </c>
      <c r="G5" s="70">
        <v>79237</v>
      </c>
      <c r="H5" s="81">
        <v>0.41444910845020644</v>
      </c>
      <c r="I5" s="80">
        <v>57.917091836734691</v>
      </c>
      <c r="J5" s="70">
        <v>71489</v>
      </c>
      <c r="K5" s="79">
        <v>0.87576691281823349</v>
      </c>
    </row>
    <row r="6" spans="3:11" x14ac:dyDescent="0.25">
      <c r="C6" s="75">
        <v>45930</v>
      </c>
      <c r="D6" s="71">
        <v>-59.700455580865601</v>
      </c>
      <c r="E6" s="70">
        <v>100952</v>
      </c>
      <c r="F6" s="78">
        <v>27858</v>
      </c>
      <c r="G6" s="70">
        <v>73119</v>
      </c>
      <c r="H6" s="77">
        <v>0.40413382789990754</v>
      </c>
      <c r="I6" s="74">
        <v>56.491051728364795</v>
      </c>
      <c r="J6" s="70">
        <v>74280</v>
      </c>
      <c r="K6" s="69">
        <v>0.88291877673942665</v>
      </c>
    </row>
    <row r="7" spans="3:11" x14ac:dyDescent="0.25">
      <c r="C7" s="75">
        <v>45946</v>
      </c>
      <c r="D7" s="74">
        <v>-58.088268156424583</v>
      </c>
      <c r="E7" s="70">
        <v>123474</v>
      </c>
      <c r="F7" s="73">
        <v>29331</v>
      </c>
      <c r="G7" s="70">
        <v>94144</v>
      </c>
      <c r="H7" s="77">
        <v>0.40102474635151919</v>
      </c>
      <c r="I7" s="71">
        <v>57.208470588235294</v>
      </c>
      <c r="J7" s="70">
        <v>75398</v>
      </c>
      <c r="K7" s="76">
        <v>0.88521369797438099</v>
      </c>
    </row>
    <row r="8" spans="3:11" x14ac:dyDescent="0.25">
      <c r="C8" s="75">
        <v>45961</v>
      </c>
      <c r="D8" s="74">
        <v>-57.439106145251394</v>
      </c>
      <c r="E8" s="70">
        <v>120907</v>
      </c>
      <c r="F8" s="73">
        <v>40868</v>
      </c>
      <c r="G8" s="70">
        <v>80039</v>
      </c>
      <c r="H8" s="72">
        <v>0.44728827007915378</v>
      </c>
      <c r="I8" s="71">
        <v>57.905895953757224</v>
      </c>
      <c r="J8" s="70">
        <v>75943</v>
      </c>
      <c r="K8" s="69">
        <v>0.88196885212498788</v>
      </c>
    </row>
    <row r="9" spans="3:11" x14ac:dyDescent="0.25">
      <c r="C9" s="75">
        <v>45981</v>
      </c>
      <c r="D9" s="74">
        <v>-59</v>
      </c>
      <c r="E9" s="70">
        <v>141782</v>
      </c>
      <c r="F9" s="73">
        <v>54314</v>
      </c>
      <c r="G9" s="70">
        <v>87468</v>
      </c>
      <c r="H9" s="72">
        <v>0.39</v>
      </c>
      <c r="I9" s="71">
        <v>58</v>
      </c>
      <c r="J9" s="70">
        <v>79455</v>
      </c>
      <c r="K9" s="76">
        <v>0.89</v>
      </c>
    </row>
    <row r="10" spans="3:11" x14ac:dyDescent="0.25">
      <c r="C10" s="75">
        <v>45996</v>
      </c>
      <c r="D10" s="71">
        <v>-58.560926485397786</v>
      </c>
      <c r="E10" s="70">
        <v>117605</v>
      </c>
      <c r="F10" s="73">
        <v>64993</v>
      </c>
      <c r="G10" s="70">
        <v>52612</v>
      </c>
      <c r="H10" s="72">
        <v>0.54</v>
      </c>
      <c r="I10" s="71">
        <v>59</v>
      </c>
      <c r="J10" s="70">
        <v>81086.746143774784</v>
      </c>
      <c r="K10" s="69">
        <v>0.8897479057255937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8" tint="-0.249977111117893"/>
  </sheetPr>
  <dimension ref="A1:M115"/>
  <sheetViews>
    <sheetView workbookViewId="0">
      <selection activeCell="B34" sqref="B34"/>
    </sheetView>
  </sheetViews>
  <sheetFormatPr baseColWidth="10" defaultColWidth="11.42578125" defaultRowHeight="15" x14ac:dyDescent="0.25"/>
  <cols>
    <col min="1" max="1" width="5.28515625" style="42" bestFit="1" customWidth="1"/>
    <col min="2" max="2" width="23.28515625" bestFit="1" customWidth="1"/>
    <col min="4" max="4" width="4.7109375" style="42" customWidth="1"/>
    <col min="5" max="5" width="8.42578125" style="43" bestFit="1" customWidth="1"/>
    <col min="6" max="6" width="19.28515625" bestFit="1" customWidth="1"/>
    <col min="8" max="8" width="11.42578125" style="42"/>
  </cols>
  <sheetData>
    <row r="1" spans="1:13" x14ac:dyDescent="0.25">
      <c r="A1" s="136" t="s">
        <v>629</v>
      </c>
      <c r="B1" s="137"/>
      <c r="D1" s="46"/>
      <c r="E1" s="136" t="s">
        <v>630</v>
      </c>
      <c r="F1" s="137"/>
      <c r="H1" s="138" t="s">
        <v>631</v>
      </c>
      <c r="I1" s="139"/>
      <c r="J1" s="49"/>
      <c r="K1" s="138" t="s">
        <v>632</v>
      </c>
      <c r="L1" s="139"/>
    </row>
    <row r="2" spans="1:13" x14ac:dyDescent="0.25">
      <c r="A2" s="45">
        <v>1</v>
      </c>
      <c r="B2" s="44" t="s">
        <v>633</v>
      </c>
      <c r="E2" s="47">
        <v>1</v>
      </c>
      <c r="F2" s="44" t="s">
        <v>634</v>
      </c>
      <c r="H2" s="62">
        <v>1</v>
      </c>
      <c r="I2" s="57" t="s">
        <v>634</v>
      </c>
      <c r="K2" s="62">
        <v>1</v>
      </c>
      <c r="L2" s="61" t="s">
        <v>634</v>
      </c>
    </row>
    <row r="3" spans="1:13" x14ac:dyDescent="0.25">
      <c r="A3" s="45">
        <v>2</v>
      </c>
      <c r="B3" s="44" t="s">
        <v>635</v>
      </c>
      <c r="E3" s="47">
        <v>2</v>
      </c>
      <c r="F3" s="44">
        <v>0</v>
      </c>
      <c r="H3" s="62">
        <v>2</v>
      </c>
      <c r="I3" s="58" t="s">
        <v>636</v>
      </c>
      <c r="K3" s="62">
        <v>2</v>
      </c>
      <c r="L3" s="56" t="s">
        <v>637</v>
      </c>
    </row>
    <row r="4" spans="1:13" x14ac:dyDescent="0.25">
      <c r="A4" s="45">
        <v>3</v>
      </c>
      <c r="B4" s="44" t="s">
        <v>638</v>
      </c>
      <c r="E4" s="47">
        <v>3</v>
      </c>
      <c r="F4" s="45">
        <v>0</v>
      </c>
      <c r="H4" s="62">
        <v>3</v>
      </c>
      <c r="I4" s="58" t="s">
        <v>639</v>
      </c>
      <c r="K4" s="62">
        <v>3</v>
      </c>
      <c r="L4" s="56" t="s">
        <v>640</v>
      </c>
    </row>
    <row r="5" spans="1:13" x14ac:dyDescent="0.25">
      <c r="A5" s="45">
        <v>4</v>
      </c>
      <c r="B5" s="44" t="s">
        <v>641</v>
      </c>
      <c r="E5" s="47">
        <v>4</v>
      </c>
      <c r="F5" s="48">
        <v>0</v>
      </c>
      <c r="H5" s="62">
        <v>4</v>
      </c>
      <c r="I5" s="58" t="s">
        <v>642</v>
      </c>
      <c r="K5" s="62">
        <v>4</v>
      </c>
      <c r="L5" s="56" t="s">
        <v>643</v>
      </c>
    </row>
    <row r="6" spans="1:13" x14ac:dyDescent="0.25">
      <c r="A6" s="45">
        <v>5</v>
      </c>
      <c r="B6" s="44" t="s">
        <v>644</v>
      </c>
      <c r="E6" s="47">
        <v>5</v>
      </c>
      <c r="F6" s="44">
        <v>1</v>
      </c>
      <c r="H6" s="62">
        <v>5</v>
      </c>
      <c r="I6" s="56" t="s">
        <v>637</v>
      </c>
      <c r="K6" s="62">
        <v>5</v>
      </c>
      <c r="L6" s="56" t="s">
        <v>645</v>
      </c>
    </row>
    <row r="7" spans="1:13" x14ac:dyDescent="0.25">
      <c r="A7" s="45">
        <v>6</v>
      </c>
      <c r="B7" s="44" t="s">
        <v>1365</v>
      </c>
      <c r="E7" s="47">
        <v>6</v>
      </c>
      <c r="F7" s="44">
        <v>2</v>
      </c>
      <c r="H7" s="62">
        <v>6</v>
      </c>
      <c r="I7" s="58" t="s">
        <v>647</v>
      </c>
      <c r="K7" s="62">
        <v>6</v>
      </c>
      <c r="L7" s="56" t="s">
        <v>648</v>
      </c>
    </row>
    <row r="8" spans="1:13" x14ac:dyDescent="0.25">
      <c r="A8" s="45">
        <v>7</v>
      </c>
      <c r="B8" s="44" t="s">
        <v>649</v>
      </c>
      <c r="E8" s="47">
        <v>7</v>
      </c>
      <c r="F8" s="44">
        <v>3</v>
      </c>
      <c r="H8" s="62">
        <v>7</v>
      </c>
      <c r="I8" s="58" t="s">
        <v>650</v>
      </c>
      <c r="K8" s="62">
        <v>7</v>
      </c>
      <c r="L8" s="56" t="s">
        <v>651</v>
      </c>
    </row>
    <row r="9" spans="1:13" x14ac:dyDescent="0.25">
      <c r="A9" s="45">
        <v>8</v>
      </c>
      <c r="B9" s="44" t="s">
        <v>652</v>
      </c>
      <c r="E9" s="47">
        <v>8</v>
      </c>
      <c r="F9" s="44">
        <v>4</v>
      </c>
      <c r="H9" s="62">
        <v>8</v>
      </c>
      <c r="I9" s="58" t="s">
        <v>653</v>
      </c>
      <c r="K9" s="62">
        <v>8</v>
      </c>
      <c r="L9" s="56" t="s">
        <v>654</v>
      </c>
    </row>
    <row r="10" spans="1:13" x14ac:dyDescent="0.25">
      <c r="A10" s="45">
        <v>9</v>
      </c>
      <c r="B10" s="44" t="s">
        <v>655</v>
      </c>
      <c r="E10" s="47">
        <v>9</v>
      </c>
      <c r="F10" s="44">
        <v>5</v>
      </c>
      <c r="H10" s="62">
        <v>9</v>
      </c>
      <c r="I10" s="56" t="s">
        <v>656</v>
      </c>
      <c r="K10" s="62">
        <v>9</v>
      </c>
      <c r="L10" s="56" t="s">
        <v>657</v>
      </c>
    </row>
    <row r="11" spans="1:13" x14ac:dyDescent="0.25">
      <c r="A11" s="45">
        <v>10</v>
      </c>
      <c r="B11" s="44" t="s">
        <v>658</v>
      </c>
      <c r="E11" s="47">
        <v>10</v>
      </c>
      <c r="F11" s="44">
        <v>6</v>
      </c>
      <c r="H11" s="62">
        <v>10</v>
      </c>
      <c r="I11" s="56" t="s">
        <v>659</v>
      </c>
      <c r="K11" s="62">
        <v>10</v>
      </c>
      <c r="L11" s="55" t="s">
        <v>647</v>
      </c>
    </row>
    <row r="12" spans="1:13" x14ac:dyDescent="0.25">
      <c r="A12" s="45">
        <v>11</v>
      </c>
      <c r="B12" s="44" t="s">
        <v>660</v>
      </c>
      <c r="E12" s="47">
        <v>11</v>
      </c>
      <c r="F12" s="44">
        <v>7</v>
      </c>
      <c r="H12" s="62">
        <v>11</v>
      </c>
      <c r="I12" s="58" t="s">
        <v>661</v>
      </c>
      <c r="K12" s="62">
        <v>11</v>
      </c>
      <c r="L12" s="55" t="s">
        <v>662</v>
      </c>
    </row>
    <row r="13" spans="1:13" x14ac:dyDescent="0.25">
      <c r="A13" s="45">
        <v>12</v>
      </c>
      <c r="B13" s="44" t="s">
        <v>663</v>
      </c>
      <c r="E13" s="47">
        <v>12</v>
      </c>
      <c r="F13" s="44">
        <v>8</v>
      </c>
      <c r="H13" s="62">
        <v>12</v>
      </c>
      <c r="I13" s="58" t="s">
        <v>664</v>
      </c>
      <c r="K13" s="19"/>
      <c r="L13" s="20"/>
      <c r="M13" s="19"/>
    </row>
    <row r="14" spans="1:13" x14ac:dyDescent="0.25">
      <c r="A14" s="45">
        <v>13</v>
      </c>
      <c r="B14" s="44" t="s">
        <v>665</v>
      </c>
      <c r="E14" s="47">
        <v>13</v>
      </c>
      <c r="F14" s="44">
        <v>10</v>
      </c>
      <c r="H14" s="62">
        <v>13</v>
      </c>
      <c r="I14" s="56" t="s">
        <v>666</v>
      </c>
      <c r="K14" s="19"/>
      <c r="L14" s="20"/>
      <c r="M14" s="50"/>
    </row>
    <row r="15" spans="1:13" x14ac:dyDescent="0.25">
      <c r="A15" s="45">
        <v>14</v>
      </c>
      <c r="B15" s="44" t="s">
        <v>667</v>
      </c>
      <c r="E15" s="47">
        <v>14</v>
      </c>
      <c r="F15" s="44">
        <v>12</v>
      </c>
      <c r="H15" s="62">
        <v>14</v>
      </c>
      <c r="I15" s="56" t="s">
        <v>668</v>
      </c>
      <c r="K15" s="19"/>
      <c r="L15" s="51"/>
      <c r="M15" s="50"/>
    </row>
    <row r="16" spans="1:13" x14ac:dyDescent="0.25">
      <c r="A16" s="45">
        <v>15</v>
      </c>
      <c r="B16" s="44" t="s">
        <v>669</v>
      </c>
      <c r="E16" s="47">
        <v>15</v>
      </c>
      <c r="F16" s="44">
        <v>14</v>
      </c>
      <c r="H16" s="62">
        <v>15</v>
      </c>
      <c r="I16" s="56" t="s">
        <v>670</v>
      </c>
      <c r="K16" s="19"/>
      <c r="L16" s="51"/>
      <c r="M16" s="19"/>
    </row>
    <row r="17" spans="1:13" x14ac:dyDescent="0.25">
      <c r="A17" s="45">
        <v>16</v>
      </c>
      <c r="B17" s="44" t="s">
        <v>671</v>
      </c>
      <c r="E17" s="47">
        <v>16</v>
      </c>
      <c r="F17" s="44">
        <v>15.5</v>
      </c>
      <c r="H17" s="62">
        <v>16</v>
      </c>
      <c r="I17" s="56" t="s">
        <v>672</v>
      </c>
      <c r="K17" s="19"/>
      <c r="L17" s="20"/>
      <c r="M17" s="19"/>
    </row>
    <row r="18" spans="1:13" x14ac:dyDescent="0.25">
      <c r="A18" s="45">
        <v>17</v>
      </c>
      <c r="B18" s="44" t="s">
        <v>673</v>
      </c>
      <c r="E18" s="47">
        <v>17</v>
      </c>
      <c r="F18" s="44">
        <v>16</v>
      </c>
      <c r="H18" s="62">
        <v>17</v>
      </c>
      <c r="I18" s="56" t="s">
        <v>640</v>
      </c>
      <c r="K18" s="19"/>
      <c r="L18" s="20"/>
      <c r="M18" s="19"/>
    </row>
    <row r="19" spans="1:13" x14ac:dyDescent="0.25">
      <c r="A19" s="45">
        <v>18</v>
      </c>
      <c r="B19" s="44" t="s">
        <v>674</v>
      </c>
      <c r="E19" s="47">
        <v>18</v>
      </c>
      <c r="F19" s="44">
        <v>16.5</v>
      </c>
      <c r="H19" s="62">
        <v>18</v>
      </c>
      <c r="I19" s="58" t="s">
        <v>675</v>
      </c>
      <c r="K19" s="19"/>
      <c r="L19" s="20"/>
      <c r="M19" s="52"/>
    </row>
    <row r="20" spans="1:13" x14ac:dyDescent="0.25">
      <c r="A20" s="45">
        <v>19</v>
      </c>
      <c r="B20" s="44" t="s">
        <v>676</v>
      </c>
      <c r="E20" s="47">
        <v>19</v>
      </c>
      <c r="F20" s="44">
        <v>17</v>
      </c>
      <c r="H20" s="62">
        <v>19</v>
      </c>
      <c r="I20" s="58" t="s">
        <v>677</v>
      </c>
      <c r="K20" s="19"/>
      <c r="L20" s="20"/>
      <c r="M20" s="51"/>
    </row>
    <row r="21" spans="1:13" x14ac:dyDescent="0.25">
      <c r="A21" s="45">
        <v>20</v>
      </c>
      <c r="B21" s="44" t="s">
        <v>678</v>
      </c>
      <c r="E21" s="47">
        <v>20</v>
      </c>
      <c r="F21" s="44">
        <v>17.5</v>
      </c>
      <c r="H21" s="62">
        <v>20</v>
      </c>
      <c r="I21" s="58" t="s">
        <v>679</v>
      </c>
      <c r="K21" s="19"/>
      <c r="L21" s="20"/>
      <c r="M21" s="19"/>
    </row>
    <row r="22" spans="1:13" x14ac:dyDescent="0.25">
      <c r="A22" s="45">
        <v>21</v>
      </c>
      <c r="B22" s="44" t="s">
        <v>680</v>
      </c>
      <c r="E22" s="47">
        <v>21</v>
      </c>
      <c r="F22" s="44">
        <v>18</v>
      </c>
      <c r="H22" s="62">
        <v>21</v>
      </c>
      <c r="I22" s="56" t="s">
        <v>643</v>
      </c>
      <c r="K22" s="19"/>
      <c r="L22" s="20"/>
      <c r="M22" s="52"/>
    </row>
    <row r="23" spans="1:13" x14ac:dyDescent="0.25">
      <c r="A23" s="45">
        <v>22</v>
      </c>
      <c r="B23" s="44" t="s">
        <v>681</v>
      </c>
      <c r="E23" s="47">
        <v>22</v>
      </c>
      <c r="F23" s="44">
        <v>20</v>
      </c>
      <c r="H23" s="62">
        <v>22</v>
      </c>
      <c r="I23" s="58" t="s">
        <v>682</v>
      </c>
      <c r="K23" s="19"/>
      <c r="L23" s="20"/>
      <c r="M23" s="52"/>
    </row>
    <row r="24" spans="1:13" x14ac:dyDescent="0.25">
      <c r="A24" s="45">
        <v>23</v>
      </c>
      <c r="B24" s="44" t="s">
        <v>683</v>
      </c>
      <c r="E24" s="47">
        <v>23</v>
      </c>
      <c r="F24" s="44">
        <v>20.5</v>
      </c>
      <c r="H24" s="62">
        <v>23</v>
      </c>
      <c r="I24" s="56" t="s">
        <v>684</v>
      </c>
      <c r="K24" s="19"/>
      <c r="L24" s="20"/>
      <c r="M24" s="52"/>
    </row>
    <row r="25" spans="1:13" x14ac:dyDescent="0.25">
      <c r="A25" s="45">
        <v>24</v>
      </c>
      <c r="B25" s="44" t="s">
        <v>685</v>
      </c>
      <c r="E25" s="47">
        <v>24</v>
      </c>
      <c r="F25" s="44">
        <v>22</v>
      </c>
      <c r="H25" s="62">
        <v>24</v>
      </c>
      <c r="I25" s="58" t="s">
        <v>686</v>
      </c>
      <c r="K25" s="19"/>
      <c r="L25" s="20"/>
      <c r="M25" s="52"/>
    </row>
    <row r="26" spans="1:13" x14ac:dyDescent="0.25">
      <c r="A26" s="45">
        <v>25</v>
      </c>
      <c r="B26" s="44" t="s">
        <v>687</v>
      </c>
      <c r="E26" s="47">
        <v>25</v>
      </c>
      <c r="F26" s="44">
        <v>24</v>
      </c>
      <c r="H26" s="62">
        <v>25</v>
      </c>
      <c r="I26" s="56" t="s">
        <v>688</v>
      </c>
      <c r="K26" s="19"/>
      <c r="L26" s="20"/>
      <c r="M26" s="52"/>
    </row>
    <row r="27" spans="1:13" x14ac:dyDescent="0.25">
      <c r="A27" s="45">
        <v>26</v>
      </c>
      <c r="B27" s="44" t="s">
        <v>689</v>
      </c>
      <c r="E27" s="47">
        <v>26</v>
      </c>
      <c r="F27" s="44">
        <v>26</v>
      </c>
      <c r="H27" s="62">
        <v>26</v>
      </c>
      <c r="I27" s="56" t="s">
        <v>645</v>
      </c>
      <c r="K27" s="19"/>
      <c r="L27" s="20"/>
      <c r="M27" s="52"/>
    </row>
    <row r="28" spans="1:13" x14ac:dyDescent="0.25">
      <c r="A28" s="45">
        <v>27</v>
      </c>
      <c r="B28" s="44" t="s">
        <v>690</v>
      </c>
      <c r="E28" s="47">
        <v>27</v>
      </c>
      <c r="F28" s="44">
        <v>27</v>
      </c>
      <c r="H28" s="62">
        <v>27</v>
      </c>
      <c r="I28" s="58" t="s">
        <v>691</v>
      </c>
      <c r="K28" s="19"/>
      <c r="L28" s="20"/>
      <c r="M28" s="19"/>
    </row>
    <row r="29" spans="1:13" x14ac:dyDescent="0.25">
      <c r="A29" s="45">
        <v>28</v>
      </c>
      <c r="B29" s="44" t="s">
        <v>692</v>
      </c>
      <c r="E29" s="47">
        <v>28</v>
      </c>
      <c r="F29" s="44">
        <v>28</v>
      </c>
      <c r="H29" s="62">
        <v>28</v>
      </c>
      <c r="I29" s="56" t="s">
        <v>648</v>
      </c>
      <c r="K29" s="19"/>
      <c r="L29" s="20"/>
      <c r="M29" s="19"/>
    </row>
    <row r="30" spans="1:13" x14ac:dyDescent="0.25">
      <c r="A30" s="45">
        <v>29</v>
      </c>
      <c r="B30" s="44" t="s">
        <v>693</v>
      </c>
      <c r="E30" s="47">
        <v>29</v>
      </c>
      <c r="F30" s="44">
        <v>30</v>
      </c>
      <c r="H30" s="62">
        <v>29</v>
      </c>
      <c r="I30" s="56" t="s">
        <v>651</v>
      </c>
      <c r="K30" s="19"/>
      <c r="L30" s="20"/>
      <c r="M30" s="19"/>
    </row>
    <row r="31" spans="1:13" x14ac:dyDescent="0.25">
      <c r="A31" s="45">
        <v>30</v>
      </c>
      <c r="B31" s="44" t="s">
        <v>694</v>
      </c>
      <c r="E31" s="47">
        <v>30</v>
      </c>
      <c r="F31" s="44">
        <v>32</v>
      </c>
      <c r="H31" s="62">
        <v>30</v>
      </c>
      <c r="I31" s="58" t="s">
        <v>695</v>
      </c>
      <c r="K31" s="19"/>
      <c r="L31" s="20"/>
      <c r="M31" s="52"/>
    </row>
    <row r="32" spans="1:13" x14ac:dyDescent="0.25">
      <c r="A32" s="45">
        <v>31</v>
      </c>
      <c r="B32" s="44" t="s">
        <v>696</v>
      </c>
      <c r="E32" s="47">
        <v>31</v>
      </c>
      <c r="F32" s="44">
        <v>34</v>
      </c>
      <c r="H32" s="62">
        <v>31</v>
      </c>
      <c r="I32" s="58" t="s">
        <v>654</v>
      </c>
      <c r="K32" s="19"/>
      <c r="L32" s="20"/>
      <c r="M32" s="52"/>
    </row>
    <row r="33" spans="1:13" x14ac:dyDescent="0.25">
      <c r="A33" s="45">
        <v>32</v>
      </c>
      <c r="B33" s="44" t="s">
        <v>697</v>
      </c>
      <c r="E33" s="47">
        <v>32</v>
      </c>
      <c r="F33" s="44">
        <v>36</v>
      </c>
      <c r="H33" s="62">
        <v>32</v>
      </c>
      <c r="I33" s="59" t="s">
        <v>698</v>
      </c>
      <c r="K33" s="54"/>
      <c r="L33" s="20"/>
      <c r="M33" s="19"/>
    </row>
    <row r="34" spans="1:13" x14ac:dyDescent="0.25">
      <c r="A34" s="45">
        <v>33</v>
      </c>
      <c r="B34" s="44" t="s">
        <v>699</v>
      </c>
      <c r="E34" s="47">
        <v>33</v>
      </c>
      <c r="F34" s="44">
        <v>42</v>
      </c>
      <c r="H34" s="62">
        <v>33</v>
      </c>
      <c r="I34" s="58" t="s">
        <v>700</v>
      </c>
      <c r="K34" s="19"/>
      <c r="L34" s="53"/>
      <c r="M34" s="19"/>
    </row>
    <row r="35" spans="1:13" x14ac:dyDescent="0.25">
      <c r="A35" s="45">
        <v>34</v>
      </c>
      <c r="B35" s="44" t="s">
        <v>701</v>
      </c>
      <c r="E35" s="47">
        <v>34</v>
      </c>
      <c r="F35" s="44">
        <v>45</v>
      </c>
      <c r="H35" s="62">
        <v>34</v>
      </c>
      <c r="I35" s="58" t="s">
        <v>702</v>
      </c>
      <c r="K35" s="19"/>
      <c r="L35" s="20"/>
      <c r="M35" s="52"/>
    </row>
    <row r="36" spans="1:13" x14ac:dyDescent="0.25">
      <c r="A36" s="45">
        <v>35</v>
      </c>
      <c r="B36" s="44" t="s">
        <v>703</v>
      </c>
      <c r="E36" s="47">
        <v>35</v>
      </c>
      <c r="F36" s="44">
        <v>2550</v>
      </c>
      <c r="H36" s="62">
        <v>35</v>
      </c>
      <c r="I36" s="58" t="s">
        <v>704</v>
      </c>
      <c r="K36" s="19"/>
      <c r="L36" s="20"/>
      <c r="M36" s="52"/>
    </row>
    <row r="37" spans="1:13" x14ac:dyDescent="0.25">
      <c r="A37" s="45">
        <v>36</v>
      </c>
      <c r="B37" s="44" t="s">
        <v>705</v>
      </c>
      <c r="E37" s="47">
        <v>36</v>
      </c>
      <c r="F37" s="44">
        <v>5250</v>
      </c>
      <c r="H37" s="62">
        <v>36</v>
      </c>
      <c r="I37" s="58" t="s">
        <v>706</v>
      </c>
      <c r="K37" s="19"/>
      <c r="L37" s="20"/>
      <c r="M37" s="52"/>
    </row>
    <row r="38" spans="1:13" x14ac:dyDescent="0.25">
      <c r="A38" s="45">
        <v>37</v>
      </c>
      <c r="B38" s="44" t="s">
        <v>707</v>
      </c>
      <c r="E38" s="47">
        <v>37</v>
      </c>
      <c r="F38" s="44" t="s">
        <v>708</v>
      </c>
      <c r="H38" s="62">
        <v>37</v>
      </c>
      <c r="I38" s="58" t="s">
        <v>709</v>
      </c>
      <c r="K38" s="19"/>
      <c r="L38" s="20"/>
      <c r="M38" s="52"/>
    </row>
    <row r="39" spans="1:13" x14ac:dyDescent="0.25">
      <c r="A39" s="45">
        <v>38</v>
      </c>
      <c r="B39" s="44" t="s">
        <v>710</v>
      </c>
      <c r="E39" s="47">
        <v>38</v>
      </c>
      <c r="F39" s="44" t="s">
        <v>711</v>
      </c>
      <c r="H39" s="62">
        <v>38</v>
      </c>
      <c r="I39" s="58" t="s">
        <v>712</v>
      </c>
      <c r="K39" s="19"/>
      <c r="L39" s="20"/>
      <c r="M39" s="52"/>
    </row>
    <row r="40" spans="1:13" x14ac:dyDescent="0.25">
      <c r="A40" s="45">
        <v>39</v>
      </c>
      <c r="B40" s="44" t="s">
        <v>1366</v>
      </c>
      <c r="E40" s="47">
        <v>39</v>
      </c>
      <c r="F40" s="44" t="s">
        <v>714</v>
      </c>
      <c r="H40" s="62">
        <v>39</v>
      </c>
      <c r="I40" s="58" t="s">
        <v>715</v>
      </c>
      <c r="K40" s="19"/>
      <c r="L40" s="20"/>
      <c r="M40" s="52"/>
    </row>
    <row r="41" spans="1:13" x14ac:dyDescent="0.25">
      <c r="A41" s="45">
        <v>40</v>
      </c>
      <c r="B41" s="44" t="s">
        <v>716</v>
      </c>
      <c r="E41" s="47">
        <v>40</v>
      </c>
      <c r="F41" s="44" t="s">
        <v>717</v>
      </c>
      <c r="H41" s="62">
        <v>40</v>
      </c>
      <c r="I41" s="58" t="s">
        <v>718</v>
      </c>
      <c r="K41" s="19"/>
      <c r="L41" s="20"/>
      <c r="M41" s="52"/>
    </row>
    <row r="42" spans="1:13" x14ac:dyDescent="0.25">
      <c r="A42" s="45">
        <v>41</v>
      </c>
      <c r="B42" s="44" t="s">
        <v>719</v>
      </c>
      <c r="E42" s="47">
        <v>41</v>
      </c>
      <c r="F42" s="44" t="s">
        <v>720</v>
      </c>
      <c r="H42" s="62">
        <v>41</v>
      </c>
      <c r="I42" s="58" t="s">
        <v>721</v>
      </c>
      <c r="K42" s="19"/>
      <c r="L42" s="20"/>
      <c r="M42" s="52"/>
    </row>
    <row r="43" spans="1:13" x14ac:dyDescent="0.25">
      <c r="A43" s="45">
        <v>42</v>
      </c>
      <c r="B43" s="44" t="s">
        <v>722</v>
      </c>
      <c r="E43" s="47">
        <v>42</v>
      </c>
      <c r="F43" s="44" t="s">
        <v>723</v>
      </c>
      <c r="H43" s="62">
        <v>42</v>
      </c>
      <c r="I43" s="58" t="s">
        <v>724</v>
      </c>
      <c r="K43" s="19"/>
      <c r="L43" s="20"/>
      <c r="M43" s="52"/>
    </row>
    <row r="44" spans="1:13" x14ac:dyDescent="0.25">
      <c r="A44" s="45">
        <v>43</v>
      </c>
      <c r="B44" s="44" t="s">
        <v>725</v>
      </c>
      <c r="E44" s="47">
        <v>43</v>
      </c>
      <c r="F44" s="44" t="s">
        <v>726</v>
      </c>
      <c r="H44" s="62">
        <v>43</v>
      </c>
      <c r="I44" s="58" t="s">
        <v>727</v>
      </c>
      <c r="K44" s="19"/>
      <c r="L44" s="20"/>
      <c r="M44" s="19"/>
    </row>
    <row r="45" spans="1:13" x14ac:dyDescent="0.25">
      <c r="A45" s="45">
        <v>44</v>
      </c>
      <c r="B45" s="44" t="s">
        <v>728</v>
      </c>
      <c r="E45" s="47">
        <v>44</v>
      </c>
      <c r="F45" s="44" t="s">
        <v>729</v>
      </c>
      <c r="H45" s="62">
        <v>44</v>
      </c>
      <c r="I45" s="58" t="s">
        <v>730</v>
      </c>
      <c r="K45" s="19"/>
      <c r="L45" s="20"/>
      <c r="M45" s="52"/>
    </row>
    <row r="46" spans="1:13" x14ac:dyDescent="0.25">
      <c r="A46" s="45">
        <v>45</v>
      </c>
      <c r="B46" s="44" t="s">
        <v>731</v>
      </c>
      <c r="E46" s="47">
        <v>45</v>
      </c>
      <c r="F46" s="44" t="s">
        <v>732</v>
      </c>
      <c r="H46" s="62">
        <v>45</v>
      </c>
      <c r="I46" s="58" t="s">
        <v>733</v>
      </c>
      <c r="K46" s="19"/>
      <c r="L46" s="20"/>
      <c r="M46" s="52"/>
    </row>
    <row r="47" spans="1:13" x14ac:dyDescent="0.25">
      <c r="A47" s="45">
        <v>46</v>
      </c>
      <c r="B47" s="44" t="s">
        <v>734</v>
      </c>
      <c r="E47" s="47">
        <v>46</v>
      </c>
      <c r="F47" s="44" t="s">
        <v>735</v>
      </c>
      <c r="H47" s="62">
        <v>46</v>
      </c>
      <c r="I47" s="58" t="s">
        <v>736</v>
      </c>
      <c r="K47" s="19"/>
      <c r="L47" s="20"/>
      <c r="M47" s="52"/>
    </row>
    <row r="48" spans="1:13" x14ac:dyDescent="0.25">
      <c r="A48" s="45">
        <v>47</v>
      </c>
      <c r="B48" s="44" t="s">
        <v>737</v>
      </c>
      <c r="E48" s="47">
        <v>47</v>
      </c>
      <c r="F48" s="44" t="s">
        <v>738</v>
      </c>
      <c r="H48" s="62">
        <v>47</v>
      </c>
      <c r="I48" s="56" t="s">
        <v>657</v>
      </c>
      <c r="K48" s="19"/>
      <c r="L48" s="20"/>
      <c r="M48" s="20"/>
    </row>
    <row r="49" spans="1:13" x14ac:dyDescent="0.25">
      <c r="A49" s="45">
        <v>48</v>
      </c>
      <c r="B49" s="44" t="s">
        <v>739</v>
      </c>
      <c r="E49" s="47">
        <v>48</v>
      </c>
      <c r="F49" s="44" t="s">
        <v>740</v>
      </c>
      <c r="H49" s="62">
        <v>48</v>
      </c>
      <c r="I49" s="58" t="s">
        <v>741</v>
      </c>
      <c r="K49" s="19"/>
      <c r="L49" s="20"/>
      <c r="M49" s="20"/>
    </row>
    <row r="50" spans="1:13" x14ac:dyDescent="0.25">
      <c r="A50" s="45">
        <v>49</v>
      </c>
      <c r="B50" s="44" t="s">
        <v>742</v>
      </c>
      <c r="E50" s="47">
        <v>49</v>
      </c>
      <c r="F50" s="44" t="s">
        <v>743</v>
      </c>
      <c r="H50" s="62">
        <v>49</v>
      </c>
      <c r="I50" s="58" t="s">
        <v>744</v>
      </c>
      <c r="K50" s="19"/>
      <c r="L50" s="20"/>
      <c r="M50" s="20"/>
    </row>
    <row r="51" spans="1:13" x14ac:dyDescent="0.25">
      <c r="A51" s="45">
        <v>50</v>
      </c>
      <c r="B51" s="44" t="s">
        <v>745</v>
      </c>
      <c r="E51" s="47">
        <v>50</v>
      </c>
      <c r="F51" s="44" t="s">
        <v>746</v>
      </c>
      <c r="H51" s="62">
        <v>50</v>
      </c>
      <c r="I51" s="58" t="s">
        <v>747</v>
      </c>
      <c r="K51" s="19"/>
      <c r="L51" s="20"/>
      <c r="M51" s="20"/>
    </row>
    <row r="52" spans="1:13" x14ac:dyDescent="0.25">
      <c r="A52" s="45">
        <v>51</v>
      </c>
      <c r="B52" s="44" t="s">
        <v>748</v>
      </c>
      <c r="E52" s="47">
        <v>51</v>
      </c>
      <c r="F52" s="44" t="s">
        <v>749</v>
      </c>
      <c r="H52" s="62">
        <v>51</v>
      </c>
      <c r="I52" s="58" t="s">
        <v>750</v>
      </c>
      <c r="K52" s="19"/>
      <c r="L52" s="20"/>
      <c r="M52" s="20"/>
    </row>
    <row r="53" spans="1:13" x14ac:dyDescent="0.25">
      <c r="A53" s="45">
        <v>52</v>
      </c>
      <c r="B53" s="44" t="s">
        <v>751</v>
      </c>
      <c r="E53" s="47">
        <v>52</v>
      </c>
      <c r="F53" s="44" t="s">
        <v>752</v>
      </c>
      <c r="H53" s="62">
        <v>52</v>
      </c>
      <c r="I53" s="58" t="s">
        <v>753</v>
      </c>
      <c r="K53" s="19"/>
      <c r="L53" s="20"/>
      <c r="M53" s="20"/>
    </row>
    <row r="54" spans="1:13" x14ac:dyDescent="0.25">
      <c r="A54" s="45">
        <v>53</v>
      </c>
      <c r="B54" s="44" t="s">
        <v>754</v>
      </c>
      <c r="E54" s="47">
        <v>53</v>
      </c>
      <c r="F54" s="44" t="s">
        <v>755</v>
      </c>
      <c r="H54" s="62">
        <v>53</v>
      </c>
      <c r="I54" s="58" t="s">
        <v>756</v>
      </c>
      <c r="K54" s="19"/>
      <c r="L54" s="20"/>
      <c r="M54" s="20"/>
    </row>
    <row r="55" spans="1:13" x14ac:dyDescent="0.25">
      <c r="A55" s="45">
        <v>54</v>
      </c>
      <c r="B55" s="44" t="s">
        <v>757</v>
      </c>
      <c r="E55" s="47">
        <v>54</v>
      </c>
      <c r="F55" s="44" t="s">
        <v>758</v>
      </c>
      <c r="H55" s="62">
        <v>54</v>
      </c>
      <c r="I55" s="58" t="s">
        <v>759</v>
      </c>
      <c r="K55" s="19"/>
      <c r="L55" s="20"/>
      <c r="M55" s="20"/>
    </row>
    <row r="56" spans="1:13" x14ac:dyDescent="0.25">
      <c r="A56" s="45">
        <v>55</v>
      </c>
      <c r="B56" s="44" t="s">
        <v>760</v>
      </c>
      <c r="E56" s="47">
        <v>55</v>
      </c>
      <c r="F56" s="44" t="s">
        <v>761</v>
      </c>
      <c r="H56" s="62">
        <v>55</v>
      </c>
      <c r="I56" s="58" t="s">
        <v>762</v>
      </c>
      <c r="K56" s="19"/>
      <c r="L56" s="20"/>
      <c r="M56" s="20"/>
    </row>
    <row r="57" spans="1:13" x14ac:dyDescent="0.25">
      <c r="A57" s="45">
        <v>56</v>
      </c>
      <c r="B57" s="44" t="s">
        <v>763</v>
      </c>
      <c r="E57" s="47">
        <v>56</v>
      </c>
      <c r="F57" s="44" t="s">
        <v>764</v>
      </c>
      <c r="H57" s="62">
        <v>56</v>
      </c>
      <c r="I57" s="58" t="s">
        <v>765</v>
      </c>
      <c r="K57" s="19"/>
      <c r="L57" s="20"/>
      <c r="M57" s="20"/>
    </row>
    <row r="58" spans="1:13" x14ac:dyDescent="0.25">
      <c r="A58" s="45">
        <v>57</v>
      </c>
      <c r="B58" s="44" t="s">
        <v>766</v>
      </c>
      <c r="E58" s="47">
        <v>57</v>
      </c>
      <c r="F58" s="44" t="s">
        <v>767</v>
      </c>
      <c r="H58" s="62">
        <v>57</v>
      </c>
      <c r="I58" s="58" t="s">
        <v>768</v>
      </c>
      <c r="K58" s="19"/>
      <c r="L58" s="20"/>
      <c r="M58" s="20"/>
    </row>
    <row r="59" spans="1:13" x14ac:dyDescent="0.25">
      <c r="A59" s="45">
        <v>58</v>
      </c>
      <c r="B59" s="44" t="s">
        <v>769</v>
      </c>
      <c r="E59" s="47">
        <v>58</v>
      </c>
      <c r="F59" s="44" t="s">
        <v>770</v>
      </c>
      <c r="H59" s="62">
        <v>58</v>
      </c>
      <c r="I59" s="58" t="s">
        <v>771</v>
      </c>
      <c r="K59" s="19"/>
      <c r="L59" s="20"/>
      <c r="M59" s="20"/>
    </row>
    <row r="60" spans="1:13" x14ac:dyDescent="0.25">
      <c r="A60" s="45">
        <v>59</v>
      </c>
      <c r="B60" s="44" t="s">
        <v>772</v>
      </c>
      <c r="E60" s="47">
        <v>59</v>
      </c>
      <c r="F60" s="44" t="s">
        <v>773</v>
      </c>
      <c r="H60" s="62">
        <v>59</v>
      </c>
      <c r="I60" s="58" t="s">
        <v>774</v>
      </c>
      <c r="K60" s="19"/>
      <c r="L60" s="20"/>
      <c r="M60" s="52"/>
    </row>
    <row r="61" spans="1:13" x14ac:dyDescent="0.25">
      <c r="E61" s="47">
        <v>60</v>
      </c>
      <c r="F61" s="44" t="s">
        <v>775</v>
      </c>
      <c r="H61" s="62">
        <v>60</v>
      </c>
      <c r="I61" s="55" t="s">
        <v>776</v>
      </c>
      <c r="K61" s="19"/>
      <c r="L61" s="20"/>
      <c r="M61" s="19"/>
    </row>
    <row r="62" spans="1:13" x14ac:dyDescent="0.25">
      <c r="E62" s="47">
        <v>61</v>
      </c>
      <c r="F62" s="44" t="s">
        <v>777</v>
      </c>
      <c r="H62" s="62">
        <v>61</v>
      </c>
      <c r="I62" s="60" t="s">
        <v>778</v>
      </c>
      <c r="K62" s="19"/>
      <c r="L62" s="20"/>
      <c r="M62" s="52"/>
    </row>
    <row r="63" spans="1:13" x14ac:dyDescent="0.25">
      <c r="E63" s="47">
        <v>62</v>
      </c>
      <c r="F63" s="44" t="s">
        <v>778</v>
      </c>
    </row>
    <row r="64" spans="1:13" x14ac:dyDescent="0.25">
      <c r="E64" s="47">
        <v>63</v>
      </c>
      <c r="F64" s="44" t="s">
        <v>779</v>
      </c>
    </row>
    <row r="65" spans="5:6" x14ac:dyDescent="0.25">
      <c r="E65" s="47">
        <v>64</v>
      </c>
      <c r="F65" s="44" t="s">
        <v>780</v>
      </c>
    </row>
    <row r="66" spans="5:6" x14ac:dyDescent="0.25">
      <c r="E66" s="47">
        <v>65</v>
      </c>
      <c r="F66" s="44" t="s">
        <v>781</v>
      </c>
    </row>
    <row r="67" spans="5:6" x14ac:dyDescent="0.25">
      <c r="E67" s="47">
        <v>66</v>
      </c>
      <c r="F67" s="44" t="s">
        <v>782</v>
      </c>
    </row>
    <row r="68" spans="5:6" x14ac:dyDescent="0.25">
      <c r="E68" s="47">
        <v>67</v>
      </c>
      <c r="F68" s="44" t="s">
        <v>783</v>
      </c>
    </row>
    <row r="69" spans="5:6" x14ac:dyDescent="0.25">
      <c r="E69" s="47">
        <v>68</v>
      </c>
      <c r="F69" s="44" t="s">
        <v>784</v>
      </c>
    </row>
    <row r="70" spans="5:6" x14ac:dyDescent="0.25">
      <c r="E70" s="47">
        <v>69</v>
      </c>
      <c r="F70" s="44" t="s">
        <v>785</v>
      </c>
    </row>
    <row r="71" spans="5:6" x14ac:dyDescent="0.25">
      <c r="E71" s="47">
        <v>70</v>
      </c>
      <c r="F71" s="44" t="s">
        <v>786</v>
      </c>
    </row>
    <row r="72" spans="5:6" x14ac:dyDescent="0.25">
      <c r="E72" s="86">
        <v>71</v>
      </c>
      <c r="F72" s="87" t="s">
        <v>787</v>
      </c>
    </row>
    <row r="73" spans="5:6" x14ac:dyDescent="0.25">
      <c r="E73" s="86">
        <v>72</v>
      </c>
      <c r="F73" s="87" t="s">
        <v>788</v>
      </c>
    </row>
    <row r="74" spans="5:6" x14ac:dyDescent="0.25">
      <c r="E74" s="47">
        <v>73</v>
      </c>
      <c r="F74" s="44" t="s">
        <v>789</v>
      </c>
    </row>
    <row r="75" spans="5:6" x14ac:dyDescent="0.25">
      <c r="E75" s="47">
        <v>74</v>
      </c>
      <c r="F75" s="44" t="s">
        <v>790</v>
      </c>
    </row>
    <row r="76" spans="5:6" x14ac:dyDescent="0.25">
      <c r="E76" s="47">
        <v>75</v>
      </c>
      <c r="F76" s="44" t="s">
        <v>791</v>
      </c>
    </row>
    <row r="77" spans="5:6" x14ac:dyDescent="0.25">
      <c r="E77" s="47">
        <v>76</v>
      </c>
      <c r="F77" s="44" t="s">
        <v>792</v>
      </c>
    </row>
    <row r="78" spans="5:6" x14ac:dyDescent="0.25">
      <c r="E78" s="47">
        <v>77</v>
      </c>
      <c r="F78" s="44" t="s">
        <v>793</v>
      </c>
    </row>
    <row r="79" spans="5:6" x14ac:dyDescent="0.25">
      <c r="E79" s="47">
        <v>78</v>
      </c>
      <c r="F79" s="44" t="s">
        <v>794</v>
      </c>
    </row>
    <row r="80" spans="5:6" x14ac:dyDescent="0.25">
      <c r="E80" s="47">
        <v>79</v>
      </c>
      <c r="F80" s="44" t="s">
        <v>795</v>
      </c>
    </row>
    <row r="81" spans="5:6" x14ac:dyDescent="0.25">
      <c r="E81" s="47">
        <v>80</v>
      </c>
      <c r="F81" s="44" t="s">
        <v>796</v>
      </c>
    </row>
    <row r="82" spans="5:6" x14ac:dyDescent="0.25">
      <c r="E82" s="47">
        <v>81</v>
      </c>
      <c r="F82" s="44" t="s">
        <v>703</v>
      </c>
    </row>
    <row r="83" spans="5:6" x14ac:dyDescent="0.25">
      <c r="E83" s="47">
        <v>82</v>
      </c>
      <c r="F83" s="44" t="s">
        <v>797</v>
      </c>
    </row>
    <row r="84" spans="5:6" x14ac:dyDescent="0.25">
      <c r="E84" s="47">
        <v>83</v>
      </c>
      <c r="F84" s="44" t="s">
        <v>798</v>
      </c>
    </row>
    <row r="85" spans="5:6" x14ac:dyDescent="0.25">
      <c r="E85" s="47">
        <v>84</v>
      </c>
      <c r="F85" s="44" t="s">
        <v>799</v>
      </c>
    </row>
    <row r="86" spans="5:6" x14ac:dyDescent="0.25">
      <c r="E86" s="47">
        <v>85</v>
      </c>
      <c r="F86" s="44" t="s">
        <v>800</v>
      </c>
    </row>
    <row r="87" spans="5:6" x14ac:dyDescent="0.25">
      <c r="E87" s="47">
        <v>86</v>
      </c>
      <c r="F87" s="44" t="s">
        <v>801</v>
      </c>
    </row>
    <row r="88" spans="5:6" x14ac:dyDescent="0.25">
      <c r="E88" s="47">
        <v>87</v>
      </c>
      <c r="F88" s="44" t="s">
        <v>802</v>
      </c>
    </row>
    <row r="89" spans="5:6" x14ac:dyDescent="0.25">
      <c r="E89" s="47">
        <v>88</v>
      </c>
      <c r="F89" s="44" t="s">
        <v>803</v>
      </c>
    </row>
    <row r="90" spans="5:6" x14ac:dyDescent="0.25">
      <c r="E90" s="47">
        <v>89</v>
      </c>
      <c r="F90" s="44" t="s">
        <v>804</v>
      </c>
    </row>
    <row r="91" spans="5:6" x14ac:dyDescent="0.25">
      <c r="E91" s="47">
        <v>90</v>
      </c>
      <c r="F91" s="44" t="s">
        <v>805</v>
      </c>
    </row>
    <row r="92" spans="5:6" x14ac:dyDescent="0.25">
      <c r="E92" s="47">
        <v>91</v>
      </c>
      <c r="F92" s="44" t="s">
        <v>806</v>
      </c>
    </row>
    <row r="93" spans="5:6" x14ac:dyDescent="0.25">
      <c r="E93" s="47">
        <v>92</v>
      </c>
      <c r="F93" s="44" t="s">
        <v>807</v>
      </c>
    </row>
    <row r="94" spans="5:6" x14ac:dyDescent="0.25">
      <c r="E94" s="47">
        <v>93</v>
      </c>
      <c r="F94" s="44" t="s">
        <v>808</v>
      </c>
    </row>
    <row r="95" spans="5:6" x14ac:dyDescent="0.25">
      <c r="E95" s="47">
        <v>94</v>
      </c>
      <c r="F95" s="44" t="s">
        <v>809</v>
      </c>
    </row>
    <row r="96" spans="5:6" x14ac:dyDescent="0.25">
      <c r="E96" s="47">
        <v>95</v>
      </c>
      <c r="F96" s="44" t="s">
        <v>810</v>
      </c>
    </row>
    <row r="97" spans="5:6" x14ac:dyDescent="0.25">
      <c r="E97" s="47">
        <v>96</v>
      </c>
      <c r="F97" s="44" t="s">
        <v>811</v>
      </c>
    </row>
    <row r="98" spans="5:6" x14ac:dyDescent="0.25">
      <c r="E98" s="47">
        <v>97</v>
      </c>
      <c r="F98" s="44" t="s">
        <v>812</v>
      </c>
    </row>
    <row r="99" spans="5:6" x14ac:dyDescent="0.25">
      <c r="E99" s="47">
        <v>98</v>
      </c>
      <c r="F99" s="44" t="s">
        <v>813</v>
      </c>
    </row>
    <row r="100" spans="5:6" x14ac:dyDescent="0.25">
      <c r="E100" s="47">
        <v>99</v>
      </c>
      <c r="F100" s="44">
        <v>38</v>
      </c>
    </row>
    <row r="101" spans="5:6" x14ac:dyDescent="0.25">
      <c r="E101" s="47">
        <v>100</v>
      </c>
      <c r="F101" s="44" t="s">
        <v>814</v>
      </c>
    </row>
    <row r="102" spans="5:6" x14ac:dyDescent="0.25">
      <c r="E102" s="47">
        <v>101</v>
      </c>
      <c r="F102" s="44">
        <v>5.5</v>
      </c>
    </row>
    <row r="113" spans="5:6" x14ac:dyDescent="0.25">
      <c r="E113" s="43" t="s">
        <v>815</v>
      </c>
      <c r="F113" t="s">
        <v>816</v>
      </c>
    </row>
    <row r="114" spans="5:6" x14ac:dyDescent="0.25">
      <c r="E114" s="43" t="s">
        <v>817</v>
      </c>
      <c r="F114" t="s">
        <v>818</v>
      </c>
    </row>
    <row r="115" spans="5:6" x14ac:dyDescent="0.25">
      <c r="E115" s="43" t="s">
        <v>819</v>
      </c>
      <c r="F115" t="s">
        <v>820</v>
      </c>
    </row>
  </sheetData>
  <mergeCells count="4">
    <mergeCell ref="A1:B1"/>
    <mergeCell ref="E1:F1"/>
    <mergeCell ref="H1:I1"/>
    <mergeCell ref="K1: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5">
    <tabColor rgb="FF2F75B5"/>
  </sheetPr>
  <dimension ref="A1:B301"/>
  <sheetViews>
    <sheetView workbookViewId="0">
      <selection activeCell="B9" sqref="B9"/>
    </sheetView>
  </sheetViews>
  <sheetFormatPr baseColWidth="10" defaultColWidth="8.85546875" defaultRowHeight="15" x14ac:dyDescent="0.25"/>
  <cols>
    <col min="2" max="2" width="54.42578125" bestFit="1" customWidth="1"/>
  </cols>
  <sheetData>
    <row r="1" spans="1:2" x14ac:dyDescent="0.25">
      <c r="A1" s="103" t="s">
        <v>1272</v>
      </c>
      <c r="B1" s="104" t="s">
        <v>1273</v>
      </c>
    </row>
    <row r="2" spans="1:2" ht="15.75" x14ac:dyDescent="0.25">
      <c r="A2" s="105">
        <v>1</v>
      </c>
      <c r="B2" s="106" t="s">
        <v>1274</v>
      </c>
    </row>
    <row r="3" spans="1:2" ht="15.75" x14ac:dyDescent="0.25">
      <c r="A3" s="105">
        <f t="shared" ref="A3:A66" si="0">+A2+1</f>
        <v>2</v>
      </c>
      <c r="B3" s="106" t="s">
        <v>1275</v>
      </c>
    </row>
    <row r="4" spans="1:2" ht="15.75" x14ac:dyDescent="0.25">
      <c r="A4" s="105">
        <f t="shared" si="0"/>
        <v>3</v>
      </c>
      <c r="B4" s="106" t="s">
        <v>1276</v>
      </c>
    </row>
    <row r="5" spans="1:2" ht="15.75" x14ac:dyDescent="0.25">
      <c r="A5" s="105">
        <f t="shared" si="0"/>
        <v>4</v>
      </c>
      <c r="B5" s="106" t="s">
        <v>1277</v>
      </c>
    </row>
    <row r="6" spans="1:2" ht="15.75" x14ac:dyDescent="0.25">
      <c r="A6" s="105">
        <f t="shared" si="0"/>
        <v>5</v>
      </c>
      <c r="B6" s="107" t="s">
        <v>365</v>
      </c>
    </row>
    <row r="7" spans="1:2" ht="15.75" x14ac:dyDescent="0.25">
      <c r="A7" s="105">
        <f t="shared" si="0"/>
        <v>6</v>
      </c>
      <c r="B7" s="107" t="s">
        <v>940</v>
      </c>
    </row>
    <row r="8" spans="1:2" ht="15.75" x14ac:dyDescent="0.25">
      <c r="A8" s="105">
        <f t="shared" si="0"/>
        <v>7</v>
      </c>
      <c r="B8" s="107" t="s">
        <v>1250</v>
      </c>
    </row>
    <row r="9" spans="1:2" ht="15.75" x14ac:dyDescent="0.25">
      <c r="A9" s="105">
        <f t="shared" si="0"/>
        <v>8</v>
      </c>
      <c r="B9" s="108" t="s">
        <v>507</v>
      </c>
    </row>
    <row r="10" spans="1:2" ht="15.75" x14ac:dyDescent="0.25">
      <c r="A10" s="105">
        <f t="shared" si="0"/>
        <v>9</v>
      </c>
      <c r="B10" s="107" t="s">
        <v>10</v>
      </c>
    </row>
    <row r="11" spans="1:2" ht="15.75" x14ac:dyDescent="0.25">
      <c r="A11" s="105">
        <f t="shared" si="0"/>
        <v>10</v>
      </c>
      <c r="B11" s="107" t="s">
        <v>1214</v>
      </c>
    </row>
    <row r="12" spans="1:2" ht="15.75" x14ac:dyDescent="0.25">
      <c r="A12" s="105">
        <f t="shared" si="0"/>
        <v>11</v>
      </c>
      <c r="B12" s="107" t="s">
        <v>1234</v>
      </c>
    </row>
    <row r="13" spans="1:2" ht="15.75" x14ac:dyDescent="0.25">
      <c r="A13" s="105">
        <f t="shared" si="0"/>
        <v>12</v>
      </c>
      <c r="B13" s="107" t="s">
        <v>499</v>
      </c>
    </row>
    <row r="14" spans="1:2" ht="15.75" x14ac:dyDescent="0.25">
      <c r="A14" s="105">
        <f t="shared" si="0"/>
        <v>13</v>
      </c>
      <c r="B14" s="107" t="s">
        <v>1202</v>
      </c>
    </row>
    <row r="15" spans="1:2" ht="15.75" x14ac:dyDescent="0.25">
      <c r="A15" s="105">
        <f t="shared" si="0"/>
        <v>14</v>
      </c>
      <c r="B15" s="109" t="s">
        <v>1175</v>
      </c>
    </row>
    <row r="16" spans="1:2" ht="15.75" x14ac:dyDescent="0.25">
      <c r="A16" s="105">
        <f t="shared" si="0"/>
        <v>15</v>
      </c>
      <c r="B16" s="106" t="s">
        <v>1157</v>
      </c>
    </row>
    <row r="17" spans="1:2" ht="15.75" x14ac:dyDescent="0.25">
      <c r="A17" s="105">
        <f t="shared" si="0"/>
        <v>16</v>
      </c>
      <c r="B17" s="108" t="s">
        <v>1171</v>
      </c>
    </row>
    <row r="18" spans="1:2" ht="15.75" x14ac:dyDescent="0.25">
      <c r="A18" s="105">
        <f t="shared" si="0"/>
        <v>17</v>
      </c>
      <c r="B18" s="107" t="s">
        <v>350</v>
      </c>
    </row>
    <row r="19" spans="1:2" ht="15.75" x14ac:dyDescent="0.25">
      <c r="A19" s="105">
        <f t="shared" si="0"/>
        <v>18</v>
      </c>
      <c r="B19" s="108" t="s">
        <v>1161</v>
      </c>
    </row>
    <row r="20" spans="1:2" ht="15.75" x14ac:dyDescent="0.25">
      <c r="A20" s="105">
        <f t="shared" si="0"/>
        <v>19</v>
      </c>
      <c r="B20" s="107" t="s">
        <v>1215</v>
      </c>
    </row>
    <row r="21" spans="1:2" ht="15.75" x14ac:dyDescent="0.25">
      <c r="A21" s="105">
        <f t="shared" si="0"/>
        <v>20</v>
      </c>
      <c r="B21" s="107" t="s">
        <v>1249</v>
      </c>
    </row>
    <row r="22" spans="1:2" ht="15.75" x14ac:dyDescent="0.25">
      <c r="A22" s="105">
        <f t="shared" si="0"/>
        <v>21</v>
      </c>
      <c r="B22" s="107" t="s">
        <v>539</v>
      </c>
    </row>
    <row r="23" spans="1:2" ht="15.75" x14ac:dyDescent="0.25">
      <c r="A23" s="105">
        <f t="shared" si="0"/>
        <v>22</v>
      </c>
      <c r="B23" s="107" t="s">
        <v>1229</v>
      </c>
    </row>
    <row r="24" spans="1:2" ht="15.75" x14ac:dyDescent="0.25">
      <c r="A24" s="105">
        <f t="shared" si="0"/>
        <v>23</v>
      </c>
      <c r="B24" s="108" t="s">
        <v>1149</v>
      </c>
    </row>
    <row r="25" spans="1:2" ht="15.75" x14ac:dyDescent="0.25">
      <c r="A25" s="105">
        <f t="shared" si="0"/>
        <v>24</v>
      </c>
      <c r="B25" s="108" t="s">
        <v>509</v>
      </c>
    </row>
    <row r="26" spans="1:2" ht="15.75" x14ac:dyDescent="0.25">
      <c r="A26" s="105">
        <f t="shared" si="0"/>
        <v>25</v>
      </c>
      <c r="B26" s="108" t="s">
        <v>15</v>
      </c>
    </row>
    <row r="27" spans="1:2" ht="15.75" x14ac:dyDescent="0.25">
      <c r="A27" s="105">
        <f t="shared" si="0"/>
        <v>26</v>
      </c>
      <c r="B27" s="108" t="s">
        <v>1155</v>
      </c>
    </row>
    <row r="28" spans="1:2" ht="15.75" x14ac:dyDescent="0.25">
      <c r="A28" s="105">
        <f t="shared" si="0"/>
        <v>27</v>
      </c>
      <c r="B28" s="107" t="s">
        <v>1197</v>
      </c>
    </row>
    <row r="29" spans="1:2" ht="15.75" x14ac:dyDescent="0.25">
      <c r="A29" s="105">
        <f t="shared" si="0"/>
        <v>28</v>
      </c>
      <c r="B29" s="108" t="s">
        <v>1159</v>
      </c>
    </row>
    <row r="30" spans="1:2" ht="15.75" x14ac:dyDescent="0.25">
      <c r="A30" s="105">
        <f t="shared" si="0"/>
        <v>29</v>
      </c>
      <c r="B30" s="106" t="s">
        <v>1236</v>
      </c>
    </row>
    <row r="31" spans="1:2" ht="15.75" x14ac:dyDescent="0.25">
      <c r="A31" s="105">
        <f t="shared" si="0"/>
        <v>30</v>
      </c>
      <c r="B31" s="106" t="s">
        <v>1207</v>
      </c>
    </row>
    <row r="32" spans="1:2" ht="15.75" x14ac:dyDescent="0.25">
      <c r="A32" s="105">
        <f t="shared" si="0"/>
        <v>31</v>
      </c>
      <c r="B32" s="107" t="s">
        <v>1189</v>
      </c>
    </row>
    <row r="33" spans="1:2" ht="15.75" x14ac:dyDescent="0.25">
      <c r="A33" s="105">
        <f t="shared" si="0"/>
        <v>32</v>
      </c>
      <c r="B33" s="107" t="s">
        <v>1230</v>
      </c>
    </row>
    <row r="34" spans="1:2" ht="15.75" x14ac:dyDescent="0.25">
      <c r="A34" s="105">
        <f t="shared" si="0"/>
        <v>33</v>
      </c>
      <c r="B34" s="107" t="s">
        <v>1278</v>
      </c>
    </row>
    <row r="35" spans="1:2" ht="15.75" x14ac:dyDescent="0.25">
      <c r="A35" s="105">
        <f t="shared" si="0"/>
        <v>34</v>
      </c>
      <c r="B35" s="108" t="s">
        <v>979</v>
      </c>
    </row>
    <row r="36" spans="1:2" ht="15.75" x14ac:dyDescent="0.25">
      <c r="A36" s="105">
        <f t="shared" si="0"/>
        <v>35</v>
      </c>
      <c r="B36" s="108" t="s">
        <v>20</v>
      </c>
    </row>
    <row r="37" spans="1:2" ht="15.75" x14ac:dyDescent="0.25">
      <c r="A37" s="105">
        <f t="shared" si="0"/>
        <v>36</v>
      </c>
      <c r="B37" s="108" t="s">
        <v>1193</v>
      </c>
    </row>
    <row r="38" spans="1:2" ht="15.75" x14ac:dyDescent="0.25">
      <c r="A38" s="105">
        <f t="shared" si="0"/>
        <v>37</v>
      </c>
      <c r="B38" s="108" t="s">
        <v>573</v>
      </c>
    </row>
    <row r="39" spans="1:2" ht="15.75" x14ac:dyDescent="0.25">
      <c r="A39" s="105">
        <f t="shared" si="0"/>
        <v>38</v>
      </c>
      <c r="B39" s="108" t="s">
        <v>24</v>
      </c>
    </row>
    <row r="40" spans="1:2" ht="15.75" x14ac:dyDescent="0.25">
      <c r="A40" s="105">
        <f t="shared" si="0"/>
        <v>39</v>
      </c>
      <c r="B40" s="108" t="s">
        <v>1162</v>
      </c>
    </row>
    <row r="41" spans="1:2" ht="15.75" x14ac:dyDescent="0.25">
      <c r="A41" s="105">
        <f t="shared" si="0"/>
        <v>40</v>
      </c>
      <c r="B41" s="109" t="s">
        <v>1191</v>
      </c>
    </row>
    <row r="42" spans="1:2" ht="15.75" x14ac:dyDescent="0.25">
      <c r="A42" s="105">
        <f t="shared" si="0"/>
        <v>41</v>
      </c>
      <c r="B42" s="109" t="s">
        <v>1153</v>
      </c>
    </row>
    <row r="43" spans="1:2" ht="15.75" x14ac:dyDescent="0.25">
      <c r="A43" s="105">
        <f t="shared" si="0"/>
        <v>42</v>
      </c>
      <c r="B43" s="107" t="s">
        <v>1178</v>
      </c>
    </row>
    <row r="44" spans="1:2" ht="15.75" x14ac:dyDescent="0.25">
      <c r="A44" s="105">
        <f t="shared" si="0"/>
        <v>43</v>
      </c>
      <c r="B44" s="109" t="s">
        <v>1148</v>
      </c>
    </row>
    <row r="45" spans="1:2" ht="15.75" x14ac:dyDescent="0.25">
      <c r="A45" s="105">
        <f t="shared" si="0"/>
        <v>44</v>
      </c>
      <c r="B45" s="106" t="s">
        <v>1222</v>
      </c>
    </row>
    <row r="46" spans="1:2" ht="15.75" x14ac:dyDescent="0.25">
      <c r="A46" s="105">
        <f t="shared" si="0"/>
        <v>45</v>
      </c>
      <c r="B46" s="107" t="s">
        <v>1166</v>
      </c>
    </row>
    <row r="47" spans="1:2" ht="15.75" x14ac:dyDescent="0.25">
      <c r="A47" s="105">
        <f t="shared" si="0"/>
        <v>46</v>
      </c>
      <c r="B47" s="108" t="s">
        <v>1017</v>
      </c>
    </row>
    <row r="48" spans="1:2" ht="15.75" x14ac:dyDescent="0.25">
      <c r="A48" s="105">
        <f t="shared" si="0"/>
        <v>47</v>
      </c>
      <c r="B48" s="107" t="s">
        <v>1220</v>
      </c>
    </row>
    <row r="49" spans="1:2" ht="15.75" x14ac:dyDescent="0.25">
      <c r="A49" s="105">
        <f t="shared" si="0"/>
        <v>48</v>
      </c>
      <c r="B49" s="107" t="s">
        <v>505</v>
      </c>
    </row>
    <row r="50" spans="1:2" ht="15.75" x14ac:dyDescent="0.25">
      <c r="A50" s="105">
        <f t="shared" si="0"/>
        <v>49</v>
      </c>
      <c r="B50" s="107" t="s">
        <v>1574</v>
      </c>
    </row>
    <row r="51" spans="1:2" ht="15.75" x14ac:dyDescent="0.25">
      <c r="A51" s="105">
        <f t="shared" si="0"/>
        <v>50</v>
      </c>
      <c r="B51" s="106" t="s">
        <v>603</v>
      </c>
    </row>
    <row r="52" spans="1:2" ht="15.75" x14ac:dyDescent="0.25">
      <c r="A52" s="105">
        <f t="shared" si="0"/>
        <v>51</v>
      </c>
      <c r="B52" s="106" t="s">
        <v>991</v>
      </c>
    </row>
    <row r="53" spans="1:2" ht="15.75" x14ac:dyDescent="0.25">
      <c r="A53" s="105">
        <f t="shared" si="0"/>
        <v>52</v>
      </c>
      <c r="B53" s="108" t="s">
        <v>947</v>
      </c>
    </row>
    <row r="54" spans="1:2" ht="15.75" x14ac:dyDescent="0.25">
      <c r="A54" s="105">
        <f t="shared" si="0"/>
        <v>53</v>
      </c>
      <c r="B54" s="108" t="s">
        <v>384</v>
      </c>
    </row>
    <row r="55" spans="1:2" ht="15.75" x14ac:dyDescent="0.25">
      <c r="A55" s="105">
        <f t="shared" si="0"/>
        <v>54</v>
      </c>
      <c r="B55" s="108" t="s">
        <v>832</v>
      </c>
    </row>
    <row r="56" spans="1:2" ht="15.75" x14ac:dyDescent="0.25">
      <c r="A56" s="105">
        <f t="shared" si="0"/>
        <v>55</v>
      </c>
      <c r="B56" s="107" t="s">
        <v>495</v>
      </c>
    </row>
    <row r="57" spans="1:2" ht="15.75" x14ac:dyDescent="0.25">
      <c r="A57" s="105">
        <f t="shared" si="0"/>
        <v>56</v>
      </c>
      <c r="B57" s="107" t="s">
        <v>401</v>
      </c>
    </row>
    <row r="58" spans="1:2" ht="15.75" x14ac:dyDescent="0.25">
      <c r="A58" s="105">
        <f t="shared" si="0"/>
        <v>57</v>
      </c>
      <c r="B58" s="107" t="s">
        <v>878</v>
      </c>
    </row>
    <row r="59" spans="1:2" ht="15.75" x14ac:dyDescent="0.25">
      <c r="A59" s="105">
        <f t="shared" si="0"/>
        <v>58</v>
      </c>
      <c r="B59" s="107" t="s">
        <v>1170</v>
      </c>
    </row>
    <row r="60" spans="1:2" ht="15.75" x14ac:dyDescent="0.25">
      <c r="A60" s="105">
        <f t="shared" si="0"/>
        <v>59</v>
      </c>
      <c r="B60" s="107" t="s">
        <v>1240</v>
      </c>
    </row>
    <row r="61" spans="1:2" ht="15.75" x14ac:dyDescent="0.25">
      <c r="A61" s="105">
        <f t="shared" si="0"/>
        <v>60</v>
      </c>
      <c r="B61" s="107" t="s">
        <v>1204</v>
      </c>
    </row>
    <row r="62" spans="1:2" ht="15.75" x14ac:dyDescent="0.25">
      <c r="A62" s="105">
        <f t="shared" si="0"/>
        <v>61</v>
      </c>
      <c r="B62" s="107" t="s">
        <v>607</v>
      </c>
    </row>
    <row r="63" spans="1:2" ht="15.75" x14ac:dyDescent="0.25">
      <c r="A63" s="105">
        <f t="shared" si="0"/>
        <v>62</v>
      </c>
      <c r="B63" s="107" t="s">
        <v>1241</v>
      </c>
    </row>
    <row r="64" spans="1:2" ht="15.75" x14ac:dyDescent="0.25">
      <c r="A64" s="105">
        <f t="shared" si="0"/>
        <v>63</v>
      </c>
      <c r="B64" s="107" t="s">
        <v>368</v>
      </c>
    </row>
    <row r="65" spans="1:2" ht="15.75" x14ac:dyDescent="0.25">
      <c r="A65" s="105">
        <f t="shared" si="0"/>
        <v>64</v>
      </c>
      <c r="B65" s="107" t="s">
        <v>568</v>
      </c>
    </row>
    <row r="66" spans="1:2" ht="15.75" x14ac:dyDescent="0.25">
      <c r="A66" s="105">
        <f t="shared" si="0"/>
        <v>65</v>
      </c>
      <c r="B66" s="108" t="s">
        <v>33</v>
      </c>
    </row>
    <row r="67" spans="1:2" ht="15.75" x14ac:dyDescent="0.25">
      <c r="A67" s="105">
        <f t="shared" ref="A67:A130" si="1">+A66+1</f>
        <v>66</v>
      </c>
      <c r="B67" s="107" t="s">
        <v>570</v>
      </c>
    </row>
    <row r="68" spans="1:2" ht="15.75" x14ac:dyDescent="0.25">
      <c r="A68" s="105">
        <f t="shared" si="1"/>
        <v>67</v>
      </c>
      <c r="B68" s="108" t="s">
        <v>46</v>
      </c>
    </row>
    <row r="69" spans="1:2" ht="15.75" x14ac:dyDescent="0.25">
      <c r="A69" s="105">
        <f t="shared" si="1"/>
        <v>68</v>
      </c>
      <c r="B69" s="107" t="s">
        <v>1216</v>
      </c>
    </row>
    <row r="70" spans="1:2" ht="15.75" x14ac:dyDescent="0.25">
      <c r="A70" s="105">
        <f t="shared" si="1"/>
        <v>69</v>
      </c>
      <c r="B70" s="107" t="s">
        <v>330</v>
      </c>
    </row>
    <row r="71" spans="1:2" ht="15.75" x14ac:dyDescent="0.25">
      <c r="A71" s="105">
        <f t="shared" si="1"/>
        <v>70</v>
      </c>
      <c r="B71" s="108" t="s">
        <v>1071</v>
      </c>
    </row>
    <row r="72" spans="1:2" ht="15.75" x14ac:dyDescent="0.25">
      <c r="A72" s="105">
        <f t="shared" si="1"/>
        <v>71</v>
      </c>
      <c r="B72" s="107" t="s">
        <v>534</v>
      </c>
    </row>
    <row r="73" spans="1:2" ht="15.75" x14ac:dyDescent="0.25">
      <c r="A73" s="105">
        <f t="shared" si="1"/>
        <v>72</v>
      </c>
      <c r="B73" s="107" t="s">
        <v>1231</v>
      </c>
    </row>
    <row r="74" spans="1:2" ht="15.75" x14ac:dyDescent="0.25">
      <c r="A74" s="105">
        <f t="shared" si="1"/>
        <v>73</v>
      </c>
      <c r="B74" s="107" t="s">
        <v>524</v>
      </c>
    </row>
    <row r="75" spans="1:2" ht="15.75" x14ac:dyDescent="0.25">
      <c r="A75" s="105">
        <f t="shared" si="1"/>
        <v>74</v>
      </c>
      <c r="B75" s="107" t="s">
        <v>1200</v>
      </c>
    </row>
    <row r="76" spans="1:2" ht="15.75" x14ac:dyDescent="0.25">
      <c r="A76" s="105">
        <f t="shared" si="1"/>
        <v>75</v>
      </c>
      <c r="B76" s="108" t="s">
        <v>863</v>
      </c>
    </row>
    <row r="77" spans="1:2" ht="15.75" x14ac:dyDescent="0.25">
      <c r="A77" s="105">
        <f t="shared" si="1"/>
        <v>76</v>
      </c>
      <c r="B77" s="108" t="s">
        <v>1163</v>
      </c>
    </row>
    <row r="78" spans="1:2" ht="15.75" x14ac:dyDescent="0.25">
      <c r="A78" s="105">
        <f t="shared" si="1"/>
        <v>77</v>
      </c>
      <c r="B78" s="107" t="s">
        <v>530</v>
      </c>
    </row>
    <row r="79" spans="1:2" ht="15.75" x14ac:dyDescent="0.25">
      <c r="A79" s="105">
        <f t="shared" si="1"/>
        <v>78</v>
      </c>
      <c r="B79" s="107" t="s">
        <v>1176</v>
      </c>
    </row>
    <row r="80" spans="1:2" ht="15.75" x14ac:dyDescent="0.25">
      <c r="A80" s="105">
        <f t="shared" si="1"/>
        <v>79</v>
      </c>
      <c r="B80" s="107" t="s">
        <v>489</v>
      </c>
    </row>
    <row r="81" spans="1:2" ht="15.75" x14ac:dyDescent="0.25">
      <c r="A81" s="105">
        <f t="shared" si="1"/>
        <v>80</v>
      </c>
      <c r="B81" s="107" t="s">
        <v>452</v>
      </c>
    </row>
    <row r="82" spans="1:2" ht="15.75" x14ac:dyDescent="0.25">
      <c r="A82" s="105">
        <f t="shared" si="1"/>
        <v>81</v>
      </c>
      <c r="B82" s="107" t="s">
        <v>57</v>
      </c>
    </row>
    <row r="83" spans="1:2" ht="15.75" x14ac:dyDescent="0.25">
      <c r="A83" s="105">
        <f t="shared" si="1"/>
        <v>82</v>
      </c>
      <c r="B83" s="107" t="s">
        <v>1224</v>
      </c>
    </row>
    <row r="84" spans="1:2" ht="15.75" x14ac:dyDescent="0.25">
      <c r="A84" s="105">
        <f t="shared" si="1"/>
        <v>83</v>
      </c>
      <c r="B84" s="108" t="s">
        <v>882</v>
      </c>
    </row>
    <row r="85" spans="1:2" ht="15.75" x14ac:dyDescent="0.25">
      <c r="A85" s="105">
        <f t="shared" si="1"/>
        <v>84</v>
      </c>
      <c r="B85" s="108" t="s">
        <v>1152</v>
      </c>
    </row>
    <row r="86" spans="1:2" ht="15.75" x14ac:dyDescent="0.25">
      <c r="A86" s="105">
        <f t="shared" si="1"/>
        <v>85</v>
      </c>
      <c r="B86" s="108" t="s">
        <v>1174</v>
      </c>
    </row>
    <row r="87" spans="1:2" ht="15.75" x14ac:dyDescent="0.25">
      <c r="A87" s="105">
        <f t="shared" si="1"/>
        <v>86</v>
      </c>
      <c r="B87" s="108" t="s">
        <v>1173</v>
      </c>
    </row>
    <row r="88" spans="1:2" ht="15.75" x14ac:dyDescent="0.25">
      <c r="A88" s="105">
        <f t="shared" si="1"/>
        <v>87</v>
      </c>
      <c r="B88" s="108" t="s">
        <v>835</v>
      </c>
    </row>
    <row r="89" spans="1:2" ht="15.75" x14ac:dyDescent="0.25">
      <c r="A89" s="105">
        <f t="shared" si="1"/>
        <v>88</v>
      </c>
      <c r="B89" s="108" t="s">
        <v>841</v>
      </c>
    </row>
    <row r="90" spans="1:2" ht="15.75" x14ac:dyDescent="0.25">
      <c r="A90" s="105">
        <f t="shared" si="1"/>
        <v>89</v>
      </c>
      <c r="B90" s="107" t="s">
        <v>1233</v>
      </c>
    </row>
    <row r="91" spans="1:2" ht="15.75" x14ac:dyDescent="0.25">
      <c r="A91" s="105">
        <f t="shared" si="1"/>
        <v>90</v>
      </c>
      <c r="B91" s="108" t="s">
        <v>1181</v>
      </c>
    </row>
    <row r="92" spans="1:2" ht="15.75" x14ac:dyDescent="0.25">
      <c r="A92" s="105">
        <f t="shared" si="1"/>
        <v>91</v>
      </c>
      <c r="B92" s="108" t="s">
        <v>1185</v>
      </c>
    </row>
    <row r="93" spans="1:2" ht="15.75" x14ac:dyDescent="0.25">
      <c r="A93" s="105">
        <f t="shared" si="1"/>
        <v>92</v>
      </c>
      <c r="B93" s="107" t="s">
        <v>982</v>
      </c>
    </row>
    <row r="94" spans="1:2" ht="15.75" x14ac:dyDescent="0.25">
      <c r="A94" s="105">
        <f t="shared" si="1"/>
        <v>93</v>
      </c>
      <c r="B94" s="108" t="s">
        <v>113</v>
      </c>
    </row>
    <row r="95" spans="1:2" ht="15.75" x14ac:dyDescent="0.25">
      <c r="A95" s="105">
        <f t="shared" si="1"/>
        <v>94</v>
      </c>
      <c r="B95" s="107" t="s">
        <v>413</v>
      </c>
    </row>
    <row r="96" spans="1:2" ht="15.75" x14ac:dyDescent="0.25">
      <c r="A96" s="105">
        <f t="shared" si="1"/>
        <v>95</v>
      </c>
      <c r="B96" s="107" t="s">
        <v>462</v>
      </c>
    </row>
    <row r="97" spans="1:2" ht="15.75" x14ac:dyDescent="0.25">
      <c r="A97" s="105">
        <f t="shared" si="1"/>
        <v>96</v>
      </c>
      <c r="B97" s="107" t="s">
        <v>1187</v>
      </c>
    </row>
    <row r="98" spans="1:2" ht="15.75" x14ac:dyDescent="0.25">
      <c r="A98" s="105">
        <f t="shared" si="1"/>
        <v>97</v>
      </c>
      <c r="B98" s="106" t="s">
        <v>357</v>
      </c>
    </row>
    <row r="99" spans="1:2" ht="15.75" x14ac:dyDescent="0.25">
      <c r="A99" s="105">
        <f t="shared" si="1"/>
        <v>98</v>
      </c>
      <c r="B99" s="106" t="s">
        <v>1219</v>
      </c>
    </row>
    <row r="100" spans="1:2" ht="15.75" x14ac:dyDescent="0.25">
      <c r="A100" s="105">
        <f t="shared" si="1"/>
        <v>99</v>
      </c>
      <c r="B100" s="106" t="s">
        <v>1182</v>
      </c>
    </row>
    <row r="101" spans="1:2" ht="15.75" x14ac:dyDescent="0.25">
      <c r="A101" s="105">
        <f t="shared" si="1"/>
        <v>100</v>
      </c>
      <c r="B101" s="106" t="s">
        <v>1223</v>
      </c>
    </row>
    <row r="102" spans="1:2" ht="15.75" x14ac:dyDescent="0.25">
      <c r="A102" s="105">
        <f t="shared" si="1"/>
        <v>101</v>
      </c>
      <c r="B102" s="108" t="s">
        <v>126</v>
      </c>
    </row>
    <row r="103" spans="1:2" ht="15.75" x14ac:dyDescent="0.25">
      <c r="A103" s="105">
        <f t="shared" si="1"/>
        <v>102</v>
      </c>
      <c r="B103" s="107" t="s">
        <v>1188</v>
      </c>
    </row>
    <row r="104" spans="1:2" ht="15.75" x14ac:dyDescent="0.25">
      <c r="A104" s="105">
        <f t="shared" si="1"/>
        <v>103</v>
      </c>
      <c r="B104" s="108" t="s">
        <v>1194</v>
      </c>
    </row>
    <row r="105" spans="1:2" ht="15.75" x14ac:dyDescent="0.25">
      <c r="A105" s="105">
        <f t="shared" si="1"/>
        <v>104</v>
      </c>
      <c r="B105" s="108" t="s">
        <v>1186</v>
      </c>
    </row>
    <row r="106" spans="1:2" ht="15.75" x14ac:dyDescent="0.25">
      <c r="A106" s="105">
        <f t="shared" si="1"/>
        <v>105</v>
      </c>
      <c r="B106" s="106" t="s">
        <v>1192</v>
      </c>
    </row>
    <row r="107" spans="1:2" ht="15.75" x14ac:dyDescent="0.25">
      <c r="A107" s="105">
        <f t="shared" si="1"/>
        <v>106</v>
      </c>
      <c r="B107" s="106" t="s">
        <v>446</v>
      </c>
    </row>
    <row r="108" spans="1:2" ht="15.75" x14ac:dyDescent="0.25">
      <c r="A108" s="105">
        <f t="shared" si="1"/>
        <v>107</v>
      </c>
      <c r="B108" s="107" t="s">
        <v>1211</v>
      </c>
    </row>
    <row r="109" spans="1:2" ht="15.75" x14ac:dyDescent="0.25">
      <c r="A109" s="105">
        <f t="shared" si="1"/>
        <v>108</v>
      </c>
      <c r="B109" s="107" t="s">
        <v>1227</v>
      </c>
    </row>
    <row r="110" spans="1:2" ht="15.75" x14ac:dyDescent="0.25">
      <c r="A110" s="105">
        <f t="shared" si="1"/>
        <v>109</v>
      </c>
      <c r="B110" s="107" t="s">
        <v>1198</v>
      </c>
    </row>
    <row r="111" spans="1:2" ht="15.75" x14ac:dyDescent="0.25">
      <c r="A111" s="105">
        <f t="shared" si="1"/>
        <v>110</v>
      </c>
      <c r="B111" s="107" t="s">
        <v>976</v>
      </c>
    </row>
    <row r="112" spans="1:2" ht="15.75" x14ac:dyDescent="0.25">
      <c r="A112" s="105">
        <f t="shared" si="1"/>
        <v>111</v>
      </c>
      <c r="B112" s="107" t="s">
        <v>1247</v>
      </c>
    </row>
    <row r="113" spans="1:2" ht="15.75" x14ac:dyDescent="0.25">
      <c r="A113" s="105">
        <f t="shared" si="1"/>
        <v>112</v>
      </c>
      <c r="B113" s="108" t="s">
        <v>135</v>
      </c>
    </row>
    <row r="114" spans="1:2" ht="15.75" x14ac:dyDescent="0.25">
      <c r="A114" s="105">
        <f t="shared" si="1"/>
        <v>113</v>
      </c>
      <c r="B114" s="107" t="s">
        <v>139</v>
      </c>
    </row>
    <row r="115" spans="1:2" ht="15.75" x14ac:dyDescent="0.25">
      <c r="A115" s="105">
        <f t="shared" si="1"/>
        <v>114</v>
      </c>
      <c r="B115" s="107" t="s">
        <v>1244</v>
      </c>
    </row>
    <row r="116" spans="1:2" ht="15.75" x14ac:dyDescent="0.25">
      <c r="A116" s="105">
        <f t="shared" si="1"/>
        <v>115</v>
      </c>
      <c r="B116" s="107" t="s">
        <v>1228</v>
      </c>
    </row>
    <row r="117" spans="1:2" ht="15.75" x14ac:dyDescent="0.25">
      <c r="A117" s="105">
        <f t="shared" si="1"/>
        <v>116</v>
      </c>
      <c r="B117" s="107" t="s">
        <v>1225</v>
      </c>
    </row>
    <row r="118" spans="1:2" ht="15.75" x14ac:dyDescent="0.25">
      <c r="A118" s="105">
        <f t="shared" si="1"/>
        <v>117</v>
      </c>
      <c r="B118" s="108" t="s">
        <v>1150</v>
      </c>
    </row>
    <row r="119" spans="1:2" ht="15.75" x14ac:dyDescent="0.25">
      <c r="A119" s="105">
        <f t="shared" si="1"/>
        <v>118</v>
      </c>
      <c r="B119" s="108" t="s">
        <v>1584</v>
      </c>
    </row>
    <row r="120" spans="1:2" ht="15.75" x14ac:dyDescent="0.25">
      <c r="A120" s="105">
        <f t="shared" si="1"/>
        <v>119</v>
      </c>
      <c r="B120" s="108" t="s">
        <v>1160</v>
      </c>
    </row>
    <row r="121" spans="1:2" ht="15.75" x14ac:dyDescent="0.25">
      <c r="A121" s="105">
        <f t="shared" si="1"/>
        <v>120</v>
      </c>
      <c r="B121" s="107" t="s">
        <v>1213</v>
      </c>
    </row>
    <row r="122" spans="1:2" ht="15.75" x14ac:dyDescent="0.25">
      <c r="A122" s="105">
        <f t="shared" si="1"/>
        <v>121</v>
      </c>
      <c r="B122" s="107" t="s">
        <v>382</v>
      </c>
    </row>
    <row r="123" spans="1:2" ht="15.75" x14ac:dyDescent="0.25">
      <c r="A123" s="105">
        <f t="shared" si="1"/>
        <v>122</v>
      </c>
      <c r="B123" s="106" t="s">
        <v>1008</v>
      </c>
    </row>
    <row r="124" spans="1:2" ht="15.75" x14ac:dyDescent="0.25">
      <c r="A124" s="105">
        <f t="shared" si="1"/>
        <v>123</v>
      </c>
      <c r="B124" s="106" t="s">
        <v>1209</v>
      </c>
    </row>
    <row r="125" spans="1:2" ht="15.75" x14ac:dyDescent="0.25">
      <c r="A125" s="105">
        <f t="shared" si="1"/>
        <v>124</v>
      </c>
      <c r="B125" s="107" t="s">
        <v>161</v>
      </c>
    </row>
    <row r="126" spans="1:2" ht="15.75" x14ac:dyDescent="0.25">
      <c r="A126" s="105">
        <f t="shared" si="1"/>
        <v>125</v>
      </c>
      <c r="B126" s="107" t="s">
        <v>1589</v>
      </c>
    </row>
    <row r="127" spans="1:2" ht="15.75" x14ac:dyDescent="0.25">
      <c r="A127" s="105">
        <f t="shared" si="1"/>
        <v>126</v>
      </c>
      <c r="B127" s="108" t="s">
        <v>1180</v>
      </c>
    </row>
    <row r="128" spans="1:2" ht="15.75" x14ac:dyDescent="0.25">
      <c r="A128" s="105">
        <f t="shared" si="1"/>
        <v>127</v>
      </c>
      <c r="B128" s="106" t="s">
        <v>1205</v>
      </c>
    </row>
    <row r="129" spans="1:2" ht="15.75" x14ac:dyDescent="0.25">
      <c r="A129" s="105">
        <f t="shared" si="1"/>
        <v>128</v>
      </c>
      <c r="B129" s="106" t="s">
        <v>1206</v>
      </c>
    </row>
    <row r="130" spans="1:2" ht="15.75" x14ac:dyDescent="0.25">
      <c r="A130" s="105">
        <f t="shared" si="1"/>
        <v>129</v>
      </c>
      <c r="B130" s="106" t="s">
        <v>1226</v>
      </c>
    </row>
    <row r="131" spans="1:2" ht="15.75" x14ac:dyDescent="0.25">
      <c r="A131" s="105">
        <f t="shared" ref="A131:A194" si="2">+A130+1</f>
        <v>130</v>
      </c>
      <c r="B131" s="109" t="s">
        <v>482</v>
      </c>
    </row>
    <row r="132" spans="1:2" ht="15.75" x14ac:dyDescent="0.25">
      <c r="A132" s="105">
        <f t="shared" si="2"/>
        <v>131</v>
      </c>
      <c r="B132" s="106" t="s">
        <v>1199</v>
      </c>
    </row>
    <row r="133" spans="1:2" ht="15.75" x14ac:dyDescent="0.25">
      <c r="A133" s="105">
        <f t="shared" si="2"/>
        <v>132</v>
      </c>
      <c r="B133" s="108" t="s">
        <v>1268</v>
      </c>
    </row>
    <row r="134" spans="1:2" ht="15.75" x14ac:dyDescent="0.25">
      <c r="A134" s="105">
        <f t="shared" si="2"/>
        <v>133</v>
      </c>
      <c r="B134" s="107" t="s">
        <v>600</v>
      </c>
    </row>
    <row r="135" spans="1:2" ht="15.75" x14ac:dyDescent="0.25">
      <c r="A135" s="105">
        <f t="shared" si="2"/>
        <v>134</v>
      </c>
      <c r="B135" s="107" t="s">
        <v>1210</v>
      </c>
    </row>
    <row r="136" spans="1:2" ht="15.75" x14ac:dyDescent="0.25">
      <c r="A136" s="105">
        <f t="shared" si="2"/>
        <v>135</v>
      </c>
      <c r="B136" s="108" t="s">
        <v>942</v>
      </c>
    </row>
    <row r="137" spans="1:2" ht="15.75" x14ac:dyDescent="0.25">
      <c r="A137" s="105">
        <f t="shared" si="2"/>
        <v>136</v>
      </c>
      <c r="B137" s="107" t="s">
        <v>170</v>
      </c>
    </row>
    <row r="138" spans="1:2" ht="15.75" x14ac:dyDescent="0.25">
      <c r="A138" s="105">
        <f t="shared" si="2"/>
        <v>137</v>
      </c>
      <c r="B138" s="109" t="s">
        <v>1177</v>
      </c>
    </row>
    <row r="139" spans="1:2" ht="15.75" x14ac:dyDescent="0.25">
      <c r="A139" s="105">
        <f t="shared" si="2"/>
        <v>138</v>
      </c>
      <c r="B139" s="106" t="s">
        <v>908</v>
      </c>
    </row>
    <row r="140" spans="1:2" ht="15.75" x14ac:dyDescent="0.25">
      <c r="A140" s="105">
        <f t="shared" si="2"/>
        <v>139</v>
      </c>
      <c r="B140" s="107" t="s">
        <v>475</v>
      </c>
    </row>
    <row r="141" spans="1:2" ht="15.75" x14ac:dyDescent="0.25">
      <c r="A141" s="105">
        <f t="shared" si="2"/>
        <v>140</v>
      </c>
      <c r="B141" s="107" t="s">
        <v>361</v>
      </c>
    </row>
    <row r="142" spans="1:2" ht="15.75" x14ac:dyDescent="0.25">
      <c r="A142" s="105">
        <f t="shared" si="2"/>
        <v>141</v>
      </c>
      <c r="B142" s="107" t="s">
        <v>456</v>
      </c>
    </row>
    <row r="143" spans="1:2" ht="15.75" x14ac:dyDescent="0.25">
      <c r="A143" s="105">
        <f t="shared" si="2"/>
        <v>142</v>
      </c>
      <c r="B143" s="108" t="s">
        <v>951</v>
      </c>
    </row>
    <row r="144" spans="1:2" ht="15.75" x14ac:dyDescent="0.25">
      <c r="A144" s="105">
        <f t="shared" si="2"/>
        <v>143</v>
      </c>
      <c r="B144" s="107" t="s">
        <v>527</v>
      </c>
    </row>
    <row r="145" spans="1:2" ht="15.75" x14ac:dyDescent="0.25">
      <c r="A145" s="105">
        <f t="shared" si="2"/>
        <v>144</v>
      </c>
      <c r="B145" s="107" t="s">
        <v>1208</v>
      </c>
    </row>
    <row r="146" spans="1:2" ht="15.75" x14ac:dyDescent="0.25">
      <c r="A146" s="105">
        <f t="shared" si="2"/>
        <v>145</v>
      </c>
      <c r="B146" s="107" t="s">
        <v>1054</v>
      </c>
    </row>
    <row r="147" spans="1:2" ht="15.75" x14ac:dyDescent="0.25">
      <c r="A147" s="105">
        <f t="shared" si="2"/>
        <v>146</v>
      </c>
      <c r="B147" s="107" t="s">
        <v>553</v>
      </c>
    </row>
    <row r="148" spans="1:2" ht="15.75" x14ac:dyDescent="0.25">
      <c r="A148" s="105">
        <f t="shared" si="2"/>
        <v>147</v>
      </c>
      <c r="B148" s="107" t="s">
        <v>1242</v>
      </c>
    </row>
    <row r="149" spans="1:2" ht="15.75" x14ac:dyDescent="0.25">
      <c r="A149" s="105">
        <f t="shared" si="2"/>
        <v>148</v>
      </c>
      <c r="B149" s="108" t="s">
        <v>1184</v>
      </c>
    </row>
    <row r="150" spans="1:2" ht="15.75" x14ac:dyDescent="0.25">
      <c r="A150" s="105">
        <f t="shared" si="2"/>
        <v>149</v>
      </c>
      <c r="B150" s="107" t="s">
        <v>372</v>
      </c>
    </row>
    <row r="151" spans="1:2" ht="15.75" x14ac:dyDescent="0.25">
      <c r="A151" s="105">
        <f t="shared" si="2"/>
        <v>150</v>
      </c>
      <c r="B151" s="107" t="s">
        <v>988</v>
      </c>
    </row>
    <row r="152" spans="1:2" ht="15.75" x14ac:dyDescent="0.25">
      <c r="A152" s="105">
        <f t="shared" si="2"/>
        <v>151</v>
      </c>
      <c r="B152" s="106" t="s">
        <v>892</v>
      </c>
    </row>
    <row r="153" spans="1:2" ht="15.75" x14ac:dyDescent="0.25">
      <c r="A153" s="105">
        <f t="shared" si="2"/>
        <v>152</v>
      </c>
      <c r="B153" s="106" t="s">
        <v>471</v>
      </c>
    </row>
    <row r="154" spans="1:2" ht="15.75" x14ac:dyDescent="0.25">
      <c r="A154" s="105">
        <f t="shared" si="2"/>
        <v>153</v>
      </c>
      <c r="B154" s="107" t="s">
        <v>353</v>
      </c>
    </row>
    <row r="155" spans="1:2" ht="15.75" x14ac:dyDescent="0.25">
      <c r="A155" s="105">
        <f t="shared" si="2"/>
        <v>154</v>
      </c>
      <c r="B155" s="108" t="s">
        <v>502</v>
      </c>
    </row>
    <row r="156" spans="1:2" ht="15.75" x14ac:dyDescent="0.25">
      <c r="A156" s="105">
        <f t="shared" si="2"/>
        <v>155</v>
      </c>
      <c r="B156" s="107" t="s">
        <v>477</v>
      </c>
    </row>
    <row r="157" spans="1:2" ht="15.75" x14ac:dyDescent="0.25">
      <c r="A157" s="105">
        <f t="shared" si="2"/>
        <v>156</v>
      </c>
      <c r="B157" s="107" t="s">
        <v>1248</v>
      </c>
    </row>
    <row r="158" spans="1:2" ht="15.75" x14ac:dyDescent="0.25">
      <c r="A158" s="105">
        <f t="shared" si="2"/>
        <v>157</v>
      </c>
      <c r="B158" s="108" t="s">
        <v>207</v>
      </c>
    </row>
    <row r="159" spans="1:2" ht="15.75" x14ac:dyDescent="0.25">
      <c r="A159" s="105">
        <f t="shared" si="2"/>
        <v>158</v>
      </c>
      <c r="B159" s="107" t="s">
        <v>1075</v>
      </c>
    </row>
    <row r="160" spans="1:2" ht="15.75" x14ac:dyDescent="0.25">
      <c r="A160" s="105">
        <f t="shared" si="2"/>
        <v>159</v>
      </c>
      <c r="B160" s="107" t="s">
        <v>435</v>
      </c>
    </row>
    <row r="161" spans="1:2" ht="15.75" x14ac:dyDescent="0.25">
      <c r="A161" s="105">
        <f t="shared" si="2"/>
        <v>160</v>
      </c>
      <c r="B161" s="107" t="s">
        <v>1196</v>
      </c>
    </row>
    <row r="162" spans="1:2" ht="15.75" x14ac:dyDescent="0.25">
      <c r="A162" s="105">
        <f t="shared" si="2"/>
        <v>161</v>
      </c>
      <c r="B162" s="107" t="s">
        <v>1245</v>
      </c>
    </row>
    <row r="163" spans="1:2" ht="15.75" x14ac:dyDescent="0.25">
      <c r="A163" s="105">
        <f t="shared" si="2"/>
        <v>162</v>
      </c>
      <c r="B163" s="107" t="s">
        <v>1237</v>
      </c>
    </row>
    <row r="164" spans="1:2" ht="15.75" x14ac:dyDescent="0.25">
      <c r="A164" s="105">
        <f t="shared" si="2"/>
        <v>163</v>
      </c>
      <c r="B164" s="108" t="s">
        <v>1183</v>
      </c>
    </row>
    <row r="165" spans="1:2" ht="15.75" x14ac:dyDescent="0.25">
      <c r="A165" s="105">
        <f t="shared" si="2"/>
        <v>164</v>
      </c>
      <c r="B165" s="107" t="s">
        <v>1239</v>
      </c>
    </row>
    <row r="166" spans="1:2" ht="15.75" x14ac:dyDescent="0.25">
      <c r="A166" s="105">
        <f t="shared" si="2"/>
        <v>165</v>
      </c>
      <c r="B166" s="108" t="s">
        <v>1158</v>
      </c>
    </row>
    <row r="167" spans="1:2" ht="15.75" x14ac:dyDescent="0.25">
      <c r="A167" s="105">
        <f t="shared" si="2"/>
        <v>166</v>
      </c>
      <c r="B167" s="107" t="s">
        <v>230</v>
      </c>
    </row>
    <row r="168" spans="1:2" ht="15.75" x14ac:dyDescent="0.25">
      <c r="A168" s="105">
        <f t="shared" si="2"/>
        <v>167</v>
      </c>
      <c r="B168" s="107" t="s">
        <v>1243</v>
      </c>
    </row>
    <row r="169" spans="1:2" ht="15.75" x14ac:dyDescent="0.25">
      <c r="A169" s="105">
        <f t="shared" si="2"/>
        <v>168</v>
      </c>
      <c r="B169" s="107" t="s">
        <v>253</v>
      </c>
    </row>
    <row r="170" spans="1:2" ht="15.75" x14ac:dyDescent="0.25">
      <c r="A170" s="105">
        <f t="shared" si="2"/>
        <v>169</v>
      </c>
      <c r="B170" s="107" t="s">
        <v>439</v>
      </c>
    </row>
    <row r="171" spans="1:2" ht="15.75" x14ac:dyDescent="0.25">
      <c r="A171" s="105">
        <f t="shared" si="2"/>
        <v>170</v>
      </c>
      <c r="B171" s="108" t="s">
        <v>1195</v>
      </c>
    </row>
    <row r="172" spans="1:2" ht="15.75" x14ac:dyDescent="0.25">
      <c r="A172" s="105">
        <f t="shared" si="2"/>
        <v>171</v>
      </c>
      <c r="B172" s="107" t="s">
        <v>1156</v>
      </c>
    </row>
    <row r="173" spans="1:2" ht="15.75" x14ac:dyDescent="0.25">
      <c r="A173" s="105">
        <f t="shared" si="2"/>
        <v>172</v>
      </c>
      <c r="B173" s="107" t="s">
        <v>408</v>
      </c>
    </row>
    <row r="174" spans="1:2" ht="15.75" x14ac:dyDescent="0.25">
      <c r="A174" s="105">
        <f t="shared" si="2"/>
        <v>173</v>
      </c>
      <c r="B174" s="109" t="s">
        <v>1151</v>
      </c>
    </row>
    <row r="175" spans="1:2" ht="15.75" x14ac:dyDescent="0.25">
      <c r="A175" s="105">
        <f t="shared" si="2"/>
        <v>174</v>
      </c>
      <c r="B175" s="109" t="s">
        <v>993</v>
      </c>
    </row>
    <row r="176" spans="1:2" ht="15.75" x14ac:dyDescent="0.25">
      <c r="A176" s="105">
        <f t="shared" si="2"/>
        <v>175</v>
      </c>
      <c r="B176" s="106" t="s">
        <v>1190</v>
      </c>
    </row>
    <row r="177" spans="1:2" ht="15.75" x14ac:dyDescent="0.25">
      <c r="A177" s="105">
        <f t="shared" si="2"/>
        <v>176</v>
      </c>
      <c r="B177" s="106" t="s">
        <v>1238</v>
      </c>
    </row>
    <row r="178" spans="1:2" ht="15.75" x14ac:dyDescent="0.25">
      <c r="A178" s="105">
        <f t="shared" si="2"/>
        <v>177</v>
      </c>
      <c r="B178" s="108" t="s">
        <v>1172</v>
      </c>
    </row>
    <row r="179" spans="1:2" ht="15.75" x14ac:dyDescent="0.25">
      <c r="A179" s="105">
        <f t="shared" si="2"/>
        <v>178</v>
      </c>
      <c r="B179" s="107" t="s">
        <v>595</v>
      </c>
    </row>
    <row r="180" spans="1:2" ht="15.75" x14ac:dyDescent="0.25">
      <c r="A180" s="105">
        <f t="shared" si="2"/>
        <v>179</v>
      </c>
      <c r="B180" s="107" t="s">
        <v>1232</v>
      </c>
    </row>
    <row r="181" spans="1:2" ht="15.75" x14ac:dyDescent="0.25">
      <c r="A181" s="105">
        <f t="shared" si="2"/>
        <v>180</v>
      </c>
      <c r="B181" s="107" t="s">
        <v>520</v>
      </c>
    </row>
    <row r="182" spans="1:2" ht="15.75" x14ac:dyDescent="0.25">
      <c r="A182" s="105">
        <f t="shared" si="2"/>
        <v>181</v>
      </c>
      <c r="B182" s="107" t="s">
        <v>1218</v>
      </c>
    </row>
    <row r="183" spans="1:2" ht="15.75" x14ac:dyDescent="0.25">
      <c r="A183" s="105">
        <f t="shared" si="2"/>
        <v>182</v>
      </c>
      <c r="B183" s="107" t="s">
        <v>1217</v>
      </c>
    </row>
    <row r="184" spans="1:2" ht="15.75" x14ac:dyDescent="0.25">
      <c r="A184" s="105">
        <f t="shared" si="2"/>
        <v>183</v>
      </c>
      <c r="B184" s="107" t="s">
        <v>1201</v>
      </c>
    </row>
    <row r="185" spans="1:2" ht="15.75" x14ac:dyDescent="0.25">
      <c r="A185" s="105">
        <f t="shared" si="2"/>
        <v>184</v>
      </c>
      <c r="B185" s="107" t="s">
        <v>1212</v>
      </c>
    </row>
    <row r="186" spans="1:2" ht="15.75" x14ac:dyDescent="0.25">
      <c r="A186" s="105">
        <f t="shared" si="2"/>
        <v>185</v>
      </c>
      <c r="B186" s="108" t="s">
        <v>1179</v>
      </c>
    </row>
    <row r="187" spans="1:2" ht="15.75" x14ac:dyDescent="0.25">
      <c r="A187" s="105">
        <f t="shared" si="2"/>
        <v>186</v>
      </c>
      <c r="B187" s="107" t="s">
        <v>1221</v>
      </c>
    </row>
    <row r="188" spans="1:2" ht="15.75" x14ac:dyDescent="0.25">
      <c r="A188" s="105">
        <f t="shared" si="2"/>
        <v>187</v>
      </c>
      <c r="B188" s="106" t="s">
        <v>1363</v>
      </c>
    </row>
    <row r="189" spans="1:2" ht="15.75" x14ac:dyDescent="0.25">
      <c r="A189" s="105">
        <f t="shared" si="2"/>
        <v>188</v>
      </c>
      <c r="B189" s="107" t="s">
        <v>275</v>
      </c>
    </row>
    <row r="190" spans="1:2" ht="15.75" x14ac:dyDescent="0.25">
      <c r="A190" s="105">
        <f t="shared" si="2"/>
        <v>189</v>
      </c>
      <c r="B190" s="108" t="s">
        <v>1167</v>
      </c>
    </row>
    <row r="191" spans="1:2" ht="15.75" x14ac:dyDescent="0.25">
      <c r="A191" s="105">
        <f t="shared" si="2"/>
        <v>190</v>
      </c>
      <c r="B191" s="107" t="s">
        <v>497</v>
      </c>
    </row>
    <row r="192" spans="1:2" ht="15.75" x14ac:dyDescent="0.25">
      <c r="A192" s="105">
        <f t="shared" si="2"/>
        <v>191</v>
      </c>
      <c r="B192" s="107" t="s">
        <v>314</v>
      </c>
    </row>
    <row r="193" spans="1:2" ht="15.75" x14ac:dyDescent="0.25">
      <c r="A193" s="105">
        <f t="shared" si="2"/>
        <v>192</v>
      </c>
      <c r="B193" s="108" t="s">
        <v>1154</v>
      </c>
    </row>
    <row r="194" spans="1:2" ht="15.75" x14ac:dyDescent="0.25">
      <c r="A194" s="105">
        <f t="shared" si="2"/>
        <v>193</v>
      </c>
      <c r="B194" s="108" t="s">
        <v>513</v>
      </c>
    </row>
    <row r="195" spans="1:2" ht="15.75" x14ac:dyDescent="0.25">
      <c r="A195" s="105">
        <f t="shared" ref="A195:A258" si="3">+A194+1</f>
        <v>194</v>
      </c>
      <c r="B195" s="107" t="s">
        <v>469</v>
      </c>
    </row>
    <row r="196" spans="1:2" ht="15.75" x14ac:dyDescent="0.25">
      <c r="A196" s="105">
        <f t="shared" si="3"/>
        <v>195</v>
      </c>
      <c r="B196" s="107" t="s">
        <v>1246</v>
      </c>
    </row>
    <row r="197" spans="1:2" ht="15.75" x14ac:dyDescent="0.25">
      <c r="A197" s="105">
        <f t="shared" si="3"/>
        <v>196</v>
      </c>
      <c r="B197" s="107" t="s">
        <v>346</v>
      </c>
    </row>
    <row r="198" spans="1:2" ht="15.75" x14ac:dyDescent="0.25">
      <c r="A198" s="105">
        <f t="shared" si="3"/>
        <v>197</v>
      </c>
      <c r="B198" s="107" t="s">
        <v>1235</v>
      </c>
    </row>
    <row r="199" spans="1:2" ht="15.75" x14ac:dyDescent="0.25">
      <c r="A199" s="105">
        <f t="shared" si="3"/>
        <v>198</v>
      </c>
      <c r="B199" s="107" t="s">
        <v>611</v>
      </c>
    </row>
    <row r="200" spans="1:2" ht="15.75" x14ac:dyDescent="0.25">
      <c r="A200" s="105">
        <f t="shared" si="3"/>
        <v>199</v>
      </c>
      <c r="B200" s="107" t="s">
        <v>1203</v>
      </c>
    </row>
    <row r="201" spans="1:2" ht="15.75" x14ac:dyDescent="0.25">
      <c r="A201" s="105">
        <f t="shared" si="3"/>
        <v>200</v>
      </c>
      <c r="B201" s="108" t="s">
        <v>397</v>
      </c>
    </row>
    <row r="202" spans="1:2" ht="15.75" x14ac:dyDescent="0.25">
      <c r="A202" s="105">
        <f t="shared" si="3"/>
        <v>201</v>
      </c>
      <c r="B202" s="107" t="s">
        <v>391</v>
      </c>
    </row>
    <row r="203" spans="1:2" ht="15.75" x14ac:dyDescent="0.25">
      <c r="A203" s="105">
        <f t="shared" si="3"/>
        <v>202</v>
      </c>
      <c r="B203" s="108" t="s">
        <v>1164</v>
      </c>
    </row>
    <row r="204" spans="1:2" ht="15.75" x14ac:dyDescent="0.25">
      <c r="A204" s="105">
        <f t="shared" si="3"/>
        <v>203</v>
      </c>
      <c r="B204" s="108"/>
    </row>
    <row r="205" spans="1:2" ht="15.75" x14ac:dyDescent="0.25">
      <c r="A205" s="105">
        <f t="shared" si="3"/>
        <v>204</v>
      </c>
      <c r="B205" s="108"/>
    </row>
    <row r="206" spans="1:2" ht="15.75" x14ac:dyDescent="0.25">
      <c r="A206" s="105">
        <f t="shared" si="3"/>
        <v>205</v>
      </c>
      <c r="B206" s="108"/>
    </row>
    <row r="207" spans="1:2" ht="15.75" x14ac:dyDescent="0.25">
      <c r="A207" s="105">
        <f t="shared" si="3"/>
        <v>206</v>
      </c>
      <c r="B207" s="108"/>
    </row>
    <row r="208" spans="1:2" ht="15.75" x14ac:dyDescent="0.25">
      <c r="A208" s="105">
        <f t="shared" si="3"/>
        <v>207</v>
      </c>
      <c r="B208" s="107"/>
    </row>
    <row r="209" spans="1:2" ht="15.75" x14ac:dyDescent="0.25">
      <c r="A209" s="105">
        <f t="shared" si="3"/>
        <v>208</v>
      </c>
      <c r="B209" s="108"/>
    </row>
    <row r="210" spans="1:2" ht="15.75" x14ac:dyDescent="0.25">
      <c r="A210" s="105">
        <f t="shared" si="3"/>
        <v>209</v>
      </c>
      <c r="B210" s="108"/>
    </row>
    <row r="211" spans="1:2" ht="15.75" x14ac:dyDescent="0.25">
      <c r="A211" s="105">
        <f t="shared" si="3"/>
        <v>210</v>
      </c>
      <c r="B211" s="108"/>
    </row>
    <row r="212" spans="1:2" ht="15.75" x14ac:dyDescent="0.25">
      <c r="A212" s="105">
        <f t="shared" si="3"/>
        <v>211</v>
      </c>
      <c r="B212" s="108"/>
    </row>
    <row r="213" spans="1:2" ht="15.75" x14ac:dyDescent="0.25">
      <c r="A213" s="105">
        <f t="shared" si="3"/>
        <v>212</v>
      </c>
      <c r="B213" s="108"/>
    </row>
    <row r="214" spans="1:2" ht="15.75" x14ac:dyDescent="0.25">
      <c r="A214" s="105">
        <f t="shared" si="3"/>
        <v>213</v>
      </c>
      <c r="B214" s="107"/>
    </row>
    <row r="215" spans="1:2" x14ac:dyDescent="0.25">
      <c r="A215" s="105">
        <f t="shared" si="3"/>
        <v>214</v>
      </c>
      <c r="B215" s="110"/>
    </row>
    <row r="216" spans="1:2" x14ac:dyDescent="0.25">
      <c r="A216" s="105">
        <f t="shared" si="3"/>
        <v>215</v>
      </c>
      <c r="B216" s="110"/>
    </row>
    <row r="217" spans="1:2" x14ac:dyDescent="0.25">
      <c r="A217" s="105">
        <f t="shared" si="3"/>
        <v>216</v>
      </c>
      <c r="B217" s="110"/>
    </row>
    <row r="218" spans="1:2" x14ac:dyDescent="0.25">
      <c r="A218" s="105">
        <f t="shared" si="3"/>
        <v>217</v>
      </c>
      <c r="B218" s="110"/>
    </row>
    <row r="219" spans="1:2" x14ac:dyDescent="0.25">
      <c r="A219" s="105">
        <f t="shared" si="3"/>
        <v>218</v>
      </c>
      <c r="B219" s="110"/>
    </row>
    <row r="220" spans="1:2" x14ac:dyDescent="0.25">
      <c r="A220" s="105">
        <f t="shared" si="3"/>
        <v>219</v>
      </c>
      <c r="B220" s="110"/>
    </row>
    <row r="221" spans="1:2" x14ac:dyDescent="0.25">
      <c r="A221" s="105">
        <f t="shared" si="3"/>
        <v>220</v>
      </c>
      <c r="B221" s="110"/>
    </row>
    <row r="222" spans="1:2" x14ac:dyDescent="0.25">
      <c r="A222" s="105">
        <f t="shared" si="3"/>
        <v>221</v>
      </c>
      <c r="B222" s="110"/>
    </row>
    <row r="223" spans="1:2" x14ac:dyDescent="0.25">
      <c r="A223" s="105">
        <f t="shared" si="3"/>
        <v>222</v>
      </c>
      <c r="B223" s="110"/>
    </row>
    <row r="224" spans="1:2" x14ac:dyDescent="0.25">
      <c r="A224" s="105">
        <f t="shared" si="3"/>
        <v>223</v>
      </c>
      <c r="B224" s="110"/>
    </row>
    <row r="225" spans="1:2" x14ac:dyDescent="0.25">
      <c r="A225" s="105">
        <f t="shared" si="3"/>
        <v>224</v>
      </c>
      <c r="B225" s="110"/>
    </row>
    <row r="226" spans="1:2" x14ac:dyDescent="0.25">
      <c r="A226" s="105">
        <f t="shared" si="3"/>
        <v>225</v>
      </c>
      <c r="B226" s="110"/>
    </row>
    <row r="227" spans="1:2" x14ac:dyDescent="0.25">
      <c r="A227" s="105">
        <f t="shared" si="3"/>
        <v>226</v>
      </c>
      <c r="B227" s="110"/>
    </row>
    <row r="228" spans="1:2" x14ac:dyDescent="0.25">
      <c r="A228" s="105">
        <f t="shared" si="3"/>
        <v>227</v>
      </c>
      <c r="B228" s="110"/>
    </row>
    <row r="229" spans="1:2" x14ac:dyDescent="0.25">
      <c r="A229" s="105">
        <f t="shared" si="3"/>
        <v>228</v>
      </c>
      <c r="B229" s="110"/>
    </row>
    <row r="230" spans="1:2" x14ac:dyDescent="0.25">
      <c r="A230" s="105">
        <f t="shared" si="3"/>
        <v>229</v>
      </c>
      <c r="B230" s="110"/>
    </row>
    <row r="231" spans="1:2" x14ac:dyDescent="0.25">
      <c r="A231" s="105">
        <f t="shared" si="3"/>
        <v>230</v>
      </c>
      <c r="B231" s="110"/>
    </row>
    <row r="232" spans="1:2" x14ac:dyDescent="0.25">
      <c r="A232" s="105">
        <f t="shared" si="3"/>
        <v>231</v>
      </c>
      <c r="B232" s="110"/>
    </row>
    <row r="233" spans="1:2" x14ac:dyDescent="0.25">
      <c r="A233" s="105">
        <f t="shared" si="3"/>
        <v>232</v>
      </c>
      <c r="B233" s="110"/>
    </row>
    <row r="234" spans="1:2" x14ac:dyDescent="0.25">
      <c r="A234" s="105">
        <f t="shared" si="3"/>
        <v>233</v>
      </c>
      <c r="B234" s="110"/>
    </row>
    <row r="235" spans="1:2" x14ac:dyDescent="0.25">
      <c r="A235" s="105">
        <f t="shared" si="3"/>
        <v>234</v>
      </c>
      <c r="B235" s="110"/>
    </row>
    <row r="236" spans="1:2" x14ac:dyDescent="0.25">
      <c r="A236" s="105">
        <f t="shared" si="3"/>
        <v>235</v>
      </c>
      <c r="B236" s="110"/>
    </row>
    <row r="237" spans="1:2" x14ac:dyDescent="0.25">
      <c r="A237" s="105">
        <f t="shared" si="3"/>
        <v>236</v>
      </c>
      <c r="B237" s="110"/>
    </row>
    <row r="238" spans="1:2" x14ac:dyDescent="0.25">
      <c r="A238" s="105">
        <f t="shared" si="3"/>
        <v>237</v>
      </c>
      <c r="B238" s="110"/>
    </row>
    <row r="239" spans="1:2" x14ac:dyDescent="0.25">
      <c r="A239" s="105">
        <f t="shared" si="3"/>
        <v>238</v>
      </c>
      <c r="B239" s="110"/>
    </row>
    <row r="240" spans="1:2" x14ac:dyDescent="0.25">
      <c r="A240" s="105">
        <f t="shared" si="3"/>
        <v>239</v>
      </c>
      <c r="B240" s="110"/>
    </row>
    <row r="241" spans="1:2" x14ac:dyDescent="0.25">
      <c r="A241" s="105">
        <f t="shared" si="3"/>
        <v>240</v>
      </c>
      <c r="B241" s="110"/>
    </row>
    <row r="242" spans="1:2" x14ac:dyDescent="0.25">
      <c r="A242" s="105">
        <f t="shared" si="3"/>
        <v>241</v>
      </c>
      <c r="B242" s="110"/>
    </row>
    <row r="243" spans="1:2" x14ac:dyDescent="0.25">
      <c r="A243" s="105">
        <f t="shared" si="3"/>
        <v>242</v>
      </c>
      <c r="B243" s="110"/>
    </row>
    <row r="244" spans="1:2" x14ac:dyDescent="0.25">
      <c r="A244" s="105">
        <f t="shared" si="3"/>
        <v>243</v>
      </c>
      <c r="B244" s="110"/>
    </row>
    <row r="245" spans="1:2" x14ac:dyDescent="0.25">
      <c r="A245" s="105">
        <f t="shared" si="3"/>
        <v>244</v>
      </c>
      <c r="B245" s="110"/>
    </row>
    <row r="246" spans="1:2" x14ac:dyDescent="0.25">
      <c r="A246" s="105">
        <f t="shared" si="3"/>
        <v>245</v>
      </c>
      <c r="B246" s="110"/>
    </row>
    <row r="247" spans="1:2" x14ac:dyDescent="0.25">
      <c r="A247" s="105">
        <f t="shared" si="3"/>
        <v>246</v>
      </c>
      <c r="B247" s="110"/>
    </row>
    <row r="248" spans="1:2" x14ac:dyDescent="0.25">
      <c r="A248" s="105">
        <f t="shared" si="3"/>
        <v>247</v>
      </c>
      <c r="B248" s="110"/>
    </row>
    <row r="249" spans="1:2" x14ac:dyDescent="0.25">
      <c r="A249" s="105">
        <f t="shared" si="3"/>
        <v>248</v>
      </c>
      <c r="B249" s="110"/>
    </row>
    <row r="250" spans="1:2" x14ac:dyDescent="0.25">
      <c r="A250" s="105">
        <f t="shared" si="3"/>
        <v>249</v>
      </c>
      <c r="B250" s="110"/>
    </row>
    <row r="251" spans="1:2" x14ac:dyDescent="0.25">
      <c r="A251" s="105">
        <f t="shared" si="3"/>
        <v>250</v>
      </c>
      <c r="B251" s="110"/>
    </row>
    <row r="252" spans="1:2" x14ac:dyDescent="0.25">
      <c r="A252" s="105">
        <f t="shared" si="3"/>
        <v>251</v>
      </c>
      <c r="B252" s="110"/>
    </row>
    <row r="253" spans="1:2" x14ac:dyDescent="0.25">
      <c r="A253" s="105">
        <f t="shared" si="3"/>
        <v>252</v>
      </c>
      <c r="B253" s="110"/>
    </row>
    <row r="254" spans="1:2" x14ac:dyDescent="0.25">
      <c r="A254" s="105">
        <f t="shared" si="3"/>
        <v>253</v>
      </c>
      <c r="B254" s="110"/>
    </row>
    <row r="255" spans="1:2" x14ac:dyDescent="0.25">
      <c r="A255" s="105">
        <f t="shared" si="3"/>
        <v>254</v>
      </c>
      <c r="B255" s="110"/>
    </row>
    <row r="256" spans="1:2" x14ac:dyDescent="0.25">
      <c r="A256" s="105">
        <f t="shared" si="3"/>
        <v>255</v>
      </c>
      <c r="B256" s="110"/>
    </row>
    <row r="257" spans="1:2" x14ac:dyDescent="0.25">
      <c r="A257" s="105">
        <f t="shared" si="3"/>
        <v>256</v>
      </c>
      <c r="B257" s="110"/>
    </row>
    <row r="258" spans="1:2" x14ac:dyDescent="0.25">
      <c r="A258" s="105">
        <f t="shared" si="3"/>
        <v>257</v>
      </c>
      <c r="B258" s="110"/>
    </row>
    <row r="259" spans="1:2" x14ac:dyDescent="0.25">
      <c r="A259" s="105">
        <f t="shared" ref="A259:A301" si="4">+A258+1</f>
        <v>258</v>
      </c>
      <c r="B259" s="110"/>
    </row>
    <row r="260" spans="1:2" x14ac:dyDescent="0.25">
      <c r="A260" s="105">
        <f t="shared" si="4"/>
        <v>259</v>
      </c>
      <c r="B260" s="110"/>
    </row>
    <row r="261" spans="1:2" x14ac:dyDescent="0.25">
      <c r="A261" s="105">
        <f t="shared" si="4"/>
        <v>260</v>
      </c>
      <c r="B261" s="110"/>
    </row>
    <row r="262" spans="1:2" x14ac:dyDescent="0.25">
      <c r="A262" s="105">
        <f t="shared" si="4"/>
        <v>261</v>
      </c>
      <c r="B262" s="110"/>
    </row>
    <row r="263" spans="1:2" x14ac:dyDescent="0.25">
      <c r="A263" s="105">
        <f t="shared" si="4"/>
        <v>262</v>
      </c>
      <c r="B263" s="110"/>
    </row>
    <row r="264" spans="1:2" x14ac:dyDescent="0.25">
      <c r="A264" s="105">
        <f t="shared" si="4"/>
        <v>263</v>
      </c>
      <c r="B264" s="110"/>
    </row>
    <row r="265" spans="1:2" x14ac:dyDescent="0.25">
      <c r="A265" s="105">
        <f t="shared" si="4"/>
        <v>264</v>
      </c>
      <c r="B265" s="110"/>
    </row>
    <row r="266" spans="1:2" x14ac:dyDescent="0.25">
      <c r="A266" s="105">
        <f t="shared" si="4"/>
        <v>265</v>
      </c>
      <c r="B266" s="110"/>
    </row>
    <row r="267" spans="1:2" x14ac:dyDescent="0.25">
      <c r="A267" s="105">
        <f t="shared" si="4"/>
        <v>266</v>
      </c>
      <c r="B267" s="110"/>
    </row>
    <row r="268" spans="1:2" x14ac:dyDescent="0.25">
      <c r="A268" s="105">
        <f t="shared" si="4"/>
        <v>267</v>
      </c>
      <c r="B268" s="110"/>
    </row>
    <row r="269" spans="1:2" x14ac:dyDescent="0.25">
      <c r="A269" s="105">
        <f t="shared" si="4"/>
        <v>268</v>
      </c>
      <c r="B269" s="110"/>
    </row>
    <row r="270" spans="1:2" x14ac:dyDescent="0.25">
      <c r="A270" s="105">
        <f t="shared" si="4"/>
        <v>269</v>
      </c>
      <c r="B270" s="110"/>
    </row>
    <row r="271" spans="1:2" x14ac:dyDescent="0.25">
      <c r="A271" s="105">
        <f t="shared" si="4"/>
        <v>270</v>
      </c>
      <c r="B271" s="110"/>
    </row>
    <row r="272" spans="1:2" x14ac:dyDescent="0.25">
      <c r="A272" s="105">
        <f t="shared" si="4"/>
        <v>271</v>
      </c>
      <c r="B272" s="110"/>
    </row>
    <row r="273" spans="1:2" x14ac:dyDescent="0.25">
      <c r="A273" s="105">
        <f t="shared" si="4"/>
        <v>272</v>
      </c>
      <c r="B273" s="110"/>
    </row>
    <row r="274" spans="1:2" x14ac:dyDescent="0.25">
      <c r="A274" s="105">
        <f t="shared" si="4"/>
        <v>273</v>
      </c>
      <c r="B274" s="110"/>
    </row>
    <row r="275" spans="1:2" x14ac:dyDescent="0.25">
      <c r="A275" s="105">
        <f t="shared" si="4"/>
        <v>274</v>
      </c>
      <c r="B275" s="110"/>
    </row>
    <row r="276" spans="1:2" x14ac:dyDescent="0.25">
      <c r="A276" s="105">
        <f t="shared" si="4"/>
        <v>275</v>
      </c>
      <c r="B276" s="110"/>
    </row>
    <row r="277" spans="1:2" x14ac:dyDescent="0.25">
      <c r="A277" s="105">
        <f t="shared" si="4"/>
        <v>276</v>
      </c>
      <c r="B277" s="110"/>
    </row>
    <row r="278" spans="1:2" x14ac:dyDescent="0.25">
      <c r="A278" s="105">
        <f t="shared" si="4"/>
        <v>277</v>
      </c>
      <c r="B278" s="110"/>
    </row>
    <row r="279" spans="1:2" x14ac:dyDescent="0.25">
      <c r="A279" s="105">
        <f t="shared" si="4"/>
        <v>278</v>
      </c>
      <c r="B279" s="110"/>
    </row>
    <row r="280" spans="1:2" x14ac:dyDescent="0.25">
      <c r="A280" s="105">
        <f t="shared" si="4"/>
        <v>279</v>
      </c>
      <c r="B280" s="110"/>
    </row>
    <row r="281" spans="1:2" x14ac:dyDescent="0.25">
      <c r="A281" s="105">
        <f t="shared" si="4"/>
        <v>280</v>
      </c>
      <c r="B281" s="110"/>
    </row>
    <row r="282" spans="1:2" x14ac:dyDescent="0.25">
      <c r="A282" s="105">
        <f t="shared" si="4"/>
        <v>281</v>
      </c>
      <c r="B282" s="110"/>
    </row>
    <row r="283" spans="1:2" x14ac:dyDescent="0.25">
      <c r="A283" s="105">
        <f t="shared" si="4"/>
        <v>282</v>
      </c>
      <c r="B283" s="110"/>
    </row>
    <row r="284" spans="1:2" x14ac:dyDescent="0.25">
      <c r="A284" s="105">
        <f t="shared" si="4"/>
        <v>283</v>
      </c>
      <c r="B284" s="110"/>
    </row>
    <row r="285" spans="1:2" x14ac:dyDescent="0.25">
      <c r="A285" s="105">
        <f t="shared" si="4"/>
        <v>284</v>
      </c>
      <c r="B285" s="110"/>
    </row>
    <row r="286" spans="1:2" x14ac:dyDescent="0.25">
      <c r="A286" s="105">
        <f t="shared" si="4"/>
        <v>285</v>
      </c>
      <c r="B286" s="110"/>
    </row>
    <row r="287" spans="1:2" x14ac:dyDescent="0.25">
      <c r="A287" s="105">
        <f t="shared" si="4"/>
        <v>286</v>
      </c>
      <c r="B287" s="110"/>
    </row>
    <row r="288" spans="1:2" x14ac:dyDescent="0.25">
      <c r="A288" s="105">
        <f t="shared" si="4"/>
        <v>287</v>
      </c>
      <c r="B288" s="110"/>
    </row>
    <row r="289" spans="1:2" x14ac:dyDescent="0.25">
      <c r="A289" s="105">
        <f t="shared" si="4"/>
        <v>288</v>
      </c>
      <c r="B289" s="110"/>
    </row>
    <row r="290" spans="1:2" x14ac:dyDescent="0.25">
      <c r="A290" s="105">
        <f t="shared" si="4"/>
        <v>289</v>
      </c>
      <c r="B290" s="110"/>
    </row>
    <row r="291" spans="1:2" x14ac:dyDescent="0.25">
      <c r="A291" s="105">
        <f t="shared" si="4"/>
        <v>290</v>
      </c>
      <c r="B291" s="110"/>
    </row>
    <row r="292" spans="1:2" x14ac:dyDescent="0.25">
      <c r="A292" s="105">
        <f t="shared" si="4"/>
        <v>291</v>
      </c>
      <c r="B292" s="110"/>
    </row>
    <row r="293" spans="1:2" x14ac:dyDescent="0.25">
      <c r="A293" s="105">
        <f t="shared" si="4"/>
        <v>292</v>
      </c>
      <c r="B293" s="110"/>
    </row>
    <row r="294" spans="1:2" x14ac:dyDescent="0.25">
      <c r="A294" s="105">
        <f t="shared" si="4"/>
        <v>293</v>
      </c>
      <c r="B294" s="110"/>
    </row>
    <row r="295" spans="1:2" x14ac:dyDescent="0.25">
      <c r="A295" s="105">
        <f t="shared" si="4"/>
        <v>294</v>
      </c>
      <c r="B295" s="110"/>
    </row>
    <row r="296" spans="1:2" x14ac:dyDescent="0.25">
      <c r="A296" s="105">
        <f t="shared" si="4"/>
        <v>295</v>
      </c>
      <c r="B296" s="110"/>
    </row>
    <row r="297" spans="1:2" x14ac:dyDescent="0.25">
      <c r="A297" s="105">
        <f t="shared" si="4"/>
        <v>296</v>
      </c>
      <c r="B297" s="110"/>
    </row>
    <row r="298" spans="1:2" x14ac:dyDescent="0.25">
      <c r="A298" s="105">
        <f t="shared" si="4"/>
        <v>297</v>
      </c>
      <c r="B298" s="110"/>
    </row>
    <row r="299" spans="1:2" x14ac:dyDescent="0.25">
      <c r="A299" s="105">
        <f t="shared" si="4"/>
        <v>298</v>
      </c>
      <c r="B299" s="110"/>
    </row>
    <row r="300" spans="1:2" x14ac:dyDescent="0.25">
      <c r="A300" s="105">
        <f t="shared" si="4"/>
        <v>299</v>
      </c>
      <c r="B300" s="110"/>
    </row>
    <row r="301" spans="1:2" ht="15.75" thickBot="1" x14ac:dyDescent="0.3">
      <c r="A301" s="111">
        <f t="shared" si="4"/>
        <v>300</v>
      </c>
      <c r="B301" s="112"/>
    </row>
  </sheetData>
  <autoFilter ref="A1:B301" xr:uid="{00000000-0009-0000-0000-000007000000}">
    <sortState xmlns:xlrd2="http://schemas.microsoft.com/office/spreadsheetml/2017/richdata2" ref="A2:B301">
      <sortCondition ref="B1:B301"/>
    </sortState>
  </autoFilter>
  <conditionalFormatting sqref="B215">
    <cfRule type="expression" dxfId="1794" priority="1">
      <formula>$K342:$K468&lt;=0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Codigo </vt:lpstr>
      <vt:lpstr>Tabla de codigos</vt:lpstr>
      <vt:lpstr>Hoja 1</vt:lpstr>
      <vt:lpstr>2026</vt:lpstr>
      <vt:lpstr>PENDIENTES</vt:lpstr>
      <vt:lpstr>Estatus 2025</vt:lpstr>
      <vt:lpstr>codigos</vt:lpstr>
      <vt:lpstr>CLIENTES </vt:lpstr>
      <vt:lpstr>'Codigo '!Área_de_impresión</vt:lpstr>
      <vt:lpstr>'Hoja 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Alberto Dávila</dc:creator>
  <cp:keywords/>
  <dc:description/>
  <cp:lastModifiedBy>Logistica Baro Industrial</cp:lastModifiedBy>
  <cp:revision/>
  <cp:lastPrinted>2026-03-05T19:19:09Z</cp:lastPrinted>
  <dcterms:created xsi:type="dcterms:W3CDTF">2025-06-27T17:01:55Z</dcterms:created>
  <dcterms:modified xsi:type="dcterms:W3CDTF">2026-03-28T13:44:49Z</dcterms:modified>
  <cp:category/>
  <cp:contentStatus/>
</cp:coreProperties>
</file>